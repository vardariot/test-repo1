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senduran\Documents\github\test-repo1\"/>
    </mc:Choice>
  </mc:AlternateContent>
  <bookViews>
    <workbookView xWindow="0" yWindow="0" windowWidth="28800" windowHeight="12285" activeTab="4"/>
  </bookViews>
  <sheets>
    <sheet name="Kullanılan gübre" sheetId="1" r:id="rId1"/>
    <sheet name="Gübre oranlar" sheetId="2" r:id="rId2"/>
    <sheet name="Oluşan N" sheetId="4" r:id="rId3"/>
    <sheet name="Oluşan P" sheetId="5" r:id="rId4"/>
    <sheet name="Sheet5" sheetId="6" r:id="rId5"/>
  </sheets>
  <definedNames>
    <definedName name="_xlnm._FilterDatabase" localSheetId="0" hidden="1">'Kullanılan gübre'!$A$1:$AV$255</definedName>
    <definedName name="_xlnm._FilterDatabase" localSheetId="2" hidden="1">'Oluşan N'!$A$1:$AW$414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6" l="1"/>
  <c r="D18" i="6"/>
  <c r="E17" i="6" l="1"/>
  <c r="D17" i="6"/>
  <c r="E16" i="6"/>
  <c r="D16" i="6"/>
  <c r="E15" i="6"/>
  <c r="D15" i="6"/>
  <c r="E14" i="6"/>
  <c r="D14" i="6"/>
  <c r="E12" i="6"/>
  <c r="E13" i="6"/>
  <c r="D12" i="6"/>
  <c r="D13" i="6"/>
  <c r="E3" i="6"/>
  <c r="E4" i="6"/>
  <c r="E5" i="6"/>
  <c r="E6" i="6"/>
  <c r="E7" i="6"/>
  <c r="E8" i="6"/>
  <c r="E9" i="6"/>
  <c r="E10" i="6"/>
  <c r="E11" i="6"/>
  <c r="E2" i="6"/>
  <c r="D3" i="6" l="1"/>
  <c r="D4" i="6"/>
  <c r="D5" i="6"/>
  <c r="D6" i="6"/>
  <c r="D7" i="6"/>
  <c r="D8" i="6"/>
  <c r="D9" i="6"/>
  <c r="D10" i="6"/>
  <c r="D11" i="6"/>
  <c r="AW414" i="5"/>
  <c r="AW413" i="5"/>
  <c r="AW412" i="5"/>
  <c r="AW411" i="5"/>
  <c r="AW410" i="5"/>
  <c r="AW409" i="5"/>
  <c r="AW408" i="5"/>
  <c r="AW407" i="5"/>
  <c r="AW406" i="5"/>
  <c r="AW405" i="5"/>
  <c r="AW404" i="5"/>
  <c r="AW403" i="5"/>
  <c r="AW402" i="5"/>
  <c r="AW401" i="5"/>
  <c r="AW400" i="5"/>
  <c r="AW399" i="5"/>
  <c r="AW398" i="5"/>
  <c r="AW397" i="5"/>
  <c r="AW396" i="5"/>
  <c r="AW395" i="5"/>
  <c r="AW394" i="5"/>
  <c r="AW393" i="5"/>
  <c r="AW392" i="5"/>
  <c r="AW391" i="5"/>
  <c r="AW390" i="5"/>
  <c r="AW389" i="5"/>
  <c r="AW388" i="5"/>
  <c r="AW387" i="5"/>
  <c r="AW386" i="5"/>
  <c r="AW385" i="5"/>
  <c r="AW384" i="5"/>
  <c r="AW383" i="5"/>
  <c r="AW382" i="5"/>
  <c r="AW381" i="5"/>
  <c r="AW380" i="5"/>
  <c r="AW379" i="5"/>
  <c r="AW378" i="5"/>
  <c r="AW377" i="5"/>
  <c r="AW376" i="5"/>
  <c r="AW375" i="5"/>
  <c r="AW374" i="5"/>
  <c r="AW373" i="5"/>
  <c r="AW372" i="5"/>
  <c r="AW371" i="5"/>
  <c r="AW370" i="5"/>
  <c r="AW369" i="5"/>
  <c r="AW368" i="5"/>
  <c r="AW367" i="5"/>
  <c r="AW366" i="5"/>
  <c r="AW365" i="5"/>
  <c r="AW364" i="5"/>
  <c r="AW363" i="5"/>
  <c r="AW362" i="5"/>
  <c r="AW361" i="5"/>
  <c r="AW360" i="5"/>
  <c r="AW359" i="5"/>
  <c r="AW358" i="5"/>
  <c r="AW357" i="5"/>
  <c r="AW356" i="5"/>
  <c r="AW355" i="5"/>
  <c r="AW354" i="5"/>
  <c r="AW353" i="5"/>
  <c r="AW352" i="5"/>
  <c r="AW351" i="5"/>
  <c r="AW350" i="5"/>
  <c r="AW349" i="5"/>
  <c r="AW348" i="5"/>
  <c r="AW347" i="5"/>
  <c r="AW346" i="5"/>
  <c r="AW345" i="5"/>
  <c r="AW344" i="5"/>
  <c r="AW343" i="5"/>
  <c r="AW342" i="5"/>
  <c r="AW341" i="5"/>
  <c r="AW340" i="5"/>
  <c r="AW339" i="5"/>
  <c r="AW338" i="5"/>
  <c r="AW337" i="5"/>
  <c r="AW336" i="5"/>
  <c r="AW335" i="5"/>
  <c r="AW334" i="5"/>
  <c r="AW333" i="5"/>
  <c r="AW332" i="5"/>
  <c r="AW331" i="5"/>
  <c r="AW330" i="5"/>
  <c r="AW329" i="5"/>
  <c r="AW328" i="5"/>
  <c r="AW327" i="5"/>
  <c r="AW326" i="5"/>
  <c r="AW325" i="5"/>
  <c r="AW324" i="5"/>
  <c r="AW323" i="5"/>
  <c r="AW322" i="5"/>
  <c r="AW321" i="5"/>
  <c r="AW320" i="5"/>
  <c r="AW319" i="5"/>
  <c r="AW318" i="5"/>
  <c r="AW317" i="5"/>
  <c r="AW316" i="5"/>
  <c r="AW315" i="5"/>
  <c r="AW314" i="5"/>
  <c r="AW313" i="5"/>
  <c r="AW312" i="5"/>
  <c r="AW311" i="5"/>
  <c r="AW310" i="5"/>
  <c r="AW309" i="5"/>
  <c r="AW308" i="5"/>
  <c r="AW307" i="5"/>
  <c r="AW306" i="5"/>
  <c r="AW305" i="5"/>
  <c r="AW304" i="5"/>
  <c r="AW303" i="5"/>
  <c r="AW302" i="5"/>
  <c r="AW301" i="5"/>
  <c r="AW300" i="5"/>
  <c r="AW299" i="5"/>
  <c r="AW298" i="5"/>
  <c r="AW297" i="5"/>
  <c r="AW296" i="5"/>
  <c r="AW295" i="5"/>
  <c r="AW294" i="5"/>
  <c r="AW293" i="5"/>
  <c r="AW292" i="5"/>
  <c r="AW291" i="5"/>
  <c r="AW290" i="5"/>
  <c r="AW289" i="5"/>
  <c r="AW288" i="5"/>
  <c r="AW287" i="5"/>
  <c r="AW286" i="5"/>
  <c r="AW285" i="5"/>
  <c r="AW284" i="5"/>
  <c r="AW283" i="5"/>
  <c r="AW282" i="5"/>
  <c r="AW281" i="5"/>
  <c r="AW280" i="5"/>
  <c r="AW279" i="5"/>
  <c r="AW278" i="5"/>
  <c r="AW277" i="5"/>
  <c r="AW276" i="5"/>
  <c r="AW275" i="5"/>
  <c r="AW274" i="5"/>
  <c r="AW273" i="5"/>
  <c r="AW272" i="5"/>
  <c r="AW271" i="5"/>
  <c r="AW270" i="5"/>
  <c r="AW269" i="5"/>
  <c r="AW268" i="5"/>
  <c r="AW267" i="5"/>
  <c r="AW266" i="5"/>
  <c r="AW265" i="5"/>
  <c r="AW264" i="5"/>
  <c r="AW263" i="5"/>
  <c r="AW262" i="5"/>
  <c r="AW261" i="5"/>
  <c r="AW260" i="5"/>
  <c r="AW259" i="5"/>
  <c r="AW258" i="5"/>
  <c r="AW257" i="5"/>
  <c r="AW256" i="5"/>
  <c r="AW255" i="5"/>
  <c r="AW254" i="5"/>
  <c r="AW253" i="5"/>
  <c r="AW252" i="5"/>
  <c r="AW251" i="5"/>
  <c r="AW250" i="5"/>
  <c r="AW249" i="5"/>
  <c r="AW248" i="5"/>
  <c r="AW247" i="5"/>
  <c r="AW246" i="5"/>
  <c r="AW245" i="5"/>
  <c r="AW244" i="5"/>
  <c r="AW243" i="5"/>
  <c r="AW242" i="5"/>
  <c r="AW241" i="5"/>
  <c r="AW240" i="5"/>
  <c r="AW239" i="5"/>
  <c r="AW238" i="5"/>
  <c r="AW237" i="5"/>
  <c r="AW236" i="5"/>
  <c r="AW235" i="5"/>
  <c r="AW234" i="5"/>
  <c r="AW233" i="5"/>
  <c r="AW232" i="5"/>
  <c r="AW231" i="5"/>
  <c r="AW230" i="5"/>
  <c r="AW229" i="5"/>
  <c r="AW228" i="5"/>
  <c r="AW227" i="5"/>
  <c r="AW226" i="5"/>
  <c r="AW225" i="5"/>
  <c r="AW224" i="5"/>
  <c r="AW223" i="5"/>
  <c r="AW222" i="5"/>
  <c r="AW221" i="5"/>
  <c r="AW220" i="5"/>
  <c r="AW219" i="5"/>
  <c r="AW218" i="5"/>
  <c r="AW217" i="5"/>
  <c r="AW216" i="5"/>
  <c r="AW215" i="5"/>
  <c r="AW214" i="5"/>
  <c r="AW213" i="5"/>
  <c r="AW212" i="5"/>
  <c r="AW211" i="5"/>
  <c r="AW210" i="5"/>
  <c r="AW209" i="5"/>
  <c r="AW208" i="5"/>
  <c r="AW207" i="5"/>
  <c r="AW206" i="5"/>
  <c r="AW205" i="5"/>
  <c r="AW204" i="5"/>
  <c r="AW203" i="5"/>
  <c r="AW202" i="5"/>
  <c r="AW201" i="5"/>
  <c r="AW200" i="5"/>
  <c r="AW199" i="5"/>
  <c r="AW198" i="5"/>
  <c r="AW197" i="5"/>
  <c r="AW196" i="5"/>
  <c r="AW195" i="5"/>
  <c r="AW194" i="5"/>
  <c r="AW193" i="5"/>
  <c r="AW192" i="5"/>
  <c r="AW191" i="5"/>
  <c r="AW190" i="5"/>
  <c r="AW189" i="5"/>
  <c r="AW188" i="5"/>
  <c r="AW187" i="5"/>
  <c r="AW186" i="5"/>
  <c r="AW185" i="5"/>
  <c r="AW184" i="5"/>
  <c r="AW183" i="5"/>
  <c r="AW182" i="5"/>
  <c r="AW181" i="5"/>
  <c r="AW180" i="5"/>
  <c r="AW179" i="5"/>
  <c r="AW178" i="5"/>
  <c r="AW177" i="5"/>
  <c r="AW176" i="5"/>
  <c r="AW175" i="5"/>
  <c r="AW174" i="5"/>
  <c r="AW173" i="5"/>
  <c r="AW172" i="5"/>
  <c r="AW171" i="5"/>
  <c r="AW170" i="5"/>
  <c r="AW169" i="5"/>
  <c r="AW168" i="5"/>
  <c r="AW167" i="5"/>
  <c r="AW166" i="5"/>
  <c r="AW165" i="5"/>
  <c r="AW164" i="5"/>
  <c r="AW163" i="5"/>
  <c r="AW162" i="5"/>
  <c r="AW161" i="5"/>
  <c r="AW160" i="5"/>
  <c r="AW159" i="5"/>
  <c r="AW158" i="5"/>
  <c r="AW157" i="5"/>
  <c r="AW156" i="5"/>
  <c r="AW155" i="5"/>
  <c r="AW154" i="5"/>
  <c r="AW153" i="5"/>
  <c r="AW152" i="5"/>
  <c r="AW151" i="5"/>
  <c r="AW150" i="5"/>
  <c r="AW149" i="5"/>
  <c r="AW148" i="5"/>
  <c r="AW147" i="5"/>
  <c r="AW146" i="5"/>
  <c r="AW145" i="5"/>
  <c r="AW144" i="5"/>
  <c r="AW143" i="5"/>
  <c r="AW142" i="5"/>
  <c r="AW141" i="5"/>
  <c r="AW140" i="5"/>
  <c r="AW139" i="5"/>
  <c r="AW138" i="5"/>
  <c r="AW137" i="5"/>
  <c r="AW136" i="5"/>
  <c r="AW135" i="5"/>
  <c r="AW134" i="5"/>
  <c r="AW133" i="5"/>
  <c r="AW132" i="5"/>
  <c r="AW131" i="5"/>
  <c r="AW130" i="5"/>
  <c r="AW129" i="5"/>
  <c r="AW128" i="5"/>
  <c r="AW127" i="5"/>
  <c r="AW126" i="5"/>
  <c r="AW125" i="5"/>
  <c r="AW124" i="5"/>
  <c r="AW123" i="5"/>
  <c r="AW122" i="5"/>
  <c r="AW121" i="5"/>
  <c r="AW120" i="5"/>
  <c r="AW119" i="5"/>
  <c r="AW118" i="5"/>
  <c r="AW117" i="5"/>
  <c r="AW116" i="5"/>
  <c r="AW115" i="5"/>
  <c r="AW114" i="5"/>
  <c r="AW113" i="5"/>
  <c r="AW112" i="5"/>
  <c r="AW111" i="5"/>
  <c r="AW110" i="5"/>
  <c r="AW109" i="5"/>
  <c r="AW108" i="5"/>
  <c r="AW107" i="5"/>
  <c r="AW106" i="5"/>
  <c r="AW105" i="5"/>
  <c r="AW104" i="5"/>
  <c r="AW103" i="5"/>
  <c r="AW102" i="5"/>
  <c r="AW101" i="5"/>
  <c r="AW100" i="5"/>
  <c r="AW99" i="5"/>
  <c r="AW98" i="5"/>
  <c r="AW97" i="5"/>
  <c r="AW96" i="5"/>
  <c r="AW95" i="5"/>
  <c r="AW94" i="5"/>
  <c r="AW93" i="5"/>
  <c r="AW92" i="5"/>
  <c r="AW91" i="5"/>
  <c r="AW90" i="5"/>
  <c r="AW89" i="5"/>
  <c r="AW88" i="5"/>
  <c r="AW87" i="5"/>
  <c r="AW86" i="5"/>
  <c r="AW85" i="5"/>
  <c r="AW84" i="5"/>
  <c r="AW83" i="5"/>
  <c r="AW82" i="5"/>
  <c r="AW81" i="5"/>
  <c r="AW80" i="5"/>
  <c r="AW79" i="5"/>
  <c r="AW78" i="5"/>
  <c r="AW77" i="5"/>
  <c r="AW76" i="5"/>
  <c r="AW75" i="5"/>
  <c r="AW74" i="5"/>
  <c r="AW73" i="5"/>
  <c r="AW72" i="5"/>
  <c r="AW71" i="5"/>
  <c r="AW70" i="5"/>
  <c r="AW69" i="5"/>
  <c r="AW68" i="5"/>
  <c r="AW67" i="5"/>
  <c r="AW66" i="5"/>
  <c r="AW65" i="5"/>
  <c r="AW64" i="5"/>
  <c r="AW63" i="5"/>
  <c r="AW62" i="5"/>
  <c r="AW61" i="5"/>
  <c r="AW60" i="5"/>
  <c r="AW59" i="5"/>
  <c r="AW58" i="5"/>
  <c r="AW57" i="5"/>
  <c r="AW56" i="5"/>
  <c r="AW55" i="5"/>
  <c r="AW54" i="5"/>
  <c r="AW53" i="5"/>
  <c r="AW52" i="5"/>
  <c r="AW51" i="5"/>
  <c r="AW50" i="5"/>
  <c r="AW49" i="5"/>
  <c r="AW48" i="5"/>
  <c r="AW47" i="5"/>
  <c r="AW46" i="5"/>
  <c r="AW45" i="5"/>
  <c r="AW44" i="5"/>
  <c r="AW43" i="5"/>
  <c r="AW42" i="5"/>
  <c r="AW41" i="5"/>
  <c r="AW40" i="5"/>
  <c r="AW39" i="5"/>
  <c r="AW38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W6" i="5"/>
  <c r="AW5" i="5"/>
  <c r="AW4" i="5"/>
  <c r="AW3" i="5"/>
  <c r="AW2" i="5"/>
  <c r="AV414" i="5"/>
  <c r="AU414" i="5"/>
  <c r="AT414" i="5"/>
  <c r="AS414" i="5"/>
  <c r="AR414" i="5"/>
  <c r="AQ414" i="5"/>
  <c r="AP414" i="5"/>
  <c r="AO414" i="5"/>
  <c r="AN414" i="5"/>
  <c r="AM414" i="5"/>
  <c r="AL414" i="5"/>
  <c r="AK414" i="5"/>
  <c r="AJ414" i="5"/>
  <c r="AI414" i="5"/>
  <c r="AH414" i="5"/>
  <c r="AG414" i="5"/>
  <c r="AF414" i="5"/>
  <c r="AE414" i="5"/>
  <c r="AD414" i="5"/>
  <c r="AC414" i="5"/>
  <c r="AB414" i="5"/>
  <c r="AA414" i="5"/>
  <c r="Z414" i="5"/>
  <c r="Y414" i="5"/>
  <c r="X414" i="5"/>
  <c r="W414" i="5"/>
  <c r="V414" i="5"/>
  <c r="U414" i="5"/>
  <c r="T414" i="5"/>
  <c r="S414" i="5"/>
  <c r="R414" i="5"/>
  <c r="Q414" i="5"/>
  <c r="P414" i="5"/>
  <c r="O414" i="5"/>
  <c r="N414" i="5"/>
  <c r="M414" i="5"/>
  <c r="L414" i="5"/>
  <c r="K414" i="5"/>
  <c r="J414" i="5"/>
  <c r="I414" i="5"/>
  <c r="H414" i="5"/>
  <c r="G414" i="5"/>
  <c r="F414" i="5"/>
  <c r="E414" i="5"/>
  <c r="AV413" i="5"/>
  <c r="AU413" i="5"/>
  <c r="AT413" i="5"/>
  <c r="AS413" i="5"/>
  <c r="AR413" i="5"/>
  <c r="AQ413" i="5"/>
  <c r="AP413" i="5"/>
  <c r="AO413" i="5"/>
  <c r="AN413" i="5"/>
  <c r="AM413" i="5"/>
  <c r="AL413" i="5"/>
  <c r="AK413" i="5"/>
  <c r="AJ413" i="5"/>
  <c r="AI413" i="5"/>
  <c r="AH413" i="5"/>
  <c r="AG413" i="5"/>
  <c r="AF413" i="5"/>
  <c r="AE413" i="5"/>
  <c r="AD413" i="5"/>
  <c r="AC413" i="5"/>
  <c r="AB413" i="5"/>
  <c r="AA413" i="5"/>
  <c r="Z413" i="5"/>
  <c r="Y413" i="5"/>
  <c r="X413" i="5"/>
  <c r="W413" i="5"/>
  <c r="V413" i="5"/>
  <c r="U413" i="5"/>
  <c r="T413" i="5"/>
  <c r="S413" i="5"/>
  <c r="R413" i="5"/>
  <c r="Q413" i="5"/>
  <c r="P413" i="5"/>
  <c r="O413" i="5"/>
  <c r="N413" i="5"/>
  <c r="M413" i="5"/>
  <c r="L413" i="5"/>
  <c r="K413" i="5"/>
  <c r="J413" i="5"/>
  <c r="I413" i="5"/>
  <c r="H413" i="5"/>
  <c r="G413" i="5"/>
  <c r="F413" i="5"/>
  <c r="E413" i="5"/>
  <c r="AV412" i="5"/>
  <c r="AU412" i="5"/>
  <c r="AT412" i="5"/>
  <c r="AS412" i="5"/>
  <c r="AR412" i="5"/>
  <c r="AQ412" i="5"/>
  <c r="AP412" i="5"/>
  <c r="AO412" i="5"/>
  <c r="AN412" i="5"/>
  <c r="AM412" i="5"/>
  <c r="AL412" i="5"/>
  <c r="AK412" i="5"/>
  <c r="AJ412" i="5"/>
  <c r="AI412" i="5"/>
  <c r="AH412" i="5"/>
  <c r="AG412" i="5"/>
  <c r="AF412" i="5"/>
  <c r="AE412" i="5"/>
  <c r="AD412" i="5"/>
  <c r="AC412" i="5"/>
  <c r="AB412" i="5"/>
  <c r="AA412" i="5"/>
  <c r="Z412" i="5"/>
  <c r="Y412" i="5"/>
  <c r="X412" i="5"/>
  <c r="W412" i="5"/>
  <c r="V412" i="5"/>
  <c r="U412" i="5"/>
  <c r="T412" i="5"/>
  <c r="S412" i="5"/>
  <c r="R412" i="5"/>
  <c r="Q412" i="5"/>
  <c r="P412" i="5"/>
  <c r="O412" i="5"/>
  <c r="N412" i="5"/>
  <c r="M412" i="5"/>
  <c r="L412" i="5"/>
  <c r="K412" i="5"/>
  <c r="J412" i="5"/>
  <c r="I412" i="5"/>
  <c r="H412" i="5"/>
  <c r="G412" i="5"/>
  <c r="F412" i="5"/>
  <c r="E412" i="5"/>
  <c r="AV411" i="5"/>
  <c r="AU411" i="5"/>
  <c r="AT411" i="5"/>
  <c r="AS411" i="5"/>
  <c r="AR411" i="5"/>
  <c r="AQ411" i="5"/>
  <c r="AP411" i="5"/>
  <c r="AO411" i="5"/>
  <c r="AN411" i="5"/>
  <c r="AM411" i="5"/>
  <c r="AL411" i="5"/>
  <c r="AK411" i="5"/>
  <c r="AJ411" i="5"/>
  <c r="AI411" i="5"/>
  <c r="AH411" i="5"/>
  <c r="AG411" i="5"/>
  <c r="AF411" i="5"/>
  <c r="AE411" i="5"/>
  <c r="AD411" i="5"/>
  <c r="AC411" i="5"/>
  <c r="AB411" i="5"/>
  <c r="AA411" i="5"/>
  <c r="Z411" i="5"/>
  <c r="Y411" i="5"/>
  <c r="X411" i="5"/>
  <c r="W411" i="5"/>
  <c r="V411" i="5"/>
  <c r="U411" i="5"/>
  <c r="T411" i="5"/>
  <c r="S411" i="5"/>
  <c r="R411" i="5"/>
  <c r="Q411" i="5"/>
  <c r="P411" i="5"/>
  <c r="O411" i="5"/>
  <c r="N411" i="5"/>
  <c r="M411" i="5"/>
  <c r="L411" i="5"/>
  <c r="K411" i="5"/>
  <c r="J411" i="5"/>
  <c r="I411" i="5"/>
  <c r="H411" i="5"/>
  <c r="G411" i="5"/>
  <c r="F411" i="5"/>
  <c r="E411" i="5"/>
  <c r="AV410" i="5"/>
  <c r="AU410" i="5"/>
  <c r="AT410" i="5"/>
  <c r="AS410" i="5"/>
  <c r="AR410" i="5"/>
  <c r="AQ410" i="5"/>
  <c r="AP410" i="5"/>
  <c r="AO410" i="5"/>
  <c r="AN410" i="5"/>
  <c r="AM410" i="5"/>
  <c r="AL410" i="5"/>
  <c r="AK410" i="5"/>
  <c r="AJ410" i="5"/>
  <c r="AI410" i="5"/>
  <c r="AH410" i="5"/>
  <c r="AG410" i="5"/>
  <c r="AF410" i="5"/>
  <c r="AE410" i="5"/>
  <c r="AD410" i="5"/>
  <c r="AC410" i="5"/>
  <c r="AB410" i="5"/>
  <c r="AA410" i="5"/>
  <c r="Z410" i="5"/>
  <c r="Y410" i="5"/>
  <c r="X410" i="5"/>
  <c r="W410" i="5"/>
  <c r="V410" i="5"/>
  <c r="U410" i="5"/>
  <c r="T410" i="5"/>
  <c r="S410" i="5"/>
  <c r="R410" i="5"/>
  <c r="Q410" i="5"/>
  <c r="P410" i="5"/>
  <c r="O410" i="5"/>
  <c r="N410" i="5"/>
  <c r="M410" i="5"/>
  <c r="L410" i="5"/>
  <c r="K410" i="5"/>
  <c r="J410" i="5"/>
  <c r="I410" i="5"/>
  <c r="H410" i="5"/>
  <c r="G410" i="5"/>
  <c r="F410" i="5"/>
  <c r="E410" i="5"/>
  <c r="AV409" i="5"/>
  <c r="AU409" i="5"/>
  <c r="AT409" i="5"/>
  <c r="AS409" i="5"/>
  <c r="AR409" i="5"/>
  <c r="AQ409" i="5"/>
  <c r="AP409" i="5"/>
  <c r="AO409" i="5"/>
  <c r="AN409" i="5"/>
  <c r="AM409" i="5"/>
  <c r="AL409" i="5"/>
  <c r="AK409" i="5"/>
  <c r="AJ409" i="5"/>
  <c r="AI409" i="5"/>
  <c r="AH409" i="5"/>
  <c r="AG409" i="5"/>
  <c r="AF409" i="5"/>
  <c r="AE409" i="5"/>
  <c r="AD409" i="5"/>
  <c r="AC409" i="5"/>
  <c r="AB409" i="5"/>
  <c r="AA409" i="5"/>
  <c r="Z409" i="5"/>
  <c r="Y409" i="5"/>
  <c r="X409" i="5"/>
  <c r="W409" i="5"/>
  <c r="V409" i="5"/>
  <c r="U409" i="5"/>
  <c r="T409" i="5"/>
  <c r="S409" i="5"/>
  <c r="R409" i="5"/>
  <c r="Q409" i="5"/>
  <c r="P409" i="5"/>
  <c r="O409" i="5"/>
  <c r="N409" i="5"/>
  <c r="M409" i="5"/>
  <c r="L409" i="5"/>
  <c r="K409" i="5"/>
  <c r="J409" i="5"/>
  <c r="I409" i="5"/>
  <c r="H409" i="5"/>
  <c r="G409" i="5"/>
  <c r="F409" i="5"/>
  <c r="E409" i="5"/>
  <c r="AV408" i="5"/>
  <c r="AU408" i="5"/>
  <c r="AT408" i="5"/>
  <c r="AS408" i="5"/>
  <c r="AR408" i="5"/>
  <c r="AQ408" i="5"/>
  <c r="AP408" i="5"/>
  <c r="AO408" i="5"/>
  <c r="AN408" i="5"/>
  <c r="AM408" i="5"/>
  <c r="AL408" i="5"/>
  <c r="AK408" i="5"/>
  <c r="AJ408" i="5"/>
  <c r="AI408" i="5"/>
  <c r="AH408" i="5"/>
  <c r="AG408" i="5"/>
  <c r="AF408" i="5"/>
  <c r="AE408" i="5"/>
  <c r="AD408" i="5"/>
  <c r="AC408" i="5"/>
  <c r="AB408" i="5"/>
  <c r="AA408" i="5"/>
  <c r="Z408" i="5"/>
  <c r="Y408" i="5"/>
  <c r="X408" i="5"/>
  <c r="W408" i="5"/>
  <c r="V408" i="5"/>
  <c r="U408" i="5"/>
  <c r="T408" i="5"/>
  <c r="S408" i="5"/>
  <c r="R408" i="5"/>
  <c r="Q408" i="5"/>
  <c r="P408" i="5"/>
  <c r="O408" i="5"/>
  <c r="N408" i="5"/>
  <c r="M408" i="5"/>
  <c r="L408" i="5"/>
  <c r="K408" i="5"/>
  <c r="J408" i="5"/>
  <c r="I408" i="5"/>
  <c r="H408" i="5"/>
  <c r="G408" i="5"/>
  <c r="F408" i="5"/>
  <c r="E408" i="5"/>
  <c r="AV407" i="5"/>
  <c r="AU407" i="5"/>
  <c r="AT407" i="5"/>
  <c r="AS407" i="5"/>
  <c r="AR407" i="5"/>
  <c r="AQ407" i="5"/>
  <c r="AP407" i="5"/>
  <c r="AO407" i="5"/>
  <c r="AN407" i="5"/>
  <c r="AM407" i="5"/>
  <c r="AL407" i="5"/>
  <c r="AK407" i="5"/>
  <c r="AJ407" i="5"/>
  <c r="AI407" i="5"/>
  <c r="AH407" i="5"/>
  <c r="AG407" i="5"/>
  <c r="AF407" i="5"/>
  <c r="AE407" i="5"/>
  <c r="AD407" i="5"/>
  <c r="AC407" i="5"/>
  <c r="AB407" i="5"/>
  <c r="AA407" i="5"/>
  <c r="Z407" i="5"/>
  <c r="Y407" i="5"/>
  <c r="X407" i="5"/>
  <c r="W407" i="5"/>
  <c r="V407" i="5"/>
  <c r="U407" i="5"/>
  <c r="T407" i="5"/>
  <c r="S407" i="5"/>
  <c r="R407" i="5"/>
  <c r="Q407" i="5"/>
  <c r="P407" i="5"/>
  <c r="O407" i="5"/>
  <c r="N407" i="5"/>
  <c r="M407" i="5"/>
  <c r="L407" i="5"/>
  <c r="K407" i="5"/>
  <c r="J407" i="5"/>
  <c r="I407" i="5"/>
  <c r="H407" i="5"/>
  <c r="G407" i="5"/>
  <c r="F407" i="5"/>
  <c r="E407" i="5"/>
  <c r="AV406" i="5"/>
  <c r="AU406" i="5"/>
  <c r="AT406" i="5"/>
  <c r="AS406" i="5"/>
  <c r="AR406" i="5"/>
  <c r="AQ406" i="5"/>
  <c r="AP406" i="5"/>
  <c r="AO406" i="5"/>
  <c r="AN406" i="5"/>
  <c r="AM406" i="5"/>
  <c r="AL406" i="5"/>
  <c r="AK406" i="5"/>
  <c r="AJ406" i="5"/>
  <c r="AI406" i="5"/>
  <c r="AH406" i="5"/>
  <c r="AG406" i="5"/>
  <c r="AF406" i="5"/>
  <c r="AE406" i="5"/>
  <c r="AD406" i="5"/>
  <c r="AC406" i="5"/>
  <c r="AB406" i="5"/>
  <c r="AA406" i="5"/>
  <c r="Z406" i="5"/>
  <c r="Y406" i="5"/>
  <c r="X406" i="5"/>
  <c r="W406" i="5"/>
  <c r="V406" i="5"/>
  <c r="U406" i="5"/>
  <c r="T406" i="5"/>
  <c r="S406" i="5"/>
  <c r="R406" i="5"/>
  <c r="Q406" i="5"/>
  <c r="P406" i="5"/>
  <c r="O406" i="5"/>
  <c r="N406" i="5"/>
  <c r="M406" i="5"/>
  <c r="L406" i="5"/>
  <c r="K406" i="5"/>
  <c r="J406" i="5"/>
  <c r="I406" i="5"/>
  <c r="H406" i="5"/>
  <c r="G406" i="5"/>
  <c r="F406" i="5"/>
  <c r="E406" i="5"/>
  <c r="AV405" i="5"/>
  <c r="AU405" i="5"/>
  <c r="AT405" i="5"/>
  <c r="AS405" i="5"/>
  <c r="AR405" i="5"/>
  <c r="AQ405" i="5"/>
  <c r="AP405" i="5"/>
  <c r="AO405" i="5"/>
  <c r="AN405" i="5"/>
  <c r="AM405" i="5"/>
  <c r="AL405" i="5"/>
  <c r="AK405" i="5"/>
  <c r="AJ405" i="5"/>
  <c r="AI405" i="5"/>
  <c r="AH405" i="5"/>
  <c r="AG405" i="5"/>
  <c r="AF405" i="5"/>
  <c r="AE405" i="5"/>
  <c r="AD405" i="5"/>
  <c r="AC405" i="5"/>
  <c r="AB405" i="5"/>
  <c r="AA405" i="5"/>
  <c r="Z405" i="5"/>
  <c r="Y405" i="5"/>
  <c r="X405" i="5"/>
  <c r="W405" i="5"/>
  <c r="V405" i="5"/>
  <c r="U405" i="5"/>
  <c r="T405" i="5"/>
  <c r="S405" i="5"/>
  <c r="R405" i="5"/>
  <c r="Q405" i="5"/>
  <c r="P405" i="5"/>
  <c r="O405" i="5"/>
  <c r="N405" i="5"/>
  <c r="M405" i="5"/>
  <c r="L405" i="5"/>
  <c r="K405" i="5"/>
  <c r="J405" i="5"/>
  <c r="I405" i="5"/>
  <c r="H405" i="5"/>
  <c r="G405" i="5"/>
  <c r="F405" i="5"/>
  <c r="E405" i="5"/>
  <c r="AV404" i="5"/>
  <c r="AU404" i="5"/>
  <c r="AT404" i="5"/>
  <c r="AS404" i="5"/>
  <c r="AR404" i="5"/>
  <c r="AQ404" i="5"/>
  <c r="AP404" i="5"/>
  <c r="AO404" i="5"/>
  <c r="AN404" i="5"/>
  <c r="AM404" i="5"/>
  <c r="AL404" i="5"/>
  <c r="AK404" i="5"/>
  <c r="AJ404" i="5"/>
  <c r="AI404" i="5"/>
  <c r="AH404" i="5"/>
  <c r="AG404" i="5"/>
  <c r="AF404" i="5"/>
  <c r="AE404" i="5"/>
  <c r="AD404" i="5"/>
  <c r="AC404" i="5"/>
  <c r="AB404" i="5"/>
  <c r="AA404" i="5"/>
  <c r="Z404" i="5"/>
  <c r="Y404" i="5"/>
  <c r="X404" i="5"/>
  <c r="W404" i="5"/>
  <c r="V404" i="5"/>
  <c r="U404" i="5"/>
  <c r="T404" i="5"/>
  <c r="S404" i="5"/>
  <c r="R404" i="5"/>
  <c r="Q404" i="5"/>
  <c r="P404" i="5"/>
  <c r="O404" i="5"/>
  <c r="N404" i="5"/>
  <c r="M404" i="5"/>
  <c r="L404" i="5"/>
  <c r="K404" i="5"/>
  <c r="J404" i="5"/>
  <c r="I404" i="5"/>
  <c r="H404" i="5"/>
  <c r="G404" i="5"/>
  <c r="F404" i="5"/>
  <c r="E404" i="5"/>
  <c r="AV403" i="5"/>
  <c r="AU403" i="5"/>
  <c r="AT403" i="5"/>
  <c r="AS403" i="5"/>
  <c r="AR403" i="5"/>
  <c r="AQ403" i="5"/>
  <c r="AP403" i="5"/>
  <c r="AO403" i="5"/>
  <c r="AN403" i="5"/>
  <c r="AM403" i="5"/>
  <c r="AL403" i="5"/>
  <c r="AK403" i="5"/>
  <c r="AJ403" i="5"/>
  <c r="AI403" i="5"/>
  <c r="AH403" i="5"/>
  <c r="AG403" i="5"/>
  <c r="AF403" i="5"/>
  <c r="AE403" i="5"/>
  <c r="AD403" i="5"/>
  <c r="AC403" i="5"/>
  <c r="AB403" i="5"/>
  <c r="AA403" i="5"/>
  <c r="Z403" i="5"/>
  <c r="Y403" i="5"/>
  <c r="X403" i="5"/>
  <c r="W403" i="5"/>
  <c r="V403" i="5"/>
  <c r="U403" i="5"/>
  <c r="T403" i="5"/>
  <c r="S403" i="5"/>
  <c r="R403" i="5"/>
  <c r="Q403" i="5"/>
  <c r="P403" i="5"/>
  <c r="O403" i="5"/>
  <c r="N403" i="5"/>
  <c r="M403" i="5"/>
  <c r="L403" i="5"/>
  <c r="K403" i="5"/>
  <c r="J403" i="5"/>
  <c r="I403" i="5"/>
  <c r="H403" i="5"/>
  <c r="G403" i="5"/>
  <c r="F403" i="5"/>
  <c r="E403" i="5"/>
  <c r="AV402" i="5"/>
  <c r="AU402" i="5"/>
  <c r="AT402" i="5"/>
  <c r="AS402" i="5"/>
  <c r="AR402" i="5"/>
  <c r="AQ402" i="5"/>
  <c r="AP402" i="5"/>
  <c r="AO402" i="5"/>
  <c r="AN402" i="5"/>
  <c r="AM402" i="5"/>
  <c r="AL402" i="5"/>
  <c r="AK402" i="5"/>
  <c r="AJ402" i="5"/>
  <c r="AI402" i="5"/>
  <c r="AH402" i="5"/>
  <c r="AG402" i="5"/>
  <c r="AF402" i="5"/>
  <c r="AE402" i="5"/>
  <c r="AD402" i="5"/>
  <c r="AC402" i="5"/>
  <c r="AB402" i="5"/>
  <c r="AA402" i="5"/>
  <c r="Z402" i="5"/>
  <c r="Y402" i="5"/>
  <c r="X402" i="5"/>
  <c r="W402" i="5"/>
  <c r="V402" i="5"/>
  <c r="U402" i="5"/>
  <c r="T402" i="5"/>
  <c r="S402" i="5"/>
  <c r="R402" i="5"/>
  <c r="Q402" i="5"/>
  <c r="P402" i="5"/>
  <c r="O402" i="5"/>
  <c r="N402" i="5"/>
  <c r="M402" i="5"/>
  <c r="L402" i="5"/>
  <c r="K402" i="5"/>
  <c r="J402" i="5"/>
  <c r="I402" i="5"/>
  <c r="H402" i="5"/>
  <c r="G402" i="5"/>
  <c r="F402" i="5"/>
  <c r="E402" i="5"/>
  <c r="AV401" i="5"/>
  <c r="AU401" i="5"/>
  <c r="AT401" i="5"/>
  <c r="AS401" i="5"/>
  <c r="AR401" i="5"/>
  <c r="AQ401" i="5"/>
  <c r="AP401" i="5"/>
  <c r="AO401" i="5"/>
  <c r="AN401" i="5"/>
  <c r="AM401" i="5"/>
  <c r="AL401" i="5"/>
  <c r="AK401" i="5"/>
  <c r="AJ401" i="5"/>
  <c r="AI401" i="5"/>
  <c r="AH401" i="5"/>
  <c r="AG401" i="5"/>
  <c r="AF401" i="5"/>
  <c r="AE401" i="5"/>
  <c r="AD401" i="5"/>
  <c r="AC401" i="5"/>
  <c r="AB401" i="5"/>
  <c r="AA401" i="5"/>
  <c r="Z401" i="5"/>
  <c r="Y401" i="5"/>
  <c r="X401" i="5"/>
  <c r="W401" i="5"/>
  <c r="V401" i="5"/>
  <c r="U401" i="5"/>
  <c r="T401" i="5"/>
  <c r="S401" i="5"/>
  <c r="R401" i="5"/>
  <c r="Q401" i="5"/>
  <c r="P401" i="5"/>
  <c r="O401" i="5"/>
  <c r="N401" i="5"/>
  <c r="M401" i="5"/>
  <c r="L401" i="5"/>
  <c r="K401" i="5"/>
  <c r="J401" i="5"/>
  <c r="I401" i="5"/>
  <c r="H401" i="5"/>
  <c r="G401" i="5"/>
  <c r="F401" i="5"/>
  <c r="E401" i="5"/>
  <c r="AV400" i="5"/>
  <c r="AU400" i="5"/>
  <c r="AT400" i="5"/>
  <c r="AS400" i="5"/>
  <c r="AR400" i="5"/>
  <c r="AQ400" i="5"/>
  <c r="AP400" i="5"/>
  <c r="AO400" i="5"/>
  <c r="AN400" i="5"/>
  <c r="AM400" i="5"/>
  <c r="AL400" i="5"/>
  <c r="AK400" i="5"/>
  <c r="AJ400" i="5"/>
  <c r="AI400" i="5"/>
  <c r="AH400" i="5"/>
  <c r="AG400" i="5"/>
  <c r="AF400" i="5"/>
  <c r="AE400" i="5"/>
  <c r="AD400" i="5"/>
  <c r="AC400" i="5"/>
  <c r="AB400" i="5"/>
  <c r="AA400" i="5"/>
  <c r="Z400" i="5"/>
  <c r="Y400" i="5"/>
  <c r="X400" i="5"/>
  <c r="W400" i="5"/>
  <c r="V400" i="5"/>
  <c r="U400" i="5"/>
  <c r="T400" i="5"/>
  <c r="S400" i="5"/>
  <c r="R400" i="5"/>
  <c r="Q400" i="5"/>
  <c r="P400" i="5"/>
  <c r="O400" i="5"/>
  <c r="N400" i="5"/>
  <c r="M400" i="5"/>
  <c r="L400" i="5"/>
  <c r="K400" i="5"/>
  <c r="J400" i="5"/>
  <c r="I400" i="5"/>
  <c r="H400" i="5"/>
  <c r="G400" i="5"/>
  <c r="F400" i="5"/>
  <c r="E400" i="5"/>
  <c r="AV399" i="5"/>
  <c r="AU399" i="5"/>
  <c r="AT399" i="5"/>
  <c r="AS399" i="5"/>
  <c r="AR399" i="5"/>
  <c r="AQ399" i="5"/>
  <c r="AP399" i="5"/>
  <c r="AO399" i="5"/>
  <c r="AN399" i="5"/>
  <c r="AM399" i="5"/>
  <c r="AL399" i="5"/>
  <c r="AK399" i="5"/>
  <c r="AJ399" i="5"/>
  <c r="AI399" i="5"/>
  <c r="AH399" i="5"/>
  <c r="AG399" i="5"/>
  <c r="AF399" i="5"/>
  <c r="AE399" i="5"/>
  <c r="AD399" i="5"/>
  <c r="AC399" i="5"/>
  <c r="AB399" i="5"/>
  <c r="AA399" i="5"/>
  <c r="Z399" i="5"/>
  <c r="Y399" i="5"/>
  <c r="X399" i="5"/>
  <c r="W399" i="5"/>
  <c r="V399" i="5"/>
  <c r="U399" i="5"/>
  <c r="T399" i="5"/>
  <c r="S399" i="5"/>
  <c r="R399" i="5"/>
  <c r="Q399" i="5"/>
  <c r="P399" i="5"/>
  <c r="O399" i="5"/>
  <c r="N399" i="5"/>
  <c r="M399" i="5"/>
  <c r="L399" i="5"/>
  <c r="K399" i="5"/>
  <c r="J399" i="5"/>
  <c r="I399" i="5"/>
  <c r="H399" i="5"/>
  <c r="G399" i="5"/>
  <c r="F399" i="5"/>
  <c r="E399" i="5"/>
  <c r="AV398" i="5"/>
  <c r="AU398" i="5"/>
  <c r="AT398" i="5"/>
  <c r="AS398" i="5"/>
  <c r="AR398" i="5"/>
  <c r="AQ398" i="5"/>
  <c r="AP398" i="5"/>
  <c r="AO398" i="5"/>
  <c r="AN398" i="5"/>
  <c r="AM398" i="5"/>
  <c r="AL398" i="5"/>
  <c r="AK398" i="5"/>
  <c r="AJ398" i="5"/>
  <c r="AI398" i="5"/>
  <c r="AH398" i="5"/>
  <c r="AG398" i="5"/>
  <c r="AF398" i="5"/>
  <c r="AE398" i="5"/>
  <c r="AD398" i="5"/>
  <c r="AC398" i="5"/>
  <c r="AB398" i="5"/>
  <c r="AA398" i="5"/>
  <c r="Z398" i="5"/>
  <c r="Y398" i="5"/>
  <c r="X398" i="5"/>
  <c r="W398" i="5"/>
  <c r="V398" i="5"/>
  <c r="U398" i="5"/>
  <c r="T398" i="5"/>
  <c r="S398" i="5"/>
  <c r="R398" i="5"/>
  <c r="Q398" i="5"/>
  <c r="P398" i="5"/>
  <c r="O398" i="5"/>
  <c r="N398" i="5"/>
  <c r="M398" i="5"/>
  <c r="L398" i="5"/>
  <c r="K398" i="5"/>
  <c r="J398" i="5"/>
  <c r="I398" i="5"/>
  <c r="H398" i="5"/>
  <c r="G398" i="5"/>
  <c r="F398" i="5"/>
  <c r="E398" i="5"/>
  <c r="AV397" i="5"/>
  <c r="AU397" i="5"/>
  <c r="AT397" i="5"/>
  <c r="AS397" i="5"/>
  <c r="AR397" i="5"/>
  <c r="AQ397" i="5"/>
  <c r="AP397" i="5"/>
  <c r="AO397" i="5"/>
  <c r="AN397" i="5"/>
  <c r="AM397" i="5"/>
  <c r="AL397" i="5"/>
  <c r="AK397" i="5"/>
  <c r="AJ397" i="5"/>
  <c r="AI397" i="5"/>
  <c r="AH397" i="5"/>
  <c r="AG397" i="5"/>
  <c r="AF397" i="5"/>
  <c r="AE397" i="5"/>
  <c r="AD397" i="5"/>
  <c r="AC397" i="5"/>
  <c r="AB397" i="5"/>
  <c r="AA397" i="5"/>
  <c r="Z397" i="5"/>
  <c r="Y397" i="5"/>
  <c r="X397" i="5"/>
  <c r="W397" i="5"/>
  <c r="V397" i="5"/>
  <c r="U397" i="5"/>
  <c r="T397" i="5"/>
  <c r="S397" i="5"/>
  <c r="R397" i="5"/>
  <c r="Q397" i="5"/>
  <c r="P397" i="5"/>
  <c r="O397" i="5"/>
  <c r="N397" i="5"/>
  <c r="M397" i="5"/>
  <c r="L397" i="5"/>
  <c r="K397" i="5"/>
  <c r="J397" i="5"/>
  <c r="I397" i="5"/>
  <c r="H397" i="5"/>
  <c r="G397" i="5"/>
  <c r="F397" i="5"/>
  <c r="E397" i="5"/>
  <c r="AV396" i="5"/>
  <c r="AU396" i="5"/>
  <c r="AT396" i="5"/>
  <c r="AS396" i="5"/>
  <c r="AR396" i="5"/>
  <c r="AQ396" i="5"/>
  <c r="AP396" i="5"/>
  <c r="AO396" i="5"/>
  <c r="AN396" i="5"/>
  <c r="AM396" i="5"/>
  <c r="AL396" i="5"/>
  <c r="AK396" i="5"/>
  <c r="AJ396" i="5"/>
  <c r="AI396" i="5"/>
  <c r="AH396" i="5"/>
  <c r="AG396" i="5"/>
  <c r="AF396" i="5"/>
  <c r="AE396" i="5"/>
  <c r="AD396" i="5"/>
  <c r="AC396" i="5"/>
  <c r="AB396" i="5"/>
  <c r="AA396" i="5"/>
  <c r="Z396" i="5"/>
  <c r="Y396" i="5"/>
  <c r="X396" i="5"/>
  <c r="W396" i="5"/>
  <c r="V396" i="5"/>
  <c r="U396" i="5"/>
  <c r="T396" i="5"/>
  <c r="S396" i="5"/>
  <c r="R396" i="5"/>
  <c r="Q396" i="5"/>
  <c r="P396" i="5"/>
  <c r="O396" i="5"/>
  <c r="N396" i="5"/>
  <c r="M396" i="5"/>
  <c r="L396" i="5"/>
  <c r="K396" i="5"/>
  <c r="J396" i="5"/>
  <c r="I396" i="5"/>
  <c r="H396" i="5"/>
  <c r="G396" i="5"/>
  <c r="F396" i="5"/>
  <c r="E396" i="5"/>
  <c r="AV395" i="5"/>
  <c r="AU395" i="5"/>
  <c r="AT395" i="5"/>
  <c r="AS395" i="5"/>
  <c r="AR395" i="5"/>
  <c r="AQ395" i="5"/>
  <c r="AP395" i="5"/>
  <c r="AO395" i="5"/>
  <c r="AN395" i="5"/>
  <c r="AM395" i="5"/>
  <c r="AL395" i="5"/>
  <c r="AK395" i="5"/>
  <c r="AJ395" i="5"/>
  <c r="AI395" i="5"/>
  <c r="AH395" i="5"/>
  <c r="AG395" i="5"/>
  <c r="AF395" i="5"/>
  <c r="AE395" i="5"/>
  <c r="AD395" i="5"/>
  <c r="AC395" i="5"/>
  <c r="AB395" i="5"/>
  <c r="AA395" i="5"/>
  <c r="Z395" i="5"/>
  <c r="Y395" i="5"/>
  <c r="X395" i="5"/>
  <c r="W395" i="5"/>
  <c r="V395" i="5"/>
  <c r="U395" i="5"/>
  <c r="T395" i="5"/>
  <c r="S395" i="5"/>
  <c r="R395" i="5"/>
  <c r="Q395" i="5"/>
  <c r="P395" i="5"/>
  <c r="O395" i="5"/>
  <c r="N395" i="5"/>
  <c r="M395" i="5"/>
  <c r="L395" i="5"/>
  <c r="K395" i="5"/>
  <c r="J395" i="5"/>
  <c r="I395" i="5"/>
  <c r="H395" i="5"/>
  <c r="G395" i="5"/>
  <c r="F395" i="5"/>
  <c r="E395" i="5"/>
  <c r="AV394" i="5"/>
  <c r="AU394" i="5"/>
  <c r="AT394" i="5"/>
  <c r="AS394" i="5"/>
  <c r="AR394" i="5"/>
  <c r="AQ394" i="5"/>
  <c r="AP394" i="5"/>
  <c r="AO394" i="5"/>
  <c r="AN394" i="5"/>
  <c r="AM394" i="5"/>
  <c r="AL394" i="5"/>
  <c r="AK394" i="5"/>
  <c r="AJ394" i="5"/>
  <c r="AI394" i="5"/>
  <c r="AH394" i="5"/>
  <c r="AG394" i="5"/>
  <c r="AF394" i="5"/>
  <c r="AE394" i="5"/>
  <c r="AD394" i="5"/>
  <c r="AC394" i="5"/>
  <c r="AB394" i="5"/>
  <c r="AA394" i="5"/>
  <c r="Z394" i="5"/>
  <c r="Y394" i="5"/>
  <c r="X394" i="5"/>
  <c r="W394" i="5"/>
  <c r="V394" i="5"/>
  <c r="U394" i="5"/>
  <c r="T394" i="5"/>
  <c r="S394" i="5"/>
  <c r="R394" i="5"/>
  <c r="Q394" i="5"/>
  <c r="P394" i="5"/>
  <c r="O394" i="5"/>
  <c r="N394" i="5"/>
  <c r="M394" i="5"/>
  <c r="L394" i="5"/>
  <c r="K394" i="5"/>
  <c r="J394" i="5"/>
  <c r="I394" i="5"/>
  <c r="H394" i="5"/>
  <c r="G394" i="5"/>
  <c r="F394" i="5"/>
  <c r="E394" i="5"/>
  <c r="AV393" i="5"/>
  <c r="AU393" i="5"/>
  <c r="AT393" i="5"/>
  <c r="AS393" i="5"/>
  <c r="AR393" i="5"/>
  <c r="AQ393" i="5"/>
  <c r="AP393" i="5"/>
  <c r="AO393" i="5"/>
  <c r="AN393" i="5"/>
  <c r="AM393" i="5"/>
  <c r="AL393" i="5"/>
  <c r="AK393" i="5"/>
  <c r="AJ393" i="5"/>
  <c r="AI393" i="5"/>
  <c r="AH393" i="5"/>
  <c r="AG393" i="5"/>
  <c r="AF393" i="5"/>
  <c r="AE393" i="5"/>
  <c r="AD393" i="5"/>
  <c r="AC393" i="5"/>
  <c r="AB393" i="5"/>
  <c r="AA393" i="5"/>
  <c r="Z393" i="5"/>
  <c r="Y393" i="5"/>
  <c r="X393" i="5"/>
  <c r="W393" i="5"/>
  <c r="V393" i="5"/>
  <c r="U393" i="5"/>
  <c r="T393" i="5"/>
  <c r="S393" i="5"/>
  <c r="R393" i="5"/>
  <c r="Q393" i="5"/>
  <c r="P393" i="5"/>
  <c r="O393" i="5"/>
  <c r="N393" i="5"/>
  <c r="M393" i="5"/>
  <c r="L393" i="5"/>
  <c r="K393" i="5"/>
  <c r="J393" i="5"/>
  <c r="I393" i="5"/>
  <c r="H393" i="5"/>
  <c r="G393" i="5"/>
  <c r="F393" i="5"/>
  <c r="E393" i="5"/>
  <c r="AV392" i="5"/>
  <c r="AU392" i="5"/>
  <c r="AT392" i="5"/>
  <c r="AS392" i="5"/>
  <c r="AR392" i="5"/>
  <c r="AQ392" i="5"/>
  <c r="AP392" i="5"/>
  <c r="AO392" i="5"/>
  <c r="AN392" i="5"/>
  <c r="AM392" i="5"/>
  <c r="AL392" i="5"/>
  <c r="AK392" i="5"/>
  <c r="AJ392" i="5"/>
  <c r="AI392" i="5"/>
  <c r="AH392" i="5"/>
  <c r="AG392" i="5"/>
  <c r="AF392" i="5"/>
  <c r="AE392" i="5"/>
  <c r="AD392" i="5"/>
  <c r="AC392" i="5"/>
  <c r="AB392" i="5"/>
  <c r="AA392" i="5"/>
  <c r="Z392" i="5"/>
  <c r="Y392" i="5"/>
  <c r="X392" i="5"/>
  <c r="W392" i="5"/>
  <c r="V392" i="5"/>
  <c r="U392" i="5"/>
  <c r="T392" i="5"/>
  <c r="S392" i="5"/>
  <c r="R392" i="5"/>
  <c r="Q392" i="5"/>
  <c r="P392" i="5"/>
  <c r="O392" i="5"/>
  <c r="N392" i="5"/>
  <c r="M392" i="5"/>
  <c r="L392" i="5"/>
  <c r="K392" i="5"/>
  <c r="J392" i="5"/>
  <c r="I392" i="5"/>
  <c r="H392" i="5"/>
  <c r="G392" i="5"/>
  <c r="F392" i="5"/>
  <c r="E392" i="5"/>
  <c r="AV391" i="5"/>
  <c r="AU391" i="5"/>
  <c r="AT391" i="5"/>
  <c r="AS391" i="5"/>
  <c r="AR391" i="5"/>
  <c r="AQ391" i="5"/>
  <c r="AP391" i="5"/>
  <c r="AO391" i="5"/>
  <c r="AN391" i="5"/>
  <c r="AM391" i="5"/>
  <c r="AL391" i="5"/>
  <c r="AK391" i="5"/>
  <c r="AJ391" i="5"/>
  <c r="AI391" i="5"/>
  <c r="AH391" i="5"/>
  <c r="AG391" i="5"/>
  <c r="AF391" i="5"/>
  <c r="AE391" i="5"/>
  <c r="AD391" i="5"/>
  <c r="AC391" i="5"/>
  <c r="AB391" i="5"/>
  <c r="AA391" i="5"/>
  <c r="Z391" i="5"/>
  <c r="Y391" i="5"/>
  <c r="X391" i="5"/>
  <c r="W391" i="5"/>
  <c r="V391" i="5"/>
  <c r="U391" i="5"/>
  <c r="T391" i="5"/>
  <c r="S391" i="5"/>
  <c r="R391" i="5"/>
  <c r="Q391" i="5"/>
  <c r="P391" i="5"/>
  <c r="O391" i="5"/>
  <c r="N391" i="5"/>
  <c r="M391" i="5"/>
  <c r="L391" i="5"/>
  <c r="K391" i="5"/>
  <c r="J391" i="5"/>
  <c r="I391" i="5"/>
  <c r="H391" i="5"/>
  <c r="G391" i="5"/>
  <c r="F391" i="5"/>
  <c r="E391" i="5"/>
  <c r="AV390" i="5"/>
  <c r="AU390" i="5"/>
  <c r="AT390" i="5"/>
  <c r="AS390" i="5"/>
  <c r="AR390" i="5"/>
  <c r="AQ390" i="5"/>
  <c r="AP390" i="5"/>
  <c r="AO390" i="5"/>
  <c r="AN390" i="5"/>
  <c r="AM390" i="5"/>
  <c r="AL390" i="5"/>
  <c r="AK390" i="5"/>
  <c r="AJ390" i="5"/>
  <c r="AI390" i="5"/>
  <c r="AH390" i="5"/>
  <c r="AG390" i="5"/>
  <c r="AF390" i="5"/>
  <c r="AE390" i="5"/>
  <c r="AD390" i="5"/>
  <c r="AC390" i="5"/>
  <c r="AB390" i="5"/>
  <c r="AA390" i="5"/>
  <c r="Z390" i="5"/>
  <c r="Y390" i="5"/>
  <c r="X390" i="5"/>
  <c r="W390" i="5"/>
  <c r="V390" i="5"/>
  <c r="U390" i="5"/>
  <c r="T390" i="5"/>
  <c r="S390" i="5"/>
  <c r="R390" i="5"/>
  <c r="Q390" i="5"/>
  <c r="P390" i="5"/>
  <c r="O390" i="5"/>
  <c r="N390" i="5"/>
  <c r="M390" i="5"/>
  <c r="L390" i="5"/>
  <c r="K390" i="5"/>
  <c r="J390" i="5"/>
  <c r="I390" i="5"/>
  <c r="H390" i="5"/>
  <c r="G390" i="5"/>
  <c r="F390" i="5"/>
  <c r="E390" i="5"/>
  <c r="AV389" i="5"/>
  <c r="AU389" i="5"/>
  <c r="AT389" i="5"/>
  <c r="AS389" i="5"/>
  <c r="AR389" i="5"/>
  <c r="AQ389" i="5"/>
  <c r="AP389" i="5"/>
  <c r="AO389" i="5"/>
  <c r="AN389" i="5"/>
  <c r="AM389" i="5"/>
  <c r="AL389" i="5"/>
  <c r="AK389" i="5"/>
  <c r="AJ389" i="5"/>
  <c r="AI389" i="5"/>
  <c r="AH389" i="5"/>
  <c r="AG389" i="5"/>
  <c r="AF389" i="5"/>
  <c r="AE389" i="5"/>
  <c r="AD389" i="5"/>
  <c r="AC389" i="5"/>
  <c r="AB389" i="5"/>
  <c r="AA389" i="5"/>
  <c r="Z389" i="5"/>
  <c r="Y389" i="5"/>
  <c r="X389" i="5"/>
  <c r="W389" i="5"/>
  <c r="V389" i="5"/>
  <c r="U389" i="5"/>
  <c r="T389" i="5"/>
  <c r="S389" i="5"/>
  <c r="R389" i="5"/>
  <c r="Q389" i="5"/>
  <c r="P389" i="5"/>
  <c r="O389" i="5"/>
  <c r="N389" i="5"/>
  <c r="M389" i="5"/>
  <c r="L389" i="5"/>
  <c r="K389" i="5"/>
  <c r="J389" i="5"/>
  <c r="I389" i="5"/>
  <c r="H389" i="5"/>
  <c r="G389" i="5"/>
  <c r="F389" i="5"/>
  <c r="E389" i="5"/>
  <c r="AV388" i="5"/>
  <c r="AU388" i="5"/>
  <c r="AT388" i="5"/>
  <c r="AS388" i="5"/>
  <c r="AR388" i="5"/>
  <c r="AQ388" i="5"/>
  <c r="AP388" i="5"/>
  <c r="AO388" i="5"/>
  <c r="AN388" i="5"/>
  <c r="AM388" i="5"/>
  <c r="AL388" i="5"/>
  <c r="AK388" i="5"/>
  <c r="AJ388" i="5"/>
  <c r="AI388" i="5"/>
  <c r="AH388" i="5"/>
  <c r="AG388" i="5"/>
  <c r="AF388" i="5"/>
  <c r="AE388" i="5"/>
  <c r="AD388" i="5"/>
  <c r="AC388" i="5"/>
  <c r="AB388" i="5"/>
  <c r="AA388" i="5"/>
  <c r="Z388" i="5"/>
  <c r="Y388" i="5"/>
  <c r="X388" i="5"/>
  <c r="W388" i="5"/>
  <c r="V388" i="5"/>
  <c r="U388" i="5"/>
  <c r="T388" i="5"/>
  <c r="S388" i="5"/>
  <c r="R388" i="5"/>
  <c r="Q388" i="5"/>
  <c r="P388" i="5"/>
  <c r="O388" i="5"/>
  <c r="N388" i="5"/>
  <c r="M388" i="5"/>
  <c r="L388" i="5"/>
  <c r="K388" i="5"/>
  <c r="J388" i="5"/>
  <c r="I388" i="5"/>
  <c r="H388" i="5"/>
  <c r="G388" i="5"/>
  <c r="F388" i="5"/>
  <c r="E388" i="5"/>
  <c r="AV387" i="5"/>
  <c r="AU387" i="5"/>
  <c r="AT387" i="5"/>
  <c r="AS387" i="5"/>
  <c r="AR387" i="5"/>
  <c r="AQ387" i="5"/>
  <c r="AP387" i="5"/>
  <c r="AO387" i="5"/>
  <c r="AN387" i="5"/>
  <c r="AM387" i="5"/>
  <c r="AL387" i="5"/>
  <c r="AK387" i="5"/>
  <c r="AJ387" i="5"/>
  <c r="AI387" i="5"/>
  <c r="AH387" i="5"/>
  <c r="AG387" i="5"/>
  <c r="AF387" i="5"/>
  <c r="AE387" i="5"/>
  <c r="AD387" i="5"/>
  <c r="AC387" i="5"/>
  <c r="AB387" i="5"/>
  <c r="AA387" i="5"/>
  <c r="Z387" i="5"/>
  <c r="Y387" i="5"/>
  <c r="X387" i="5"/>
  <c r="W387" i="5"/>
  <c r="V387" i="5"/>
  <c r="U387" i="5"/>
  <c r="T387" i="5"/>
  <c r="S387" i="5"/>
  <c r="R387" i="5"/>
  <c r="Q387" i="5"/>
  <c r="P387" i="5"/>
  <c r="O387" i="5"/>
  <c r="N387" i="5"/>
  <c r="M387" i="5"/>
  <c r="L387" i="5"/>
  <c r="K387" i="5"/>
  <c r="J387" i="5"/>
  <c r="I387" i="5"/>
  <c r="H387" i="5"/>
  <c r="G387" i="5"/>
  <c r="F387" i="5"/>
  <c r="E387" i="5"/>
  <c r="AV386" i="5"/>
  <c r="AU386" i="5"/>
  <c r="AT386" i="5"/>
  <c r="AS386" i="5"/>
  <c r="AR386" i="5"/>
  <c r="AQ386" i="5"/>
  <c r="AP386" i="5"/>
  <c r="AO386" i="5"/>
  <c r="AN386" i="5"/>
  <c r="AM386" i="5"/>
  <c r="AL386" i="5"/>
  <c r="AK386" i="5"/>
  <c r="AJ386" i="5"/>
  <c r="AI386" i="5"/>
  <c r="AH386" i="5"/>
  <c r="AG386" i="5"/>
  <c r="AF386" i="5"/>
  <c r="AE386" i="5"/>
  <c r="AD386" i="5"/>
  <c r="AC386" i="5"/>
  <c r="AB386" i="5"/>
  <c r="AA386" i="5"/>
  <c r="Z386" i="5"/>
  <c r="Y386" i="5"/>
  <c r="X386" i="5"/>
  <c r="W386" i="5"/>
  <c r="V386" i="5"/>
  <c r="U386" i="5"/>
  <c r="T386" i="5"/>
  <c r="S386" i="5"/>
  <c r="R386" i="5"/>
  <c r="Q386" i="5"/>
  <c r="P386" i="5"/>
  <c r="O386" i="5"/>
  <c r="N386" i="5"/>
  <c r="M386" i="5"/>
  <c r="L386" i="5"/>
  <c r="K386" i="5"/>
  <c r="J386" i="5"/>
  <c r="I386" i="5"/>
  <c r="H386" i="5"/>
  <c r="G386" i="5"/>
  <c r="F386" i="5"/>
  <c r="E386" i="5"/>
  <c r="AV385" i="5"/>
  <c r="AU385" i="5"/>
  <c r="AT385" i="5"/>
  <c r="AS385" i="5"/>
  <c r="AR385" i="5"/>
  <c r="AQ385" i="5"/>
  <c r="AP385" i="5"/>
  <c r="AO385" i="5"/>
  <c r="AN385" i="5"/>
  <c r="AM385" i="5"/>
  <c r="AL385" i="5"/>
  <c r="AK385" i="5"/>
  <c r="AJ385" i="5"/>
  <c r="AI385" i="5"/>
  <c r="AH385" i="5"/>
  <c r="AG385" i="5"/>
  <c r="AF385" i="5"/>
  <c r="AE385" i="5"/>
  <c r="AD385" i="5"/>
  <c r="AC385" i="5"/>
  <c r="AB385" i="5"/>
  <c r="AA385" i="5"/>
  <c r="Z385" i="5"/>
  <c r="Y385" i="5"/>
  <c r="X385" i="5"/>
  <c r="W385" i="5"/>
  <c r="V385" i="5"/>
  <c r="U385" i="5"/>
  <c r="T385" i="5"/>
  <c r="S385" i="5"/>
  <c r="R385" i="5"/>
  <c r="Q385" i="5"/>
  <c r="P385" i="5"/>
  <c r="O385" i="5"/>
  <c r="N385" i="5"/>
  <c r="M385" i="5"/>
  <c r="L385" i="5"/>
  <c r="K385" i="5"/>
  <c r="J385" i="5"/>
  <c r="I385" i="5"/>
  <c r="H385" i="5"/>
  <c r="G385" i="5"/>
  <c r="F385" i="5"/>
  <c r="E385" i="5"/>
  <c r="AV384" i="5"/>
  <c r="AU384" i="5"/>
  <c r="AT384" i="5"/>
  <c r="AS384" i="5"/>
  <c r="AR384" i="5"/>
  <c r="AQ384" i="5"/>
  <c r="AP384" i="5"/>
  <c r="AO384" i="5"/>
  <c r="AN384" i="5"/>
  <c r="AM384" i="5"/>
  <c r="AL384" i="5"/>
  <c r="AK384" i="5"/>
  <c r="AJ384" i="5"/>
  <c r="AI384" i="5"/>
  <c r="AH384" i="5"/>
  <c r="AG384" i="5"/>
  <c r="AF384" i="5"/>
  <c r="AE384" i="5"/>
  <c r="AD384" i="5"/>
  <c r="AC384" i="5"/>
  <c r="AB384" i="5"/>
  <c r="AA384" i="5"/>
  <c r="Z384" i="5"/>
  <c r="Y384" i="5"/>
  <c r="X384" i="5"/>
  <c r="W384" i="5"/>
  <c r="V384" i="5"/>
  <c r="U384" i="5"/>
  <c r="T384" i="5"/>
  <c r="S384" i="5"/>
  <c r="R384" i="5"/>
  <c r="Q384" i="5"/>
  <c r="P384" i="5"/>
  <c r="O384" i="5"/>
  <c r="N384" i="5"/>
  <c r="M384" i="5"/>
  <c r="L384" i="5"/>
  <c r="K384" i="5"/>
  <c r="J384" i="5"/>
  <c r="I384" i="5"/>
  <c r="H384" i="5"/>
  <c r="G384" i="5"/>
  <c r="F384" i="5"/>
  <c r="E384" i="5"/>
  <c r="AV383" i="5"/>
  <c r="AU383" i="5"/>
  <c r="AT383" i="5"/>
  <c r="AS383" i="5"/>
  <c r="AR383" i="5"/>
  <c r="AQ383" i="5"/>
  <c r="AP383" i="5"/>
  <c r="AO383" i="5"/>
  <c r="AN383" i="5"/>
  <c r="AM383" i="5"/>
  <c r="AL383" i="5"/>
  <c r="AK383" i="5"/>
  <c r="AJ383" i="5"/>
  <c r="AI383" i="5"/>
  <c r="AH383" i="5"/>
  <c r="AG383" i="5"/>
  <c r="AF383" i="5"/>
  <c r="AE383" i="5"/>
  <c r="AD383" i="5"/>
  <c r="AC383" i="5"/>
  <c r="AB383" i="5"/>
  <c r="AA383" i="5"/>
  <c r="Z383" i="5"/>
  <c r="Y383" i="5"/>
  <c r="X383" i="5"/>
  <c r="W383" i="5"/>
  <c r="V383" i="5"/>
  <c r="U383" i="5"/>
  <c r="T383" i="5"/>
  <c r="S383" i="5"/>
  <c r="R383" i="5"/>
  <c r="Q383" i="5"/>
  <c r="P383" i="5"/>
  <c r="O383" i="5"/>
  <c r="N383" i="5"/>
  <c r="M383" i="5"/>
  <c r="L383" i="5"/>
  <c r="K383" i="5"/>
  <c r="J383" i="5"/>
  <c r="I383" i="5"/>
  <c r="H383" i="5"/>
  <c r="G383" i="5"/>
  <c r="F383" i="5"/>
  <c r="E383" i="5"/>
  <c r="AV382" i="5"/>
  <c r="AU382" i="5"/>
  <c r="AT382" i="5"/>
  <c r="AS382" i="5"/>
  <c r="AR382" i="5"/>
  <c r="AQ382" i="5"/>
  <c r="AP382" i="5"/>
  <c r="AO382" i="5"/>
  <c r="AN382" i="5"/>
  <c r="AM382" i="5"/>
  <c r="AL382" i="5"/>
  <c r="AK382" i="5"/>
  <c r="AJ382" i="5"/>
  <c r="AI382" i="5"/>
  <c r="AH382" i="5"/>
  <c r="AG382" i="5"/>
  <c r="AF382" i="5"/>
  <c r="AE382" i="5"/>
  <c r="AD382" i="5"/>
  <c r="AC382" i="5"/>
  <c r="AB382" i="5"/>
  <c r="AA382" i="5"/>
  <c r="Z382" i="5"/>
  <c r="Y382" i="5"/>
  <c r="X382" i="5"/>
  <c r="W382" i="5"/>
  <c r="V382" i="5"/>
  <c r="U382" i="5"/>
  <c r="T382" i="5"/>
  <c r="S382" i="5"/>
  <c r="R382" i="5"/>
  <c r="Q382" i="5"/>
  <c r="P382" i="5"/>
  <c r="O382" i="5"/>
  <c r="N382" i="5"/>
  <c r="M382" i="5"/>
  <c r="L382" i="5"/>
  <c r="K382" i="5"/>
  <c r="J382" i="5"/>
  <c r="I382" i="5"/>
  <c r="H382" i="5"/>
  <c r="G382" i="5"/>
  <c r="F382" i="5"/>
  <c r="E382" i="5"/>
  <c r="AV381" i="5"/>
  <c r="AU381" i="5"/>
  <c r="AT381" i="5"/>
  <c r="AS381" i="5"/>
  <c r="AR381" i="5"/>
  <c r="AQ381" i="5"/>
  <c r="AP381" i="5"/>
  <c r="AO381" i="5"/>
  <c r="AN381" i="5"/>
  <c r="AM381" i="5"/>
  <c r="AL381" i="5"/>
  <c r="AK381" i="5"/>
  <c r="AJ381" i="5"/>
  <c r="AI381" i="5"/>
  <c r="AH381" i="5"/>
  <c r="AG381" i="5"/>
  <c r="AF381" i="5"/>
  <c r="AE381" i="5"/>
  <c r="AD381" i="5"/>
  <c r="AC381" i="5"/>
  <c r="AB381" i="5"/>
  <c r="AA381" i="5"/>
  <c r="Z381" i="5"/>
  <c r="Y381" i="5"/>
  <c r="X381" i="5"/>
  <c r="W381" i="5"/>
  <c r="V381" i="5"/>
  <c r="U381" i="5"/>
  <c r="T381" i="5"/>
  <c r="S381" i="5"/>
  <c r="R381" i="5"/>
  <c r="Q381" i="5"/>
  <c r="P381" i="5"/>
  <c r="O381" i="5"/>
  <c r="N381" i="5"/>
  <c r="M381" i="5"/>
  <c r="L381" i="5"/>
  <c r="K381" i="5"/>
  <c r="J381" i="5"/>
  <c r="I381" i="5"/>
  <c r="H381" i="5"/>
  <c r="G381" i="5"/>
  <c r="F381" i="5"/>
  <c r="E381" i="5"/>
  <c r="AV380" i="5"/>
  <c r="AU380" i="5"/>
  <c r="AT380" i="5"/>
  <c r="AS380" i="5"/>
  <c r="AR380" i="5"/>
  <c r="AQ380" i="5"/>
  <c r="AP380" i="5"/>
  <c r="AO380" i="5"/>
  <c r="AN380" i="5"/>
  <c r="AM380" i="5"/>
  <c r="AL380" i="5"/>
  <c r="AK380" i="5"/>
  <c r="AJ380" i="5"/>
  <c r="AI380" i="5"/>
  <c r="AH380" i="5"/>
  <c r="AG380" i="5"/>
  <c r="AF380" i="5"/>
  <c r="AE380" i="5"/>
  <c r="AD380" i="5"/>
  <c r="AC380" i="5"/>
  <c r="AB380" i="5"/>
  <c r="AA380" i="5"/>
  <c r="Z380" i="5"/>
  <c r="Y380" i="5"/>
  <c r="X380" i="5"/>
  <c r="W380" i="5"/>
  <c r="V380" i="5"/>
  <c r="U380" i="5"/>
  <c r="T380" i="5"/>
  <c r="S380" i="5"/>
  <c r="R380" i="5"/>
  <c r="Q380" i="5"/>
  <c r="P380" i="5"/>
  <c r="O380" i="5"/>
  <c r="N380" i="5"/>
  <c r="M380" i="5"/>
  <c r="L380" i="5"/>
  <c r="K380" i="5"/>
  <c r="J380" i="5"/>
  <c r="I380" i="5"/>
  <c r="H380" i="5"/>
  <c r="G380" i="5"/>
  <c r="F380" i="5"/>
  <c r="E380" i="5"/>
  <c r="AV379" i="5"/>
  <c r="AU379" i="5"/>
  <c r="AT379" i="5"/>
  <c r="AS379" i="5"/>
  <c r="AR379" i="5"/>
  <c r="AQ379" i="5"/>
  <c r="AP379" i="5"/>
  <c r="AO379" i="5"/>
  <c r="AN379" i="5"/>
  <c r="AM379" i="5"/>
  <c r="AL379" i="5"/>
  <c r="AK379" i="5"/>
  <c r="AJ379" i="5"/>
  <c r="AI379" i="5"/>
  <c r="AH379" i="5"/>
  <c r="AG379" i="5"/>
  <c r="AF379" i="5"/>
  <c r="AE379" i="5"/>
  <c r="AD379" i="5"/>
  <c r="AC379" i="5"/>
  <c r="AB379" i="5"/>
  <c r="AA379" i="5"/>
  <c r="Z379" i="5"/>
  <c r="Y379" i="5"/>
  <c r="X379" i="5"/>
  <c r="W379" i="5"/>
  <c r="V379" i="5"/>
  <c r="U379" i="5"/>
  <c r="T379" i="5"/>
  <c r="S379" i="5"/>
  <c r="R379" i="5"/>
  <c r="Q379" i="5"/>
  <c r="P379" i="5"/>
  <c r="O379" i="5"/>
  <c r="N379" i="5"/>
  <c r="M379" i="5"/>
  <c r="L379" i="5"/>
  <c r="K379" i="5"/>
  <c r="J379" i="5"/>
  <c r="I379" i="5"/>
  <c r="H379" i="5"/>
  <c r="G379" i="5"/>
  <c r="F379" i="5"/>
  <c r="E379" i="5"/>
  <c r="AV378" i="5"/>
  <c r="AU378" i="5"/>
  <c r="AT378" i="5"/>
  <c r="AS378" i="5"/>
  <c r="AR378" i="5"/>
  <c r="AQ378" i="5"/>
  <c r="AP378" i="5"/>
  <c r="AO378" i="5"/>
  <c r="AN378" i="5"/>
  <c r="AM378" i="5"/>
  <c r="AL378" i="5"/>
  <c r="AK378" i="5"/>
  <c r="AJ378" i="5"/>
  <c r="AI378" i="5"/>
  <c r="AH378" i="5"/>
  <c r="AG378" i="5"/>
  <c r="AF378" i="5"/>
  <c r="AE378" i="5"/>
  <c r="AD378" i="5"/>
  <c r="AC378" i="5"/>
  <c r="AB378" i="5"/>
  <c r="AA378" i="5"/>
  <c r="Z378" i="5"/>
  <c r="Y378" i="5"/>
  <c r="X378" i="5"/>
  <c r="W378" i="5"/>
  <c r="V378" i="5"/>
  <c r="U378" i="5"/>
  <c r="T378" i="5"/>
  <c r="S378" i="5"/>
  <c r="R378" i="5"/>
  <c r="Q378" i="5"/>
  <c r="P378" i="5"/>
  <c r="O378" i="5"/>
  <c r="N378" i="5"/>
  <c r="M378" i="5"/>
  <c r="L378" i="5"/>
  <c r="K378" i="5"/>
  <c r="J378" i="5"/>
  <c r="I378" i="5"/>
  <c r="H378" i="5"/>
  <c r="G378" i="5"/>
  <c r="F378" i="5"/>
  <c r="E378" i="5"/>
  <c r="AV377" i="5"/>
  <c r="AU377" i="5"/>
  <c r="AT377" i="5"/>
  <c r="AS377" i="5"/>
  <c r="AR377" i="5"/>
  <c r="AQ377" i="5"/>
  <c r="AP377" i="5"/>
  <c r="AO377" i="5"/>
  <c r="AN377" i="5"/>
  <c r="AM377" i="5"/>
  <c r="AL377" i="5"/>
  <c r="AK377" i="5"/>
  <c r="AJ377" i="5"/>
  <c r="AI377" i="5"/>
  <c r="AH377" i="5"/>
  <c r="AG377" i="5"/>
  <c r="AF377" i="5"/>
  <c r="AE377" i="5"/>
  <c r="AD377" i="5"/>
  <c r="AC377" i="5"/>
  <c r="AB377" i="5"/>
  <c r="AA377" i="5"/>
  <c r="Z377" i="5"/>
  <c r="Y377" i="5"/>
  <c r="X377" i="5"/>
  <c r="W377" i="5"/>
  <c r="V377" i="5"/>
  <c r="U377" i="5"/>
  <c r="T377" i="5"/>
  <c r="S377" i="5"/>
  <c r="R377" i="5"/>
  <c r="Q377" i="5"/>
  <c r="P377" i="5"/>
  <c r="O377" i="5"/>
  <c r="N377" i="5"/>
  <c r="M377" i="5"/>
  <c r="L377" i="5"/>
  <c r="K377" i="5"/>
  <c r="J377" i="5"/>
  <c r="I377" i="5"/>
  <c r="H377" i="5"/>
  <c r="G377" i="5"/>
  <c r="F377" i="5"/>
  <c r="E377" i="5"/>
  <c r="AV376" i="5"/>
  <c r="AU376" i="5"/>
  <c r="AT376" i="5"/>
  <c r="AS376" i="5"/>
  <c r="AR376" i="5"/>
  <c r="AQ376" i="5"/>
  <c r="AP376" i="5"/>
  <c r="AO376" i="5"/>
  <c r="AN376" i="5"/>
  <c r="AM376" i="5"/>
  <c r="AL376" i="5"/>
  <c r="AK376" i="5"/>
  <c r="AJ376" i="5"/>
  <c r="AI376" i="5"/>
  <c r="AH376" i="5"/>
  <c r="AG376" i="5"/>
  <c r="AF376" i="5"/>
  <c r="AE376" i="5"/>
  <c r="AD376" i="5"/>
  <c r="AC376" i="5"/>
  <c r="AB376" i="5"/>
  <c r="AA376" i="5"/>
  <c r="Z376" i="5"/>
  <c r="Y376" i="5"/>
  <c r="X376" i="5"/>
  <c r="W376" i="5"/>
  <c r="V376" i="5"/>
  <c r="U376" i="5"/>
  <c r="T376" i="5"/>
  <c r="S376" i="5"/>
  <c r="R376" i="5"/>
  <c r="Q376" i="5"/>
  <c r="P376" i="5"/>
  <c r="O376" i="5"/>
  <c r="N376" i="5"/>
  <c r="M376" i="5"/>
  <c r="L376" i="5"/>
  <c r="K376" i="5"/>
  <c r="J376" i="5"/>
  <c r="I376" i="5"/>
  <c r="H376" i="5"/>
  <c r="G376" i="5"/>
  <c r="F376" i="5"/>
  <c r="E376" i="5"/>
  <c r="AV375" i="5"/>
  <c r="AU375" i="5"/>
  <c r="AT375" i="5"/>
  <c r="AS375" i="5"/>
  <c r="AR375" i="5"/>
  <c r="AQ375" i="5"/>
  <c r="AP375" i="5"/>
  <c r="AO375" i="5"/>
  <c r="AN375" i="5"/>
  <c r="AM375" i="5"/>
  <c r="AL375" i="5"/>
  <c r="AK375" i="5"/>
  <c r="AJ375" i="5"/>
  <c r="AI375" i="5"/>
  <c r="AH375" i="5"/>
  <c r="AG375" i="5"/>
  <c r="AF375" i="5"/>
  <c r="AE375" i="5"/>
  <c r="AD375" i="5"/>
  <c r="AC375" i="5"/>
  <c r="AB375" i="5"/>
  <c r="AA375" i="5"/>
  <c r="Z375" i="5"/>
  <c r="Y375" i="5"/>
  <c r="X375" i="5"/>
  <c r="W375" i="5"/>
  <c r="V375" i="5"/>
  <c r="U375" i="5"/>
  <c r="T375" i="5"/>
  <c r="S375" i="5"/>
  <c r="R375" i="5"/>
  <c r="Q375" i="5"/>
  <c r="P375" i="5"/>
  <c r="O375" i="5"/>
  <c r="N375" i="5"/>
  <c r="M375" i="5"/>
  <c r="L375" i="5"/>
  <c r="K375" i="5"/>
  <c r="J375" i="5"/>
  <c r="I375" i="5"/>
  <c r="H375" i="5"/>
  <c r="G375" i="5"/>
  <c r="F375" i="5"/>
  <c r="E375" i="5"/>
  <c r="AV374" i="5"/>
  <c r="AU374" i="5"/>
  <c r="AT374" i="5"/>
  <c r="AS374" i="5"/>
  <c r="AR374" i="5"/>
  <c r="AQ374" i="5"/>
  <c r="AP374" i="5"/>
  <c r="AO374" i="5"/>
  <c r="AN374" i="5"/>
  <c r="AM374" i="5"/>
  <c r="AL374" i="5"/>
  <c r="AK374" i="5"/>
  <c r="AJ374" i="5"/>
  <c r="AI374" i="5"/>
  <c r="AH374" i="5"/>
  <c r="AG374" i="5"/>
  <c r="AF374" i="5"/>
  <c r="AE374" i="5"/>
  <c r="AD374" i="5"/>
  <c r="AC374" i="5"/>
  <c r="AB374" i="5"/>
  <c r="AA374" i="5"/>
  <c r="Z374" i="5"/>
  <c r="Y374" i="5"/>
  <c r="X374" i="5"/>
  <c r="W374" i="5"/>
  <c r="V374" i="5"/>
  <c r="U374" i="5"/>
  <c r="T374" i="5"/>
  <c r="S374" i="5"/>
  <c r="R374" i="5"/>
  <c r="Q374" i="5"/>
  <c r="P374" i="5"/>
  <c r="O374" i="5"/>
  <c r="N374" i="5"/>
  <c r="M374" i="5"/>
  <c r="L374" i="5"/>
  <c r="K374" i="5"/>
  <c r="J374" i="5"/>
  <c r="I374" i="5"/>
  <c r="H374" i="5"/>
  <c r="G374" i="5"/>
  <c r="F374" i="5"/>
  <c r="E374" i="5"/>
  <c r="AV373" i="5"/>
  <c r="AU373" i="5"/>
  <c r="AT373" i="5"/>
  <c r="AS373" i="5"/>
  <c r="AR373" i="5"/>
  <c r="AQ373" i="5"/>
  <c r="AP373" i="5"/>
  <c r="AO373" i="5"/>
  <c r="AN373" i="5"/>
  <c r="AM373" i="5"/>
  <c r="AL373" i="5"/>
  <c r="AK373" i="5"/>
  <c r="AJ373" i="5"/>
  <c r="AI373" i="5"/>
  <c r="AH373" i="5"/>
  <c r="AG373" i="5"/>
  <c r="AF373" i="5"/>
  <c r="AE373" i="5"/>
  <c r="AD373" i="5"/>
  <c r="AC373" i="5"/>
  <c r="AB373" i="5"/>
  <c r="AA373" i="5"/>
  <c r="Z373" i="5"/>
  <c r="Y373" i="5"/>
  <c r="X373" i="5"/>
  <c r="W373" i="5"/>
  <c r="V373" i="5"/>
  <c r="U373" i="5"/>
  <c r="T373" i="5"/>
  <c r="S373" i="5"/>
  <c r="R373" i="5"/>
  <c r="Q373" i="5"/>
  <c r="P373" i="5"/>
  <c r="O373" i="5"/>
  <c r="N373" i="5"/>
  <c r="M373" i="5"/>
  <c r="L373" i="5"/>
  <c r="K373" i="5"/>
  <c r="J373" i="5"/>
  <c r="I373" i="5"/>
  <c r="H373" i="5"/>
  <c r="G373" i="5"/>
  <c r="F373" i="5"/>
  <c r="E373" i="5"/>
  <c r="AV372" i="5"/>
  <c r="AU372" i="5"/>
  <c r="AT372" i="5"/>
  <c r="AS372" i="5"/>
  <c r="AR372" i="5"/>
  <c r="AQ372" i="5"/>
  <c r="AP372" i="5"/>
  <c r="AO372" i="5"/>
  <c r="AN372" i="5"/>
  <c r="AM372" i="5"/>
  <c r="AL372" i="5"/>
  <c r="AK372" i="5"/>
  <c r="AJ372" i="5"/>
  <c r="AI372" i="5"/>
  <c r="AH372" i="5"/>
  <c r="AG372" i="5"/>
  <c r="AF372" i="5"/>
  <c r="AE372" i="5"/>
  <c r="AD372" i="5"/>
  <c r="AC372" i="5"/>
  <c r="AB372" i="5"/>
  <c r="AA372" i="5"/>
  <c r="Z372" i="5"/>
  <c r="Y372" i="5"/>
  <c r="X372" i="5"/>
  <c r="W372" i="5"/>
  <c r="V372" i="5"/>
  <c r="U372" i="5"/>
  <c r="T372" i="5"/>
  <c r="S372" i="5"/>
  <c r="R372" i="5"/>
  <c r="Q372" i="5"/>
  <c r="P372" i="5"/>
  <c r="O372" i="5"/>
  <c r="N372" i="5"/>
  <c r="M372" i="5"/>
  <c r="L372" i="5"/>
  <c r="K372" i="5"/>
  <c r="J372" i="5"/>
  <c r="I372" i="5"/>
  <c r="H372" i="5"/>
  <c r="G372" i="5"/>
  <c r="F372" i="5"/>
  <c r="E372" i="5"/>
  <c r="AV371" i="5"/>
  <c r="AU371" i="5"/>
  <c r="AT371" i="5"/>
  <c r="AS371" i="5"/>
  <c r="AR371" i="5"/>
  <c r="AQ371" i="5"/>
  <c r="AP371" i="5"/>
  <c r="AO371" i="5"/>
  <c r="AN371" i="5"/>
  <c r="AM371" i="5"/>
  <c r="AL371" i="5"/>
  <c r="AK371" i="5"/>
  <c r="AJ371" i="5"/>
  <c r="AI371" i="5"/>
  <c r="AH371" i="5"/>
  <c r="AG371" i="5"/>
  <c r="AF371" i="5"/>
  <c r="AE371" i="5"/>
  <c r="AD371" i="5"/>
  <c r="AC371" i="5"/>
  <c r="AB371" i="5"/>
  <c r="AA371" i="5"/>
  <c r="Z371" i="5"/>
  <c r="Y371" i="5"/>
  <c r="X371" i="5"/>
  <c r="W371" i="5"/>
  <c r="V371" i="5"/>
  <c r="U371" i="5"/>
  <c r="T371" i="5"/>
  <c r="S371" i="5"/>
  <c r="R371" i="5"/>
  <c r="Q371" i="5"/>
  <c r="P371" i="5"/>
  <c r="O371" i="5"/>
  <c r="N371" i="5"/>
  <c r="M371" i="5"/>
  <c r="L371" i="5"/>
  <c r="K371" i="5"/>
  <c r="J371" i="5"/>
  <c r="I371" i="5"/>
  <c r="H371" i="5"/>
  <c r="G371" i="5"/>
  <c r="F371" i="5"/>
  <c r="E371" i="5"/>
  <c r="AV370" i="5"/>
  <c r="AU370" i="5"/>
  <c r="AT370" i="5"/>
  <c r="AS370" i="5"/>
  <c r="AR370" i="5"/>
  <c r="AQ370" i="5"/>
  <c r="AP370" i="5"/>
  <c r="AO370" i="5"/>
  <c r="AN370" i="5"/>
  <c r="AM370" i="5"/>
  <c r="AL370" i="5"/>
  <c r="AK370" i="5"/>
  <c r="AJ370" i="5"/>
  <c r="AI370" i="5"/>
  <c r="AH370" i="5"/>
  <c r="AG370" i="5"/>
  <c r="AF370" i="5"/>
  <c r="AE370" i="5"/>
  <c r="AD370" i="5"/>
  <c r="AC370" i="5"/>
  <c r="AB370" i="5"/>
  <c r="AA370" i="5"/>
  <c r="Z370" i="5"/>
  <c r="Y370" i="5"/>
  <c r="X370" i="5"/>
  <c r="W370" i="5"/>
  <c r="V370" i="5"/>
  <c r="U370" i="5"/>
  <c r="T370" i="5"/>
  <c r="S370" i="5"/>
  <c r="R370" i="5"/>
  <c r="Q370" i="5"/>
  <c r="P370" i="5"/>
  <c r="O370" i="5"/>
  <c r="N370" i="5"/>
  <c r="M370" i="5"/>
  <c r="L370" i="5"/>
  <c r="K370" i="5"/>
  <c r="J370" i="5"/>
  <c r="I370" i="5"/>
  <c r="H370" i="5"/>
  <c r="G370" i="5"/>
  <c r="F370" i="5"/>
  <c r="E370" i="5"/>
  <c r="AV369" i="5"/>
  <c r="AU369" i="5"/>
  <c r="AT369" i="5"/>
  <c r="AS369" i="5"/>
  <c r="AR369" i="5"/>
  <c r="AQ369" i="5"/>
  <c r="AP369" i="5"/>
  <c r="AO369" i="5"/>
  <c r="AN369" i="5"/>
  <c r="AM369" i="5"/>
  <c r="AL369" i="5"/>
  <c r="AK369" i="5"/>
  <c r="AJ369" i="5"/>
  <c r="AI369" i="5"/>
  <c r="AH369" i="5"/>
  <c r="AG369" i="5"/>
  <c r="AF369" i="5"/>
  <c r="AE369" i="5"/>
  <c r="AD369" i="5"/>
  <c r="AC369" i="5"/>
  <c r="AB369" i="5"/>
  <c r="AA369" i="5"/>
  <c r="Z369" i="5"/>
  <c r="Y369" i="5"/>
  <c r="X369" i="5"/>
  <c r="W369" i="5"/>
  <c r="V369" i="5"/>
  <c r="U369" i="5"/>
  <c r="T369" i="5"/>
  <c r="S369" i="5"/>
  <c r="R369" i="5"/>
  <c r="Q369" i="5"/>
  <c r="P369" i="5"/>
  <c r="O369" i="5"/>
  <c r="N369" i="5"/>
  <c r="M369" i="5"/>
  <c r="L369" i="5"/>
  <c r="K369" i="5"/>
  <c r="J369" i="5"/>
  <c r="I369" i="5"/>
  <c r="H369" i="5"/>
  <c r="G369" i="5"/>
  <c r="F369" i="5"/>
  <c r="E369" i="5"/>
  <c r="AV368" i="5"/>
  <c r="AU368" i="5"/>
  <c r="AT368" i="5"/>
  <c r="AS368" i="5"/>
  <c r="AR368" i="5"/>
  <c r="AQ368" i="5"/>
  <c r="AP368" i="5"/>
  <c r="AO368" i="5"/>
  <c r="AN368" i="5"/>
  <c r="AM368" i="5"/>
  <c r="AL368" i="5"/>
  <c r="AK368" i="5"/>
  <c r="AJ368" i="5"/>
  <c r="AI368" i="5"/>
  <c r="AH368" i="5"/>
  <c r="AG368" i="5"/>
  <c r="AF368" i="5"/>
  <c r="AE368" i="5"/>
  <c r="AD368" i="5"/>
  <c r="AC368" i="5"/>
  <c r="AB368" i="5"/>
  <c r="AA368" i="5"/>
  <c r="Z368" i="5"/>
  <c r="Y368" i="5"/>
  <c r="X368" i="5"/>
  <c r="W368" i="5"/>
  <c r="V368" i="5"/>
  <c r="U368" i="5"/>
  <c r="T368" i="5"/>
  <c r="S368" i="5"/>
  <c r="R368" i="5"/>
  <c r="Q368" i="5"/>
  <c r="P368" i="5"/>
  <c r="O368" i="5"/>
  <c r="N368" i="5"/>
  <c r="M368" i="5"/>
  <c r="L368" i="5"/>
  <c r="K368" i="5"/>
  <c r="J368" i="5"/>
  <c r="I368" i="5"/>
  <c r="H368" i="5"/>
  <c r="G368" i="5"/>
  <c r="F368" i="5"/>
  <c r="E368" i="5"/>
  <c r="AV367" i="5"/>
  <c r="AU367" i="5"/>
  <c r="AT367" i="5"/>
  <c r="AS367" i="5"/>
  <c r="AR367" i="5"/>
  <c r="AQ367" i="5"/>
  <c r="AP367" i="5"/>
  <c r="AO367" i="5"/>
  <c r="AN367" i="5"/>
  <c r="AM367" i="5"/>
  <c r="AL367" i="5"/>
  <c r="AK367" i="5"/>
  <c r="AJ367" i="5"/>
  <c r="AI367" i="5"/>
  <c r="AH367" i="5"/>
  <c r="AG367" i="5"/>
  <c r="AF367" i="5"/>
  <c r="AE367" i="5"/>
  <c r="AD367" i="5"/>
  <c r="AC367" i="5"/>
  <c r="AB367" i="5"/>
  <c r="AA367" i="5"/>
  <c r="Z367" i="5"/>
  <c r="Y367" i="5"/>
  <c r="X367" i="5"/>
  <c r="W367" i="5"/>
  <c r="V367" i="5"/>
  <c r="U367" i="5"/>
  <c r="T367" i="5"/>
  <c r="S367" i="5"/>
  <c r="R367" i="5"/>
  <c r="Q367" i="5"/>
  <c r="P367" i="5"/>
  <c r="O367" i="5"/>
  <c r="N367" i="5"/>
  <c r="M367" i="5"/>
  <c r="L367" i="5"/>
  <c r="K367" i="5"/>
  <c r="J367" i="5"/>
  <c r="I367" i="5"/>
  <c r="H367" i="5"/>
  <c r="G367" i="5"/>
  <c r="F367" i="5"/>
  <c r="E367" i="5"/>
  <c r="AV366" i="5"/>
  <c r="AU366" i="5"/>
  <c r="AT366" i="5"/>
  <c r="AS366" i="5"/>
  <c r="AR366" i="5"/>
  <c r="AQ366" i="5"/>
  <c r="AP366" i="5"/>
  <c r="AO366" i="5"/>
  <c r="AN366" i="5"/>
  <c r="AM366" i="5"/>
  <c r="AL366" i="5"/>
  <c r="AK366" i="5"/>
  <c r="AJ366" i="5"/>
  <c r="AI366" i="5"/>
  <c r="AH366" i="5"/>
  <c r="AG366" i="5"/>
  <c r="AF366" i="5"/>
  <c r="AE366" i="5"/>
  <c r="AD366" i="5"/>
  <c r="AC366" i="5"/>
  <c r="AB366" i="5"/>
  <c r="AA366" i="5"/>
  <c r="Z366" i="5"/>
  <c r="Y366" i="5"/>
  <c r="X366" i="5"/>
  <c r="W366" i="5"/>
  <c r="V366" i="5"/>
  <c r="U366" i="5"/>
  <c r="T366" i="5"/>
  <c r="S366" i="5"/>
  <c r="R366" i="5"/>
  <c r="Q366" i="5"/>
  <c r="P366" i="5"/>
  <c r="O366" i="5"/>
  <c r="N366" i="5"/>
  <c r="M366" i="5"/>
  <c r="L366" i="5"/>
  <c r="K366" i="5"/>
  <c r="J366" i="5"/>
  <c r="I366" i="5"/>
  <c r="H366" i="5"/>
  <c r="G366" i="5"/>
  <c r="F366" i="5"/>
  <c r="E366" i="5"/>
  <c r="AV365" i="5"/>
  <c r="AU365" i="5"/>
  <c r="AT365" i="5"/>
  <c r="AS365" i="5"/>
  <c r="AR365" i="5"/>
  <c r="AQ365" i="5"/>
  <c r="AP365" i="5"/>
  <c r="AO365" i="5"/>
  <c r="AN365" i="5"/>
  <c r="AM365" i="5"/>
  <c r="AL365" i="5"/>
  <c r="AK365" i="5"/>
  <c r="AJ365" i="5"/>
  <c r="AI365" i="5"/>
  <c r="AH365" i="5"/>
  <c r="AG365" i="5"/>
  <c r="AF365" i="5"/>
  <c r="AE365" i="5"/>
  <c r="AD365" i="5"/>
  <c r="AC365" i="5"/>
  <c r="AB365" i="5"/>
  <c r="AA365" i="5"/>
  <c r="Z365" i="5"/>
  <c r="Y365" i="5"/>
  <c r="X365" i="5"/>
  <c r="W365" i="5"/>
  <c r="V365" i="5"/>
  <c r="U365" i="5"/>
  <c r="T365" i="5"/>
  <c r="S365" i="5"/>
  <c r="R365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AV364" i="5"/>
  <c r="AU364" i="5"/>
  <c r="AT364" i="5"/>
  <c r="AS364" i="5"/>
  <c r="AR364" i="5"/>
  <c r="AQ364" i="5"/>
  <c r="AP364" i="5"/>
  <c r="AO364" i="5"/>
  <c r="AN364" i="5"/>
  <c r="AM364" i="5"/>
  <c r="AL364" i="5"/>
  <c r="AK364" i="5"/>
  <c r="AJ364" i="5"/>
  <c r="AI364" i="5"/>
  <c r="AH364" i="5"/>
  <c r="AG364" i="5"/>
  <c r="AF364" i="5"/>
  <c r="AE364" i="5"/>
  <c r="AD364" i="5"/>
  <c r="AC364" i="5"/>
  <c r="AB364" i="5"/>
  <c r="AA364" i="5"/>
  <c r="Z364" i="5"/>
  <c r="Y364" i="5"/>
  <c r="X364" i="5"/>
  <c r="W364" i="5"/>
  <c r="V364" i="5"/>
  <c r="U364" i="5"/>
  <c r="T364" i="5"/>
  <c r="S364" i="5"/>
  <c r="R364" i="5"/>
  <c r="Q364" i="5"/>
  <c r="P364" i="5"/>
  <c r="O364" i="5"/>
  <c r="N364" i="5"/>
  <c r="M364" i="5"/>
  <c r="L364" i="5"/>
  <c r="K364" i="5"/>
  <c r="J364" i="5"/>
  <c r="I364" i="5"/>
  <c r="H364" i="5"/>
  <c r="G364" i="5"/>
  <c r="F364" i="5"/>
  <c r="E364" i="5"/>
  <c r="AV363" i="5"/>
  <c r="AU363" i="5"/>
  <c r="AT363" i="5"/>
  <c r="AS363" i="5"/>
  <c r="AR363" i="5"/>
  <c r="AQ363" i="5"/>
  <c r="AP363" i="5"/>
  <c r="AO363" i="5"/>
  <c r="AN363" i="5"/>
  <c r="AM363" i="5"/>
  <c r="AL363" i="5"/>
  <c r="AK363" i="5"/>
  <c r="AJ363" i="5"/>
  <c r="AI363" i="5"/>
  <c r="AH363" i="5"/>
  <c r="AG363" i="5"/>
  <c r="AF363" i="5"/>
  <c r="AE363" i="5"/>
  <c r="AD363" i="5"/>
  <c r="AC363" i="5"/>
  <c r="AB363" i="5"/>
  <c r="AA363" i="5"/>
  <c r="Z363" i="5"/>
  <c r="Y363" i="5"/>
  <c r="X363" i="5"/>
  <c r="W363" i="5"/>
  <c r="V363" i="5"/>
  <c r="U363" i="5"/>
  <c r="T363" i="5"/>
  <c r="S363" i="5"/>
  <c r="R363" i="5"/>
  <c r="Q363" i="5"/>
  <c r="P363" i="5"/>
  <c r="O363" i="5"/>
  <c r="N363" i="5"/>
  <c r="M363" i="5"/>
  <c r="L363" i="5"/>
  <c r="K363" i="5"/>
  <c r="J363" i="5"/>
  <c r="I363" i="5"/>
  <c r="H363" i="5"/>
  <c r="G363" i="5"/>
  <c r="F363" i="5"/>
  <c r="E363" i="5"/>
  <c r="AV362" i="5"/>
  <c r="AU362" i="5"/>
  <c r="AT362" i="5"/>
  <c r="AS362" i="5"/>
  <c r="AR362" i="5"/>
  <c r="AQ362" i="5"/>
  <c r="AP362" i="5"/>
  <c r="AO362" i="5"/>
  <c r="AN362" i="5"/>
  <c r="AM362" i="5"/>
  <c r="AL362" i="5"/>
  <c r="AK362" i="5"/>
  <c r="AJ362" i="5"/>
  <c r="AI362" i="5"/>
  <c r="AH362" i="5"/>
  <c r="AG362" i="5"/>
  <c r="AF362" i="5"/>
  <c r="AE362" i="5"/>
  <c r="AD362" i="5"/>
  <c r="AC362" i="5"/>
  <c r="AB362" i="5"/>
  <c r="AA362" i="5"/>
  <c r="Z362" i="5"/>
  <c r="Y362" i="5"/>
  <c r="X362" i="5"/>
  <c r="W362" i="5"/>
  <c r="V362" i="5"/>
  <c r="U362" i="5"/>
  <c r="T362" i="5"/>
  <c r="S362" i="5"/>
  <c r="R362" i="5"/>
  <c r="Q362" i="5"/>
  <c r="P362" i="5"/>
  <c r="O362" i="5"/>
  <c r="N362" i="5"/>
  <c r="M362" i="5"/>
  <c r="L362" i="5"/>
  <c r="K362" i="5"/>
  <c r="J362" i="5"/>
  <c r="I362" i="5"/>
  <c r="H362" i="5"/>
  <c r="G362" i="5"/>
  <c r="F362" i="5"/>
  <c r="E362" i="5"/>
  <c r="AV361" i="5"/>
  <c r="AU361" i="5"/>
  <c r="AT361" i="5"/>
  <c r="AS361" i="5"/>
  <c r="AR361" i="5"/>
  <c r="AQ361" i="5"/>
  <c r="AP361" i="5"/>
  <c r="AO361" i="5"/>
  <c r="AN361" i="5"/>
  <c r="AM361" i="5"/>
  <c r="AL361" i="5"/>
  <c r="AK361" i="5"/>
  <c r="AJ361" i="5"/>
  <c r="AI361" i="5"/>
  <c r="AH361" i="5"/>
  <c r="AG361" i="5"/>
  <c r="AF361" i="5"/>
  <c r="AE361" i="5"/>
  <c r="AD361" i="5"/>
  <c r="AC361" i="5"/>
  <c r="AB361" i="5"/>
  <c r="AA361" i="5"/>
  <c r="Z361" i="5"/>
  <c r="Y361" i="5"/>
  <c r="X361" i="5"/>
  <c r="W361" i="5"/>
  <c r="V361" i="5"/>
  <c r="U361" i="5"/>
  <c r="T361" i="5"/>
  <c r="S361" i="5"/>
  <c r="R361" i="5"/>
  <c r="Q361" i="5"/>
  <c r="P361" i="5"/>
  <c r="O361" i="5"/>
  <c r="N361" i="5"/>
  <c r="M361" i="5"/>
  <c r="L361" i="5"/>
  <c r="K361" i="5"/>
  <c r="J361" i="5"/>
  <c r="I361" i="5"/>
  <c r="H361" i="5"/>
  <c r="G361" i="5"/>
  <c r="F361" i="5"/>
  <c r="E361" i="5"/>
  <c r="AV360" i="5"/>
  <c r="AU360" i="5"/>
  <c r="AT360" i="5"/>
  <c r="AS360" i="5"/>
  <c r="AR360" i="5"/>
  <c r="AQ360" i="5"/>
  <c r="AP360" i="5"/>
  <c r="AO360" i="5"/>
  <c r="AN360" i="5"/>
  <c r="AM360" i="5"/>
  <c r="AL360" i="5"/>
  <c r="AK360" i="5"/>
  <c r="AJ360" i="5"/>
  <c r="AI360" i="5"/>
  <c r="AH360" i="5"/>
  <c r="AG360" i="5"/>
  <c r="AF360" i="5"/>
  <c r="AE360" i="5"/>
  <c r="AD360" i="5"/>
  <c r="AC360" i="5"/>
  <c r="AB360" i="5"/>
  <c r="AA360" i="5"/>
  <c r="Z360" i="5"/>
  <c r="Y360" i="5"/>
  <c r="X360" i="5"/>
  <c r="W360" i="5"/>
  <c r="V360" i="5"/>
  <c r="U360" i="5"/>
  <c r="T360" i="5"/>
  <c r="S360" i="5"/>
  <c r="R360" i="5"/>
  <c r="Q360" i="5"/>
  <c r="P360" i="5"/>
  <c r="O360" i="5"/>
  <c r="N360" i="5"/>
  <c r="M360" i="5"/>
  <c r="L360" i="5"/>
  <c r="K360" i="5"/>
  <c r="J360" i="5"/>
  <c r="I360" i="5"/>
  <c r="H360" i="5"/>
  <c r="G360" i="5"/>
  <c r="F360" i="5"/>
  <c r="E360" i="5"/>
  <c r="AV359" i="5"/>
  <c r="AU359" i="5"/>
  <c r="AT359" i="5"/>
  <c r="AS359" i="5"/>
  <c r="AR359" i="5"/>
  <c r="AQ359" i="5"/>
  <c r="AP359" i="5"/>
  <c r="AO359" i="5"/>
  <c r="AN359" i="5"/>
  <c r="AM359" i="5"/>
  <c r="AL359" i="5"/>
  <c r="AK359" i="5"/>
  <c r="AJ359" i="5"/>
  <c r="AI359" i="5"/>
  <c r="AH359" i="5"/>
  <c r="AG359" i="5"/>
  <c r="AF359" i="5"/>
  <c r="AE359" i="5"/>
  <c r="AD359" i="5"/>
  <c r="AC359" i="5"/>
  <c r="AB359" i="5"/>
  <c r="AA359" i="5"/>
  <c r="Z359" i="5"/>
  <c r="Y359" i="5"/>
  <c r="X359" i="5"/>
  <c r="W359" i="5"/>
  <c r="V359" i="5"/>
  <c r="U359" i="5"/>
  <c r="T359" i="5"/>
  <c r="S359" i="5"/>
  <c r="R359" i="5"/>
  <c r="Q359" i="5"/>
  <c r="P359" i="5"/>
  <c r="O359" i="5"/>
  <c r="N359" i="5"/>
  <c r="M359" i="5"/>
  <c r="L359" i="5"/>
  <c r="K359" i="5"/>
  <c r="J359" i="5"/>
  <c r="I359" i="5"/>
  <c r="H359" i="5"/>
  <c r="G359" i="5"/>
  <c r="F359" i="5"/>
  <c r="E359" i="5"/>
  <c r="AV358" i="5"/>
  <c r="AU358" i="5"/>
  <c r="AT358" i="5"/>
  <c r="AS358" i="5"/>
  <c r="AR358" i="5"/>
  <c r="AQ358" i="5"/>
  <c r="AP358" i="5"/>
  <c r="AO358" i="5"/>
  <c r="AN358" i="5"/>
  <c r="AM358" i="5"/>
  <c r="AL358" i="5"/>
  <c r="AK358" i="5"/>
  <c r="AJ358" i="5"/>
  <c r="AI358" i="5"/>
  <c r="AH358" i="5"/>
  <c r="AG358" i="5"/>
  <c r="AF358" i="5"/>
  <c r="AE358" i="5"/>
  <c r="AD358" i="5"/>
  <c r="AC358" i="5"/>
  <c r="AB358" i="5"/>
  <c r="AA358" i="5"/>
  <c r="Z358" i="5"/>
  <c r="Y358" i="5"/>
  <c r="X358" i="5"/>
  <c r="W358" i="5"/>
  <c r="V358" i="5"/>
  <c r="U358" i="5"/>
  <c r="T358" i="5"/>
  <c r="S358" i="5"/>
  <c r="R358" i="5"/>
  <c r="Q358" i="5"/>
  <c r="P358" i="5"/>
  <c r="O358" i="5"/>
  <c r="N358" i="5"/>
  <c r="M358" i="5"/>
  <c r="L358" i="5"/>
  <c r="K358" i="5"/>
  <c r="J358" i="5"/>
  <c r="I358" i="5"/>
  <c r="H358" i="5"/>
  <c r="G358" i="5"/>
  <c r="F358" i="5"/>
  <c r="E358" i="5"/>
  <c r="AV357" i="5"/>
  <c r="AU357" i="5"/>
  <c r="AT357" i="5"/>
  <c r="AS357" i="5"/>
  <c r="AR357" i="5"/>
  <c r="AQ357" i="5"/>
  <c r="AP357" i="5"/>
  <c r="AO357" i="5"/>
  <c r="AN357" i="5"/>
  <c r="AM357" i="5"/>
  <c r="AL357" i="5"/>
  <c r="AK357" i="5"/>
  <c r="AJ357" i="5"/>
  <c r="AI357" i="5"/>
  <c r="AH357" i="5"/>
  <c r="AG357" i="5"/>
  <c r="AF357" i="5"/>
  <c r="AE357" i="5"/>
  <c r="AD357" i="5"/>
  <c r="AC357" i="5"/>
  <c r="AB357" i="5"/>
  <c r="AA357" i="5"/>
  <c r="Z357" i="5"/>
  <c r="Y357" i="5"/>
  <c r="X357" i="5"/>
  <c r="W357" i="5"/>
  <c r="V357" i="5"/>
  <c r="U357" i="5"/>
  <c r="T357" i="5"/>
  <c r="S357" i="5"/>
  <c r="R357" i="5"/>
  <c r="Q357" i="5"/>
  <c r="P357" i="5"/>
  <c r="O357" i="5"/>
  <c r="N357" i="5"/>
  <c r="M357" i="5"/>
  <c r="L357" i="5"/>
  <c r="K357" i="5"/>
  <c r="J357" i="5"/>
  <c r="I357" i="5"/>
  <c r="H357" i="5"/>
  <c r="G357" i="5"/>
  <c r="F357" i="5"/>
  <c r="E357" i="5"/>
  <c r="AV356" i="5"/>
  <c r="AU356" i="5"/>
  <c r="AT356" i="5"/>
  <c r="AS356" i="5"/>
  <c r="AR356" i="5"/>
  <c r="AQ356" i="5"/>
  <c r="AP356" i="5"/>
  <c r="AO356" i="5"/>
  <c r="AN356" i="5"/>
  <c r="AM356" i="5"/>
  <c r="AL356" i="5"/>
  <c r="AK356" i="5"/>
  <c r="AJ356" i="5"/>
  <c r="AI356" i="5"/>
  <c r="AH356" i="5"/>
  <c r="AG356" i="5"/>
  <c r="AF356" i="5"/>
  <c r="AE356" i="5"/>
  <c r="AD356" i="5"/>
  <c r="AC356" i="5"/>
  <c r="AB356" i="5"/>
  <c r="AA356" i="5"/>
  <c r="Z356" i="5"/>
  <c r="Y356" i="5"/>
  <c r="X356" i="5"/>
  <c r="W356" i="5"/>
  <c r="V356" i="5"/>
  <c r="U356" i="5"/>
  <c r="T356" i="5"/>
  <c r="S356" i="5"/>
  <c r="R356" i="5"/>
  <c r="Q356" i="5"/>
  <c r="P356" i="5"/>
  <c r="O356" i="5"/>
  <c r="N356" i="5"/>
  <c r="M356" i="5"/>
  <c r="L356" i="5"/>
  <c r="K356" i="5"/>
  <c r="J356" i="5"/>
  <c r="I356" i="5"/>
  <c r="H356" i="5"/>
  <c r="G356" i="5"/>
  <c r="F356" i="5"/>
  <c r="E356" i="5"/>
  <c r="AV355" i="5"/>
  <c r="AU355" i="5"/>
  <c r="AT355" i="5"/>
  <c r="AS355" i="5"/>
  <c r="AR355" i="5"/>
  <c r="AQ355" i="5"/>
  <c r="AP355" i="5"/>
  <c r="AO355" i="5"/>
  <c r="AN355" i="5"/>
  <c r="AM355" i="5"/>
  <c r="AL355" i="5"/>
  <c r="AK355" i="5"/>
  <c r="AJ355" i="5"/>
  <c r="AI355" i="5"/>
  <c r="AH355" i="5"/>
  <c r="AG355" i="5"/>
  <c r="AF355" i="5"/>
  <c r="AE355" i="5"/>
  <c r="AD355" i="5"/>
  <c r="AC355" i="5"/>
  <c r="AB355" i="5"/>
  <c r="AA355" i="5"/>
  <c r="Z355" i="5"/>
  <c r="Y355" i="5"/>
  <c r="X355" i="5"/>
  <c r="W355" i="5"/>
  <c r="V355" i="5"/>
  <c r="U355" i="5"/>
  <c r="T355" i="5"/>
  <c r="S355" i="5"/>
  <c r="R355" i="5"/>
  <c r="Q355" i="5"/>
  <c r="P355" i="5"/>
  <c r="O355" i="5"/>
  <c r="N355" i="5"/>
  <c r="M355" i="5"/>
  <c r="L355" i="5"/>
  <c r="K355" i="5"/>
  <c r="J355" i="5"/>
  <c r="I355" i="5"/>
  <c r="H355" i="5"/>
  <c r="G355" i="5"/>
  <c r="F355" i="5"/>
  <c r="E355" i="5"/>
  <c r="AV354" i="5"/>
  <c r="AU354" i="5"/>
  <c r="AT354" i="5"/>
  <c r="AS354" i="5"/>
  <c r="AR354" i="5"/>
  <c r="AQ354" i="5"/>
  <c r="AP354" i="5"/>
  <c r="AO354" i="5"/>
  <c r="AN354" i="5"/>
  <c r="AM354" i="5"/>
  <c r="AL354" i="5"/>
  <c r="AK354" i="5"/>
  <c r="AJ354" i="5"/>
  <c r="AI354" i="5"/>
  <c r="AH354" i="5"/>
  <c r="AG354" i="5"/>
  <c r="AF354" i="5"/>
  <c r="AE354" i="5"/>
  <c r="AD354" i="5"/>
  <c r="AC354" i="5"/>
  <c r="AB354" i="5"/>
  <c r="AA354" i="5"/>
  <c r="Z354" i="5"/>
  <c r="Y354" i="5"/>
  <c r="X354" i="5"/>
  <c r="W354" i="5"/>
  <c r="V354" i="5"/>
  <c r="U354" i="5"/>
  <c r="T354" i="5"/>
  <c r="S354" i="5"/>
  <c r="R354" i="5"/>
  <c r="Q354" i="5"/>
  <c r="P354" i="5"/>
  <c r="O354" i="5"/>
  <c r="N354" i="5"/>
  <c r="M354" i="5"/>
  <c r="L354" i="5"/>
  <c r="K354" i="5"/>
  <c r="J354" i="5"/>
  <c r="I354" i="5"/>
  <c r="H354" i="5"/>
  <c r="G354" i="5"/>
  <c r="F354" i="5"/>
  <c r="E354" i="5"/>
  <c r="AV353" i="5"/>
  <c r="AU353" i="5"/>
  <c r="AT353" i="5"/>
  <c r="AS353" i="5"/>
  <c r="AR353" i="5"/>
  <c r="AQ353" i="5"/>
  <c r="AP353" i="5"/>
  <c r="AO353" i="5"/>
  <c r="AN353" i="5"/>
  <c r="AM353" i="5"/>
  <c r="AL353" i="5"/>
  <c r="AK353" i="5"/>
  <c r="AJ353" i="5"/>
  <c r="AI353" i="5"/>
  <c r="AH353" i="5"/>
  <c r="AG353" i="5"/>
  <c r="AF353" i="5"/>
  <c r="AE353" i="5"/>
  <c r="AD353" i="5"/>
  <c r="AC353" i="5"/>
  <c r="AB353" i="5"/>
  <c r="AA353" i="5"/>
  <c r="Z353" i="5"/>
  <c r="Y353" i="5"/>
  <c r="X353" i="5"/>
  <c r="W353" i="5"/>
  <c r="V353" i="5"/>
  <c r="U353" i="5"/>
  <c r="T353" i="5"/>
  <c r="S353" i="5"/>
  <c r="R353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AV352" i="5"/>
  <c r="AU352" i="5"/>
  <c r="AT352" i="5"/>
  <c r="AS352" i="5"/>
  <c r="AR352" i="5"/>
  <c r="AQ352" i="5"/>
  <c r="AP352" i="5"/>
  <c r="AO352" i="5"/>
  <c r="AN352" i="5"/>
  <c r="AM352" i="5"/>
  <c r="AL352" i="5"/>
  <c r="AK352" i="5"/>
  <c r="AJ352" i="5"/>
  <c r="AI352" i="5"/>
  <c r="AH352" i="5"/>
  <c r="AG352" i="5"/>
  <c r="AF352" i="5"/>
  <c r="AE352" i="5"/>
  <c r="AD352" i="5"/>
  <c r="AC352" i="5"/>
  <c r="AB352" i="5"/>
  <c r="AA352" i="5"/>
  <c r="Z352" i="5"/>
  <c r="Y352" i="5"/>
  <c r="X352" i="5"/>
  <c r="W352" i="5"/>
  <c r="V352" i="5"/>
  <c r="U352" i="5"/>
  <c r="T352" i="5"/>
  <c r="S352" i="5"/>
  <c r="R352" i="5"/>
  <c r="Q352" i="5"/>
  <c r="P352" i="5"/>
  <c r="O352" i="5"/>
  <c r="N352" i="5"/>
  <c r="M352" i="5"/>
  <c r="L352" i="5"/>
  <c r="K352" i="5"/>
  <c r="J352" i="5"/>
  <c r="I352" i="5"/>
  <c r="H352" i="5"/>
  <c r="G352" i="5"/>
  <c r="F352" i="5"/>
  <c r="E352" i="5"/>
  <c r="AV351" i="5"/>
  <c r="AU351" i="5"/>
  <c r="AT351" i="5"/>
  <c r="AS351" i="5"/>
  <c r="AR351" i="5"/>
  <c r="AQ351" i="5"/>
  <c r="AP351" i="5"/>
  <c r="AO351" i="5"/>
  <c r="AN351" i="5"/>
  <c r="AM351" i="5"/>
  <c r="AL351" i="5"/>
  <c r="AK351" i="5"/>
  <c r="AJ351" i="5"/>
  <c r="AI351" i="5"/>
  <c r="AH351" i="5"/>
  <c r="AG351" i="5"/>
  <c r="AF351" i="5"/>
  <c r="AE351" i="5"/>
  <c r="AD351" i="5"/>
  <c r="AC351" i="5"/>
  <c r="AB351" i="5"/>
  <c r="AA351" i="5"/>
  <c r="Z351" i="5"/>
  <c r="Y351" i="5"/>
  <c r="X351" i="5"/>
  <c r="W351" i="5"/>
  <c r="V351" i="5"/>
  <c r="U351" i="5"/>
  <c r="T351" i="5"/>
  <c r="S351" i="5"/>
  <c r="R351" i="5"/>
  <c r="Q351" i="5"/>
  <c r="P351" i="5"/>
  <c r="O351" i="5"/>
  <c r="N351" i="5"/>
  <c r="M351" i="5"/>
  <c r="L351" i="5"/>
  <c r="K351" i="5"/>
  <c r="J351" i="5"/>
  <c r="I351" i="5"/>
  <c r="H351" i="5"/>
  <c r="G351" i="5"/>
  <c r="F351" i="5"/>
  <c r="E351" i="5"/>
  <c r="AV350" i="5"/>
  <c r="AU350" i="5"/>
  <c r="AT350" i="5"/>
  <c r="AS350" i="5"/>
  <c r="AR350" i="5"/>
  <c r="AQ350" i="5"/>
  <c r="AP350" i="5"/>
  <c r="AO350" i="5"/>
  <c r="AN350" i="5"/>
  <c r="AM350" i="5"/>
  <c r="AL350" i="5"/>
  <c r="AK350" i="5"/>
  <c r="AJ350" i="5"/>
  <c r="AI350" i="5"/>
  <c r="AH350" i="5"/>
  <c r="AG350" i="5"/>
  <c r="AF350" i="5"/>
  <c r="AE350" i="5"/>
  <c r="AD350" i="5"/>
  <c r="AC350" i="5"/>
  <c r="AB350" i="5"/>
  <c r="AA350" i="5"/>
  <c r="Z350" i="5"/>
  <c r="Y350" i="5"/>
  <c r="X350" i="5"/>
  <c r="W350" i="5"/>
  <c r="V350" i="5"/>
  <c r="U350" i="5"/>
  <c r="T350" i="5"/>
  <c r="S350" i="5"/>
  <c r="R350" i="5"/>
  <c r="Q350" i="5"/>
  <c r="P350" i="5"/>
  <c r="O350" i="5"/>
  <c r="N350" i="5"/>
  <c r="M350" i="5"/>
  <c r="L350" i="5"/>
  <c r="K350" i="5"/>
  <c r="J350" i="5"/>
  <c r="I350" i="5"/>
  <c r="H350" i="5"/>
  <c r="G350" i="5"/>
  <c r="F350" i="5"/>
  <c r="E350" i="5"/>
  <c r="AV349" i="5"/>
  <c r="AU349" i="5"/>
  <c r="AT349" i="5"/>
  <c r="AS349" i="5"/>
  <c r="AR349" i="5"/>
  <c r="AQ349" i="5"/>
  <c r="AP349" i="5"/>
  <c r="AO349" i="5"/>
  <c r="AN349" i="5"/>
  <c r="AM349" i="5"/>
  <c r="AL349" i="5"/>
  <c r="AK349" i="5"/>
  <c r="AJ349" i="5"/>
  <c r="AI349" i="5"/>
  <c r="AH349" i="5"/>
  <c r="AG349" i="5"/>
  <c r="AF349" i="5"/>
  <c r="AE349" i="5"/>
  <c r="AD349" i="5"/>
  <c r="AC349" i="5"/>
  <c r="AB349" i="5"/>
  <c r="AA349" i="5"/>
  <c r="Z349" i="5"/>
  <c r="Y349" i="5"/>
  <c r="X349" i="5"/>
  <c r="W349" i="5"/>
  <c r="V349" i="5"/>
  <c r="U349" i="5"/>
  <c r="T349" i="5"/>
  <c r="S349" i="5"/>
  <c r="R349" i="5"/>
  <c r="Q349" i="5"/>
  <c r="P349" i="5"/>
  <c r="O349" i="5"/>
  <c r="N349" i="5"/>
  <c r="M349" i="5"/>
  <c r="L349" i="5"/>
  <c r="K349" i="5"/>
  <c r="J349" i="5"/>
  <c r="I349" i="5"/>
  <c r="H349" i="5"/>
  <c r="G349" i="5"/>
  <c r="F349" i="5"/>
  <c r="E349" i="5"/>
  <c r="AV348" i="5"/>
  <c r="AU348" i="5"/>
  <c r="AT348" i="5"/>
  <c r="AS348" i="5"/>
  <c r="AR348" i="5"/>
  <c r="AQ348" i="5"/>
  <c r="AP348" i="5"/>
  <c r="AO348" i="5"/>
  <c r="AN348" i="5"/>
  <c r="AM348" i="5"/>
  <c r="AL348" i="5"/>
  <c r="AK348" i="5"/>
  <c r="AJ348" i="5"/>
  <c r="AI348" i="5"/>
  <c r="AH348" i="5"/>
  <c r="AG348" i="5"/>
  <c r="AF348" i="5"/>
  <c r="AE348" i="5"/>
  <c r="AD348" i="5"/>
  <c r="AC348" i="5"/>
  <c r="AB348" i="5"/>
  <c r="AA348" i="5"/>
  <c r="Z348" i="5"/>
  <c r="Y348" i="5"/>
  <c r="X348" i="5"/>
  <c r="W348" i="5"/>
  <c r="V348" i="5"/>
  <c r="U348" i="5"/>
  <c r="T348" i="5"/>
  <c r="S348" i="5"/>
  <c r="R348" i="5"/>
  <c r="Q348" i="5"/>
  <c r="P348" i="5"/>
  <c r="O348" i="5"/>
  <c r="N348" i="5"/>
  <c r="M348" i="5"/>
  <c r="L348" i="5"/>
  <c r="K348" i="5"/>
  <c r="J348" i="5"/>
  <c r="I348" i="5"/>
  <c r="H348" i="5"/>
  <c r="G348" i="5"/>
  <c r="F348" i="5"/>
  <c r="E348" i="5"/>
  <c r="AV347" i="5"/>
  <c r="AU347" i="5"/>
  <c r="AT347" i="5"/>
  <c r="AS347" i="5"/>
  <c r="AR347" i="5"/>
  <c r="AQ347" i="5"/>
  <c r="AP347" i="5"/>
  <c r="AO347" i="5"/>
  <c r="AN347" i="5"/>
  <c r="AM347" i="5"/>
  <c r="AL347" i="5"/>
  <c r="AK347" i="5"/>
  <c r="AJ347" i="5"/>
  <c r="AI347" i="5"/>
  <c r="AH347" i="5"/>
  <c r="AG347" i="5"/>
  <c r="AF347" i="5"/>
  <c r="AE347" i="5"/>
  <c r="AD347" i="5"/>
  <c r="AC347" i="5"/>
  <c r="AB347" i="5"/>
  <c r="AA347" i="5"/>
  <c r="Z347" i="5"/>
  <c r="Y347" i="5"/>
  <c r="X347" i="5"/>
  <c r="W347" i="5"/>
  <c r="V347" i="5"/>
  <c r="U347" i="5"/>
  <c r="T347" i="5"/>
  <c r="S347" i="5"/>
  <c r="R347" i="5"/>
  <c r="Q347" i="5"/>
  <c r="P347" i="5"/>
  <c r="O347" i="5"/>
  <c r="N347" i="5"/>
  <c r="M347" i="5"/>
  <c r="L347" i="5"/>
  <c r="K347" i="5"/>
  <c r="J347" i="5"/>
  <c r="I347" i="5"/>
  <c r="H347" i="5"/>
  <c r="G347" i="5"/>
  <c r="F347" i="5"/>
  <c r="E347" i="5"/>
  <c r="AV346" i="5"/>
  <c r="AU346" i="5"/>
  <c r="AT346" i="5"/>
  <c r="AS346" i="5"/>
  <c r="AR346" i="5"/>
  <c r="AQ346" i="5"/>
  <c r="AP346" i="5"/>
  <c r="AO346" i="5"/>
  <c r="AN346" i="5"/>
  <c r="AM346" i="5"/>
  <c r="AL346" i="5"/>
  <c r="AK346" i="5"/>
  <c r="AJ346" i="5"/>
  <c r="AI346" i="5"/>
  <c r="AH346" i="5"/>
  <c r="AG346" i="5"/>
  <c r="AF346" i="5"/>
  <c r="AE346" i="5"/>
  <c r="AD346" i="5"/>
  <c r="AC346" i="5"/>
  <c r="AB346" i="5"/>
  <c r="AA346" i="5"/>
  <c r="Z346" i="5"/>
  <c r="Y346" i="5"/>
  <c r="X346" i="5"/>
  <c r="W346" i="5"/>
  <c r="V346" i="5"/>
  <c r="U346" i="5"/>
  <c r="T346" i="5"/>
  <c r="S346" i="5"/>
  <c r="R346" i="5"/>
  <c r="Q346" i="5"/>
  <c r="P346" i="5"/>
  <c r="O346" i="5"/>
  <c r="N346" i="5"/>
  <c r="M346" i="5"/>
  <c r="L346" i="5"/>
  <c r="K346" i="5"/>
  <c r="J346" i="5"/>
  <c r="I346" i="5"/>
  <c r="H346" i="5"/>
  <c r="G346" i="5"/>
  <c r="F346" i="5"/>
  <c r="E346" i="5"/>
  <c r="AV345" i="5"/>
  <c r="AU345" i="5"/>
  <c r="AT345" i="5"/>
  <c r="AS345" i="5"/>
  <c r="AR345" i="5"/>
  <c r="AQ345" i="5"/>
  <c r="AP345" i="5"/>
  <c r="AO345" i="5"/>
  <c r="AN345" i="5"/>
  <c r="AM345" i="5"/>
  <c r="AL345" i="5"/>
  <c r="AK345" i="5"/>
  <c r="AJ345" i="5"/>
  <c r="AI345" i="5"/>
  <c r="AH345" i="5"/>
  <c r="AG345" i="5"/>
  <c r="AF345" i="5"/>
  <c r="AE345" i="5"/>
  <c r="AD345" i="5"/>
  <c r="AC345" i="5"/>
  <c r="AB345" i="5"/>
  <c r="AA345" i="5"/>
  <c r="Z345" i="5"/>
  <c r="Y345" i="5"/>
  <c r="X345" i="5"/>
  <c r="W345" i="5"/>
  <c r="V345" i="5"/>
  <c r="U345" i="5"/>
  <c r="T345" i="5"/>
  <c r="S345" i="5"/>
  <c r="R345" i="5"/>
  <c r="Q345" i="5"/>
  <c r="P345" i="5"/>
  <c r="O345" i="5"/>
  <c r="N345" i="5"/>
  <c r="M345" i="5"/>
  <c r="L345" i="5"/>
  <c r="K345" i="5"/>
  <c r="J345" i="5"/>
  <c r="I345" i="5"/>
  <c r="H345" i="5"/>
  <c r="G345" i="5"/>
  <c r="F345" i="5"/>
  <c r="E345" i="5"/>
  <c r="AV344" i="5"/>
  <c r="AU344" i="5"/>
  <c r="AT344" i="5"/>
  <c r="AS344" i="5"/>
  <c r="AR344" i="5"/>
  <c r="AQ344" i="5"/>
  <c r="AP344" i="5"/>
  <c r="AO344" i="5"/>
  <c r="AN344" i="5"/>
  <c r="AM344" i="5"/>
  <c r="AL344" i="5"/>
  <c r="AK344" i="5"/>
  <c r="AJ344" i="5"/>
  <c r="AI344" i="5"/>
  <c r="AH344" i="5"/>
  <c r="AG344" i="5"/>
  <c r="AF344" i="5"/>
  <c r="AE344" i="5"/>
  <c r="AD344" i="5"/>
  <c r="AC344" i="5"/>
  <c r="AB344" i="5"/>
  <c r="AA344" i="5"/>
  <c r="Z344" i="5"/>
  <c r="Y344" i="5"/>
  <c r="X344" i="5"/>
  <c r="W344" i="5"/>
  <c r="V344" i="5"/>
  <c r="U344" i="5"/>
  <c r="T344" i="5"/>
  <c r="S344" i="5"/>
  <c r="R344" i="5"/>
  <c r="Q344" i="5"/>
  <c r="P344" i="5"/>
  <c r="O344" i="5"/>
  <c r="N344" i="5"/>
  <c r="M344" i="5"/>
  <c r="L344" i="5"/>
  <c r="K344" i="5"/>
  <c r="J344" i="5"/>
  <c r="I344" i="5"/>
  <c r="H344" i="5"/>
  <c r="G344" i="5"/>
  <c r="F344" i="5"/>
  <c r="E344" i="5"/>
  <c r="AV343" i="5"/>
  <c r="AU343" i="5"/>
  <c r="AT343" i="5"/>
  <c r="AS343" i="5"/>
  <c r="AR343" i="5"/>
  <c r="AQ343" i="5"/>
  <c r="AP343" i="5"/>
  <c r="AO343" i="5"/>
  <c r="AN343" i="5"/>
  <c r="AM343" i="5"/>
  <c r="AL343" i="5"/>
  <c r="AK343" i="5"/>
  <c r="AJ343" i="5"/>
  <c r="AI343" i="5"/>
  <c r="AH343" i="5"/>
  <c r="AG343" i="5"/>
  <c r="AF343" i="5"/>
  <c r="AE343" i="5"/>
  <c r="AD343" i="5"/>
  <c r="AC343" i="5"/>
  <c r="AB343" i="5"/>
  <c r="AA343" i="5"/>
  <c r="Z343" i="5"/>
  <c r="Y343" i="5"/>
  <c r="X343" i="5"/>
  <c r="W343" i="5"/>
  <c r="V343" i="5"/>
  <c r="U343" i="5"/>
  <c r="T343" i="5"/>
  <c r="S343" i="5"/>
  <c r="R343" i="5"/>
  <c r="Q343" i="5"/>
  <c r="P343" i="5"/>
  <c r="O343" i="5"/>
  <c r="N343" i="5"/>
  <c r="M343" i="5"/>
  <c r="L343" i="5"/>
  <c r="K343" i="5"/>
  <c r="J343" i="5"/>
  <c r="I343" i="5"/>
  <c r="H343" i="5"/>
  <c r="G343" i="5"/>
  <c r="F343" i="5"/>
  <c r="E343" i="5"/>
  <c r="AV342" i="5"/>
  <c r="AU342" i="5"/>
  <c r="AT342" i="5"/>
  <c r="AS342" i="5"/>
  <c r="AR342" i="5"/>
  <c r="AQ342" i="5"/>
  <c r="AP342" i="5"/>
  <c r="AO342" i="5"/>
  <c r="AN342" i="5"/>
  <c r="AM342" i="5"/>
  <c r="AL342" i="5"/>
  <c r="AK342" i="5"/>
  <c r="AJ342" i="5"/>
  <c r="AI342" i="5"/>
  <c r="AH342" i="5"/>
  <c r="AG342" i="5"/>
  <c r="AF342" i="5"/>
  <c r="AE342" i="5"/>
  <c r="AD342" i="5"/>
  <c r="AC342" i="5"/>
  <c r="AB342" i="5"/>
  <c r="AA342" i="5"/>
  <c r="Z342" i="5"/>
  <c r="Y342" i="5"/>
  <c r="X342" i="5"/>
  <c r="W342" i="5"/>
  <c r="V342" i="5"/>
  <c r="U342" i="5"/>
  <c r="T342" i="5"/>
  <c r="S342" i="5"/>
  <c r="R342" i="5"/>
  <c r="Q342" i="5"/>
  <c r="P342" i="5"/>
  <c r="O342" i="5"/>
  <c r="N342" i="5"/>
  <c r="M342" i="5"/>
  <c r="L342" i="5"/>
  <c r="K342" i="5"/>
  <c r="J342" i="5"/>
  <c r="I342" i="5"/>
  <c r="H342" i="5"/>
  <c r="G342" i="5"/>
  <c r="F342" i="5"/>
  <c r="E342" i="5"/>
  <c r="AV341" i="5"/>
  <c r="AU341" i="5"/>
  <c r="AT341" i="5"/>
  <c r="AS341" i="5"/>
  <c r="AR341" i="5"/>
  <c r="AQ341" i="5"/>
  <c r="AP341" i="5"/>
  <c r="AO341" i="5"/>
  <c r="AN341" i="5"/>
  <c r="AM341" i="5"/>
  <c r="AL341" i="5"/>
  <c r="AK341" i="5"/>
  <c r="AJ341" i="5"/>
  <c r="AI341" i="5"/>
  <c r="AH341" i="5"/>
  <c r="AG341" i="5"/>
  <c r="AF341" i="5"/>
  <c r="AE341" i="5"/>
  <c r="AD341" i="5"/>
  <c r="AC341" i="5"/>
  <c r="AB341" i="5"/>
  <c r="AA341" i="5"/>
  <c r="Z341" i="5"/>
  <c r="Y341" i="5"/>
  <c r="X341" i="5"/>
  <c r="W341" i="5"/>
  <c r="V341" i="5"/>
  <c r="U341" i="5"/>
  <c r="T341" i="5"/>
  <c r="S341" i="5"/>
  <c r="R341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AV340" i="5"/>
  <c r="AU340" i="5"/>
  <c r="AT340" i="5"/>
  <c r="AS340" i="5"/>
  <c r="AR340" i="5"/>
  <c r="AQ340" i="5"/>
  <c r="AP340" i="5"/>
  <c r="AO340" i="5"/>
  <c r="AN340" i="5"/>
  <c r="AM340" i="5"/>
  <c r="AL340" i="5"/>
  <c r="AK340" i="5"/>
  <c r="AJ340" i="5"/>
  <c r="AI340" i="5"/>
  <c r="AH340" i="5"/>
  <c r="AG340" i="5"/>
  <c r="AF340" i="5"/>
  <c r="AE340" i="5"/>
  <c r="AD340" i="5"/>
  <c r="AC340" i="5"/>
  <c r="AB340" i="5"/>
  <c r="AA340" i="5"/>
  <c r="Z340" i="5"/>
  <c r="Y340" i="5"/>
  <c r="X340" i="5"/>
  <c r="W340" i="5"/>
  <c r="V340" i="5"/>
  <c r="U340" i="5"/>
  <c r="T340" i="5"/>
  <c r="S340" i="5"/>
  <c r="R340" i="5"/>
  <c r="Q340" i="5"/>
  <c r="P340" i="5"/>
  <c r="O340" i="5"/>
  <c r="N340" i="5"/>
  <c r="M340" i="5"/>
  <c r="L340" i="5"/>
  <c r="K340" i="5"/>
  <c r="J340" i="5"/>
  <c r="I340" i="5"/>
  <c r="H340" i="5"/>
  <c r="G340" i="5"/>
  <c r="F340" i="5"/>
  <c r="E340" i="5"/>
  <c r="AV339" i="5"/>
  <c r="AU339" i="5"/>
  <c r="AT339" i="5"/>
  <c r="AS339" i="5"/>
  <c r="AR339" i="5"/>
  <c r="AQ339" i="5"/>
  <c r="AP339" i="5"/>
  <c r="AO339" i="5"/>
  <c r="AN339" i="5"/>
  <c r="AM339" i="5"/>
  <c r="AL339" i="5"/>
  <c r="AK339" i="5"/>
  <c r="AJ339" i="5"/>
  <c r="AI339" i="5"/>
  <c r="AH339" i="5"/>
  <c r="AG339" i="5"/>
  <c r="AF339" i="5"/>
  <c r="AE339" i="5"/>
  <c r="AD339" i="5"/>
  <c r="AC339" i="5"/>
  <c r="AB339" i="5"/>
  <c r="AA339" i="5"/>
  <c r="Z339" i="5"/>
  <c r="Y339" i="5"/>
  <c r="X339" i="5"/>
  <c r="W339" i="5"/>
  <c r="V339" i="5"/>
  <c r="U339" i="5"/>
  <c r="T339" i="5"/>
  <c r="S339" i="5"/>
  <c r="R339" i="5"/>
  <c r="Q339" i="5"/>
  <c r="P339" i="5"/>
  <c r="O339" i="5"/>
  <c r="N339" i="5"/>
  <c r="M339" i="5"/>
  <c r="L339" i="5"/>
  <c r="K339" i="5"/>
  <c r="J339" i="5"/>
  <c r="I339" i="5"/>
  <c r="H339" i="5"/>
  <c r="G339" i="5"/>
  <c r="F339" i="5"/>
  <c r="E339" i="5"/>
  <c r="AV338" i="5"/>
  <c r="AU338" i="5"/>
  <c r="AT338" i="5"/>
  <c r="AS338" i="5"/>
  <c r="AR338" i="5"/>
  <c r="AQ338" i="5"/>
  <c r="AP338" i="5"/>
  <c r="AO338" i="5"/>
  <c r="AN338" i="5"/>
  <c r="AM338" i="5"/>
  <c r="AL338" i="5"/>
  <c r="AK338" i="5"/>
  <c r="AJ338" i="5"/>
  <c r="AI338" i="5"/>
  <c r="AH338" i="5"/>
  <c r="AG338" i="5"/>
  <c r="AF338" i="5"/>
  <c r="AE338" i="5"/>
  <c r="AD338" i="5"/>
  <c r="AC338" i="5"/>
  <c r="AB338" i="5"/>
  <c r="AA338" i="5"/>
  <c r="Z338" i="5"/>
  <c r="Y338" i="5"/>
  <c r="X338" i="5"/>
  <c r="W338" i="5"/>
  <c r="V338" i="5"/>
  <c r="U338" i="5"/>
  <c r="T338" i="5"/>
  <c r="S338" i="5"/>
  <c r="R338" i="5"/>
  <c r="Q338" i="5"/>
  <c r="P338" i="5"/>
  <c r="O338" i="5"/>
  <c r="N338" i="5"/>
  <c r="M338" i="5"/>
  <c r="L338" i="5"/>
  <c r="K338" i="5"/>
  <c r="J338" i="5"/>
  <c r="I338" i="5"/>
  <c r="H338" i="5"/>
  <c r="G338" i="5"/>
  <c r="F338" i="5"/>
  <c r="E338" i="5"/>
  <c r="AV337" i="5"/>
  <c r="AU337" i="5"/>
  <c r="AT337" i="5"/>
  <c r="AS337" i="5"/>
  <c r="AR337" i="5"/>
  <c r="AQ337" i="5"/>
  <c r="AP337" i="5"/>
  <c r="AO337" i="5"/>
  <c r="AN337" i="5"/>
  <c r="AM337" i="5"/>
  <c r="AL337" i="5"/>
  <c r="AK337" i="5"/>
  <c r="AJ337" i="5"/>
  <c r="AI337" i="5"/>
  <c r="AH337" i="5"/>
  <c r="AG337" i="5"/>
  <c r="AF337" i="5"/>
  <c r="AE337" i="5"/>
  <c r="AD337" i="5"/>
  <c r="AC337" i="5"/>
  <c r="AB337" i="5"/>
  <c r="AA337" i="5"/>
  <c r="Z337" i="5"/>
  <c r="Y337" i="5"/>
  <c r="X337" i="5"/>
  <c r="W337" i="5"/>
  <c r="V337" i="5"/>
  <c r="U337" i="5"/>
  <c r="T337" i="5"/>
  <c r="S337" i="5"/>
  <c r="R337" i="5"/>
  <c r="Q337" i="5"/>
  <c r="P337" i="5"/>
  <c r="O337" i="5"/>
  <c r="N337" i="5"/>
  <c r="M337" i="5"/>
  <c r="L337" i="5"/>
  <c r="K337" i="5"/>
  <c r="J337" i="5"/>
  <c r="I337" i="5"/>
  <c r="H337" i="5"/>
  <c r="G337" i="5"/>
  <c r="F337" i="5"/>
  <c r="E337" i="5"/>
  <c r="AV336" i="5"/>
  <c r="AU336" i="5"/>
  <c r="AT336" i="5"/>
  <c r="AS336" i="5"/>
  <c r="AR336" i="5"/>
  <c r="AQ336" i="5"/>
  <c r="AP336" i="5"/>
  <c r="AO336" i="5"/>
  <c r="AN336" i="5"/>
  <c r="AM336" i="5"/>
  <c r="AL336" i="5"/>
  <c r="AK336" i="5"/>
  <c r="AJ336" i="5"/>
  <c r="AI336" i="5"/>
  <c r="AH336" i="5"/>
  <c r="AG336" i="5"/>
  <c r="AF336" i="5"/>
  <c r="AE336" i="5"/>
  <c r="AD336" i="5"/>
  <c r="AC336" i="5"/>
  <c r="AB336" i="5"/>
  <c r="AA336" i="5"/>
  <c r="Z336" i="5"/>
  <c r="Y336" i="5"/>
  <c r="X336" i="5"/>
  <c r="W336" i="5"/>
  <c r="V336" i="5"/>
  <c r="U336" i="5"/>
  <c r="T336" i="5"/>
  <c r="S336" i="5"/>
  <c r="R336" i="5"/>
  <c r="Q336" i="5"/>
  <c r="P336" i="5"/>
  <c r="O336" i="5"/>
  <c r="N336" i="5"/>
  <c r="M336" i="5"/>
  <c r="L336" i="5"/>
  <c r="K336" i="5"/>
  <c r="J336" i="5"/>
  <c r="I336" i="5"/>
  <c r="H336" i="5"/>
  <c r="G336" i="5"/>
  <c r="F336" i="5"/>
  <c r="E336" i="5"/>
  <c r="AV335" i="5"/>
  <c r="AU335" i="5"/>
  <c r="AT335" i="5"/>
  <c r="AS335" i="5"/>
  <c r="AR335" i="5"/>
  <c r="AQ335" i="5"/>
  <c r="AP335" i="5"/>
  <c r="AO335" i="5"/>
  <c r="AN335" i="5"/>
  <c r="AM335" i="5"/>
  <c r="AL335" i="5"/>
  <c r="AK335" i="5"/>
  <c r="AJ335" i="5"/>
  <c r="AI335" i="5"/>
  <c r="AH335" i="5"/>
  <c r="AG335" i="5"/>
  <c r="AF335" i="5"/>
  <c r="AE335" i="5"/>
  <c r="AD335" i="5"/>
  <c r="AC335" i="5"/>
  <c r="AB335" i="5"/>
  <c r="AA335" i="5"/>
  <c r="Z335" i="5"/>
  <c r="Y335" i="5"/>
  <c r="X335" i="5"/>
  <c r="W335" i="5"/>
  <c r="V335" i="5"/>
  <c r="U335" i="5"/>
  <c r="T335" i="5"/>
  <c r="S335" i="5"/>
  <c r="R335" i="5"/>
  <c r="Q335" i="5"/>
  <c r="P335" i="5"/>
  <c r="O335" i="5"/>
  <c r="N335" i="5"/>
  <c r="M335" i="5"/>
  <c r="L335" i="5"/>
  <c r="K335" i="5"/>
  <c r="J335" i="5"/>
  <c r="I335" i="5"/>
  <c r="H335" i="5"/>
  <c r="G335" i="5"/>
  <c r="F335" i="5"/>
  <c r="E335" i="5"/>
  <c r="AV334" i="5"/>
  <c r="AU334" i="5"/>
  <c r="AT334" i="5"/>
  <c r="AS334" i="5"/>
  <c r="AR334" i="5"/>
  <c r="AQ334" i="5"/>
  <c r="AP334" i="5"/>
  <c r="AO334" i="5"/>
  <c r="AN334" i="5"/>
  <c r="AM334" i="5"/>
  <c r="AL334" i="5"/>
  <c r="AK334" i="5"/>
  <c r="AJ334" i="5"/>
  <c r="AI334" i="5"/>
  <c r="AH334" i="5"/>
  <c r="AG334" i="5"/>
  <c r="AF334" i="5"/>
  <c r="AE334" i="5"/>
  <c r="AD334" i="5"/>
  <c r="AC334" i="5"/>
  <c r="AB334" i="5"/>
  <c r="AA334" i="5"/>
  <c r="Z334" i="5"/>
  <c r="Y334" i="5"/>
  <c r="X334" i="5"/>
  <c r="W334" i="5"/>
  <c r="V334" i="5"/>
  <c r="U334" i="5"/>
  <c r="T334" i="5"/>
  <c r="S334" i="5"/>
  <c r="R334" i="5"/>
  <c r="Q334" i="5"/>
  <c r="P334" i="5"/>
  <c r="O334" i="5"/>
  <c r="N334" i="5"/>
  <c r="M334" i="5"/>
  <c r="L334" i="5"/>
  <c r="K334" i="5"/>
  <c r="J334" i="5"/>
  <c r="I334" i="5"/>
  <c r="H334" i="5"/>
  <c r="G334" i="5"/>
  <c r="F334" i="5"/>
  <c r="E334" i="5"/>
  <c r="AV333" i="5"/>
  <c r="AU333" i="5"/>
  <c r="AT333" i="5"/>
  <c r="AS333" i="5"/>
  <c r="AR333" i="5"/>
  <c r="AQ333" i="5"/>
  <c r="AP333" i="5"/>
  <c r="AO333" i="5"/>
  <c r="AN333" i="5"/>
  <c r="AM333" i="5"/>
  <c r="AL333" i="5"/>
  <c r="AK333" i="5"/>
  <c r="AJ333" i="5"/>
  <c r="AI333" i="5"/>
  <c r="AH333" i="5"/>
  <c r="AG333" i="5"/>
  <c r="AF333" i="5"/>
  <c r="AE333" i="5"/>
  <c r="AD333" i="5"/>
  <c r="AC333" i="5"/>
  <c r="AB333" i="5"/>
  <c r="AA333" i="5"/>
  <c r="Z333" i="5"/>
  <c r="Y333" i="5"/>
  <c r="X333" i="5"/>
  <c r="W333" i="5"/>
  <c r="V333" i="5"/>
  <c r="U333" i="5"/>
  <c r="T333" i="5"/>
  <c r="S333" i="5"/>
  <c r="R333" i="5"/>
  <c r="Q333" i="5"/>
  <c r="P333" i="5"/>
  <c r="O333" i="5"/>
  <c r="N333" i="5"/>
  <c r="M333" i="5"/>
  <c r="L333" i="5"/>
  <c r="K333" i="5"/>
  <c r="J333" i="5"/>
  <c r="I333" i="5"/>
  <c r="H333" i="5"/>
  <c r="G333" i="5"/>
  <c r="F333" i="5"/>
  <c r="E333" i="5"/>
  <c r="AV332" i="5"/>
  <c r="AU332" i="5"/>
  <c r="AT332" i="5"/>
  <c r="AS332" i="5"/>
  <c r="AR332" i="5"/>
  <c r="AQ332" i="5"/>
  <c r="AP332" i="5"/>
  <c r="AO332" i="5"/>
  <c r="AN332" i="5"/>
  <c r="AM332" i="5"/>
  <c r="AL332" i="5"/>
  <c r="AK332" i="5"/>
  <c r="AJ332" i="5"/>
  <c r="AI332" i="5"/>
  <c r="AH332" i="5"/>
  <c r="AG332" i="5"/>
  <c r="AF332" i="5"/>
  <c r="AE332" i="5"/>
  <c r="AD332" i="5"/>
  <c r="AC332" i="5"/>
  <c r="AB332" i="5"/>
  <c r="AA332" i="5"/>
  <c r="Z332" i="5"/>
  <c r="Y332" i="5"/>
  <c r="X332" i="5"/>
  <c r="W332" i="5"/>
  <c r="V332" i="5"/>
  <c r="U332" i="5"/>
  <c r="T332" i="5"/>
  <c r="S332" i="5"/>
  <c r="R332" i="5"/>
  <c r="Q332" i="5"/>
  <c r="P332" i="5"/>
  <c r="O332" i="5"/>
  <c r="N332" i="5"/>
  <c r="M332" i="5"/>
  <c r="L332" i="5"/>
  <c r="K332" i="5"/>
  <c r="J332" i="5"/>
  <c r="I332" i="5"/>
  <c r="H332" i="5"/>
  <c r="G332" i="5"/>
  <c r="F332" i="5"/>
  <c r="E332" i="5"/>
  <c r="AV331" i="5"/>
  <c r="AU331" i="5"/>
  <c r="AT331" i="5"/>
  <c r="AS331" i="5"/>
  <c r="AR331" i="5"/>
  <c r="AQ331" i="5"/>
  <c r="AP331" i="5"/>
  <c r="AO331" i="5"/>
  <c r="AN331" i="5"/>
  <c r="AM331" i="5"/>
  <c r="AL331" i="5"/>
  <c r="AK331" i="5"/>
  <c r="AJ331" i="5"/>
  <c r="AI331" i="5"/>
  <c r="AH331" i="5"/>
  <c r="AG331" i="5"/>
  <c r="AF331" i="5"/>
  <c r="AE331" i="5"/>
  <c r="AD331" i="5"/>
  <c r="AC331" i="5"/>
  <c r="AB331" i="5"/>
  <c r="AA331" i="5"/>
  <c r="Z331" i="5"/>
  <c r="Y331" i="5"/>
  <c r="X331" i="5"/>
  <c r="W331" i="5"/>
  <c r="V331" i="5"/>
  <c r="U331" i="5"/>
  <c r="T331" i="5"/>
  <c r="S331" i="5"/>
  <c r="R331" i="5"/>
  <c r="Q331" i="5"/>
  <c r="P331" i="5"/>
  <c r="O331" i="5"/>
  <c r="N331" i="5"/>
  <c r="M331" i="5"/>
  <c r="L331" i="5"/>
  <c r="K331" i="5"/>
  <c r="J331" i="5"/>
  <c r="I331" i="5"/>
  <c r="H331" i="5"/>
  <c r="G331" i="5"/>
  <c r="F331" i="5"/>
  <c r="E331" i="5"/>
  <c r="AV330" i="5"/>
  <c r="AU330" i="5"/>
  <c r="AT330" i="5"/>
  <c r="AS330" i="5"/>
  <c r="AR330" i="5"/>
  <c r="AQ330" i="5"/>
  <c r="AP330" i="5"/>
  <c r="AO330" i="5"/>
  <c r="AN330" i="5"/>
  <c r="AM330" i="5"/>
  <c r="AL330" i="5"/>
  <c r="AK330" i="5"/>
  <c r="AJ330" i="5"/>
  <c r="AI330" i="5"/>
  <c r="AH330" i="5"/>
  <c r="AG330" i="5"/>
  <c r="AF330" i="5"/>
  <c r="AE330" i="5"/>
  <c r="AD330" i="5"/>
  <c r="AC330" i="5"/>
  <c r="AB330" i="5"/>
  <c r="AA330" i="5"/>
  <c r="Z330" i="5"/>
  <c r="Y330" i="5"/>
  <c r="X330" i="5"/>
  <c r="W330" i="5"/>
  <c r="V330" i="5"/>
  <c r="U330" i="5"/>
  <c r="T330" i="5"/>
  <c r="S330" i="5"/>
  <c r="R330" i="5"/>
  <c r="Q330" i="5"/>
  <c r="P330" i="5"/>
  <c r="O330" i="5"/>
  <c r="N330" i="5"/>
  <c r="M330" i="5"/>
  <c r="L330" i="5"/>
  <c r="K330" i="5"/>
  <c r="J330" i="5"/>
  <c r="I330" i="5"/>
  <c r="H330" i="5"/>
  <c r="G330" i="5"/>
  <c r="F330" i="5"/>
  <c r="E330" i="5"/>
  <c r="AV329" i="5"/>
  <c r="AU329" i="5"/>
  <c r="AT329" i="5"/>
  <c r="AS329" i="5"/>
  <c r="AR329" i="5"/>
  <c r="AQ329" i="5"/>
  <c r="AP329" i="5"/>
  <c r="AO329" i="5"/>
  <c r="AN329" i="5"/>
  <c r="AM329" i="5"/>
  <c r="AL329" i="5"/>
  <c r="AK329" i="5"/>
  <c r="AJ329" i="5"/>
  <c r="AI329" i="5"/>
  <c r="AH329" i="5"/>
  <c r="AG329" i="5"/>
  <c r="AF329" i="5"/>
  <c r="AE329" i="5"/>
  <c r="AD329" i="5"/>
  <c r="AC329" i="5"/>
  <c r="AB329" i="5"/>
  <c r="AA329" i="5"/>
  <c r="Z329" i="5"/>
  <c r="Y329" i="5"/>
  <c r="X329" i="5"/>
  <c r="W329" i="5"/>
  <c r="V329" i="5"/>
  <c r="U329" i="5"/>
  <c r="T329" i="5"/>
  <c r="S329" i="5"/>
  <c r="R329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AV328" i="5"/>
  <c r="AU328" i="5"/>
  <c r="AT328" i="5"/>
  <c r="AS328" i="5"/>
  <c r="AR328" i="5"/>
  <c r="AQ328" i="5"/>
  <c r="AP328" i="5"/>
  <c r="AO328" i="5"/>
  <c r="AN328" i="5"/>
  <c r="AM328" i="5"/>
  <c r="AL328" i="5"/>
  <c r="AK328" i="5"/>
  <c r="AJ328" i="5"/>
  <c r="AI328" i="5"/>
  <c r="AH328" i="5"/>
  <c r="AG328" i="5"/>
  <c r="AF328" i="5"/>
  <c r="AE328" i="5"/>
  <c r="AD328" i="5"/>
  <c r="AC328" i="5"/>
  <c r="AB328" i="5"/>
  <c r="AA328" i="5"/>
  <c r="Z328" i="5"/>
  <c r="Y328" i="5"/>
  <c r="X328" i="5"/>
  <c r="W328" i="5"/>
  <c r="V328" i="5"/>
  <c r="U328" i="5"/>
  <c r="T328" i="5"/>
  <c r="S328" i="5"/>
  <c r="R328" i="5"/>
  <c r="Q328" i="5"/>
  <c r="P328" i="5"/>
  <c r="O328" i="5"/>
  <c r="N328" i="5"/>
  <c r="M328" i="5"/>
  <c r="L328" i="5"/>
  <c r="K328" i="5"/>
  <c r="J328" i="5"/>
  <c r="I328" i="5"/>
  <c r="H328" i="5"/>
  <c r="G328" i="5"/>
  <c r="F328" i="5"/>
  <c r="E328" i="5"/>
  <c r="AV327" i="5"/>
  <c r="AU327" i="5"/>
  <c r="AT327" i="5"/>
  <c r="AS327" i="5"/>
  <c r="AR327" i="5"/>
  <c r="AQ327" i="5"/>
  <c r="AP327" i="5"/>
  <c r="AO327" i="5"/>
  <c r="AN327" i="5"/>
  <c r="AM327" i="5"/>
  <c r="AL327" i="5"/>
  <c r="AK327" i="5"/>
  <c r="AJ327" i="5"/>
  <c r="AI327" i="5"/>
  <c r="AH327" i="5"/>
  <c r="AG327" i="5"/>
  <c r="AF327" i="5"/>
  <c r="AE327" i="5"/>
  <c r="AD327" i="5"/>
  <c r="AC327" i="5"/>
  <c r="AB327" i="5"/>
  <c r="AA327" i="5"/>
  <c r="Z327" i="5"/>
  <c r="Y327" i="5"/>
  <c r="X327" i="5"/>
  <c r="W327" i="5"/>
  <c r="V327" i="5"/>
  <c r="U327" i="5"/>
  <c r="T327" i="5"/>
  <c r="S327" i="5"/>
  <c r="R327" i="5"/>
  <c r="Q327" i="5"/>
  <c r="P327" i="5"/>
  <c r="O327" i="5"/>
  <c r="N327" i="5"/>
  <c r="M327" i="5"/>
  <c r="L327" i="5"/>
  <c r="K327" i="5"/>
  <c r="J327" i="5"/>
  <c r="I327" i="5"/>
  <c r="H327" i="5"/>
  <c r="G327" i="5"/>
  <c r="F327" i="5"/>
  <c r="E327" i="5"/>
  <c r="AV326" i="5"/>
  <c r="AU326" i="5"/>
  <c r="AT326" i="5"/>
  <c r="AS326" i="5"/>
  <c r="AR326" i="5"/>
  <c r="AQ326" i="5"/>
  <c r="AP326" i="5"/>
  <c r="AO326" i="5"/>
  <c r="AN326" i="5"/>
  <c r="AM326" i="5"/>
  <c r="AL326" i="5"/>
  <c r="AK326" i="5"/>
  <c r="AJ326" i="5"/>
  <c r="AI326" i="5"/>
  <c r="AH326" i="5"/>
  <c r="AG326" i="5"/>
  <c r="AF326" i="5"/>
  <c r="AE326" i="5"/>
  <c r="AD326" i="5"/>
  <c r="AC326" i="5"/>
  <c r="AB326" i="5"/>
  <c r="AA326" i="5"/>
  <c r="Z326" i="5"/>
  <c r="Y326" i="5"/>
  <c r="X326" i="5"/>
  <c r="W326" i="5"/>
  <c r="V326" i="5"/>
  <c r="U326" i="5"/>
  <c r="T326" i="5"/>
  <c r="S326" i="5"/>
  <c r="R326" i="5"/>
  <c r="Q326" i="5"/>
  <c r="P326" i="5"/>
  <c r="O326" i="5"/>
  <c r="N326" i="5"/>
  <c r="M326" i="5"/>
  <c r="L326" i="5"/>
  <c r="K326" i="5"/>
  <c r="J326" i="5"/>
  <c r="I326" i="5"/>
  <c r="H326" i="5"/>
  <c r="G326" i="5"/>
  <c r="F326" i="5"/>
  <c r="E326" i="5"/>
  <c r="AV325" i="5"/>
  <c r="AU325" i="5"/>
  <c r="AT325" i="5"/>
  <c r="AS325" i="5"/>
  <c r="AR325" i="5"/>
  <c r="AQ325" i="5"/>
  <c r="AP325" i="5"/>
  <c r="AO325" i="5"/>
  <c r="AN325" i="5"/>
  <c r="AM325" i="5"/>
  <c r="AL325" i="5"/>
  <c r="AK325" i="5"/>
  <c r="AJ325" i="5"/>
  <c r="AI325" i="5"/>
  <c r="AH325" i="5"/>
  <c r="AG325" i="5"/>
  <c r="AF325" i="5"/>
  <c r="AE325" i="5"/>
  <c r="AD325" i="5"/>
  <c r="AC325" i="5"/>
  <c r="AB325" i="5"/>
  <c r="AA325" i="5"/>
  <c r="Z325" i="5"/>
  <c r="Y325" i="5"/>
  <c r="X325" i="5"/>
  <c r="W325" i="5"/>
  <c r="V325" i="5"/>
  <c r="U325" i="5"/>
  <c r="T325" i="5"/>
  <c r="S325" i="5"/>
  <c r="R325" i="5"/>
  <c r="Q325" i="5"/>
  <c r="P325" i="5"/>
  <c r="O325" i="5"/>
  <c r="N325" i="5"/>
  <c r="M325" i="5"/>
  <c r="L325" i="5"/>
  <c r="K325" i="5"/>
  <c r="J325" i="5"/>
  <c r="I325" i="5"/>
  <c r="H325" i="5"/>
  <c r="G325" i="5"/>
  <c r="F325" i="5"/>
  <c r="E325" i="5"/>
  <c r="AV324" i="5"/>
  <c r="AU324" i="5"/>
  <c r="AT324" i="5"/>
  <c r="AS324" i="5"/>
  <c r="AR324" i="5"/>
  <c r="AQ324" i="5"/>
  <c r="AP324" i="5"/>
  <c r="AO324" i="5"/>
  <c r="AN324" i="5"/>
  <c r="AM324" i="5"/>
  <c r="AL324" i="5"/>
  <c r="AK324" i="5"/>
  <c r="AJ324" i="5"/>
  <c r="AI324" i="5"/>
  <c r="AH324" i="5"/>
  <c r="AG324" i="5"/>
  <c r="AF324" i="5"/>
  <c r="AE324" i="5"/>
  <c r="AD324" i="5"/>
  <c r="AC324" i="5"/>
  <c r="AB324" i="5"/>
  <c r="AA324" i="5"/>
  <c r="Z324" i="5"/>
  <c r="Y324" i="5"/>
  <c r="X324" i="5"/>
  <c r="W324" i="5"/>
  <c r="V324" i="5"/>
  <c r="U324" i="5"/>
  <c r="T324" i="5"/>
  <c r="S324" i="5"/>
  <c r="R324" i="5"/>
  <c r="Q324" i="5"/>
  <c r="P324" i="5"/>
  <c r="O324" i="5"/>
  <c r="N324" i="5"/>
  <c r="M324" i="5"/>
  <c r="L324" i="5"/>
  <c r="K324" i="5"/>
  <c r="J324" i="5"/>
  <c r="I324" i="5"/>
  <c r="H324" i="5"/>
  <c r="G324" i="5"/>
  <c r="F324" i="5"/>
  <c r="E324" i="5"/>
  <c r="AV323" i="5"/>
  <c r="AU323" i="5"/>
  <c r="AT323" i="5"/>
  <c r="AS323" i="5"/>
  <c r="AR323" i="5"/>
  <c r="AQ323" i="5"/>
  <c r="AP323" i="5"/>
  <c r="AO323" i="5"/>
  <c r="AN323" i="5"/>
  <c r="AM323" i="5"/>
  <c r="AL323" i="5"/>
  <c r="AK323" i="5"/>
  <c r="AJ323" i="5"/>
  <c r="AI323" i="5"/>
  <c r="AH323" i="5"/>
  <c r="AG323" i="5"/>
  <c r="AF323" i="5"/>
  <c r="AE323" i="5"/>
  <c r="AD323" i="5"/>
  <c r="AC323" i="5"/>
  <c r="AB323" i="5"/>
  <c r="AA323" i="5"/>
  <c r="Z323" i="5"/>
  <c r="Y323" i="5"/>
  <c r="X323" i="5"/>
  <c r="W323" i="5"/>
  <c r="V323" i="5"/>
  <c r="U323" i="5"/>
  <c r="T323" i="5"/>
  <c r="S323" i="5"/>
  <c r="R323" i="5"/>
  <c r="Q323" i="5"/>
  <c r="P323" i="5"/>
  <c r="O323" i="5"/>
  <c r="N323" i="5"/>
  <c r="M323" i="5"/>
  <c r="L323" i="5"/>
  <c r="K323" i="5"/>
  <c r="J323" i="5"/>
  <c r="I323" i="5"/>
  <c r="H323" i="5"/>
  <c r="G323" i="5"/>
  <c r="F323" i="5"/>
  <c r="E323" i="5"/>
  <c r="AV322" i="5"/>
  <c r="AU322" i="5"/>
  <c r="AT322" i="5"/>
  <c r="AS322" i="5"/>
  <c r="AR322" i="5"/>
  <c r="AQ322" i="5"/>
  <c r="AP322" i="5"/>
  <c r="AO322" i="5"/>
  <c r="AN322" i="5"/>
  <c r="AM322" i="5"/>
  <c r="AL322" i="5"/>
  <c r="AK322" i="5"/>
  <c r="AJ322" i="5"/>
  <c r="AI322" i="5"/>
  <c r="AH322" i="5"/>
  <c r="AG322" i="5"/>
  <c r="AF322" i="5"/>
  <c r="AE322" i="5"/>
  <c r="AD322" i="5"/>
  <c r="AC322" i="5"/>
  <c r="AB322" i="5"/>
  <c r="AA322" i="5"/>
  <c r="Z322" i="5"/>
  <c r="Y322" i="5"/>
  <c r="X322" i="5"/>
  <c r="W322" i="5"/>
  <c r="V322" i="5"/>
  <c r="U322" i="5"/>
  <c r="T322" i="5"/>
  <c r="S322" i="5"/>
  <c r="R322" i="5"/>
  <c r="Q322" i="5"/>
  <c r="P322" i="5"/>
  <c r="O322" i="5"/>
  <c r="N322" i="5"/>
  <c r="M322" i="5"/>
  <c r="L322" i="5"/>
  <c r="K322" i="5"/>
  <c r="J322" i="5"/>
  <c r="I322" i="5"/>
  <c r="H322" i="5"/>
  <c r="G322" i="5"/>
  <c r="F322" i="5"/>
  <c r="E322" i="5"/>
  <c r="AV321" i="5"/>
  <c r="AU321" i="5"/>
  <c r="AT321" i="5"/>
  <c r="AS321" i="5"/>
  <c r="AR321" i="5"/>
  <c r="AQ321" i="5"/>
  <c r="AP321" i="5"/>
  <c r="AO321" i="5"/>
  <c r="AN321" i="5"/>
  <c r="AM321" i="5"/>
  <c r="AL321" i="5"/>
  <c r="AK321" i="5"/>
  <c r="AJ321" i="5"/>
  <c r="AI321" i="5"/>
  <c r="AH321" i="5"/>
  <c r="AG321" i="5"/>
  <c r="AF321" i="5"/>
  <c r="AE321" i="5"/>
  <c r="AD321" i="5"/>
  <c r="AC321" i="5"/>
  <c r="AB321" i="5"/>
  <c r="AA321" i="5"/>
  <c r="Z321" i="5"/>
  <c r="Y321" i="5"/>
  <c r="X321" i="5"/>
  <c r="W321" i="5"/>
  <c r="V321" i="5"/>
  <c r="U321" i="5"/>
  <c r="T321" i="5"/>
  <c r="S321" i="5"/>
  <c r="R321" i="5"/>
  <c r="Q321" i="5"/>
  <c r="P321" i="5"/>
  <c r="O321" i="5"/>
  <c r="N321" i="5"/>
  <c r="M321" i="5"/>
  <c r="L321" i="5"/>
  <c r="K321" i="5"/>
  <c r="J321" i="5"/>
  <c r="I321" i="5"/>
  <c r="H321" i="5"/>
  <c r="G321" i="5"/>
  <c r="F321" i="5"/>
  <c r="E321" i="5"/>
  <c r="AV320" i="5"/>
  <c r="AU320" i="5"/>
  <c r="AT320" i="5"/>
  <c r="AS320" i="5"/>
  <c r="AR320" i="5"/>
  <c r="AQ320" i="5"/>
  <c r="AP320" i="5"/>
  <c r="AO320" i="5"/>
  <c r="AN320" i="5"/>
  <c r="AM320" i="5"/>
  <c r="AL320" i="5"/>
  <c r="AK320" i="5"/>
  <c r="AJ320" i="5"/>
  <c r="AI320" i="5"/>
  <c r="AH320" i="5"/>
  <c r="AG320" i="5"/>
  <c r="AF320" i="5"/>
  <c r="AE320" i="5"/>
  <c r="AD320" i="5"/>
  <c r="AC320" i="5"/>
  <c r="AB320" i="5"/>
  <c r="AA320" i="5"/>
  <c r="Z320" i="5"/>
  <c r="Y320" i="5"/>
  <c r="X320" i="5"/>
  <c r="W320" i="5"/>
  <c r="V320" i="5"/>
  <c r="U320" i="5"/>
  <c r="T320" i="5"/>
  <c r="S320" i="5"/>
  <c r="R320" i="5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AV319" i="5"/>
  <c r="AU319" i="5"/>
  <c r="AT319" i="5"/>
  <c r="AS319" i="5"/>
  <c r="AR319" i="5"/>
  <c r="AQ319" i="5"/>
  <c r="AP319" i="5"/>
  <c r="AO319" i="5"/>
  <c r="AN319" i="5"/>
  <c r="AM319" i="5"/>
  <c r="AL319" i="5"/>
  <c r="AK319" i="5"/>
  <c r="AJ319" i="5"/>
  <c r="AI319" i="5"/>
  <c r="AH319" i="5"/>
  <c r="AG319" i="5"/>
  <c r="AF319" i="5"/>
  <c r="AE319" i="5"/>
  <c r="AD319" i="5"/>
  <c r="AC319" i="5"/>
  <c r="AB319" i="5"/>
  <c r="AA319" i="5"/>
  <c r="Z319" i="5"/>
  <c r="Y319" i="5"/>
  <c r="X319" i="5"/>
  <c r="W319" i="5"/>
  <c r="V319" i="5"/>
  <c r="U319" i="5"/>
  <c r="T319" i="5"/>
  <c r="S319" i="5"/>
  <c r="R319" i="5"/>
  <c r="Q319" i="5"/>
  <c r="P319" i="5"/>
  <c r="O319" i="5"/>
  <c r="N319" i="5"/>
  <c r="M319" i="5"/>
  <c r="L319" i="5"/>
  <c r="K319" i="5"/>
  <c r="J319" i="5"/>
  <c r="I319" i="5"/>
  <c r="H319" i="5"/>
  <c r="G319" i="5"/>
  <c r="F319" i="5"/>
  <c r="E319" i="5"/>
  <c r="AV318" i="5"/>
  <c r="AU318" i="5"/>
  <c r="AT318" i="5"/>
  <c r="AS318" i="5"/>
  <c r="AR318" i="5"/>
  <c r="AQ318" i="5"/>
  <c r="AP318" i="5"/>
  <c r="AO318" i="5"/>
  <c r="AN318" i="5"/>
  <c r="AM318" i="5"/>
  <c r="AL318" i="5"/>
  <c r="AK318" i="5"/>
  <c r="AJ318" i="5"/>
  <c r="AI318" i="5"/>
  <c r="AH318" i="5"/>
  <c r="AG318" i="5"/>
  <c r="AF318" i="5"/>
  <c r="AE318" i="5"/>
  <c r="AD318" i="5"/>
  <c r="AC318" i="5"/>
  <c r="AB318" i="5"/>
  <c r="AA318" i="5"/>
  <c r="Z318" i="5"/>
  <c r="Y318" i="5"/>
  <c r="X318" i="5"/>
  <c r="W318" i="5"/>
  <c r="V318" i="5"/>
  <c r="U318" i="5"/>
  <c r="T318" i="5"/>
  <c r="S318" i="5"/>
  <c r="R318" i="5"/>
  <c r="Q318" i="5"/>
  <c r="P318" i="5"/>
  <c r="O318" i="5"/>
  <c r="N318" i="5"/>
  <c r="M318" i="5"/>
  <c r="L318" i="5"/>
  <c r="K318" i="5"/>
  <c r="J318" i="5"/>
  <c r="I318" i="5"/>
  <c r="H318" i="5"/>
  <c r="G318" i="5"/>
  <c r="F318" i="5"/>
  <c r="E318" i="5"/>
  <c r="AV317" i="5"/>
  <c r="AU317" i="5"/>
  <c r="AT317" i="5"/>
  <c r="AS317" i="5"/>
  <c r="AR317" i="5"/>
  <c r="AQ317" i="5"/>
  <c r="AP317" i="5"/>
  <c r="AO317" i="5"/>
  <c r="AN317" i="5"/>
  <c r="AM317" i="5"/>
  <c r="AL317" i="5"/>
  <c r="AK317" i="5"/>
  <c r="AJ317" i="5"/>
  <c r="AI317" i="5"/>
  <c r="AH317" i="5"/>
  <c r="AG317" i="5"/>
  <c r="AF317" i="5"/>
  <c r="AE317" i="5"/>
  <c r="AD317" i="5"/>
  <c r="AC317" i="5"/>
  <c r="AB317" i="5"/>
  <c r="AA317" i="5"/>
  <c r="Z317" i="5"/>
  <c r="Y317" i="5"/>
  <c r="X317" i="5"/>
  <c r="W317" i="5"/>
  <c r="V317" i="5"/>
  <c r="U317" i="5"/>
  <c r="T317" i="5"/>
  <c r="S317" i="5"/>
  <c r="R317" i="5"/>
  <c r="Q317" i="5"/>
  <c r="P317" i="5"/>
  <c r="O317" i="5"/>
  <c r="N317" i="5"/>
  <c r="M317" i="5"/>
  <c r="L317" i="5"/>
  <c r="K317" i="5"/>
  <c r="J317" i="5"/>
  <c r="I317" i="5"/>
  <c r="H317" i="5"/>
  <c r="G317" i="5"/>
  <c r="F317" i="5"/>
  <c r="E317" i="5"/>
  <c r="AV316" i="5"/>
  <c r="AU316" i="5"/>
  <c r="AT316" i="5"/>
  <c r="AS316" i="5"/>
  <c r="AR316" i="5"/>
  <c r="AQ316" i="5"/>
  <c r="AP316" i="5"/>
  <c r="AO316" i="5"/>
  <c r="AN316" i="5"/>
  <c r="AM316" i="5"/>
  <c r="AL316" i="5"/>
  <c r="AK316" i="5"/>
  <c r="AJ316" i="5"/>
  <c r="AI316" i="5"/>
  <c r="AH316" i="5"/>
  <c r="AG316" i="5"/>
  <c r="AF316" i="5"/>
  <c r="AE316" i="5"/>
  <c r="AD316" i="5"/>
  <c r="AC316" i="5"/>
  <c r="AB316" i="5"/>
  <c r="AA316" i="5"/>
  <c r="Z316" i="5"/>
  <c r="Y316" i="5"/>
  <c r="X316" i="5"/>
  <c r="W316" i="5"/>
  <c r="V316" i="5"/>
  <c r="U316" i="5"/>
  <c r="T316" i="5"/>
  <c r="S316" i="5"/>
  <c r="R316" i="5"/>
  <c r="Q316" i="5"/>
  <c r="P316" i="5"/>
  <c r="O316" i="5"/>
  <c r="N316" i="5"/>
  <c r="M316" i="5"/>
  <c r="L316" i="5"/>
  <c r="K316" i="5"/>
  <c r="J316" i="5"/>
  <c r="I316" i="5"/>
  <c r="H316" i="5"/>
  <c r="G316" i="5"/>
  <c r="F316" i="5"/>
  <c r="E316" i="5"/>
  <c r="AV315" i="5"/>
  <c r="AU315" i="5"/>
  <c r="AT315" i="5"/>
  <c r="AS315" i="5"/>
  <c r="AR315" i="5"/>
  <c r="AQ315" i="5"/>
  <c r="AP315" i="5"/>
  <c r="AO315" i="5"/>
  <c r="AN315" i="5"/>
  <c r="AM315" i="5"/>
  <c r="AL315" i="5"/>
  <c r="AK315" i="5"/>
  <c r="AJ315" i="5"/>
  <c r="AI315" i="5"/>
  <c r="AH315" i="5"/>
  <c r="AG315" i="5"/>
  <c r="AF315" i="5"/>
  <c r="AE315" i="5"/>
  <c r="AD315" i="5"/>
  <c r="AC315" i="5"/>
  <c r="AB315" i="5"/>
  <c r="AA315" i="5"/>
  <c r="Z315" i="5"/>
  <c r="Y315" i="5"/>
  <c r="X315" i="5"/>
  <c r="W315" i="5"/>
  <c r="V315" i="5"/>
  <c r="U315" i="5"/>
  <c r="T315" i="5"/>
  <c r="S315" i="5"/>
  <c r="R315" i="5"/>
  <c r="Q315" i="5"/>
  <c r="P315" i="5"/>
  <c r="O315" i="5"/>
  <c r="N315" i="5"/>
  <c r="M315" i="5"/>
  <c r="L315" i="5"/>
  <c r="K315" i="5"/>
  <c r="J315" i="5"/>
  <c r="I315" i="5"/>
  <c r="H315" i="5"/>
  <c r="G315" i="5"/>
  <c r="F315" i="5"/>
  <c r="E315" i="5"/>
  <c r="AV314" i="5"/>
  <c r="AU314" i="5"/>
  <c r="AT314" i="5"/>
  <c r="AS314" i="5"/>
  <c r="AR314" i="5"/>
  <c r="AQ314" i="5"/>
  <c r="AP314" i="5"/>
  <c r="AO314" i="5"/>
  <c r="AN314" i="5"/>
  <c r="AM314" i="5"/>
  <c r="AL314" i="5"/>
  <c r="AK314" i="5"/>
  <c r="AJ314" i="5"/>
  <c r="AI314" i="5"/>
  <c r="AH314" i="5"/>
  <c r="AG314" i="5"/>
  <c r="AF314" i="5"/>
  <c r="AE314" i="5"/>
  <c r="AD314" i="5"/>
  <c r="AC314" i="5"/>
  <c r="AB314" i="5"/>
  <c r="AA314" i="5"/>
  <c r="Z314" i="5"/>
  <c r="Y314" i="5"/>
  <c r="X314" i="5"/>
  <c r="W314" i="5"/>
  <c r="V314" i="5"/>
  <c r="U314" i="5"/>
  <c r="T314" i="5"/>
  <c r="S314" i="5"/>
  <c r="R314" i="5"/>
  <c r="Q314" i="5"/>
  <c r="P314" i="5"/>
  <c r="O314" i="5"/>
  <c r="N314" i="5"/>
  <c r="M314" i="5"/>
  <c r="L314" i="5"/>
  <c r="K314" i="5"/>
  <c r="J314" i="5"/>
  <c r="I314" i="5"/>
  <c r="H314" i="5"/>
  <c r="G314" i="5"/>
  <c r="F314" i="5"/>
  <c r="E314" i="5"/>
  <c r="AV313" i="5"/>
  <c r="AU313" i="5"/>
  <c r="AT313" i="5"/>
  <c r="AS313" i="5"/>
  <c r="AR313" i="5"/>
  <c r="AQ313" i="5"/>
  <c r="AP313" i="5"/>
  <c r="AO313" i="5"/>
  <c r="AN313" i="5"/>
  <c r="AM313" i="5"/>
  <c r="AL313" i="5"/>
  <c r="AK313" i="5"/>
  <c r="AJ313" i="5"/>
  <c r="AI313" i="5"/>
  <c r="AH313" i="5"/>
  <c r="AG313" i="5"/>
  <c r="AF313" i="5"/>
  <c r="AE313" i="5"/>
  <c r="AD313" i="5"/>
  <c r="AC313" i="5"/>
  <c r="AB313" i="5"/>
  <c r="AA313" i="5"/>
  <c r="Z313" i="5"/>
  <c r="Y313" i="5"/>
  <c r="X313" i="5"/>
  <c r="W313" i="5"/>
  <c r="V313" i="5"/>
  <c r="U313" i="5"/>
  <c r="T313" i="5"/>
  <c r="S313" i="5"/>
  <c r="R313" i="5"/>
  <c r="Q313" i="5"/>
  <c r="P313" i="5"/>
  <c r="O313" i="5"/>
  <c r="N313" i="5"/>
  <c r="M313" i="5"/>
  <c r="L313" i="5"/>
  <c r="K313" i="5"/>
  <c r="J313" i="5"/>
  <c r="I313" i="5"/>
  <c r="H313" i="5"/>
  <c r="G313" i="5"/>
  <c r="F313" i="5"/>
  <c r="E313" i="5"/>
  <c r="AV312" i="5"/>
  <c r="AU312" i="5"/>
  <c r="AT312" i="5"/>
  <c r="AS312" i="5"/>
  <c r="AR312" i="5"/>
  <c r="AQ312" i="5"/>
  <c r="AP312" i="5"/>
  <c r="AO312" i="5"/>
  <c r="AN312" i="5"/>
  <c r="AM312" i="5"/>
  <c r="AL312" i="5"/>
  <c r="AK312" i="5"/>
  <c r="AJ312" i="5"/>
  <c r="AI312" i="5"/>
  <c r="AH312" i="5"/>
  <c r="AG312" i="5"/>
  <c r="AF312" i="5"/>
  <c r="AE312" i="5"/>
  <c r="AD312" i="5"/>
  <c r="AC312" i="5"/>
  <c r="AB312" i="5"/>
  <c r="AA312" i="5"/>
  <c r="Z312" i="5"/>
  <c r="Y312" i="5"/>
  <c r="X312" i="5"/>
  <c r="W312" i="5"/>
  <c r="V312" i="5"/>
  <c r="U312" i="5"/>
  <c r="T312" i="5"/>
  <c r="S312" i="5"/>
  <c r="R312" i="5"/>
  <c r="Q312" i="5"/>
  <c r="P312" i="5"/>
  <c r="O312" i="5"/>
  <c r="N312" i="5"/>
  <c r="M312" i="5"/>
  <c r="L312" i="5"/>
  <c r="K312" i="5"/>
  <c r="J312" i="5"/>
  <c r="I312" i="5"/>
  <c r="H312" i="5"/>
  <c r="G312" i="5"/>
  <c r="F312" i="5"/>
  <c r="E312" i="5"/>
  <c r="AV311" i="5"/>
  <c r="AU311" i="5"/>
  <c r="AT311" i="5"/>
  <c r="AS311" i="5"/>
  <c r="AR311" i="5"/>
  <c r="AQ311" i="5"/>
  <c r="AP311" i="5"/>
  <c r="AO311" i="5"/>
  <c r="AN311" i="5"/>
  <c r="AM311" i="5"/>
  <c r="AL311" i="5"/>
  <c r="AK311" i="5"/>
  <c r="AJ311" i="5"/>
  <c r="AI311" i="5"/>
  <c r="AH311" i="5"/>
  <c r="AG311" i="5"/>
  <c r="AF311" i="5"/>
  <c r="AE311" i="5"/>
  <c r="AD311" i="5"/>
  <c r="AC311" i="5"/>
  <c r="AB311" i="5"/>
  <c r="AA311" i="5"/>
  <c r="Z311" i="5"/>
  <c r="Y311" i="5"/>
  <c r="X311" i="5"/>
  <c r="W311" i="5"/>
  <c r="V311" i="5"/>
  <c r="U311" i="5"/>
  <c r="T311" i="5"/>
  <c r="S311" i="5"/>
  <c r="R311" i="5"/>
  <c r="Q311" i="5"/>
  <c r="P311" i="5"/>
  <c r="O311" i="5"/>
  <c r="N311" i="5"/>
  <c r="M311" i="5"/>
  <c r="L311" i="5"/>
  <c r="K311" i="5"/>
  <c r="J311" i="5"/>
  <c r="I311" i="5"/>
  <c r="H311" i="5"/>
  <c r="G311" i="5"/>
  <c r="F311" i="5"/>
  <c r="E311" i="5"/>
  <c r="AV310" i="5"/>
  <c r="AU310" i="5"/>
  <c r="AT310" i="5"/>
  <c r="AS310" i="5"/>
  <c r="AR310" i="5"/>
  <c r="AQ310" i="5"/>
  <c r="AP310" i="5"/>
  <c r="AO310" i="5"/>
  <c r="AN310" i="5"/>
  <c r="AM310" i="5"/>
  <c r="AL310" i="5"/>
  <c r="AK310" i="5"/>
  <c r="AJ310" i="5"/>
  <c r="AI310" i="5"/>
  <c r="AH310" i="5"/>
  <c r="AG310" i="5"/>
  <c r="AF310" i="5"/>
  <c r="AE310" i="5"/>
  <c r="AD310" i="5"/>
  <c r="AC310" i="5"/>
  <c r="AB310" i="5"/>
  <c r="AA310" i="5"/>
  <c r="Z310" i="5"/>
  <c r="Y310" i="5"/>
  <c r="X310" i="5"/>
  <c r="W310" i="5"/>
  <c r="V310" i="5"/>
  <c r="U310" i="5"/>
  <c r="T310" i="5"/>
  <c r="S310" i="5"/>
  <c r="R310" i="5"/>
  <c r="Q310" i="5"/>
  <c r="P310" i="5"/>
  <c r="O310" i="5"/>
  <c r="N310" i="5"/>
  <c r="M310" i="5"/>
  <c r="L310" i="5"/>
  <c r="K310" i="5"/>
  <c r="J310" i="5"/>
  <c r="I310" i="5"/>
  <c r="H310" i="5"/>
  <c r="G310" i="5"/>
  <c r="F310" i="5"/>
  <c r="E310" i="5"/>
  <c r="AV309" i="5"/>
  <c r="AU309" i="5"/>
  <c r="AT309" i="5"/>
  <c r="AS309" i="5"/>
  <c r="AR309" i="5"/>
  <c r="AQ309" i="5"/>
  <c r="AP309" i="5"/>
  <c r="AO309" i="5"/>
  <c r="AN309" i="5"/>
  <c r="AM309" i="5"/>
  <c r="AL309" i="5"/>
  <c r="AK309" i="5"/>
  <c r="AJ309" i="5"/>
  <c r="AI309" i="5"/>
  <c r="AH309" i="5"/>
  <c r="AG309" i="5"/>
  <c r="AF309" i="5"/>
  <c r="AE309" i="5"/>
  <c r="AD309" i="5"/>
  <c r="AC309" i="5"/>
  <c r="AB309" i="5"/>
  <c r="AA309" i="5"/>
  <c r="Z309" i="5"/>
  <c r="Y309" i="5"/>
  <c r="X309" i="5"/>
  <c r="W309" i="5"/>
  <c r="V309" i="5"/>
  <c r="U309" i="5"/>
  <c r="T309" i="5"/>
  <c r="S309" i="5"/>
  <c r="R309" i="5"/>
  <c r="Q309" i="5"/>
  <c r="P309" i="5"/>
  <c r="O309" i="5"/>
  <c r="N309" i="5"/>
  <c r="M309" i="5"/>
  <c r="L309" i="5"/>
  <c r="K309" i="5"/>
  <c r="J309" i="5"/>
  <c r="I309" i="5"/>
  <c r="H309" i="5"/>
  <c r="G309" i="5"/>
  <c r="F309" i="5"/>
  <c r="E309" i="5"/>
  <c r="AV308" i="5"/>
  <c r="AU308" i="5"/>
  <c r="AT308" i="5"/>
  <c r="AS308" i="5"/>
  <c r="AR308" i="5"/>
  <c r="AQ308" i="5"/>
  <c r="AP308" i="5"/>
  <c r="AO308" i="5"/>
  <c r="AN308" i="5"/>
  <c r="AM308" i="5"/>
  <c r="AL308" i="5"/>
  <c r="AK308" i="5"/>
  <c r="AJ308" i="5"/>
  <c r="AI308" i="5"/>
  <c r="AH308" i="5"/>
  <c r="AG308" i="5"/>
  <c r="AF308" i="5"/>
  <c r="AE308" i="5"/>
  <c r="AD308" i="5"/>
  <c r="AC308" i="5"/>
  <c r="AB308" i="5"/>
  <c r="AA308" i="5"/>
  <c r="Z308" i="5"/>
  <c r="Y308" i="5"/>
  <c r="X308" i="5"/>
  <c r="W308" i="5"/>
  <c r="V308" i="5"/>
  <c r="U308" i="5"/>
  <c r="T308" i="5"/>
  <c r="S308" i="5"/>
  <c r="R308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AV307" i="5"/>
  <c r="AU307" i="5"/>
  <c r="AT307" i="5"/>
  <c r="AS307" i="5"/>
  <c r="AR307" i="5"/>
  <c r="AQ307" i="5"/>
  <c r="AP307" i="5"/>
  <c r="AO307" i="5"/>
  <c r="AN307" i="5"/>
  <c r="AM307" i="5"/>
  <c r="AL307" i="5"/>
  <c r="AK307" i="5"/>
  <c r="AJ307" i="5"/>
  <c r="AI307" i="5"/>
  <c r="AH307" i="5"/>
  <c r="AG307" i="5"/>
  <c r="AF307" i="5"/>
  <c r="AE307" i="5"/>
  <c r="AD307" i="5"/>
  <c r="AC307" i="5"/>
  <c r="AB307" i="5"/>
  <c r="AA307" i="5"/>
  <c r="Z307" i="5"/>
  <c r="Y307" i="5"/>
  <c r="X307" i="5"/>
  <c r="W307" i="5"/>
  <c r="V307" i="5"/>
  <c r="U307" i="5"/>
  <c r="T307" i="5"/>
  <c r="S307" i="5"/>
  <c r="R307" i="5"/>
  <c r="Q307" i="5"/>
  <c r="P307" i="5"/>
  <c r="O307" i="5"/>
  <c r="N307" i="5"/>
  <c r="M307" i="5"/>
  <c r="L307" i="5"/>
  <c r="K307" i="5"/>
  <c r="J307" i="5"/>
  <c r="I307" i="5"/>
  <c r="H307" i="5"/>
  <c r="G307" i="5"/>
  <c r="F307" i="5"/>
  <c r="E307" i="5"/>
  <c r="AV306" i="5"/>
  <c r="AU306" i="5"/>
  <c r="AT306" i="5"/>
  <c r="AS306" i="5"/>
  <c r="AR306" i="5"/>
  <c r="AQ306" i="5"/>
  <c r="AP306" i="5"/>
  <c r="AO306" i="5"/>
  <c r="AN306" i="5"/>
  <c r="AM306" i="5"/>
  <c r="AL306" i="5"/>
  <c r="AK306" i="5"/>
  <c r="AJ306" i="5"/>
  <c r="AI306" i="5"/>
  <c r="AH306" i="5"/>
  <c r="AG306" i="5"/>
  <c r="AF306" i="5"/>
  <c r="AE306" i="5"/>
  <c r="AD306" i="5"/>
  <c r="AC306" i="5"/>
  <c r="AB306" i="5"/>
  <c r="AA306" i="5"/>
  <c r="Z306" i="5"/>
  <c r="Y306" i="5"/>
  <c r="X306" i="5"/>
  <c r="W306" i="5"/>
  <c r="V306" i="5"/>
  <c r="U306" i="5"/>
  <c r="T306" i="5"/>
  <c r="S306" i="5"/>
  <c r="R306" i="5"/>
  <c r="Q306" i="5"/>
  <c r="P306" i="5"/>
  <c r="O306" i="5"/>
  <c r="N306" i="5"/>
  <c r="M306" i="5"/>
  <c r="L306" i="5"/>
  <c r="K306" i="5"/>
  <c r="J306" i="5"/>
  <c r="I306" i="5"/>
  <c r="H306" i="5"/>
  <c r="G306" i="5"/>
  <c r="F306" i="5"/>
  <c r="E306" i="5"/>
  <c r="AV305" i="5"/>
  <c r="AU305" i="5"/>
  <c r="AT305" i="5"/>
  <c r="AS305" i="5"/>
  <c r="AR305" i="5"/>
  <c r="AQ305" i="5"/>
  <c r="AP305" i="5"/>
  <c r="AO305" i="5"/>
  <c r="AN305" i="5"/>
  <c r="AM305" i="5"/>
  <c r="AL305" i="5"/>
  <c r="AK305" i="5"/>
  <c r="AJ305" i="5"/>
  <c r="AI305" i="5"/>
  <c r="AH305" i="5"/>
  <c r="AG305" i="5"/>
  <c r="AF305" i="5"/>
  <c r="AE305" i="5"/>
  <c r="AD305" i="5"/>
  <c r="AC305" i="5"/>
  <c r="AB305" i="5"/>
  <c r="AA305" i="5"/>
  <c r="Z305" i="5"/>
  <c r="Y305" i="5"/>
  <c r="X305" i="5"/>
  <c r="W305" i="5"/>
  <c r="V305" i="5"/>
  <c r="U305" i="5"/>
  <c r="T305" i="5"/>
  <c r="S305" i="5"/>
  <c r="R305" i="5"/>
  <c r="Q305" i="5"/>
  <c r="P305" i="5"/>
  <c r="O305" i="5"/>
  <c r="N305" i="5"/>
  <c r="M305" i="5"/>
  <c r="L305" i="5"/>
  <c r="K305" i="5"/>
  <c r="J305" i="5"/>
  <c r="I305" i="5"/>
  <c r="H305" i="5"/>
  <c r="G305" i="5"/>
  <c r="F305" i="5"/>
  <c r="E305" i="5"/>
  <c r="AV304" i="5"/>
  <c r="AU304" i="5"/>
  <c r="AT304" i="5"/>
  <c r="AS304" i="5"/>
  <c r="AR304" i="5"/>
  <c r="AQ304" i="5"/>
  <c r="AP304" i="5"/>
  <c r="AO304" i="5"/>
  <c r="AN304" i="5"/>
  <c r="AM304" i="5"/>
  <c r="AL304" i="5"/>
  <c r="AK304" i="5"/>
  <c r="AJ304" i="5"/>
  <c r="AI304" i="5"/>
  <c r="AH304" i="5"/>
  <c r="AG304" i="5"/>
  <c r="AF304" i="5"/>
  <c r="AE304" i="5"/>
  <c r="AD304" i="5"/>
  <c r="AC304" i="5"/>
  <c r="AB304" i="5"/>
  <c r="AA304" i="5"/>
  <c r="Z304" i="5"/>
  <c r="Y304" i="5"/>
  <c r="X304" i="5"/>
  <c r="W304" i="5"/>
  <c r="V304" i="5"/>
  <c r="U304" i="5"/>
  <c r="T304" i="5"/>
  <c r="S304" i="5"/>
  <c r="R304" i="5"/>
  <c r="Q304" i="5"/>
  <c r="P304" i="5"/>
  <c r="O304" i="5"/>
  <c r="N304" i="5"/>
  <c r="M304" i="5"/>
  <c r="L304" i="5"/>
  <c r="K304" i="5"/>
  <c r="J304" i="5"/>
  <c r="I304" i="5"/>
  <c r="H304" i="5"/>
  <c r="G304" i="5"/>
  <c r="F304" i="5"/>
  <c r="E304" i="5"/>
  <c r="AV303" i="5"/>
  <c r="AU303" i="5"/>
  <c r="AT303" i="5"/>
  <c r="AS303" i="5"/>
  <c r="AR303" i="5"/>
  <c r="AQ303" i="5"/>
  <c r="AP303" i="5"/>
  <c r="AO303" i="5"/>
  <c r="AN303" i="5"/>
  <c r="AM303" i="5"/>
  <c r="AL303" i="5"/>
  <c r="AK303" i="5"/>
  <c r="AJ303" i="5"/>
  <c r="AI303" i="5"/>
  <c r="AH303" i="5"/>
  <c r="AG303" i="5"/>
  <c r="AF303" i="5"/>
  <c r="AE303" i="5"/>
  <c r="AD303" i="5"/>
  <c r="AC303" i="5"/>
  <c r="AB303" i="5"/>
  <c r="AA303" i="5"/>
  <c r="Z303" i="5"/>
  <c r="Y303" i="5"/>
  <c r="X303" i="5"/>
  <c r="W303" i="5"/>
  <c r="V303" i="5"/>
  <c r="U303" i="5"/>
  <c r="T303" i="5"/>
  <c r="S303" i="5"/>
  <c r="R303" i="5"/>
  <c r="Q303" i="5"/>
  <c r="P303" i="5"/>
  <c r="O303" i="5"/>
  <c r="N303" i="5"/>
  <c r="M303" i="5"/>
  <c r="L303" i="5"/>
  <c r="K303" i="5"/>
  <c r="J303" i="5"/>
  <c r="I303" i="5"/>
  <c r="H303" i="5"/>
  <c r="G303" i="5"/>
  <c r="F303" i="5"/>
  <c r="E303" i="5"/>
  <c r="AV302" i="5"/>
  <c r="AU302" i="5"/>
  <c r="AT302" i="5"/>
  <c r="AS302" i="5"/>
  <c r="AR302" i="5"/>
  <c r="AQ302" i="5"/>
  <c r="AP302" i="5"/>
  <c r="AO302" i="5"/>
  <c r="AN302" i="5"/>
  <c r="AM302" i="5"/>
  <c r="AL302" i="5"/>
  <c r="AK302" i="5"/>
  <c r="AJ302" i="5"/>
  <c r="AI302" i="5"/>
  <c r="AH302" i="5"/>
  <c r="AG302" i="5"/>
  <c r="AF302" i="5"/>
  <c r="AE302" i="5"/>
  <c r="AD302" i="5"/>
  <c r="AC302" i="5"/>
  <c r="AB302" i="5"/>
  <c r="AA302" i="5"/>
  <c r="Z302" i="5"/>
  <c r="Y302" i="5"/>
  <c r="X302" i="5"/>
  <c r="W302" i="5"/>
  <c r="V302" i="5"/>
  <c r="U302" i="5"/>
  <c r="T302" i="5"/>
  <c r="S302" i="5"/>
  <c r="R302" i="5"/>
  <c r="Q302" i="5"/>
  <c r="P302" i="5"/>
  <c r="O302" i="5"/>
  <c r="N302" i="5"/>
  <c r="M302" i="5"/>
  <c r="L302" i="5"/>
  <c r="K302" i="5"/>
  <c r="J302" i="5"/>
  <c r="I302" i="5"/>
  <c r="H302" i="5"/>
  <c r="G302" i="5"/>
  <c r="F302" i="5"/>
  <c r="E302" i="5"/>
  <c r="AV301" i="5"/>
  <c r="AU301" i="5"/>
  <c r="AT301" i="5"/>
  <c r="AS301" i="5"/>
  <c r="AR301" i="5"/>
  <c r="AQ301" i="5"/>
  <c r="AP301" i="5"/>
  <c r="AO301" i="5"/>
  <c r="AN301" i="5"/>
  <c r="AM301" i="5"/>
  <c r="AL301" i="5"/>
  <c r="AK301" i="5"/>
  <c r="AJ301" i="5"/>
  <c r="AI301" i="5"/>
  <c r="AH301" i="5"/>
  <c r="AG301" i="5"/>
  <c r="AF301" i="5"/>
  <c r="AE301" i="5"/>
  <c r="AD301" i="5"/>
  <c r="AC301" i="5"/>
  <c r="AB301" i="5"/>
  <c r="AA301" i="5"/>
  <c r="Z301" i="5"/>
  <c r="Y301" i="5"/>
  <c r="X301" i="5"/>
  <c r="W301" i="5"/>
  <c r="V301" i="5"/>
  <c r="U301" i="5"/>
  <c r="T301" i="5"/>
  <c r="S301" i="5"/>
  <c r="R301" i="5"/>
  <c r="Q301" i="5"/>
  <c r="P301" i="5"/>
  <c r="O301" i="5"/>
  <c r="N301" i="5"/>
  <c r="M301" i="5"/>
  <c r="L301" i="5"/>
  <c r="K301" i="5"/>
  <c r="J301" i="5"/>
  <c r="I301" i="5"/>
  <c r="H301" i="5"/>
  <c r="G301" i="5"/>
  <c r="F301" i="5"/>
  <c r="E301" i="5"/>
  <c r="AV300" i="5"/>
  <c r="AU300" i="5"/>
  <c r="AT300" i="5"/>
  <c r="AS300" i="5"/>
  <c r="AR300" i="5"/>
  <c r="AQ300" i="5"/>
  <c r="AP300" i="5"/>
  <c r="AO300" i="5"/>
  <c r="AN300" i="5"/>
  <c r="AM300" i="5"/>
  <c r="AL300" i="5"/>
  <c r="AK300" i="5"/>
  <c r="AJ300" i="5"/>
  <c r="AI300" i="5"/>
  <c r="AH300" i="5"/>
  <c r="AG300" i="5"/>
  <c r="AF300" i="5"/>
  <c r="AE300" i="5"/>
  <c r="AD300" i="5"/>
  <c r="AC300" i="5"/>
  <c r="AB300" i="5"/>
  <c r="AA300" i="5"/>
  <c r="Z300" i="5"/>
  <c r="Y300" i="5"/>
  <c r="X300" i="5"/>
  <c r="W300" i="5"/>
  <c r="V300" i="5"/>
  <c r="U300" i="5"/>
  <c r="T300" i="5"/>
  <c r="S300" i="5"/>
  <c r="R300" i="5"/>
  <c r="Q300" i="5"/>
  <c r="P300" i="5"/>
  <c r="O300" i="5"/>
  <c r="N300" i="5"/>
  <c r="M300" i="5"/>
  <c r="L300" i="5"/>
  <c r="K300" i="5"/>
  <c r="J300" i="5"/>
  <c r="I300" i="5"/>
  <c r="H300" i="5"/>
  <c r="G300" i="5"/>
  <c r="F300" i="5"/>
  <c r="E300" i="5"/>
  <c r="AV299" i="5"/>
  <c r="AU299" i="5"/>
  <c r="AT299" i="5"/>
  <c r="AS299" i="5"/>
  <c r="AR299" i="5"/>
  <c r="AQ299" i="5"/>
  <c r="AP299" i="5"/>
  <c r="AO299" i="5"/>
  <c r="AN299" i="5"/>
  <c r="AM299" i="5"/>
  <c r="AL299" i="5"/>
  <c r="AK299" i="5"/>
  <c r="AJ299" i="5"/>
  <c r="AI299" i="5"/>
  <c r="AH299" i="5"/>
  <c r="AG299" i="5"/>
  <c r="AF299" i="5"/>
  <c r="AE299" i="5"/>
  <c r="AD299" i="5"/>
  <c r="AC299" i="5"/>
  <c r="AB299" i="5"/>
  <c r="AA299" i="5"/>
  <c r="Z299" i="5"/>
  <c r="Y299" i="5"/>
  <c r="X299" i="5"/>
  <c r="W299" i="5"/>
  <c r="V299" i="5"/>
  <c r="U299" i="5"/>
  <c r="T299" i="5"/>
  <c r="S299" i="5"/>
  <c r="R299" i="5"/>
  <c r="Q299" i="5"/>
  <c r="P299" i="5"/>
  <c r="O299" i="5"/>
  <c r="N299" i="5"/>
  <c r="M299" i="5"/>
  <c r="L299" i="5"/>
  <c r="K299" i="5"/>
  <c r="J299" i="5"/>
  <c r="I299" i="5"/>
  <c r="H299" i="5"/>
  <c r="G299" i="5"/>
  <c r="F299" i="5"/>
  <c r="E299" i="5"/>
  <c r="AV298" i="5"/>
  <c r="AU298" i="5"/>
  <c r="AT298" i="5"/>
  <c r="AS298" i="5"/>
  <c r="AR298" i="5"/>
  <c r="AQ298" i="5"/>
  <c r="AP298" i="5"/>
  <c r="AO298" i="5"/>
  <c r="AN298" i="5"/>
  <c r="AM298" i="5"/>
  <c r="AL298" i="5"/>
  <c r="AK298" i="5"/>
  <c r="AJ298" i="5"/>
  <c r="AI298" i="5"/>
  <c r="AH298" i="5"/>
  <c r="AG298" i="5"/>
  <c r="AF298" i="5"/>
  <c r="AE298" i="5"/>
  <c r="AD298" i="5"/>
  <c r="AC298" i="5"/>
  <c r="AB298" i="5"/>
  <c r="AA298" i="5"/>
  <c r="Z298" i="5"/>
  <c r="Y298" i="5"/>
  <c r="X298" i="5"/>
  <c r="W298" i="5"/>
  <c r="V298" i="5"/>
  <c r="U298" i="5"/>
  <c r="T298" i="5"/>
  <c r="S298" i="5"/>
  <c r="R298" i="5"/>
  <c r="Q298" i="5"/>
  <c r="P298" i="5"/>
  <c r="O298" i="5"/>
  <c r="N298" i="5"/>
  <c r="M298" i="5"/>
  <c r="L298" i="5"/>
  <c r="K298" i="5"/>
  <c r="J298" i="5"/>
  <c r="I298" i="5"/>
  <c r="H298" i="5"/>
  <c r="G298" i="5"/>
  <c r="F298" i="5"/>
  <c r="E298" i="5"/>
  <c r="AV297" i="5"/>
  <c r="AU297" i="5"/>
  <c r="AT297" i="5"/>
  <c r="AS297" i="5"/>
  <c r="AR297" i="5"/>
  <c r="AQ297" i="5"/>
  <c r="AP297" i="5"/>
  <c r="AO297" i="5"/>
  <c r="AN297" i="5"/>
  <c r="AM297" i="5"/>
  <c r="AL297" i="5"/>
  <c r="AK297" i="5"/>
  <c r="AJ297" i="5"/>
  <c r="AI297" i="5"/>
  <c r="AH297" i="5"/>
  <c r="AG297" i="5"/>
  <c r="AF297" i="5"/>
  <c r="AE297" i="5"/>
  <c r="AD297" i="5"/>
  <c r="AC297" i="5"/>
  <c r="AB297" i="5"/>
  <c r="AA297" i="5"/>
  <c r="Z297" i="5"/>
  <c r="Y297" i="5"/>
  <c r="X297" i="5"/>
  <c r="W297" i="5"/>
  <c r="V297" i="5"/>
  <c r="U297" i="5"/>
  <c r="T297" i="5"/>
  <c r="S297" i="5"/>
  <c r="R297" i="5"/>
  <c r="Q297" i="5"/>
  <c r="P297" i="5"/>
  <c r="O297" i="5"/>
  <c r="N297" i="5"/>
  <c r="M297" i="5"/>
  <c r="L297" i="5"/>
  <c r="K297" i="5"/>
  <c r="J297" i="5"/>
  <c r="I297" i="5"/>
  <c r="H297" i="5"/>
  <c r="G297" i="5"/>
  <c r="F297" i="5"/>
  <c r="E297" i="5"/>
  <c r="AV296" i="5"/>
  <c r="AU296" i="5"/>
  <c r="AT296" i="5"/>
  <c r="AS296" i="5"/>
  <c r="AR296" i="5"/>
  <c r="AQ296" i="5"/>
  <c r="AP296" i="5"/>
  <c r="AO296" i="5"/>
  <c r="AN296" i="5"/>
  <c r="AM296" i="5"/>
  <c r="AL296" i="5"/>
  <c r="AK296" i="5"/>
  <c r="AJ296" i="5"/>
  <c r="AI296" i="5"/>
  <c r="AH296" i="5"/>
  <c r="AG296" i="5"/>
  <c r="AF296" i="5"/>
  <c r="AE296" i="5"/>
  <c r="AD296" i="5"/>
  <c r="AC296" i="5"/>
  <c r="AB296" i="5"/>
  <c r="AA296" i="5"/>
  <c r="Z296" i="5"/>
  <c r="Y296" i="5"/>
  <c r="X296" i="5"/>
  <c r="W296" i="5"/>
  <c r="V296" i="5"/>
  <c r="U296" i="5"/>
  <c r="T296" i="5"/>
  <c r="S296" i="5"/>
  <c r="R296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AV295" i="5"/>
  <c r="AU295" i="5"/>
  <c r="AT295" i="5"/>
  <c r="AS295" i="5"/>
  <c r="AR295" i="5"/>
  <c r="AQ295" i="5"/>
  <c r="AP295" i="5"/>
  <c r="AO295" i="5"/>
  <c r="AN295" i="5"/>
  <c r="AM295" i="5"/>
  <c r="AL295" i="5"/>
  <c r="AK295" i="5"/>
  <c r="AJ295" i="5"/>
  <c r="AI295" i="5"/>
  <c r="AH295" i="5"/>
  <c r="AG295" i="5"/>
  <c r="AF295" i="5"/>
  <c r="AE295" i="5"/>
  <c r="AD295" i="5"/>
  <c r="AC295" i="5"/>
  <c r="AB295" i="5"/>
  <c r="AA295" i="5"/>
  <c r="Z295" i="5"/>
  <c r="Y295" i="5"/>
  <c r="X295" i="5"/>
  <c r="W295" i="5"/>
  <c r="V295" i="5"/>
  <c r="U295" i="5"/>
  <c r="T295" i="5"/>
  <c r="S295" i="5"/>
  <c r="R295" i="5"/>
  <c r="Q295" i="5"/>
  <c r="P295" i="5"/>
  <c r="O295" i="5"/>
  <c r="N295" i="5"/>
  <c r="M295" i="5"/>
  <c r="L295" i="5"/>
  <c r="K295" i="5"/>
  <c r="J295" i="5"/>
  <c r="I295" i="5"/>
  <c r="H295" i="5"/>
  <c r="G295" i="5"/>
  <c r="F295" i="5"/>
  <c r="E295" i="5"/>
  <c r="AV294" i="5"/>
  <c r="AU294" i="5"/>
  <c r="AT294" i="5"/>
  <c r="AS294" i="5"/>
  <c r="AR294" i="5"/>
  <c r="AQ294" i="5"/>
  <c r="AP294" i="5"/>
  <c r="AO294" i="5"/>
  <c r="AN294" i="5"/>
  <c r="AM294" i="5"/>
  <c r="AL294" i="5"/>
  <c r="AK294" i="5"/>
  <c r="AJ294" i="5"/>
  <c r="AI294" i="5"/>
  <c r="AH294" i="5"/>
  <c r="AG294" i="5"/>
  <c r="AF294" i="5"/>
  <c r="AE294" i="5"/>
  <c r="AD294" i="5"/>
  <c r="AC294" i="5"/>
  <c r="AB294" i="5"/>
  <c r="AA294" i="5"/>
  <c r="Z294" i="5"/>
  <c r="Y294" i="5"/>
  <c r="X294" i="5"/>
  <c r="W294" i="5"/>
  <c r="V294" i="5"/>
  <c r="U294" i="5"/>
  <c r="T294" i="5"/>
  <c r="S294" i="5"/>
  <c r="R294" i="5"/>
  <c r="Q294" i="5"/>
  <c r="P294" i="5"/>
  <c r="O294" i="5"/>
  <c r="N294" i="5"/>
  <c r="M294" i="5"/>
  <c r="L294" i="5"/>
  <c r="K294" i="5"/>
  <c r="J294" i="5"/>
  <c r="I294" i="5"/>
  <c r="H294" i="5"/>
  <c r="G294" i="5"/>
  <c r="F294" i="5"/>
  <c r="E294" i="5"/>
  <c r="AV293" i="5"/>
  <c r="AU293" i="5"/>
  <c r="AT293" i="5"/>
  <c r="AS293" i="5"/>
  <c r="AR293" i="5"/>
  <c r="AQ293" i="5"/>
  <c r="AP293" i="5"/>
  <c r="AO293" i="5"/>
  <c r="AN293" i="5"/>
  <c r="AM293" i="5"/>
  <c r="AL293" i="5"/>
  <c r="AK293" i="5"/>
  <c r="AJ293" i="5"/>
  <c r="AI293" i="5"/>
  <c r="AH293" i="5"/>
  <c r="AG293" i="5"/>
  <c r="AF293" i="5"/>
  <c r="AE293" i="5"/>
  <c r="AD293" i="5"/>
  <c r="AC293" i="5"/>
  <c r="AB293" i="5"/>
  <c r="AA293" i="5"/>
  <c r="Z293" i="5"/>
  <c r="Y293" i="5"/>
  <c r="X293" i="5"/>
  <c r="W293" i="5"/>
  <c r="V293" i="5"/>
  <c r="U293" i="5"/>
  <c r="T293" i="5"/>
  <c r="S293" i="5"/>
  <c r="R293" i="5"/>
  <c r="Q293" i="5"/>
  <c r="P293" i="5"/>
  <c r="O293" i="5"/>
  <c r="N293" i="5"/>
  <c r="M293" i="5"/>
  <c r="L293" i="5"/>
  <c r="K293" i="5"/>
  <c r="J293" i="5"/>
  <c r="I293" i="5"/>
  <c r="H293" i="5"/>
  <c r="G293" i="5"/>
  <c r="F293" i="5"/>
  <c r="E293" i="5"/>
  <c r="AV292" i="5"/>
  <c r="AU292" i="5"/>
  <c r="AT292" i="5"/>
  <c r="AS292" i="5"/>
  <c r="AR292" i="5"/>
  <c r="AQ292" i="5"/>
  <c r="AP292" i="5"/>
  <c r="AO292" i="5"/>
  <c r="AN292" i="5"/>
  <c r="AM292" i="5"/>
  <c r="AL292" i="5"/>
  <c r="AK292" i="5"/>
  <c r="AJ292" i="5"/>
  <c r="AI292" i="5"/>
  <c r="AH292" i="5"/>
  <c r="AG292" i="5"/>
  <c r="AF292" i="5"/>
  <c r="AE292" i="5"/>
  <c r="AD292" i="5"/>
  <c r="AC292" i="5"/>
  <c r="AB292" i="5"/>
  <c r="AA292" i="5"/>
  <c r="Z292" i="5"/>
  <c r="Y292" i="5"/>
  <c r="X292" i="5"/>
  <c r="W292" i="5"/>
  <c r="V292" i="5"/>
  <c r="U292" i="5"/>
  <c r="T292" i="5"/>
  <c r="S292" i="5"/>
  <c r="R292" i="5"/>
  <c r="Q292" i="5"/>
  <c r="P292" i="5"/>
  <c r="O292" i="5"/>
  <c r="N292" i="5"/>
  <c r="M292" i="5"/>
  <c r="L292" i="5"/>
  <c r="K292" i="5"/>
  <c r="J292" i="5"/>
  <c r="I292" i="5"/>
  <c r="H292" i="5"/>
  <c r="G292" i="5"/>
  <c r="F292" i="5"/>
  <c r="E292" i="5"/>
  <c r="AV291" i="5"/>
  <c r="AU291" i="5"/>
  <c r="AT291" i="5"/>
  <c r="AS291" i="5"/>
  <c r="AR291" i="5"/>
  <c r="AQ291" i="5"/>
  <c r="AP291" i="5"/>
  <c r="AO291" i="5"/>
  <c r="AN291" i="5"/>
  <c r="AM291" i="5"/>
  <c r="AL291" i="5"/>
  <c r="AK291" i="5"/>
  <c r="AJ291" i="5"/>
  <c r="AI291" i="5"/>
  <c r="AH291" i="5"/>
  <c r="AG291" i="5"/>
  <c r="AF291" i="5"/>
  <c r="AE291" i="5"/>
  <c r="AD291" i="5"/>
  <c r="AC291" i="5"/>
  <c r="AB291" i="5"/>
  <c r="AA291" i="5"/>
  <c r="Z291" i="5"/>
  <c r="Y291" i="5"/>
  <c r="X291" i="5"/>
  <c r="W291" i="5"/>
  <c r="V291" i="5"/>
  <c r="U291" i="5"/>
  <c r="T291" i="5"/>
  <c r="S291" i="5"/>
  <c r="R291" i="5"/>
  <c r="Q291" i="5"/>
  <c r="P291" i="5"/>
  <c r="O291" i="5"/>
  <c r="N291" i="5"/>
  <c r="M291" i="5"/>
  <c r="L291" i="5"/>
  <c r="K291" i="5"/>
  <c r="J291" i="5"/>
  <c r="I291" i="5"/>
  <c r="H291" i="5"/>
  <c r="G291" i="5"/>
  <c r="F291" i="5"/>
  <c r="E291" i="5"/>
  <c r="AV290" i="5"/>
  <c r="AU290" i="5"/>
  <c r="AT290" i="5"/>
  <c r="AS290" i="5"/>
  <c r="AR290" i="5"/>
  <c r="AQ290" i="5"/>
  <c r="AP290" i="5"/>
  <c r="AO290" i="5"/>
  <c r="AN290" i="5"/>
  <c r="AM290" i="5"/>
  <c r="AL290" i="5"/>
  <c r="AK290" i="5"/>
  <c r="AJ290" i="5"/>
  <c r="AI290" i="5"/>
  <c r="AH290" i="5"/>
  <c r="AG290" i="5"/>
  <c r="AF290" i="5"/>
  <c r="AE290" i="5"/>
  <c r="AD290" i="5"/>
  <c r="AC290" i="5"/>
  <c r="AB290" i="5"/>
  <c r="AA290" i="5"/>
  <c r="Z290" i="5"/>
  <c r="Y290" i="5"/>
  <c r="X290" i="5"/>
  <c r="W290" i="5"/>
  <c r="V290" i="5"/>
  <c r="U290" i="5"/>
  <c r="T290" i="5"/>
  <c r="S290" i="5"/>
  <c r="R290" i="5"/>
  <c r="Q290" i="5"/>
  <c r="P290" i="5"/>
  <c r="O290" i="5"/>
  <c r="N290" i="5"/>
  <c r="M290" i="5"/>
  <c r="L290" i="5"/>
  <c r="K290" i="5"/>
  <c r="J290" i="5"/>
  <c r="I290" i="5"/>
  <c r="H290" i="5"/>
  <c r="G290" i="5"/>
  <c r="F290" i="5"/>
  <c r="E290" i="5"/>
  <c r="AV289" i="5"/>
  <c r="AU289" i="5"/>
  <c r="AT289" i="5"/>
  <c r="AS289" i="5"/>
  <c r="AR289" i="5"/>
  <c r="AQ289" i="5"/>
  <c r="AP289" i="5"/>
  <c r="AO289" i="5"/>
  <c r="AN289" i="5"/>
  <c r="AM289" i="5"/>
  <c r="AL289" i="5"/>
  <c r="AK289" i="5"/>
  <c r="AJ289" i="5"/>
  <c r="AI289" i="5"/>
  <c r="AH289" i="5"/>
  <c r="AG289" i="5"/>
  <c r="AF289" i="5"/>
  <c r="AE289" i="5"/>
  <c r="AD289" i="5"/>
  <c r="AC289" i="5"/>
  <c r="AB289" i="5"/>
  <c r="AA289" i="5"/>
  <c r="Z289" i="5"/>
  <c r="Y289" i="5"/>
  <c r="X289" i="5"/>
  <c r="W289" i="5"/>
  <c r="V289" i="5"/>
  <c r="U289" i="5"/>
  <c r="T289" i="5"/>
  <c r="S289" i="5"/>
  <c r="R289" i="5"/>
  <c r="Q289" i="5"/>
  <c r="P289" i="5"/>
  <c r="O289" i="5"/>
  <c r="N289" i="5"/>
  <c r="M289" i="5"/>
  <c r="L289" i="5"/>
  <c r="K289" i="5"/>
  <c r="J289" i="5"/>
  <c r="I289" i="5"/>
  <c r="H289" i="5"/>
  <c r="G289" i="5"/>
  <c r="F289" i="5"/>
  <c r="E289" i="5"/>
  <c r="AV288" i="5"/>
  <c r="AU288" i="5"/>
  <c r="AT288" i="5"/>
  <c r="AS288" i="5"/>
  <c r="AR288" i="5"/>
  <c r="AQ288" i="5"/>
  <c r="AP288" i="5"/>
  <c r="AO288" i="5"/>
  <c r="AN288" i="5"/>
  <c r="AM288" i="5"/>
  <c r="AL288" i="5"/>
  <c r="AK288" i="5"/>
  <c r="AJ288" i="5"/>
  <c r="AI288" i="5"/>
  <c r="AH288" i="5"/>
  <c r="AG288" i="5"/>
  <c r="AF288" i="5"/>
  <c r="AE288" i="5"/>
  <c r="AD288" i="5"/>
  <c r="AC288" i="5"/>
  <c r="AB288" i="5"/>
  <c r="AA288" i="5"/>
  <c r="Z288" i="5"/>
  <c r="Y288" i="5"/>
  <c r="X288" i="5"/>
  <c r="W288" i="5"/>
  <c r="V288" i="5"/>
  <c r="U288" i="5"/>
  <c r="T288" i="5"/>
  <c r="S288" i="5"/>
  <c r="R288" i="5"/>
  <c r="Q288" i="5"/>
  <c r="P288" i="5"/>
  <c r="O288" i="5"/>
  <c r="N288" i="5"/>
  <c r="M288" i="5"/>
  <c r="L288" i="5"/>
  <c r="K288" i="5"/>
  <c r="J288" i="5"/>
  <c r="I288" i="5"/>
  <c r="H288" i="5"/>
  <c r="G288" i="5"/>
  <c r="F288" i="5"/>
  <c r="E288" i="5"/>
  <c r="AV287" i="5"/>
  <c r="AU287" i="5"/>
  <c r="AT287" i="5"/>
  <c r="AS287" i="5"/>
  <c r="AR287" i="5"/>
  <c r="AQ287" i="5"/>
  <c r="AP287" i="5"/>
  <c r="AO287" i="5"/>
  <c r="AN287" i="5"/>
  <c r="AM287" i="5"/>
  <c r="AL287" i="5"/>
  <c r="AK287" i="5"/>
  <c r="AJ287" i="5"/>
  <c r="AI287" i="5"/>
  <c r="AH287" i="5"/>
  <c r="AG287" i="5"/>
  <c r="AF287" i="5"/>
  <c r="AE287" i="5"/>
  <c r="AD287" i="5"/>
  <c r="AC287" i="5"/>
  <c r="AB287" i="5"/>
  <c r="AA287" i="5"/>
  <c r="Z287" i="5"/>
  <c r="Y287" i="5"/>
  <c r="X287" i="5"/>
  <c r="W287" i="5"/>
  <c r="V287" i="5"/>
  <c r="U287" i="5"/>
  <c r="T287" i="5"/>
  <c r="S287" i="5"/>
  <c r="R287" i="5"/>
  <c r="Q287" i="5"/>
  <c r="P287" i="5"/>
  <c r="O287" i="5"/>
  <c r="N287" i="5"/>
  <c r="M287" i="5"/>
  <c r="L287" i="5"/>
  <c r="K287" i="5"/>
  <c r="J287" i="5"/>
  <c r="I287" i="5"/>
  <c r="H287" i="5"/>
  <c r="G287" i="5"/>
  <c r="F287" i="5"/>
  <c r="E287" i="5"/>
  <c r="AV286" i="5"/>
  <c r="AU286" i="5"/>
  <c r="AT286" i="5"/>
  <c r="AS286" i="5"/>
  <c r="AR286" i="5"/>
  <c r="AQ286" i="5"/>
  <c r="AP286" i="5"/>
  <c r="AO286" i="5"/>
  <c r="AN286" i="5"/>
  <c r="AM286" i="5"/>
  <c r="AL286" i="5"/>
  <c r="AK286" i="5"/>
  <c r="AJ286" i="5"/>
  <c r="AI286" i="5"/>
  <c r="AH286" i="5"/>
  <c r="AG286" i="5"/>
  <c r="AF286" i="5"/>
  <c r="AE286" i="5"/>
  <c r="AD286" i="5"/>
  <c r="AC286" i="5"/>
  <c r="AB286" i="5"/>
  <c r="AA286" i="5"/>
  <c r="Z286" i="5"/>
  <c r="Y286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I286" i="5"/>
  <c r="H286" i="5"/>
  <c r="G286" i="5"/>
  <c r="F286" i="5"/>
  <c r="E286" i="5"/>
  <c r="AV285" i="5"/>
  <c r="AU285" i="5"/>
  <c r="AT285" i="5"/>
  <c r="AS285" i="5"/>
  <c r="AR285" i="5"/>
  <c r="AQ285" i="5"/>
  <c r="AP285" i="5"/>
  <c r="AO285" i="5"/>
  <c r="AN285" i="5"/>
  <c r="AM285" i="5"/>
  <c r="AL285" i="5"/>
  <c r="AK285" i="5"/>
  <c r="AJ285" i="5"/>
  <c r="AI285" i="5"/>
  <c r="AH285" i="5"/>
  <c r="AG285" i="5"/>
  <c r="AF285" i="5"/>
  <c r="AE285" i="5"/>
  <c r="AD285" i="5"/>
  <c r="AC285" i="5"/>
  <c r="AB285" i="5"/>
  <c r="AA285" i="5"/>
  <c r="Z285" i="5"/>
  <c r="Y285" i="5"/>
  <c r="X285" i="5"/>
  <c r="W285" i="5"/>
  <c r="V285" i="5"/>
  <c r="U285" i="5"/>
  <c r="T285" i="5"/>
  <c r="S285" i="5"/>
  <c r="R285" i="5"/>
  <c r="Q285" i="5"/>
  <c r="P285" i="5"/>
  <c r="O285" i="5"/>
  <c r="N285" i="5"/>
  <c r="M285" i="5"/>
  <c r="L285" i="5"/>
  <c r="K285" i="5"/>
  <c r="J285" i="5"/>
  <c r="I285" i="5"/>
  <c r="H285" i="5"/>
  <c r="G285" i="5"/>
  <c r="F285" i="5"/>
  <c r="E285" i="5"/>
  <c r="AV284" i="5"/>
  <c r="AU284" i="5"/>
  <c r="AT284" i="5"/>
  <c r="AS284" i="5"/>
  <c r="AR284" i="5"/>
  <c r="AQ284" i="5"/>
  <c r="AP284" i="5"/>
  <c r="AO284" i="5"/>
  <c r="AN284" i="5"/>
  <c r="AM284" i="5"/>
  <c r="AL284" i="5"/>
  <c r="AK284" i="5"/>
  <c r="AJ284" i="5"/>
  <c r="AI284" i="5"/>
  <c r="AH284" i="5"/>
  <c r="AG284" i="5"/>
  <c r="AF284" i="5"/>
  <c r="AE284" i="5"/>
  <c r="AD284" i="5"/>
  <c r="AC284" i="5"/>
  <c r="AB284" i="5"/>
  <c r="AA284" i="5"/>
  <c r="Z284" i="5"/>
  <c r="Y284" i="5"/>
  <c r="X284" i="5"/>
  <c r="W284" i="5"/>
  <c r="V284" i="5"/>
  <c r="U284" i="5"/>
  <c r="T284" i="5"/>
  <c r="S284" i="5"/>
  <c r="R284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AV283" i="5"/>
  <c r="AU283" i="5"/>
  <c r="AT283" i="5"/>
  <c r="AS283" i="5"/>
  <c r="AR283" i="5"/>
  <c r="AQ283" i="5"/>
  <c r="AP283" i="5"/>
  <c r="AO283" i="5"/>
  <c r="AN283" i="5"/>
  <c r="AM283" i="5"/>
  <c r="AL283" i="5"/>
  <c r="AK283" i="5"/>
  <c r="AJ283" i="5"/>
  <c r="AI283" i="5"/>
  <c r="AH283" i="5"/>
  <c r="AG283" i="5"/>
  <c r="AF283" i="5"/>
  <c r="AE283" i="5"/>
  <c r="AD283" i="5"/>
  <c r="AC283" i="5"/>
  <c r="AB283" i="5"/>
  <c r="AA283" i="5"/>
  <c r="Z283" i="5"/>
  <c r="Y283" i="5"/>
  <c r="X283" i="5"/>
  <c r="W283" i="5"/>
  <c r="V283" i="5"/>
  <c r="U283" i="5"/>
  <c r="T283" i="5"/>
  <c r="S283" i="5"/>
  <c r="R283" i="5"/>
  <c r="Q283" i="5"/>
  <c r="P283" i="5"/>
  <c r="O283" i="5"/>
  <c r="N283" i="5"/>
  <c r="M283" i="5"/>
  <c r="L283" i="5"/>
  <c r="K283" i="5"/>
  <c r="J283" i="5"/>
  <c r="I283" i="5"/>
  <c r="H283" i="5"/>
  <c r="G283" i="5"/>
  <c r="F283" i="5"/>
  <c r="E283" i="5"/>
  <c r="AV282" i="5"/>
  <c r="AU282" i="5"/>
  <c r="AT282" i="5"/>
  <c r="AS282" i="5"/>
  <c r="AR282" i="5"/>
  <c r="AQ282" i="5"/>
  <c r="AP282" i="5"/>
  <c r="AO282" i="5"/>
  <c r="AN282" i="5"/>
  <c r="AM282" i="5"/>
  <c r="AL282" i="5"/>
  <c r="AK282" i="5"/>
  <c r="AJ282" i="5"/>
  <c r="AI282" i="5"/>
  <c r="AH282" i="5"/>
  <c r="AG282" i="5"/>
  <c r="AF282" i="5"/>
  <c r="AE282" i="5"/>
  <c r="AD282" i="5"/>
  <c r="AC282" i="5"/>
  <c r="AB282" i="5"/>
  <c r="AA282" i="5"/>
  <c r="Z282" i="5"/>
  <c r="Y282" i="5"/>
  <c r="X282" i="5"/>
  <c r="W282" i="5"/>
  <c r="V282" i="5"/>
  <c r="U282" i="5"/>
  <c r="T282" i="5"/>
  <c r="S282" i="5"/>
  <c r="R282" i="5"/>
  <c r="Q282" i="5"/>
  <c r="P282" i="5"/>
  <c r="O282" i="5"/>
  <c r="N282" i="5"/>
  <c r="M282" i="5"/>
  <c r="L282" i="5"/>
  <c r="K282" i="5"/>
  <c r="J282" i="5"/>
  <c r="I282" i="5"/>
  <c r="H282" i="5"/>
  <c r="G282" i="5"/>
  <c r="F282" i="5"/>
  <c r="E282" i="5"/>
  <c r="AV281" i="5"/>
  <c r="AU281" i="5"/>
  <c r="AT281" i="5"/>
  <c r="AS281" i="5"/>
  <c r="AR281" i="5"/>
  <c r="AQ281" i="5"/>
  <c r="AP281" i="5"/>
  <c r="AO281" i="5"/>
  <c r="AN281" i="5"/>
  <c r="AM281" i="5"/>
  <c r="AL281" i="5"/>
  <c r="AK281" i="5"/>
  <c r="AJ281" i="5"/>
  <c r="AI281" i="5"/>
  <c r="AH281" i="5"/>
  <c r="AG281" i="5"/>
  <c r="AF281" i="5"/>
  <c r="AE281" i="5"/>
  <c r="AD281" i="5"/>
  <c r="AC281" i="5"/>
  <c r="AB281" i="5"/>
  <c r="AA281" i="5"/>
  <c r="Z281" i="5"/>
  <c r="Y281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I281" i="5"/>
  <c r="H281" i="5"/>
  <c r="G281" i="5"/>
  <c r="F281" i="5"/>
  <c r="E281" i="5"/>
  <c r="AV280" i="5"/>
  <c r="AU280" i="5"/>
  <c r="AT280" i="5"/>
  <c r="AS280" i="5"/>
  <c r="AR280" i="5"/>
  <c r="AQ280" i="5"/>
  <c r="AP280" i="5"/>
  <c r="AO280" i="5"/>
  <c r="AN280" i="5"/>
  <c r="AM280" i="5"/>
  <c r="AL280" i="5"/>
  <c r="AK280" i="5"/>
  <c r="AJ280" i="5"/>
  <c r="AI280" i="5"/>
  <c r="AH280" i="5"/>
  <c r="AG280" i="5"/>
  <c r="AF280" i="5"/>
  <c r="AE280" i="5"/>
  <c r="AD280" i="5"/>
  <c r="AC280" i="5"/>
  <c r="AB280" i="5"/>
  <c r="AA280" i="5"/>
  <c r="Z280" i="5"/>
  <c r="Y280" i="5"/>
  <c r="X280" i="5"/>
  <c r="W280" i="5"/>
  <c r="V280" i="5"/>
  <c r="U280" i="5"/>
  <c r="T280" i="5"/>
  <c r="S280" i="5"/>
  <c r="R280" i="5"/>
  <c r="Q280" i="5"/>
  <c r="P280" i="5"/>
  <c r="O280" i="5"/>
  <c r="N280" i="5"/>
  <c r="M280" i="5"/>
  <c r="L280" i="5"/>
  <c r="K280" i="5"/>
  <c r="J280" i="5"/>
  <c r="I280" i="5"/>
  <c r="H280" i="5"/>
  <c r="G280" i="5"/>
  <c r="F280" i="5"/>
  <c r="E280" i="5"/>
  <c r="AV279" i="5"/>
  <c r="AU279" i="5"/>
  <c r="AT279" i="5"/>
  <c r="AS279" i="5"/>
  <c r="AR279" i="5"/>
  <c r="AQ279" i="5"/>
  <c r="AP279" i="5"/>
  <c r="AO279" i="5"/>
  <c r="AN279" i="5"/>
  <c r="AM279" i="5"/>
  <c r="AL279" i="5"/>
  <c r="AK279" i="5"/>
  <c r="AJ279" i="5"/>
  <c r="AI279" i="5"/>
  <c r="AH279" i="5"/>
  <c r="AG279" i="5"/>
  <c r="AF279" i="5"/>
  <c r="AE279" i="5"/>
  <c r="AD279" i="5"/>
  <c r="AC279" i="5"/>
  <c r="AB279" i="5"/>
  <c r="AA279" i="5"/>
  <c r="Z279" i="5"/>
  <c r="Y279" i="5"/>
  <c r="X279" i="5"/>
  <c r="W279" i="5"/>
  <c r="V279" i="5"/>
  <c r="U279" i="5"/>
  <c r="T279" i="5"/>
  <c r="S279" i="5"/>
  <c r="R279" i="5"/>
  <c r="Q279" i="5"/>
  <c r="P279" i="5"/>
  <c r="O279" i="5"/>
  <c r="N279" i="5"/>
  <c r="M279" i="5"/>
  <c r="L279" i="5"/>
  <c r="K279" i="5"/>
  <c r="J279" i="5"/>
  <c r="I279" i="5"/>
  <c r="H279" i="5"/>
  <c r="G279" i="5"/>
  <c r="F279" i="5"/>
  <c r="E279" i="5"/>
  <c r="AV278" i="5"/>
  <c r="AU278" i="5"/>
  <c r="AT278" i="5"/>
  <c r="AS278" i="5"/>
  <c r="AR278" i="5"/>
  <c r="AQ278" i="5"/>
  <c r="AP278" i="5"/>
  <c r="AO278" i="5"/>
  <c r="AN278" i="5"/>
  <c r="AM278" i="5"/>
  <c r="AL278" i="5"/>
  <c r="AK278" i="5"/>
  <c r="AJ278" i="5"/>
  <c r="AI278" i="5"/>
  <c r="AH278" i="5"/>
  <c r="AG278" i="5"/>
  <c r="AF278" i="5"/>
  <c r="AE278" i="5"/>
  <c r="AD278" i="5"/>
  <c r="AC278" i="5"/>
  <c r="AB278" i="5"/>
  <c r="AA278" i="5"/>
  <c r="Z278" i="5"/>
  <c r="Y278" i="5"/>
  <c r="X278" i="5"/>
  <c r="W278" i="5"/>
  <c r="V278" i="5"/>
  <c r="U278" i="5"/>
  <c r="T278" i="5"/>
  <c r="S278" i="5"/>
  <c r="R278" i="5"/>
  <c r="Q278" i="5"/>
  <c r="P278" i="5"/>
  <c r="O278" i="5"/>
  <c r="N278" i="5"/>
  <c r="M278" i="5"/>
  <c r="L278" i="5"/>
  <c r="K278" i="5"/>
  <c r="J278" i="5"/>
  <c r="I278" i="5"/>
  <c r="H278" i="5"/>
  <c r="G278" i="5"/>
  <c r="F278" i="5"/>
  <c r="E278" i="5"/>
  <c r="AV277" i="5"/>
  <c r="AU277" i="5"/>
  <c r="AT277" i="5"/>
  <c r="AS277" i="5"/>
  <c r="AR277" i="5"/>
  <c r="AQ277" i="5"/>
  <c r="AP277" i="5"/>
  <c r="AO277" i="5"/>
  <c r="AN277" i="5"/>
  <c r="AM277" i="5"/>
  <c r="AL277" i="5"/>
  <c r="AK277" i="5"/>
  <c r="AJ277" i="5"/>
  <c r="AI277" i="5"/>
  <c r="AH277" i="5"/>
  <c r="AG277" i="5"/>
  <c r="AF277" i="5"/>
  <c r="AE277" i="5"/>
  <c r="AD277" i="5"/>
  <c r="AC277" i="5"/>
  <c r="AB277" i="5"/>
  <c r="AA277" i="5"/>
  <c r="Z277" i="5"/>
  <c r="Y277" i="5"/>
  <c r="X277" i="5"/>
  <c r="W277" i="5"/>
  <c r="V277" i="5"/>
  <c r="U277" i="5"/>
  <c r="T277" i="5"/>
  <c r="S277" i="5"/>
  <c r="R277" i="5"/>
  <c r="Q277" i="5"/>
  <c r="P277" i="5"/>
  <c r="O277" i="5"/>
  <c r="N277" i="5"/>
  <c r="M277" i="5"/>
  <c r="L277" i="5"/>
  <c r="K277" i="5"/>
  <c r="J277" i="5"/>
  <c r="I277" i="5"/>
  <c r="H277" i="5"/>
  <c r="G277" i="5"/>
  <c r="F277" i="5"/>
  <c r="E277" i="5"/>
  <c r="AV276" i="5"/>
  <c r="AU276" i="5"/>
  <c r="AT276" i="5"/>
  <c r="AS276" i="5"/>
  <c r="AR276" i="5"/>
  <c r="AQ276" i="5"/>
  <c r="AP276" i="5"/>
  <c r="AO276" i="5"/>
  <c r="AN276" i="5"/>
  <c r="AM276" i="5"/>
  <c r="AL276" i="5"/>
  <c r="AK276" i="5"/>
  <c r="AJ276" i="5"/>
  <c r="AI276" i="5"/>
  <c r="AH276" i="5"/>
  <c r="AG276" i="5"/>
  <c r="AF276" i="5"/>
  <c r="AE276" i="5"/>
  <c r="AD276" i="5"/>
  <c r="AC276" i="5"/>
  <c r="AB276" i="5"/>
  <c r="AA276" i="5"/>
  <c r="Z276" i="5"/>
  <c r="Y276" i="5"/>
  <c r="X276" i="5"/>
  <c r="W276" i="5"/>
  <c r="V276" i="5"/>
  <c r="U276" i="5"/>
  <c r="T276" i="5"/>
  <c r="S276" i="5"/>
  <c r="R276" i="5"/>
  <c r="Q276" i="5"/>
  <c r="P276" i="5"/>
  <c r="O276" i="5"/>
  <c r="N276" i="5"/>
  <c r="M276" i="5"/>
  <c r="L276" i="5"/>
  <c r="K276" i="5"/>
  <c r="J276" i="5"/>
  <c r="I276" i="5"/>
  <c r="H276" i="5"/>
  <c r="G276" i="5"/>
  <c r="F276" i="5"/>
  <c r="E276" i="5"/>
  <c r="AV275" i="5"/>
  <c r="AU275" i="5"/>
  <c r="AT275" i="5"/>
  <c r="AS275" i="5"/>
  <c r="AR275" i="5"/>
  <c r="AQ275" i="5"/>
  <c r="AP275" i="5"/>
  <c r="AO275" i="5"/>
  <c r="AN275" i="5"/>
  <c r="AM275" i="5"/>
  <c r="AL275" i="5"/>
  <c r="AK275" i="5"/>
  <c r="AJ275" i="5"/>
  <c r="AI275" i="5"/>
  <c r="AH275" i="5"/>
  <c r="AG275" i="5"/>
  <c r="AF275" i="5"/>
  <c r="AE275" i="5"/>
  <c r="AD275" i="5"/>
  <c r="AC275" i="5"/>
  <c r="AB275" i="5"/>
  <c r="AA275" i="5"/>
  <c r="Z275" i="5"/>
  <c r="Y275" i="5"/>
  <c r="X275" i="5"/>
  <c r="W275" i="5"/>
  <c r="V275" i="5"/>
  <c r="U275" i="5"/>
  <c r="T275" i="5"/>
  <c r="S275" i="5"/>
  <c r="R275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AV274" i="5"/>
  <c r="AU274" i="5"/>
  <c r="AT274" i="5"/>
  <c r="AS274" i="5"/>
  <c r="AR274" i="5"/>
  <c r="AQ274" i="5"/>
  <c r="AP274" i="5"/>
  <c r="AO274" i="5"/>
  <c r="AN274" i="5"/>
  <c r="AM274" i="5"/>
  <c r="AL274" i="5"/>
  <c r="AK274" i="5"/>
  <c r="AJ274" i="5"/>
  <c r="AI274" i="5"/>
  <c r="AH274" i="5"/>
  <c r="AG274" i="5"/>
  <c r="AF274" i="5"/>
  <c r="AE274" i="5"/>
  <c r="AD274" i="5"/>
  <c r="AC274" i="5"/>
  <c r="AB274" i="5"/>
  <c r="AA274" i="5"/>
  <c r="Z274" i="5"/>
  <c r="Y274" i="5"/>
  <c r="X274" i="5"/>
  <c r="W274" i="5"/>
  <c r="V274" i="5"/>
  <c r="U274" i="5"/>
  <c r="T274" i="5"/>
  <c r="S274" i="5"/>
  <c r="R274" i="5"/>
  <c r="Q274" i="5"/>
  <c r="P274" i="5"/>
  <c r="O274" i="5"/>
  <c r="N274" i="5"/>
  <c r="M274" i="5"/>
  <c r="L274" i="5"/>
  <c r="K274" i="5"/>
  <c r="J274" i="5"/>
  <c r="I274" i="5"/>
  <c r="H274" i="5"/>
  <c r="G274" i="5"/>
  <c r="F274" i="5"/>
  <c r="E274" i="5"/>
  <c r="AV273" i="5"/>
  <c r="AU273" i="5"/>
  <c r="AT273" i="5"/>
  <c r="AS273" i="5"/>
  <c r="AR273" i="5"/>
  <c r="AQ273" i="5"/>
  <c r="AP273" i="5"/>
  <c r="AO273" i="5"/>
  <c r="AN273" i="5"/>
  <c r="AM273" i="5"/>
  <c r="AL273" i="5"/>
  <c r="AK273" i="5"/>
  <c r="AJ273" i="5"/>
  <c r="AI273" i="5"/>
  <c r="AH273" i="5"/>
  <c r="AG273" i="5"/>
  <c r="AF273" i="5"/>
  <c r="AE273" i="5"/>
  <c r="AD273" i="5"/>
  <c r="AC273" i="5"/>
  <c r="AB273" i="5"/>
  <c r="AA273" i="5"/>
  <c r="Z273" i="5"/>
  <c r="Y273" i="5"/>
  <c r="X273" i="5"/>
  <c r="W273" i="5"/>
  <c r="V273" i="5"/>
  <c r="U273" i="5"/>
  <c r="T273" i="5"/>
  <c r="S273" i="5"/>
  <c r="R273" i="5"/>
  <c r="Q273" i="5"/>
  <c r="P273" i="5"/>
  <c r="O273" i="5"/>
  <c r="N273" i="5"/>
  <c r="M273" i="5"/>
  <c r="L273" i="5"/>
  <c r="K273" i="5"/>
  <c r="J273" i="5"/>
  <c r="I273" i="5"/>
  <c r="H273" i="5"/>
  <c r="G273" i="5"/>
  <c r="F273" i="5"/>
  <c r="E273" i="5"/>
  <c r="AV272" i="5"/>
  <c r="AU272" i="5"/>
  <c r="AT272" i="5"/>
  <c r="AS272" i="5"/>
  <c r="AR272" i="5"/>
  <c r="AQ272" i="5"/>
  <c r="AP272" i="5"/>
  <c r="AO272" i="5"/>
  <c r="AN272" i="5"/>
  <c r="AM272" i="5"/>
  <c r="AL272" i="5"/>
  <c r="AK272" i="5"/>
  <c r="AJ272" i="5"/>
  <c r="AI272" i="5"/>
  <c r="AH272" i="5"/>
  <c r="AG272" i="5"/>
  <c r="AF272" i="5"/>
  <c r="AE272" i="5"/>
  <c r="AD272" i="5"/>
  <c r="AC272" i="5"/>
  <c r="AB272" i="5"/>
  <c r="AA272" i="5"/>
  <c r="Z272" i="5"/>
  <c r="Y272" i="5"/>
  <c r="X272" i="5"/>
  <c r="W272" i="5"/>
  <c r="V272" i="5"/>
  <c r="U272" i="5"/>
  <c r="T272" i="5"/>
  <c r="S272" i="5"/>
  <c r="R272" i="5"/>
  <c r="Q272" i="5"/>
  <c r="P272" i="5"/>
  <c r="O272" i="5"/>
  <c r="N272" i="5"/>
  <c r="M272" i="5"/>
  <c r="L272" i="5"/>
  <c r="K272" i="5"/>
  <c r="J272" i="5"/>
  <c r="I272" i="5"/>
  <c r="H272" i="5"/>
  <c r="G272" i="5"/>
  <c r="F272" i="5"/>
  <c r="E272" i="5"/>
  <c r="AV271" i="5"/>
  <c r="AU271" i="5"/>
  <c r="AT271" i="5"/>
  <c r="AS271" i="5"/>
  <c r="AR271" i="5"/>
  <c r="AQ271" i="5"/>
  <c r="AP271" i="5"/>
  <c r="AO271" i="5"/>
  <c r="AN271" i="5"/>
  <c r="AM271" i="5"/>
  <c r="AL271" i="5"/>
  <c r="AK271" i="5"/>
  <c r="AJ271" i="5"/>
  <c r="AI271" i="5"/>
  <c r="AH271" i="5"/>
  <c r="AG271" i="5"/>
  <c r="AF271" i="5"/>
  <c r="AE271" i="5"/>
  <c r="AD271" i="5"/>
  <c r="AC271" i="5"/>
  <c r="AB271" i="5"/>
  <c r="AA271" i="5"/>
  <c r="Z271" i="5"/>
  <c r="Y271" i="5"/>
  <c r="X271" i="5"/>
  <c r="W271" i="5"/>
  <c r="V271" i="5"/>
  <c r="U271" i="5"/>
  <c r="T271" i="5"/>
  <c r="S271" i="5"/>
  <c r="R271" i="5"/>
  <c r="Q271" i="5"/>
  <c r="P271" i="5"/>
  <c r="O271" i="5"/>
  <c r="N271" i="5"/>
  <c r="M271" i="5"/>
  <c r="L271" i="5"/>
  <c r="K271" i="5"/>
  <c r="J271" i="5"/>
  <c r="I271" i="5"/>
  <c r="H271" i="5"/>
  <c r="G271" i="5"/>
  <c r="F271" i="5"/>
  <c r="E271" i="5"/>
  <c r="AV270" i="5"/>
  <c r="AU270" i="5"/>
  <c r="AT270" i="5"/>
  <c r="AS270" i="5"/>
  <c r="AR270" i="5"/>
  <c r="AQ270" i="5"/>
  <c r="AP270" i="5"/>
  <c r="AO270" i="5"/>
  <c r="AN270" i="5"/>
  <c r="AM270" i="5"/>
  <c r="AL270" i="5"/>
  <c r="AK270" i="5"/>
  <c r="AJ270" i="5"/>
  <c r="AI270" i="5"/>
  <c r="AH270" i="5"/>
  <c r="AG270" i="5"/>
  <c r="AF270" i="5"/>
  <c r="AE270" i="5"/>
  <c r="AD270" i="5"/>
  <c r="AC270" i="5"/>
  <c r="AB270" i="5"/>
  <c r="AA270" i="5"/>
  <c r="Z270" i="5"/>
  <c r="Y270" i="5"/>
  <c r="X270" i="5"/>
  <c r="W270" i="5"/>
  <c r="V270" i="5"/>
  <c r="U270" i="5"/>
  <c r="T270" i="5"/>
  <c r="S270" i="5"/>
  <c r="R270" i="5"/>
  <c r="Q270" i="5"/>
  <c r="P270" i="5"/>
  <c r="O270" i="5"/>
  <c r="N270" i="5"/>
  <c r="M270" i="5"/>
  <c r="L270" i="5"/>
  <c r="K270" i="5"/>
  <c r="J270" i="5"/>
  <c r="I270" i="5"/>
  <c r="H270" i="5"/>
  <c r="G270" i="5"/>
  <c r="F270" i="5"/>
  <c r="E270" i="5"/>
  <c r="AV269" i="5"/>
  <c r="AU269" i="5"/>
  <c r="AT269" i="5"/>
  <c r="AS269" i="5"/>
  <c r="AR269" i="5"/>
  <c r="AQ269" i="5"/>
  <c r="AP269" i="5"/>
  <c r="AO269" i="5"/>
  <c r="AN269" i="5"/>
  <c r="AM269" i="5"/>
  <c r="AL269" i="5"/>
  <c r="AK269" i="5"/>
  <c r="AJ269" i="5"/>
  <c r="AI269" i="5"/>
  <c r="AH269" i="5"/>
  <c r="AG269" i="5"/>
  <c r="AF269" i="5"/>
  <c r="AE269" i="5"/>
  <c r="AD269" i="5"/>
  <c r="AC269" i="5"/>
  <c r="AB269" i="5"/>
  <c r="AA269" i="5"/>
  <c r="Z269" i="5"/>
  <c r="Y269" i="5"/>
  <c r="X269" i="5"/>
  <c r="W269" i="5"/>
  <c r="V269" i="5"/>
  <c r="U269" i="5"/>
  <c r="T269" i="5"/>
  <c r="S269" i="5"/>
  <c r="R269" i="5"/>
  <c r="Q269" i="5"/>
  <c r="P269" i="5"/>
  <c r="O269" i="5"/>
  <c r="N269" i="5"/>
  <c r="M269" i="5"/>
  <c r="L269" i="5"/>
  <c r="K269" i="5"/>
  <c r="J269" i="5"/>
  <c r="I269" i="5"/>
  <c r="H269" i="5"/>
  <c r="G269" i="5"/>
  <c r="F269" i="5"/>
  <c r="E269" i="5"/>
  <c r="AV268" i="5"/>
  <c r="AU268" i="5"/>
  <c r="AT268" i="5"/>
  <c r="AS268" i="5"/>
  <c r="AR268" i="5"/>
  <c r="AQ268" i="5"/>
  <c r="AP268" i="5"/>
  <c r="AO268" i="5"/>
  <c r="AN268" i="5"/>
  <c r="AM268" i="5"/>
  <c r="AL268" i="5"/>
  <c r="AK268" i="5"/>
  <c r="AJ268" i="5"/>
  <c r="AI268" i="5"/>
  <c r="AH268" i="5"/>
  <c r="AG268" i="5"/>
  <c r="AF268" i="5"/>
  <c r="AE268" i="5"/>
  <c r="AD268" i="5"/>
  <c r="AC268" i="5"/>
  <c r="AB268" i="5"/>
  <c r="AA268" i="5"/>
  <c r="Z268" i="5"/>
  <c r="Y268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I268" i="5"/>
  <c r="H268" i="5"/>
  <c r="G268" i="5"/>
  <c r="F268" i="5"/>
  <c r="E268" i="5"/>
  <c r="AV267" i="5"/>
  <c r="AU267" i="5"/>
  <c r="AT267" i="5"/>
  <c r="AS267" i="5"/>
  <c r="AR267" i="5"/>
  <c r="AQ267" i="5"/>
  <c r="AP267" i="5"/>
  <c r="AO267" i="5"/>
  <c r="AN267" i="5"/>
  <c r="AM267" i="5"/>
  <c r="AL267" i="5"/>
  <c r="AK267" i="5"/>
  <c r="AJ267" i="5"/>
  <c r="AI267" i="5"/>
  <c r="AH267" i="5"/>
  <c r="AG267" i="5"/>
  <c r="AF267" i="5"/>
  <c r="AE267" i="5"/>
  <c r="AD267" i="5"/>
  <c r="AC267" i="5"/>
  <c r="AB267" i="5"/>
  <c r="AA267" i="5"/>
  <c r="Z267" i="5"/>
  <c r="Y267" i="5"/>
  <c r="X267" i="5"/>
  <c r="W267" i="5"/>
  <c r="V267" i="5"/>
  <c r="U267" i="5"/>
  <c r="T267" i="5"/>
  <c r="S267" i="5"/>
  <c r="R267" i="5"/>
  <c r="Q267" i="5"/>
  <c r="P267" i="5"/>
  <c r="O267" i="5"/>
  <c r="N267" i="5"/>
  <c r="M267" i="5"/>
  <c r="L267" i="5"/>
  <c r="K267" i="5"/>
  <c r="J267" i="5"/>
  <c r="I267" i="5"/>
  <c r="H267" i="5"/>
  <c r="G267" i="5"/>
  <c r="F267" i="5"/>
  <c r="E267" i="5"/>
  <c r="AV266" i="5"/>
  <c r="AU266" i="5"/>
  <c r="AT266" i="5"/>
  <c r="AS266" i="5"/>
  <c r="AR266" i="5"/>
  <c r="AQ266" i="5"/>
  <c r="AP266" i="5"/>
  <c r="AO266" i="5"/>
  <c r="AN266" i="5"/>
  <c r="AM266" i="5"/>
  <c r="AL266" i="5"/>
  <c r="AK266" i="5"/>
  <c r="AJ266" i="5"/>
  <c r="AI266" i="5"/>
  <c r="AH266" i="5"/>
  <c r="AG266" i="5"/>
  <c r="AF266" i="5"/>
  <c r="AE266" i="5"/>
  <c r="AD266" i="5"/>
  <c r="AC266" i="5"/>
  <c r="AB266" i="5"/>
  <c r="AA266" i="5"/>
  <c r="Z266" i="5"/>
  <c r="Y266" i="5"/>
  <c r="X266" i="5"/>
  <c r="W266" i="5"/>
  <c r="V266" i="5"/>
  <c r="U266" i="5"/>
  <c r="T266" i="5"/>
  <c r="S266" i="5"/>
  <c r="R266" i="5"/>
  <c r="Q266" i="5"/>
  <c r="P266" i="5"/>
  <c r="O266" i="5"/>
  <c r="N266" i="5"/>
  <c r="M266" i="5"/>
  <c r="L266" i="5"/>
  <c r="K266" i="5"/>
  <c r="J266" i="5"/>
  <c r="I266" i="5"/>
  <c r="H266" i="5"/>
  <c r="G266" i="5"/>
  <c r="F266" i="5"/>
  <c r="E266" i="5"/>
  <c r="AV265" i="5"/>
  <c r="AU265" i="5"/>
  <c r="AT265" i="5"/>
  <c r="AS265" i="5"/>
  <c r="AR265" i="5"/>
  <c r="AQ265" i="5"/>
  <c r="AP265" i="5"/>
  <c r="AO265" i="5"/>
  <c r="AN265" i="5"/>
  <c r="AM265" i="5"/>
  <c r="AL265" i="5"/>
  <c r="AK265" i="5"/>
  <c r="AJ265" i="5"/>
  <c r="AI265" i="5"/>
  <c r="AH265" i="5"/>
  <c r="AG265" i="5"/>
  <c r="AF265" i="5"/>
  <c r="AE265" i="5"/>
  <c r="AD265" i="5"/>
  <c r="AC265" i="5"/>
  <c r="AB265" i="5"/>
  <c r="AA265" i="5"/>
  <c r="Z265" i="5"/>
  <c r="Y265" i="5"/>
  <c r="X265" i="5"/>
  <c r="W265" i="5"/>
  <c r="V265" i="5"/>
  <c r="U265" i="5"/>
  <c r="T265" i="5"/>
  <c r="S265" i="5"/>
  <c r="R265" i="5"/>
  <c r="Q265" i="5"/>
  <c r="P265" i="5"/>
  <c r="O265" i="5"/>
  <c r="N265" i="5"/>
  <c r="M265" i="5"/>
  <c r="L265" i="5"/>
  <c r="K265" i="5"/>
  <c r="J265" i="5"/>
  <c r="I265" i="5"/>
  <c r="H265" i="5"/>
  <c r="G265" i="5"/>
  <c r="F265" i="5"/>
  <c r="E265" i="5"/>
  <c r="AV264" i="5"/>
  <c r="AU264" i="5"/>
  <c r="AT264" i="5"/>
  <c r="AS264" i="5"/>
  <c r="AR264" i="5"/>
  <c r="AQ264" i="5"/>
  <c r="AP264" i="5"/>
  <c r="AO264" i="5"/>
  <c r="AN264" i="5"/>
  <c r="AM264" i="5"/>
  <c r="AL264" i="5"/>
  <c r="AK264" i="5"/>
  <c r="AJ264" i="5"/>
  <c r="AI264" i="5"/>
  <c r="AH264" i="5"/>
  <c r="AG264" i="5"/>
  <c r="AF264" i="5"/>
  <c r="AE264" i="5"/>
  <c r="AD264" i="5"/>
  <c r="AC264" i="5"/>
  <c r="AB264" i="5"/>
  <c r="AA264" i="5"/>
  <c r="Z264" i="5"/>
  <c r="Y264" i="5"/>
  <c r="X264" i="5"/>
  <c r="W264" i="5"/>
  <c r="V264" i="5"/>
  <c r="U264" i="5"/>
  <c r="T264" i="5"/>
  <c r="S264" i="5"/>
  <c r="R264" i="5"/>
  <c r="Q264" i="5"/>
  <c r="P264" i="5"/>
  <c r="O264" i="5"/>
  <c r="N264" i="5"/>
  <c r="M264" i="5"/>
  <c r="L264" i="5"/>
  <c r="K264" i="5"/>
  <c r="J264" i="5"/>
  <c r="I264" i="5"/>
  <c r="H264" i="5"/>
  <c r="G264" i="5"/>
  <c r="F264" i="5"/>
  <c r="E264" i="5"/>
  <c r="AV263" i="5"/>
  <c r="AU263" i="5"/>
  <c r="AT263" i="5"/>
  <c r="AS263" i="5"/>
  <c r="AR263" i="5"/>
  <c r="AQ263" i="5"/>
  <c r="AP263" i="5"/>
  <c r="AO263" i="5"/>
  <c r="AN263" i="5"/>
  <c r="AM263" i="5"/>
  <c r="AL263" i="5"/>
  <c r="AK263" i="5"/>
  <c r="AJ263" i="5"/>
  <c r="AI263" i="5"/>
  <c r="AH263" i="5"/>
  <c r="AG263" i="5"/>
  <c r="AF263" i="5"/>
  <c r="AE263" i="5"/>
  <c r="AD263" i="5"/>
  <c r="AC263" i="5"/>
  <c r="AB263" i="5"/>
  <c r="AA263" i="5"/>
  <c r="Z263" i="5"/>
  <c r="Y263" i="5"/>
  <c r="X263" i="5"/>
  <c r="W263" i="5"/>
  <c r="V263" i="5"/>
  <c r="U263" i="5"/>
  <c r="T263" i="5"/>
  <c r="S263" i="5"/>
  <c r="R263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AV262" i="5"/>
  <c r="AU262" i="5"/>
  <c r="AT262" i="5"/>
  <c r="AS262" i="5"/>
  <c r="AR262" i="5"/>
  <c r="AQ262" i="5"/>
  <c r="AP262" i="5"/>
  <c r="AO262" i="5"/>
  <c r="AN262" i="5"/>
  <c r="AM262" i="5"/>
  <c r="AL262" i="5"/>
  <c r="AK262" i="5"/>
  <c r="AJ262" i="5"/>
  <c r="AI262" i="5"/>
  <c r="AH262" i="5"/>
  <c r="AG262" i="5"/>
  <c r="AF262" i="5"/>
  <c r="AE262" i="5"/>
  <c r="AD262" i="5"/>
  <c r="AC262" i="5"/>
  <c r="AB262" i="5"/>
  <c r="AA262" i="5"/>
  <c r="Z262" i="5"/>
  <c r="Y262" i="5"/>
  <c r="X262" i="5"/>
  <c r="W262" i="5"/>
  <c r="V262" i="5"/>
  <c r="U262" i="5"/>
  <c r="T262" i="5"/>
  <c r="S262" i="5"/>
  <c r="R262" i="5"/>
  <c r="Q262" i="5"/>
  <c r="P262" i="5"/>
  <c r="O262" i="5"/>
  <c r="N262" i="5"/>
  <c r="M262" i="5"/>
  <c r="L262" i="5"/>
  <c r="K262" i="5"/>
  <c r="J262" i="5"/>
  <c r="I262" i="5"/>
  <c r="H262" i="5"/>
  <c r="G262" i="5"/>
  <c r="F262" i="5"/>
  <c r="E262" i="5"/>
  <c r="AV261" i="5"/>
  <c r="AU261" i="5"/>
  <c r="AT261" i="5"/>
  <c r="AS261" i="5"/>
  <c r="AR261" i="5"/>
  <c r="AQ261" i="5"/>
  <c r="AP261" i="5"/>
  <c r="AO261" i="5"/>
  <c r="AN261" i="5"/>
  <c r="AM261" i="5"/>
  <c r="AL261" i="5"/>
  <c r="AK261" i="5"/>
  <c r="AJ261" i="5"/>
  <c r="AI261" i="5"/>
  <c r="AH261" i="5"/>
  <c r="AG261" i="5"/>
  <c r="AF261" i="5"/>
  <c r="AE261" i="5"/>
  <c r="AD261" i="5"/>
  <c r="AC261" i="5"/>
  <c r="AB261" i="5"/>
  <c r="AA261" i="5"/>
  <c r="Z261" i="5"/>
  <c r="Y261" i="5"/>
  <c r="X261" i="5"/>
  <c r="W261" i="5"/>
  <c r="V261" i="5"/>
  <c r="U261" i="5"/>
  <c r="T261" i="5"/>
  <c r="S261" i="5"/>
  <c r="R261" i="5"/>
  <c r="Q261" i="5"/>
  <c r="P261" i="5"/>
  <c r="O261" i="5"/>
  <c r="N261" i="5"/>
  <c r="M261" i="5"/>
  <c r="L261" i="5"/>
  <c r="K261" i="5"/>
  <c r="J261" i="5"/>
  <c r="I261" i="5"/>
  <c r="H261" i="5"/>
  <c r="G261" i="5"/>
  <c r="F261" i="5"/>
  <c r="E261" i="5"/>
  <c r="AV260" i="5"/>
  <c r="AU260" i="5"/>
  <c r="AT260" i="5"/>
  <c r="AS260" i="5"/>
  <c r="AR260" i="5"/>
  <c r="AQ260" i="5"/>
  <c r="AP260" i="5"/>
  <c r="AO260" i="5"/>
  <c r="AN260" i="5"/>
  <c r="AM260" i="5"/>
  <c r="AL260" i="5"/>
  <c r="AK260" i="5"/>
  <c r="AJ260" i="5"/>
  <c r="AI260" i="5"/>
  <c r="AH260" i="5"/>
  <c r="AG260" i="5"/>
  <c r="AF260" i="5"/>
  <c r="AE260" i="5"/>
  <c r="AD260" i="5"/>
  <c r="AC260" i="5"/>
  <c r="AB260" i="5"/>
  <c r="AA260" i="5"/>
  <c r="Z260" i="5"/>
  <c r="Y260" i="5"/>
  <c r="X260" i="5"/>
  <c r="W260" i="5"/>
  <c r="V260" i="5"/>
  <c r="U260" i="5"/>
  <c r="T260" i="5"/>
  <c r="S260" i="5"/>
  <c r="R260" i="5"/>
  <c r="Q260" i="5"/>
  <c r="P260" i="5"/>
  <c r="O260" i="5"/>
  <c r="N260" i="5"/>
  <c r="M260" i="5"/>
  <c r="L260" i="5"/>
  <c r="K260" i="5"/>
  <c r="J260" i="5"/>
  <c r="I260" i="5"/>
  <c r="H260" i="5"/>
  <c r="G260" i="5"/>
  <c r="F260" i="5"/>
  <c r="E260" i="5"/>
  <c r="AV259" i="5"/>
  <c r="AU259" i="5"/>
  <c r="AT259" i="5"/>
  <c r="AS259" i="5"/>
  <c r="AR259" i="5"/>
  <c r="AQ259" i="5"/>
  <c r="AP259" i="5"/>
  <c r="AO259" i="5"/>
  <c r="AN259" i="5"/>
  <c r="AM259" i="5"/>
  <c r="AL259" i="5"/>
  <c r="AK259" i="5"/>
  <c r="AJ259" i="5"/>
  <c r="AI259" i="5"/>
  <c r="AH259" i="5"/>
  <c r="AG259" i="5"/>
  <c r="AF259" i="5"/>
  <c r="AE259" i="5"/>
  <c r="AD259" i="5"/>
  <c r="AC259" i="5"/>
  <c r="AB259" i="5"/>
  <c r="AA259" i="5"/>
  <c r="Z259" i="5"/>
  <c r="Y259" i="5"/>
  <c r="X259" i="5"/>
  <c r="W259" i="5"/>
  <c r="V259" i="5"/>
  <c r="U259" i="5"/>
  <c r="T259" i="5"/>
  <c r="S259" i="5"/>
  <c r="R259" i="5"/>
  <c r="Q259" i="5"/>
  <c r="P259" i="5"/>
  <c r="O259" i="5"/>
  <c r="N259" i="5"/>
  <c r="M259" i="5"/>
  <c r="L259" i="5"/>
  <c r="K259" i="5"/>
  <c r="J259" i="5"/>
  <c r="I259" i="5"/>
  <c r="H259" i="5"/>
  <c r="G259" i="5"/>
  <c r="F259" i="5"/>
  <c r="E259" i="5"/>
  <c r="AV258" i="5"/>
  <c r="AU258" i="5"/>
  <c r="AT258" i="5"/>
  <c r="AS258" i="5"/>
  <c r="AR258" i="5"/>
  <c r="AQ258" i="5"/>
  <c r="AP258" i="5"/>
  <c r="AO258" i="5"/>
  <c r="AN258" i="5"/>
  <c r="AM258" i="5"/>
  <c r="AL258" i="5"/>
  <c r="AK258" i="5"/>
  <c r="AJ258" i="5"/>
  <c r="AI258" i="5"/>
  <c r="AH258" i="5"/>
  <c r="AG258" i="5"/>
  <c r="AF258" i="5"/>
  <c r="AE258" i="5"/>
  <c r="AD258" i="5"/>
  <c r="AC258" i="5"/>
  <c r="AB258" i="5"/>
  <c r="AA258" i="5"/>
  <c r="Z258" i="5"/>
  <c r="Y258" i="5"/>
  <c r="X258" i="5"/>
  <c r="W258" i="5"/>
  <c r="V258" i="5"/>
  <c r="U258" i="5"/>
  <c r="T258" i="5"/>
  <c r="S258" i="5"/>
  <c r="R258" i="5"/>
  <c r="Q258" i="5"/>
  <c r="P258" i="5"/>
  <c r="O258" i="5"/>
  <c r="N258" i="5"/>
  <c r="M258" i="5"/>
  <c r="L258" i="5"/>
  <c r="K258" i="5"/>
  <c r="J258" i="5"/>
  <c r="I258" i="5"/>
  <c r="H258" i="5"/>
  <c r="G258" i="5"/>
  <c r="F258" i="5"/>
  <c r="E258" i="5"/>
  <c r="AV257" i="5"/>
  <c r="AU257" i="5"/>
  <c r="AT257" i="5"/>
  <c r="AS257" i="5"/>
  <c r="AR257" i="5"/>
  <c r="AQ257" i="5"/>
  <c r="AP257" i="5"/>
  <c r="AO257" i="5"/>
  <c r="AN257" i="5"/>
  <c r="AM257" i="5"/>
  <c r="AL257" i="5"/>
  <c r="AK257" i="5"/>
  <c r="AJ257" i="5"/>
  <c r="AI257" i="5"/>
  <c r="AH257" i="5"/>
  <c r="AG257" i="5"/>
  <c r="AF257" i="5"/>
  <c r="AE257" i="5"/>
  <c r="AD257" i="5"/>
  <c r="AC257" i="5"/>
  <c r="AB257" i="5"/>
  <c r="AA257" i="5"/>
  <c r="Z257" i="5"/>
  <c r="Y257" i="5"/>
  <c r="X257" i="5"/>
  <c r="W257" i="5"/>
  <c r="V257" i="5"/>
  <c r="U257" i="5"/>
  <c r="T257" i="5"/>
  <c r="S257" i="5"/>
  <c r="R257" i="5"/>
  <c r="Q257" i="5"/>
  <c r="P257" i="5"/>
  <c r="O257" i="5"/>
  <c r="N257" i="5"/>
  <c r="M257" i="5"/>
  <c r="L257" i="5"/>
  <c r="K257" i="5"/>
  <c r="J257" i="5"/>
  <c r="I257" i="5"/>
  <c r="H257" i="5"/>
  <c r="G257" i="5"/>
  <c r="F257" i="5"/>
  <c r="E257" i="5"/>
  <c r="AV256" i="5"/>
  <c r="AU256" i="5"/>
  <c r="AT256" i="5"/>
  <c r="AS256" i="5"/>
  <c r="AR256" i="5"/>
  <c r="AQ256" i="5"/>
  <c r="AP256" i="5"/>
  <c r="AO256" i="5"/>
  <c r="AN256" i="5"/>
  <c r="AM256" i="5"/>
  <c r="AL256" i="5"/>
  <c r="AK256" i="5"/>
  <c r="AJ256" i="5"/>
  <c r="AI256" i="5"/>
  <c r="AH256" i="5"/>
  <c r="AG256" i="5"/>
  <c r="AF256" i="5"/>
  <c r="AE256" i="5"/>
  <c r="AD256" i="5"/>
  <c r="AC256" i="5"/>
  <c r="AB256" i="5"/>
  <c r="AA256" i="5"/>
  <c r="Z256" i="5"/>
  <c r="Y256" i="5"/>
  <c r="X256" i="5"/>
  <c r="W256" i="5"/>
  <c r="V256" i="5"/>
  <c r="U256" i="5"/>
  <c r="T256" i="5"/>
  <c r="S256" i="5"/>
  <c r="R256" i="5"/>
  <c r="Q256" i="5"/>
  <c r="P256" i="5"/>
  <c r="O256" i="5"/>
  <c r="N256" i="5"/>
  <c r="M256" i="5"/>
  <c r="L256" i="5"/>
  <c r="K256" i="5"/>
  <c r="J256" i="5"/>
  <c r="I256" i="5"/>
  <c r="H256" i="5"/>
  <c r="G256" i="5"/>
  <c r="F256" i="5"/>
  <c r="E256" i="5"/>
  <c r="AV255" i="5"/>
  <c r="AU255" i="5"/>
  <c r="AT255" i="5"/>
  <c r="AS255" i="5"/>
  <c r="AR255" i="5"/>
  <c r="AQ255" i="5"/>
  <c r="AP255" i="5"/>
  <c r="AO255" i="5"/>
  <c r="AN255" i="5"/>
  <c r="AM255" i="5"/>
  <c r="AL255" i="5"/>
  <c r="AK255" i="5"/>
  <c r="AJ255" i="5"/>
  <c r="AI255" i="5"/>
  <c r="AH255" i="5"/>
  <c r="AG255" i="5"/>
  <c r="AF255" i="5"/>
  <c r="AE255" i="5"/>
  <c r="AD255" i="5"/>
  <c r="AC255" i="5"/>
  <c r="AB255" i="5"/>
  <c r="AA255" i="5"/>
  <c r="Z255" i="5"/>
  <c r="Y255" i="5"/>
  <c r="X255" i="5"/>
  <c r="W255" i="5"/>
  <c r="V255" i="5"/>
  <c r="U255" i="5"/>
  <c r="T255" i="5"/>
  <c r="S255" i="5"/>
  <c r="R255" i="5"/>
  <c r="Q255" i="5"/>
  <c r="P255" i="5"/>
  <c r="O255" i="5"/>
  <c r="N255" i="5"/>
  <c r="M255" i="5"/>
  <c r="L255" i="5"/>
  <c r="K255" i="5"/>
  <c r="J255" i="5"/>
  <c r="I255" i="5"/>
  <c r="H255" i="5"/>
  <c r="G255" i="5"/>
  <c r="F255" i="5"/>
  <c r="E255" i="5"/>
  <c r="AV254" i="5"/>
  <c r="AU254" i="5"/>
  <c r="AT254" i="5"/>
  <c r="AS254" i="5"/>
  <c r="AR254" i="5"/>
  <c r="AQ254" i="5"/>
  <c r="AP254" i="5"/>
  <c r="AO254" i="5"/>
  <c r="AN254" i="5"/>
  <c r="AM254" i="5"/>
  <c r="AL254" i="5"/>
  <c r="AK254" i="5"/>
  <c r="AJ254" i="5"/>
  <c r="AI254" i="5"/>
  <c r="AH254" i="5"/>
  <c r="AG254" i="5"/>
  <c r="AF254" i="5"/>
  <c r="AE254" i="5"/>
  <c r="AD254" i="5"/>
  <c r="AC254" i="5"/>
  <c r="AB254" i="5"/>
  <c r="AA254" i="5"/>
  <c r="Z254" i="5"/>
  <c r="Y254" i="5"/>
  <c r="X254" i="5"/>
  <c r="W254" i="5"/>
  <c r="V254" i="5"/>
  <c r="U254" i="5"/>
  <c r="T254" i="5"/>
  <c r="S254" i="5"/>
  <c r="R254" i="5"/>
  <c r="Q254" i="5"/>
  <c r="P254" i="5"/>
  <c r="O254" i="5"/>
  <c r="N254" i="5"/>
  <c r="M254" i="5"/>
  <c r="L254" i="5"/>
  <c r="K254" i="5"/>
  <c r="J254" i="5"/>
  <c r="I254" i="5"/>
  <c r="H254" i="5"/>
  <c r="G254" i="5"/>
  <c r="F254" i="5"/>
  <c r="E254" i="5"/>
  <c r="AV253" i="5"/>
  <c r="AU253" i="5"/>
  <c r="AT253" i="5"/>
  <c r="AS253" i="5"/>
  <c r="AR253" i="5"/>
  <c r="AQ253" i="5"/>
  <c r="AP253" i="5"/>
  <c r="AO253" i="5"/>
  <c r="AN253" i="5"/>
  <c r="AM253" i="5"/>
  <c r="AL253" i="5"/>
  <c r="AK253" i="5"/>
  <c r="AJ253" i="5"/>
  <c r="AI253" i="5"/>
  <c r="AH253" i="5"/>
  <c r="AG253" i="5"/>
  <c r="AF253" i="5"/>
  <c r="AE253" i="5"/>
  <c r="AD253" i="5"/>
  <c r="AC253" i="5"/>
  <c r="AB253" i="5"/>
  <c r="AA253" i="5"/>
  <c r="Z253" i="5"/>
  <c r="Y253" i="5"/>
  <c r="X253" i="5"/>
  <c r="W253" i="5"/>
  <c r="V253" i="5"/>
  <c r="U253" i="5"/>
  <c r="T253" i="5"/>
  <c r="S253" i="5"/>
  <c r="R253" i="5"/>
  <c r="Q253" i="5"/>
  <c r="P253" i="5"/>
  <c r="O253" i="5"/>
  <c r="N253" i="5"/>
  <c r="M253" i="5"/>
  <c r="L253" i="5"/>
  <c r="K253" i="5"/>
  <c r="J253" i="5"/>
  <c r="I253" i="5"/>
  <c r="H253" i="5"/>
  <c r="G253" i="5"/>
  <c r="F253" i="5"/>
  <c r="E253" i="5"/>
  <c r="AV252" i="5"/>
  <c r="AU252" i="5"/>
  <c r="AT252" i="5"/>
  <c r="AS252" i="5"/>
  <c r="AR252" i="5"/>
  <c r="AQ252" i="5"/>
  <c r="AP252" i="5"/>
  <c r="AO252" i="5"/>
  <c r="AN252" i="5"/>
  <c r="AM252" i="5"/>
  <c r="AL252" i="5"/>
  <c r="AK252" i="5"/>
  <c r="AJ252" i="5"/>
  <c r="AI252" i="5"/>
  <c r="AH252" i="5"/>
  <c r="AG252" i="5"/>
  <c r="AF252" i="5"/>
  <c r="AE252" i="5"/>
  <c r="AD252" i="5"/>
  <c r="AC252" i="5"/>
  <c r="AB252" i="5"/>
  <c r="AA252" i="5"/>
  <c r="Z252" i="5"/>
  <c r="Y252" i="5"/>
  <c r="X252" i="5"/>
  <c r="W252" i="5"/>
  <c r="V252" i="5"/>
  <c r="U252" i="5"/>
  <c r="T252" i="5"/>
  <c r="S252" i="5"/>
  <c r="R252" i="5"/>
  <c r="Q252" i="5"/>
  <c r="P252" i="5"/>
  <c r="O252" i="5"/>
  <c r="N252" i="5"/>
  <c r="M252" i="5"/>
  <c r="L252" i="5"/>
  <c r="K252" i="5"/>
  <c r="J252" i="5"/>
  <c r="I252" i="5"/>
  <c r="H252" i="5"/>
  <c r="G252" i="5"/>
  <c r="F252" i="5"/>
  <c r="E252" i="5"/>
  <c r="AV251" i="5"/>
  <c r="AU251" i="5"/>
  <c r="AT251" i="5"/>
  <c r="AS251" i="5"/>
  <c r="AR251" i="5"/>
  <c r="AQ251" i="5"/>
  <c r="AP251" i="5"/>
  <c r="AO251" i="5"/>
  <c r="AN251" i="5"/>
  <c r="AM251" i="5"/>
  <c r="AL251" i="5"/>
  <c r="AK251" i="5"/>
  <c r="AJ251" i="5"/>
  <c r="AI251" i="5"/>
  <c r="AH251" i="5"/>
  <c r="AG251" i="5"/>
  <c r="AF251" i="5"/>
  <c r="AE251" i="5"/>
  <c r="AD251" i="5"/>
  <c r="AC251" i="5"/>
  <c r="AB251" i="5"/>
  <c r="AA251" i="5"/>
  <c r="Z251" i="5"/>
  <c r="Y251" i="5"/>
  <c r="X251" i="5"/>
  <c r="W251" i="5"/>
  <c r="V251" i="5"/>
  <c r="U251" i="5"/>
  <c r="T251" i="5"/>
  <c r="S251" i="5"/>
  <c r="R251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AV250" i="5"/>
  <c r="AU250" i="5"/>
  <c r="AT250" i="5"/>
  <c r="AS250" i="5"/>
  <c r="AR250" i="5"/>
  <c r="AQ250" i="5"/>
  <c r="AP250" i="5"/>
  <c r="AO250" i="5"/>
  <c r="AN250" i="5"/>
  <c r="AM250" i="5"/>
  <c r="AL250" i="5"/>
  <c r="AK250" i="5"/>
  <c r="AJ250" i="5"/>
  <c r="AI250" i="5"/>
  <c r="AH250" i="5"/>
  <c r="AG250" i="5"/>
  <c r="AF250" i="5"/>
  <c r="AE250" i="5"/>
  <c r="AD250" i="5"/>
  <c r="AC250" i="5"/>
  <c r="AB250" i="5"/>
  <c r="AA250" i="5"/>
  <c r="Z250" i="5"/>
  <c r="Y250" i="5"/>
  <c r="X250" i="5"/>
  <c r="W250" i="5"/>
  <c r="V250" i="5"/>
  <c r="U250" i="5"/>
  <c r="T250" i="5"/>
  <c r="S250" i="5"/>
  <c r="R250" i="5"/>
  <c r="Q250" i="5"/>
  <c r="P250" i="5"/>
  <c r="O250" i="5"/>
  <c r="N250" i="5"/>
  <c r="M250" i="5"/>
  <c r="L250" i="5"/>
  <c r="K250" i="5"/>
  <c r="J250" i="5"/>
  <c r="I250" i="5"/>
  <c r="H250" i="5"/>
  <c r="G250" i="5"/>
  <c r="F250" i="5"/>
  <c r="E250" i="5"/>
  <c r="AV249" i="5"/>
  <c r="AU249" i="5"/>
  <c r="AT249" i="5"/>
  <c r="AS249" i="5"/>
  <c r="AR249" i="5"/>
  <c r="AQ249" i="5"/>
  <c r="AP249" i="5"/>
  <c r="AO249" i="5"/>
  <c r="AN249" i="5"/>
  <c r="AM249" i="5"/>
  <c r="AL249" i="5"/>
  <c r="AK249" i="5"/>
  <c r="AJ249" i="5"/>
  <c r="AI249" i="5"/>
  <c r="AH249" i="5"/>
  <c r="AG249" i="5"/>
  <c r="AF249" i="5"/>
  <c r="AE249" i="5"/>
  <c r="AD249" i="5"/>
  <c r="AC249" i="5"/>
  <c r="AB249" i="5"/>
  <c r="AA249" i="5"/>
  <c r="Z249" i="5"/>
  <c r="Y249" i="5"/>
  <c r="X249" i="5"/>
  <c r="W249" i="5"/>
  <c r="V249" i="5"/>
  <c r="U249" i="5"/>
  <c r="T249" i="5"/>
  <c r="S249" i="5"/>
  <c r="R249" i="5"/>
  <c r="Q249" i="5"/>
  <c r="P249" i="5"/>
  <c r="O249" i="5"/>
  <c r="N249" i="5"/>
  <c r="M249" i="5"/>
  <c r="L249" i="5"/>
  <c r="K249" i="5"/>
  <c r="J249" i="5"/>
  <c r="I249" i="5"/>
  <c r="H249" i="5"/>
  <c r="G249" i="5"/>
  <c r="F249" i="5"/>
  <c r="E249" i="5"/>
  <c r="AV248" i="5"/>
  <c r="AU248" i="5"/>
  <c r="AT248" i="5"/>
  <c r="AS248" i="5"/>
  <c r="AR248" i="5"/>
  <c r="AQ248" i="5"/>
  <c r="AP248" i="5"/>
  <c r="AO248" i="5"/>
  <c r="AN248" i="5"/>
  <c r="AM248" i="5"/>
  <c r="AL248" i="5"/>
  <c r="AK248" i="5"/>
  <c r="AJ248" i="5"/>
  <c r="AI248" i="5"/>
  <c r="AH248" i="5"/>
  <c r="AG248" i="5"/>
  <c r="AF248" i="5"/>
  <c r="AE248" i="5"/>
  <c r="AD248" i="5"/>
  <c r="AC248" i="5"/>
  <c r="AB248" i="5"/>
  <c r="AA248" i="5"/>
  <c r="Z248" i="5"/>
  <c r="Y248" i="5"/>
  <c r="X248" i="5"/>
  <c r="W248" i="5"/>
  <c r="V248" i="5"/>
  <c r="U248" i="5"/>
  <c r="T248" i="5"/>
  <c r="S248" i="5"/>
  <c r="R248" i="5"/>
  <c r="Q248" i="5"/>
  <c r="P248" i="5"/>
  <c r="O248" i="5"/>
  <c r="N248" i="5"/>
  <c r="M248" i="5"/>
  <c r="L248" i="5"/>
  <c r="K248" i="5"/>
  <c r="J248" i="5"/>
  <c r="I248" i="5"/>
  <c r="H248" i="5"/>
  <c r="G248" i="5"/>
  <c r="F248" i="5"/>
  <c r="E248" i="5"/>
  <c r="AV247" i="5"/>
  <c r="AU247" i="5"/>
  <c r="AT247" i="5"/>
  <c r="AS247" i="5"/>
  <c r="AR247" i="5"/>
  <c r="AQ247" i="5"/>
  <c r="AP247" i="5"/>
  <c r="AO247" i="5"/>
  <c r="AN247" i="5"/>
  <c r="AM247" i="5"/>
  <c r="AL247" i="5"/>
  <c r="AK247" i="5"/>
  <c r="AJ247" i="5"/>
  <c r="AI247" i="5"/>
  <c r="AH247" i="5"/>
  <c r="AG247" i="5"/>
  <c r="AF247" i="5"/>
  <c r="AE247" i="5"/>
  <c r="AD247" i="5"/>
  <c r="AC247" i="5"/>
  <c r="AB247" i="5"/>
  <c r="AA247" i="5"/>
  <c r="Z247" i="5"/>
  <c r="Y247" i="5"/>
  <c r="X247" i="5"/>
  <c r="W247" i="5"/>
  <c r="V247" i="5"/>
  <c r="U247" i="5"/>
  <c r="T247" i="5"/>
  <c r="S247" i="5"/>
  <c r="R247" i="5"/>
  <c r="Q247" i="5"/>
  <c r="P247" i="5"/>
  <c r="O247" i="5"/>
  <c r="N247" i="5"/>
  <c r="M247" i="5"/>
  <c r="L247" i="5"/>
  <c r="K247" i="5"/>
  <c r="J247" i="5"/>
  <c r="I247" i="5"/>
  <c r="H247" i="5"/>
  <c r="G247" i="5"/>
  <c r="F247" i="5"/>
  <c r="E247" i="5"/>
  <c r="AV246" i="5"/>
  <c r="AU246" i="5"/>
  <c r="AT246" i="5"/>
  <c r="AS246" i="5"/>
  <c r="AR246" i="5"/>
  <c r="AQ246" i="5"/>
  <c r="AP246" i="5"/>
  <c r="AO246" i="5"/>
  <c r="AN246" i="5"/>
  <c r="AM246" i="5"/>
  <c r="AL246" i="5"/>
  <c r="AK246" i="5"/>
  <c r="AJ246" i="5"/>
  <c r="AI246" i="5"/>
  <c r="AH246" i="5"/>
  <c r="AG246" i="5"/>
  <c r="AF246" i="5"/>
  <c r="AE246" i="5"/>
  <c r="AD246" i="5"/>
  <c r="AC246" i="5"/>
  <c r="AB246" i="5"/>
  <c r="AA246" i="5"/>
  <c r="Z246" i="5"/>
  <c r="Y246" i="5"/>
  <c r="X246" i="5"/>
  <c r="W246" i="5"/>
  <c r="V246" i="5"/>
  <c r="U246" i="5"/>
  <c r="T246" i="5"/>
  <c r="S246" i="5"/>
  <c r="R246" i="5"/>
  <c r="Q246" i="5"/>
  <c r="P246" i="5"/>
  <c r="O246" i="5"/>
  <c r="N246" i="5"/>
  <c r="M246" i="5"/>
  <c r="L246" i="5"/>
  <c r="K246" i="5"/>
  <c r="J246" i="5"/>
  <c r="I246" i="5"/>
  <c r="H246" i="5"/>
  <c r="G246" i="5"/>
  <c r="F246" i="5"/>
  <c r="E246" i="5"/>
  <c r="AV245" i="5"/>
  <c r="AU245" i="5"/>
  <c r="AT245" i="5"/>
  <c r="AS245" i="5"/>
  <c r="AR245" i="5"/>
  <c r="AQ245" i="5"/>
  <c r="AP245" i="5"/>
  <c r="AO245" i="5"/>
  <c r="AN245" i="5"/>
  <c r="AM245" i="5"/>
  <c r="AL245" i="5"/>
  <c r="AK245" i="5"/>
  <c r="AJ245" i="5"/>
  <c r="AI245" i="5"/>
  <c r="AH245" i="5"/>
  <c r="AG245" i="5"/>
  <c r="AF245" i="5"/>
  <c r="AE245" i="5"/>
  <c r="AD245" i="5"/>
  <c r="AC245" i="5"/>
  <c r="AB245" i="5"/>
  <c r="AA245" i="5"/>
  <c r="Z245" i="5"/>
  <c r="Y245" i="5"/>
  <c r="X245" i="5"/>
  <c r="W245" i="5"/>
  <c r="V245" i="5"/>
  <c r="U245" i="5"/>
  <c r="T245" i="5"/>
  <c r="S245" i="5"/>
  <c r="R245" i="5"/>
  <c r="Q245" i="5"/>
  <c r="P245" i="5"/>
  <c r="O245" i="5"/>
  <c r="N245" i="5"/>
  <c r="M245" i="5"/>
  <c r="L245" i="5"/>
  <c r="K245" i="5"/>
  <c r="J245" i="5"/>
  <c r="I245" i="5"/>
  <c r="H245" i="5"/>
  <c r="G245" i="5"/>
  <c r="F245" i="5"/>
  <c r="E245" i="5"/>
  <c r="AV244" i="5"/>
  <c r="AU244" i="5"/>
  <c r="AT244" i="5"/>
  <c r="AS244" i="5"/>
  <c r="AR244" i="5"/>
  <c r="AQ244" i="5"/>
  <c r="AP244" i="5"/>
  <c r="AO244" i="5"/>
  <c r="AN244" i="5"/>
  <c r="AM244" i="5"/>
  <c r="AL244" i="5"/>
  <c r="AK244" i="5"/>
  <c r="AJ244" i="5"/>
  <c r="AI244" i="5"/>
  <c r="AH244" i="5"/>
  <c r="AG244" i="5"/>
  <c r="AF244" i="5"/>
  <c r="AE244" i="5"/>
  <c r="AD244" i="5"/>
  <c r="AC244" i="5"/>
  <c r="AB244" i="5"/>
  <c r="AA244" i="5"/>
  <c r="Z244" i="5"/>
  <c r="Y244" i="5"/>
  <c r="X244" i="5"/>
  <c r="W244" i="5"/>
  <c r="V244" i="5"/>
  <c r="U244" i="5"/>
  <c r="T244" i="5"/>
  <c r="S244" i="5"/>
  <c r="R244" i="5"/>
  <c r="Q244" i="5"/>
  <c r="P244" i="5"/>
  <c r="O244" i="5"/>
  <c r="N244" i="5"/>
  <c r="M244" i="5"/>
  <c r="L244" i="5"/>
  <c r="K244" i="5"/>
  <c r="J244" i="5"/>
  <c r="I244" i="5"/>
  <c r="H244" i="5"/>
  <c r="G244" i="5"/>
  <c r="F244" i="5"/>
  <c r="E244" i="5"/>
  <c r="AV243" i="5"/>
  <c r="AU243" i="5"/>
  <c r="AT243" i="5"/>
  <c r="AS243" i="5"/>
  <c r="AR243" i="5"/>
  <c r="AQ243" i="5"/>
  <c r="AP243" i="5"/>
  <c r="AO243" i="5"/>
  <c r="AN243" i="5"/>
  <c r="AM243" i="5"/>
  <c r="AL243" i="5"/>
  <c r="AK243" i="5"/>
  <c r="AJ243" i="5"/>
  <c r="AI243" i="5"/>
  <c r="AH243" i="5"/>
  <c r="AG243" i="5"/>
  <c r="AF243" i="5"/>
  <c r="AE243" i="5"/>
  <c r="AD243" i="5"/>
  <c r="AC243" i="5"/>
  <c r="AB243" i="5"/>
  <c r="AA243" i="5"/>
  <c r="Z243" i="5"/>
  <c r="Y243" i="5"/>
  <c r="X243" i="5"/>
  <c r="W243" i="5"/>
  <c r="V243" i="5"/>
  <c r="U243" i="5"/>
  <c r="T243" i="5"/>
  <c r="S243" i="5"/>
  <c r="R243" i="5"/>
  <c r="Q243" i="5"/>
  <c r="P243" i="5"/>
  <c r="O243" i="5"/>
  <c r="N243" i="5"/>
  <c r="M243" i="5"/>
  <c r="L243" i="5"/>
  <c r="K243" i="5"/>
  <c r="J243" i="5"/>
  <c r="I243" i="5"/>
  <c r="H243" i="5"/>
  <c r="G243" i="5"/>
  <c r="F243" i="5"/>
  <c r="E243" i="5"/>
  <c r="AV242" i="5"/>
  <c r="AU242" i="5"/>
  <c r="AT242" i="5"/>
  <c r="AS242" i="5"/>
  <c r="AR242" i="5"/>
  <c r="AQ242" i="5"/>
  <c r="AP242" i="5"/>
  <c r="AO242" i="5"/>
  <c r="AN242" i="5"/>
  <c r="AM242" i="5"/>
  <c r="AL242" i="5"/>
  <c r="AK242" i="5"/>
  <c r="AJ242" i="5"/>
  <c r="AI242" i="5"/>
  <c r="AH242" i="5"/>
  <c r="AG242" i="5"/>
  <c r="AF242" i="5"/>
  <c r="AE242" i="5"/>
  <c r="AD242" i="5"/>
  <c r="AC242" i="5"/>
  <c r="AB242" i="5"/>
  <c r="AA242" i="5"/>
  <c r="Z242" i="5"/>
  <c r="Y242" i="5"/>
  <c r="X242" i="5"/>
  <c r="W242" i="5"/>
  <c r="V242" i="5"/>
  <c r="U242" i="5"/>
  <c r="T242" i="5"/>
  <c r="S242" i="5"/>
  <c r="R242" i="5"/>
  <c r="Q242" i="5"/>
  <c r="P242" i="5"/>
  <c r="O242" i="5"/>
  <c r="N242" i="5"/>
  <c r="M242" i="5"/>
  <c r="L242" i="5"/>
  <c r="K242" i="5"/>
  <c r="J242" i="5"/>
  <c r="I242" i="5"/>
  <c r="H242" i="5"/>
  <c r="G242" i="5"/>
  <c r="F242" i="5"/>
  <c r="E242" i="5"/>
  <c r="AV241" i="5"/>
  <c r="AU241" i="5"/>
  <c r="AT241" i="5"/>
  <c r="AS241" i="5"/>
  <c r="AR241" i="5"/>
  <c r="AQ241" i="5"/>
  <c r="AP241" i="5"/>
  <c r="AO241" i="5"/>
  <c r="AN241" i="5"/>
  <c r="AM241" i="5"/>
  <c r="AL241" i="5"/>
  <c r="AK241" i="5"/>
  <c r="AJ241" i="5"/>
  <c r="AI241" i="5"/>
  <c r="AH241" i="5"/>
  <c r="AG241" i="5"/>
  <c r="AF241" i="5"/>
  <c r="AE241" i="5"/>
  <c r="AD241" i="5"/>
  <c r="AC241" i="5"/>
  <c r="AB241" i="5"/>
  <c r="AA241" i="5"/>
  <c r="Z241" i="5"/>
  <c r="Y241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I241" i="5"/>
  <c r="H241" i="5"/>
  <c r="G241" i="5"/>
  <c r="F241" i="5"/>
  <c r="E241" i="5"/>
  <c r="AV240" i="5"/>
  <c r="AU240" i="5"/>
  <c r="AT240" i="5"/>
  <c r="AS240" i="5"/>
  <c r="AR240" i="5"/>
  <c r="AQ240" i="5"/>
  <c r="AP240" i="5"/>
  <c r="AO240" i="5"/>
  <c r="AN240" i="5"/>
  <c r="AM240" i="5"/>
  <c r="AL240" i="5"/>
  <c r="AK240" i="5"/>
  <c r="AJ240" i="5"/>
  <c r="AI240" i="5"/>
  <c r="AH240" i="5"/>
  <c r="AG240" i="5"/>
  <c r="AF240" i="5"/>
  <c r="AE240" i="5"/>
  <c r="AD240" i="5"/>
  <c r="AC240" i="5"/>
  <c r="AB240" i="5"/>
  <c r="AA240" i="5"/>
  <c r="Z240" i="5"/>
  <c r="Y240" i="5"/>
  <c r="X240" i="5"/>
  <c r="W240" i="5"/>
  <c r="V240" i="5"/>
  <c r="U240" i="5"/>
  <c r="T240" i="5"/>
  <c r="S240" i="5"/>
  <c r="R240" i="5"/>
  <c r="Q240" i="5"/>
  <c r="P240" i="5"/>
  <c r="O240" i="5"/>
  <c r="N240" i="5"/>
  <c r="M240" i="5"/>
  <c r="L240" i="5"/>
  <c r="K240" i="5"/>
  <c r="J240" i="5"/>
  <c r="I240" i="5"/>
  <c r="H240" i="5"/>
  <c r="G240" i="5"/>
  <c r="F240" i="5"/>
  <c r="E240" i="5"/>
  <c r="AV239" i="5"/>
  <c r="AU239" i="5"/>
  <c r="AT239" i="5"/>
  <c r="AS239" i="5"/>
  <c r="AR239" i="5"/>
  <c r="AQ239" i="5"/>
  <c r="AP239" i="5"/>
  <c r="AO239" i="5"/>
  <c r="AN239" i="5"/>
  <c r="AM239" i="5"/>
  <c r="AL239" i="5"/>
  <c r="AK239" i="5"/>
  <c r="AJ239" i="5"/>
  <c r="AI239" i="5"/>
  <c r="AH239" i="5"/>
  <c r="AG239" i="5"/>
  <c r="AF239" i="5"/>
  <c r="AE239" i="5"/>
  <c r="AD239" i="5"/>
  <c r="AC239" i="5"/>
  <c r="AB239" i="5"/>
  <c r="AA239" i="5"/>
  <c r="Z239" i="5"/>
  <c r="Y239" i="5"/>
  <c r="X239" i="5"/>
  <c r="W239" i="5"/>
  <c r="V239" i="5"/>
  <c r="U239" i="5"/>
  <c r="T239" i="5"/>
  <c r="S239" i="5"/>
  <c r="R239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AV238" i="5"/>
  <c r="AU238" i="5"/>
  <c r="AT238" i="5"/>
  <c r="AS238" i="5"/>
  <c r="AR238" i="5"/>
  <c r="AQ238" i="5"/>
  <c r="AP238" i="5"/>
  <c r="AO238" i="5"/>
  <c r="AN238" i="5"/>
  <c r="AM238" i="5"/>
  <c r="AL238" i="5"/>
  <c r="AK238" i="5"/>
  <c r="AJ238" i="5"/>
  <c r="AI238" i="5"/>
  <c r="AH238" i="5"/>
  <c r="AG238" i="5"/>
  <c r="AF238" i="5"/>
  <c r="AE238" i="5"/>
  <c r="AD238" i="5"/>
  <c r="AC238" i="5"/>
  <c r="AB238" i="5"/>
  <c r="AA238" i="5"/>
  <c r="Z238" i="5"/>
  <c r="Y238" i="5"/>
  <c r="X238" i="5"/>
  <c r="W238" i="5"/>
  <c r="V238" i="5"/>
  <c r="U238" i="5"/>
  <c r="T238" i="5"/>
  <c r="S238" i="5"/>
  <c r="R238" i="5"/>
  <c r="Q238" i="5"/>
  <c r="P238" i="5"/>
  <c r="O238" i="5"/>
  <c r="N238" i="5"/>
  <c r="M238" i="5"/>
  <c r="L238" i="5"/>
  <c r="K238" i="5"/>
  <c r="J238" i="5"/>
  <c r="I238" i="5"/>
  <c r="H238" i="5"/>
  <c r="G238" i="5"/>
  <c r="F238" i="5"/>
  <c r="E238" i="5"/>
  <c r="AV237" i="5"/>
  <c r="AU237" i="5"/>
  <c r="AT237" i="5"/>
  <c r="AS237" i="5"/>
  <c r="AR237" i="5"/>
  <c r="AQ237" i="5"/>
  <c r="AP237" i="5"/>
  <c r="AO237" i="5"/>
  <c r="AN237" i="5"/>
  <c r="AM237" i="5"/>
  <c r="AL237" i="5"/>
  <c r="AK237" i="5"/>
  <c r="AJ237" i="5"/>
  <c r="AI237" i="5"/>
  <c r="AH237" i="5"/>
  <c r="AG237" i="5"/>
  <c r="AF237" i="5"/>
  <c r="AE237" i="5"/>
  <c r="AD237" i="5"/>
  <c r="AC237" i="5"/>
  <c r="AB237" i="5"/>
  <c r="AA237" i="5"/>
  <c r="Z237" i="5"/>
  <c r="Y237" i="5"/>
  <c r="X237" i="5"/>
  <c r="W237" i="5"/>
  <c r="V237" i="5"/>
  <c r="U237" i="5"/>
  <c r="T237" i="5"/>
  <c r="S237" i="5"/>
  <c r="R237" i="5"/>
  <c r="Q237" i="5"/>
  <c r="P237" i="5"/>
  <c r="O237" i="5"/>
  <c r="N237" i="5"/>
  <c r="M237" i="5"/>
  <c r="L237" i="5"/>
  <c r="K237" i="5"/>
  <c r="J237" i="5"/>
  <c r="I237" i="5"/>
  <c r="H237" i="5"/>
  <c r="G237" i="5"/>
  <c r="F237" i="5"/>
  <c r="E237" i="5"/>
  <c r="AV236" i="5"/>
  <c r="AU236" i="5"/>
  <c r="AT236" i="5"/>
  <c r="AS236" i="5"/>
  <c r="AR236" i="5"/>
  <c r="AQ236" i="5"/>
  <c r="AP236" i="5"/>
  <c r="AO236" i="5"/>
  <c r="AN236" i="5"/>
  <c r="AM236" i="5"/>
  <c r="AL236" i="5"/>
  <c r="AK236" i="5"/>
  <c r="AJ236" i="5"/>
  <c r="AI236" i="5"/>
  <c r="AH236" i="5"/>
  <c r="AG236" i="5"/>
  <c r="AF236" i="5"/>
  <c r="AE236" i="5"/>
  <c r="AD236" i="5"/>
  <c r="AC236" i="5"/>
  <c r="AB236" i="5"/>
  <c r="AA236" i="5"/>
  <c r="Z236" i="5"/>
  <c r="Y236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I236" i="5"/>
  <c r="H236" i="5"/>
  <c r="G236" i="5"/>
  <c r="F236" i="5"/>
  <c r="E236" i="5"/>
  <c r="AV235" i="5"/>
  <c r="AU235" i="5"/>
  <c r="AT235" i="5"/>
  <c r="AS235" i="5"/>
  <c r="AR235" i="5"/>
  <c r="AQ235" i="5"/>
  <c r="AP235" i="5"/>
  <c r="AO235" i="5"/>
  <c r="AN235" i="5"/>
  <c r="AM235" i="5"/>
  <c r="AL235" i="5"/>
  <c r="AK235" i="5"/>
  <c r="AJ235" i="5"/>
  <c r="AI235" i="5"/>
  <c r="AH235" i="5"/>
  <c r="AG235" i="5"/>
  <c r="AF235" i="5"/>
  <c r="AE235" i="5"/>
  <c r="AD235" i="5"/>
  <c r="AC235" i="5"/>
  <c r="AB235" i="5"/>
  <c r="AA235" i="5"/>
  <c r="Z235" i="5"/>
  <c r="Y235" i="5"/>
  <c r="X235" i="5"/>
  <c r="W235" i="5"/>
  <c r="V235" i="5"/>
  <c r="U235" i="5"/>
  <c r="T235" i="5"/>
  <c r="S235" i="5"/>
  <c r="R235" i="5"/>
  <c r="Q235" i="5"/>
  <c r="P235" i="5"/>
  <c r="O235" i="5"/>
  <c r="N235" i="5"/>
  <c r="M235" i="5"/>
  <c r="L235" i="5"/>
  <c r="K235" i="5"/>
  <c r="J235" i="5"/>
  <c r="I235" i="5"/>
  <c r="H235" i="5"/>
  <c r="G235" i="5"/>
  <c r="F235" i="5"/>
  <c r="E235" i="5"/>
  <c r="AV234" i="5"/>
  <c r="AU234" i="5"/>
  <c r="AT234" i="5"/>
  <c r="AS234" i="5"/>
  <c r="AR234" i="5"/>
  <c r="AQ234" i="5"/>
  <c r="AP234" i="5"/>
  <c r="AO234" i="5"/>
  <c r="AN234" i="5"/>
  <c r="AM234" i="5"/>
  <c r="AL234" i="5"/>
  <c r="AK234" i="5"/>
  <c r="AJ234" i="5"/>
  <c r="AI234" i="5"/>
  <c r="AH234" i="5"/>
  <c r="AG234" i="5"/>
  <c r="AF234" i="5"/>
  <c r="AE234" i="5"/>
  <c r="AD234" i="5"/>
  <c r="AC234" i="5"/>
  <c r="AB234" i="5"/>
  <c r="AA234" i="5"/>
  <c r="Z234" i="5"/>
  <c r="Y234" i="5"/>
  <c r="X234" i="5"/>
  <c r="W234" i="5"/>
  <c r="V234" i="5"/>
  <c r="U234" i="5"/>
  <c r="T234" i="5"/>
  <c r="S234" i="5"/>
  <c r="R234" i="5"/>
  <c r="Q234" i="5"/>
  <c r="P234" i="5"/>
  <c r="O234" i="5"/>
  <c r="N234" i="5"/>
  <c r="M234" i="5"/>
  <c r="L234" i="5"/>
  <c r="K234" i="5"/>
  <c r="J234" i="5"/>
  <c r="I234" i="5"/>
  <c r="H234" i="5"/>
  <c r="G234" i="5"/>
  <c r="F234" i="5"/>
  <c r="E234" i="5"/>
  <c r="AV233" i="5"/>
  <c r="AU233" i="5"/>
  <c r="AT233" i="5"/>
  <c r="AS233" i="5"/>
  <c r="AR233" i="5"/>
  <c r="AQ233" i="5"/>
  <c r="AP233" i="5"/>
  <c r="AO233" i="5"/>
  <c r="AN233" i="5"/>
  <c r="AM233" i="5"/>
  <c r="AL233" i="5"/>
  <c r="AK233" i="5"/>
  <c r="AJ233" i="5"/>
  <c r="AI233" i="5"/>
  <c r="AH233" i="5"/>
  <c r="AG233" i="5"/>
  <c r="AF233" i="5"/>
  <c r="AE233" i="5"/>
  <c r="AD233" i="5"/>
  <c r="AC233" i="5"/>
  <c r="AB233" i="5"/>
  <c r="AA233" i="5"/>
  <c r="Z233" i="5"/>
  <c r="Y233" i="5"/>
  <c r="X233" i="5"/>
  <c r="W233" i="5"/>
  <c r="V233" i="5"/>
  <c r="U233" i="5"/>
  <c r="T233" i="5"/>
  <c r="S233" i="5"/>
  <c r="R233" i="5"/>
  <c r="Q233" i="5"/>
  <c r="P233" i="5"/>
  <c r="O233" i="5"/>
  <c r="N233" i="5"/>
  <c r="M233" i="5"/>
  <c r="L233" i="5"/>
  <c r="K233" i="5"/>
  <c r="J233" i="5"/>
  <c r="I233" i="5"/>
  <c r="H233" i="5"/>
  <c r="G233" i="5"/>
  <c r="F233" i="5"/>
  <c r="E233" i="5"/>
  <c r="AV232" i="5"/>
  <c r="AU232" i="5"/>
  <c r="AT232" i="5"/>
  <c r="AS232" i="5"/>
  <c r="AR232" i="5"/>
  <c r="AQ232" i="5"/>
  <c r="AP232" i="5"/>
  <c r="AO232" i="5"/>
  <c r="AN232" i="5"/>
  <c r="AM232" i="5"/>
  <c r="AL232" i="5"/>
  <c r="AK232" i="5"/>
  <c r="AJ232" i="5"/>
  <c r="AI232" i="5"/>
  <c r="AH232" i="5"/>
  <c r="AG232" i="5"/>
  <c r="AF232" i="5"/>
  <c r="AE232" i="5"/>
  <c r="AD232" i="5"/>
  <c r="AC232" i="5"/>
  <c r="AB232" i="5"/>
  <c r="AA232" i="5"/>
  <c r="Z232" i="5"/>
  <c r="Y232" i="5"/>
  <c r="X232" i="5"/>
  <c r="W232" i="5"/>
  <c r="V232" i="5"/>
  <c r="U232" i="5"/>
  <c r="T232" i="5"/>
  <c r="S232" i="5"/>
  <c r="R232" i="5"/>
  <c r="Q232" i="5"/>
  <c r="P232" i="5"/>
  <c r="O232" i="5"/>
  <c r="N232" i="5"/>
  <c r="M232" i="5"/>
  <c r="L232" i="5"/>
  <c r="K232" i="5"/>
  <c r="J232" i="5"/>
  <c r="I232" i="5"/>
  <c r="H232" i="5"/>
  <c r="G232" i="5"/>
  <c r="F232" i="5"/>
  <c r="E232" i="5"/>
  <c r="AV231" i="5"/>
  <c r="AU231" i="5"/>
  <c r="AT231" i="5"/>
  <c r="AS231" i="5"/>
  <c r="AR231" i="5"/>
  <c r="AQ231" i="5"/>
  <c r="AP231" i="5"/>
  <c r="AO231" i="5"/>
  <c r="AN231" i="5"/>
  <c r="AM231" i="5"/>
  <c r="AL231" i="5"/>
  <c r="AK231" i="5"/>
  <c r="AJ231" i="5"/>
  <c r="AI231" i="5"/>
  <c r="AH231" i="5"/>
  <c r="AG231" i="5"/>
  <c r="AF231" i="5"/>
  <c r="AE231" i="5"/>
  <c r="AD231" i="5"/>
  <c r="AC231" i="5"/>
  <c r="AB231" i="5"/>
  <c r="AA231" i="5"/>
  <c r="Z231" i="5"/>
  <c r="Y231" i="5"/>
  <c r="X231" i="5"/>
  <c r="W231" i="5"/>
  <c r="V231" i="5"/>
  <c r="U231" i="5"/>
  <c r="T231" i="5"/>
  <c r="S231" i="5"/>
  <c r="R231" i="5"/>
  <c r="Q231" i="5"/>
  <c r="P231" i="5"/>
  <c r="O231" i="5"/>
  <c r="N231" i="5"/>
  <c r="M231" i="5"/>
  <c r="L231" i="5"/>
  <c r="K231" i="5"/>
  <c r="J231" i="5"/>
  <c r="I231" i="5"/>
  <c r="H231" i="5"/>
  <c r="G231" i="5"/>
  <c r="F231" i="5"/>
  <c r="E231" i="5"/>
  <c r="AV230" i="5"/>
  <c r="AU230" i="5"/>
  <c r="AT230" i="5"/>
  <c r="AS230" i="5"/>
  <c r="AR230" i="5"/>
  <c r="AQ230" i="5"/>
  <c r="AP230" i="5"/>
  <c r="AO230" i="5"/>
  <c r="AN230" i="5"/>
  <c r="AM230" i="5"/>
  <c r="AL230" i="5"/>
  <c r="AK230" i="5"/>
  <c r="AJ230" i="5"/>
  <c r="AI230" i="5"/>
  <c r="AH230" i="5"/>
  <c r="AG230" i="5"/>
  <c r="AF230" i="5"/>
  <c r="AE230" i="5"/>
  <c r="AD230" i="5"/>
  <c r="AC230" i="5"/>
  <c r="AB230" i="5"/>
  <c r="AA230" i="5"/>
  <c r="Z230" i="5"/>
  <c r="Y230" i="5"/>
  <c r="X230" i="5"/>
  <c r="W230" i="5"/>
  <c r="V230" i="5"/>
  <c r="U230" i="5"/>
  <c r="T230" i="5"/>
  <c r="S230" i="5"/>
  <c r="R230" i="5"/>
  <c r="Q230" i="5"/>
  <c r="P230" i="5"/>
  <c r="O230" i="5"/>
  <c r="N230" i="5"/>
  <c r="M230" i="5"/>
  <c r="L230" i="5"/>
  <c r="K230" i="5"/>
  <c r="J230" i="5"/>
  <c r="I230" i="5"/>
  <c r="H230" i="5"/>
  <c r="G230" i="5"/>
  <c r="F230" i="5"/>
  <c r="E230" i="5"/>
  <c r="AV229" i="5"/>
  <c r="AU229" i="5"/>
  <c r="AT229" i="5"/>
  <c r="AS229" i="5"/>
  <c r="AR229" i="5"/>
  <c r="AQ229" i="5"/>
  <c r="AP229" i="5"/>
  <c r="AO229" i="5"/>
  <c r="AN229" i="5"/>
  <c r="AM229" i="5"/>
  <c r="AL229" i="5"/>
  <c r="AK229" i="5"/>
  <c r="AJ229" i="5"/>
  <c r="AI229" i="5"/>
  <c r="AH229" i="5"/>
  <c r="AG229" i="5"/>
  <c r="AF229" i="5"/>
  <c r="AE229" i="5"/>
  <c r="AD229" i="5"/>
  <c r="AC229" i="5"/>
  <c r="AB229" i="5"/>
  <c r="AA229" i="5"/>
  <c r="Z229" i="5"/>
  <c r="Y229" i="5"/>
  <c r="X229" i="5"/>
  <c r="W229" i="5"/>
  <c r="V229" i="5"/>
  <c r="U229" i="5"/>
  <c r="T229" i="5"/>
  <c r="S229" i="5"/>
  <c r="R229" i="5"/>
  <c r="Q229" i="5"/>
  <c r="P229" i="5"/>
  <c r="O229" i="5"/>
  <c r="N229" i="5"/>
  <c r="M229" i="5"/>
  <c r="L229" i="5"/>
  <c r="K229" i="5"/>
  <c r="J229" i="5"/>
  <c r="I229" i="5"/>
  <c r="H229" i="5"/>
  <c r="G229" i="5"/>
  <c r="F229" i="5"/>
  <c r="E229" i="5"/>
  <c r="AV228" i="5"/>
  <c r="AU228" i="5"/>
  <c r="AT228" i="5"/>
  <c r="AS228" i="5"/>
  <c r="AR228" i="5"/>
  <c r="AQ228" i="5"/>
  <c r="AP228" i="5"/>
  <c r="AO228" i="5"/>
  <c r="AN228" i="5"/>
  <c r="AM228" i="5"/>
  <c r="AL228" i="5"/>
  <c r="AK228" i="5"/>
  <c r="AJ228" i="5"/>
  <c r="AI228" i="5"/>
  <c r="AH228" i="5"/>
  <c r="AG228" i="5"/>
  <c r="AF228" i="5"/>
  <c r="AE228" i="5"/>
  <c r="AD228" i="5"/>
  <c r="AC228" i="5"/>
  <c r="AB228" i="5"/>
  <c r="AA228" i="5"/>
  <c r="Z228" i="5"/>
  <c r="Y228" i="5"/>
  <c r="X228" i="5"/>
  <c r="W228" i="5"/>
  <c r="V228" i="5"/>
  <c r="U228" i="5"/>
  <c r="T228" i="5"/>
  <c r="S228" i="5"/>
  <c r="R228" i="5"/>
  <c r="Q228" i="5"/>
  <c r="P228" i="5"/>
  <c r="O228" i="5"/>
  <c r="N228" i="5"/>
  <c r="M228" i="5"/>
  <c r="L228" i="5"/>
  <c r="K228" i="5"/>
  <c r="J228" i="5"/>
  <c r="I228" i="5"/>
  <c r="H228" i="5"/>
  <c r="G228" i="5"/>
  <c r="F228" i="5"/>
  <c r="E228" i="5"/>
  <c r="AV227" i="5"/>
  <c r="AU227" i="5"/>
  <c r="AT227" i="5"/>
  <c r="AS227" i="5"/>
  <c r="AR227" i="5"/>
  <c r="AQ227" i="5"/>
  <c r="AP227" i="5"/>
  <c r="AO227" i="5"/>
  <c r="AN227" i="5"/>
  <c r="AM227" i="5"/>
  <c r="AL227" i="5"/>
  <c r="AK227" i="5"/>
  <c r="AJ227" i="5"/>
  <c r="AI227" i="5"/>
  <c r="AH227" i="5"/>
  <c r="AG227" i="5"/>
  <c r="AF227" i="5"/>
  <c r="AE227" i="5"/>
  <c r="AD227" i="5"/>
  <c r="AC227" i="5"/>
  <c r="AB227" i="5"/>
  <c r="AA227" i="5"/>
  <c r="Z227" i="5"/>
  <c r="Y227" i="5"/>
  <c r="X227" i="5"/>
  <c r="W227" i="5"/>
  <c r="V227" i="5"/>
  <c r="U227" i="5"/>
  <c r="T227" i="5"/>
  <c r="S227" i="5"/>
  <c r="R227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AV226" i="5"/>
  <c r="AU226" i="5"/>
  <c r="AT226" i="5"/>
  <c r="AS226" i="5"/>
  <c r="AR226" i="5"/>
  <c r="AQ226" i="5"/>
  <c r="AP226" i="5"/>
  <c r="AO226" i="5"/>
  <c r="AN226" i="5"/>
  <c r="AM226" i="5"/>
  <c r="AL226" i="5"/>
  <c r="AK226" i="5"/>
  <c r="AJ226" i="5"/>
  <c r="AI226" i="5"/>
  <c r="AH226" i="5"/>
  <c r="AG226" i="5"/>
  <c r="AF226" i="5"/>
  <c r="AE226" i="5"/>
  <c r="AD226" i="5"/>
  <c r="AC226" i="5"/>
  <c r="AB226" i="5"/>
  <c r="AA226" i="5"/>
  <c r="Z226" i="5"/>
  <c r="Y226" i="5"/>
  <c r="X226" i="5"/>
  <c r="W226" i="5"/>
  <c r="V226" i="5"/>
  <c r="U226" i="5"/>
  <c r="T226" i="5"/>
  <c r="S226" i="5"/>
  <c r="R226" i="5"/>
  <c r="Q226" i="5"/>
  <c r="P226" i="5"/>
  <c r="O226" i="5"/>
  <c r="N226" i="5"/>
  <c r="M226" i="5"/>
  <c r="L226" i="5"/>
  <c r="K226" i="5"/>
  <c r="J226" i="5"/>
  <c r="I226" i="5"/>
  <c r="H226" i="5"/>
  <c r="G226" i="5"/>
  <c r="F226" i="5"/>
  <c r="E226" i="5"/>
  <c r="AV225" i="5"/>
  <c r="AU225" i="5"/>
  <c r="AT225" i="5"/>
  <c r="AS225" i="5"/>
  <c r="AR225" i="5"/>
  <c r="AQ225" i="5"/>
  <c r="AP225" i="5"/>
  <c r="AO225" i="5"/>
  <c r="AN225" i="5"/>
  <c r="AM225" i="5"/>
  <c r="AL225" i="5"/>
  <c r="AK225" i="5"/>
  <c r="AJ225" i="5"/>
  <c r="AI225" i="5"/>
  <c r="AH225" i="5"/>
  <c r="AG225" i="5"/>
  <c r="AF225" i="5"/>
  <c r="AE225" i="5"/>
  <c r="AD225" i="5"/>
  <c r="AC225" i="5"/>
  <c r="AB225" i="5"/>
  <c r="AA225" i="5"/>
  <c r="Z225" i="5"/>
  <c r="Y225" i="5"/>
  <c r="X225" i="5"/>
  <c r="W225" i="5"/>
  <c r="V225" i="5"/>
  <c r="U225" i="5"/>
  <c r="T225" i="5"/>
  <c r="S225" i="5"/>
  <c r="R225" i="5"/>
  <c r="Q225" i="5"/>
  <c r="P225" i="5"/>
  <c r="O225" i="5"/>
  <c r="N225" i="5"/>
  <c r="M225" i="5"/>
  <c r="L225" i="5"/>
  <c r="K225" i="5"/>
  <c r="J225" i="5"/>
  <c r="I225" i="5"/>
  <c r="H225" i="5"/>
  <c r="G225" i="5"/>
  <c r="F225" i="5"/>
  <c r="E225" i="5"/>
  <c r="AV224" i="5"/>
  <c r="AU224" i="5"/>
  <c r="AT224" i="5"/>
  <c r="AS224" i="5"/>
  <c r="AR224" i="5"/>
  <c r="AQ224" i="5"/>
  <c r="AP224" i="5"/>
  <c r="AO224" i="5"/>
  <c r="AN224" i="5"/>
  <c r="AM224" i="5"/>
  <c r="AL224" i="5"/>
  <c r="AK224" i="5"/>
  <c r="AJ224" i="5"/>
  <c r="AI224" i="5"/>
  <c r="AH224" i="5"/>
  <c r="AG224" i="5"/>
  <c r="AF224" i="5"/>
  <c r="AE224" i="5"/>
  <c r="AD224" i="5"/>
  <c r="AC224" i="5"/>
  <c r="AB224" i="5"/>
  <c r="AA224" i="5"/>
  <c r="Z224" i="5"/>
  <c r="Y224" i="5"/>
  <c r="X224" i="5"/>
  <c r="W224" i="5"/>
  <c r="V224" i="5"/>
  <c r="U224" i="5"/>
  <c r="T224" i="5"/>
  <c r="S224" i="5"/>
  <c r="R224" i="5"/>
  <c r="Q224" i="5"/>
  <c r="P224" i="5"/>
  <c r="O224" i="5"/>
  <c r="N224" i="5"/>
  <c r="M224" i="5"/>
  <c r="L224" i="5"/>
  <c r="K224" i="5"/>
  <c r="J224" i="5"/>
  <c r="I224" i="5"/>
  <c r="H224" i="5"/>
  <c r="G224" i="5"/>
  <c r="F224" i="5"/>
  <c r="E224" i="5"/>
  <c r="AV223" i="5"/>
  <c r="AU223" i="5"/>
  <c r="AT223" i="5"/>
  <c r="AS223" i="5"/>
  <c r="AR223" i="5"/>
  <c r="AQ223" i="5"/>
  <c r="AP223" i="5"/>
  <c r="AO223" i="5"/>
  <c r="AN223" i="5"/>
  <c r="AM223" i="5"/>
  <c r="AL223" i="5"/>
  <c r="AK223" i="5"/>
  <c r="AJ223" i="5"/>
  <c r="AI223" i="5"/>
  <c r="AH223" i="5"/>
  <c r="AG223" i="5"/>
  <c r="AF223" i="5"/>
  <c r="AE223" i="5"/>
  <c r="AD223" i="5"/>
  <c r="AC223" i="5"/>
  <c r="AB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I223" i="5"/>
  <c r="H223" i="5"/>
  <c r="G223" i="5"/>
  <c r="F223" i="5"/>
  <c r="E223" i="5"/>
  <c r="AV222" i="5"/>
  <c r="AU222" i="5"/>
  <c r="AT222" i="5"/>
  <c r="AS222" i="5"/>
  <c r="AR222" i="5"/>
  <c r="AQ222" i="5"/>
  <c r="AP222" i="5"/>
  <c r="AO222" i="5"/>
  <c r="AN222" i="5"/>
  <c r="AM222" i="5"/>
  <c r="AL222" i="5"/>
  <c r="AK222" i="5"/>
  <c r="AJ222" i="5"/>
  <c r="AI222" i="5"/>
  <c r="AH222" i="5"/>
  <c r="AG222" i="5"/>
  <c r="AF222" i="5"/>
  <c r="AE222" i="5"/>
  <c r="AD222" i="5"/>
  <c r="AC222" i="5"/>
  <c r="AB222" i="5"/>
  <c r="AA222" i="5"/>
  <c r="Z222" i="5"/>
  <c r="Y222" i="5"/>
  <c r="X222" i="5"/>
  <c r="W222" i="5"/>
  <c r="V222" i="5"/>
  <c r="U222" i="5"/>
  <c r="T222" i="5"/>
  <c r="S222" i="5"/>
  <c r="R222" i="5"/>
  <c r="Q222" i="5"/>
  <c r="P222" i="5"/>
  <c r="O222" i="5"/>
  <c r="N222" i="5"/>
  <c r="M222" i="5"/>
  <c r="L222" i="5"/>
  <c r="K222" i="5"/>
  <c r="J222" i="5"/>
  <c r="I222" i="5"/>
  <c r="H222" i="5"/>
  <c r="G222" i="5"/>
  <c r="F222" i="5"/>
  <c r="E222" i="5"/>
  <c r="AV221" i="5"/>
  <c r="AU221" i="5"/>
  <c r="AT221" i="5"/>
  <c r="AS221" i="5"/>
  <c r="AR221" i="5"/>
  <c r="AQ221" i="5"/>
  <c r="AP221" i="5"/>
  <c r="AO221" i="5"/>
  <c r="AN221" i="5"/>
  <c r="AM221" i="5"/>
  <c r="AL221" i="5"/>
  <c r="AK221" i="5"/>
  <c r="AJ221" i="5"/>
  <c r="AI221" i="5"/>
  <c r="AH221" i="5"/>
  <c r="AG221" i="5"/>
  <c r="AF221" i="5"/>
  <c r="AE221" i="5"/>
  <c r="AD221" i="5"/>
  <c r="AC221" i="5"/>
  <c r="AB221" i="5"/>
  <c r="AA221" i="5"/>
  <c r="Z221" i="5"/>
  <c r="Y221" i="5"/>
  <c r="X221" i="5"/>
  <c r="W221" i="5"/>
  <c r="V221" i="5"/>
  <c r="U221" i="5"/>
  <c r="T221" i="5"/>
  <c r="S221" i="5"/>
  <c r="R221" i="5"/>
  <c r="Q221" i="5"/>
  <c r="P221" i="5"/>
  <c r="O221" i="5"/>
  <c r="N221" i="5"/>
  <c r="M221" i="5"/>
  <c r="L221" i="5"/>
  <c r="K221" i="5"/>
  <c r="J221" i="5"/>
  <c r="I221" i="5"/>
  <c r="H221" i="5"/>
  <c r="G221" i="5"/>
  <c r="F221" i="5"/>
  <c r="E221" i="5"/>
  <c r="AV220" i="5"/>
  <c r="AU220" i="5"/>
  <c r="AT220" i="5"/>
  <c r="AS220" i="5"/>
  <c r="AR220" i="5"/>
  <c r="AQ220" i="5"/>
  <c r="AP220" i="5"/>
  <c r="AO220" i="5"/>
  <c r="AN220" i="5"/>
  <c r="AM220" i="5"/>
  <c r="AL220" i="5"/>
  <c r="AK220" i="5"/>
  <c r="AJ220" i="5"/>
  <c r="AI220" i="5"/>
  <c r="AH220" i="5"/>
  <c r="AG220" i="5"/>
  <c r="AF220" i="5"/>
  <c r="AE220" i="5"/>
  <c r="AD220" i="5"/>
  <c r="AC220" i="5"/>
  <c r="AB220" i="5"/>
  <c r="AA220" i="5"/>
  <c r="Z220" i="5"/>
  <c r="Y220" i="5"/>
  <c r="X220" i="5"/>
  <c r="W220" i="5"/>
  <c r="V220" i="5"/>
  <c r="U220" i="5"/>
  <c r="T220" i="5"/>
  <c r="S220" i="5"/>
  <c r="R220" i="5"/>
  <c r="Q220" i="5"/>
  <c r="P220" i="5"/>
  <c r="O220" i="5"/>
  <c r="N220" i="5"/>
  <c r="M220" i="5"/>
  <c r="L220" i="5"/>
  <c r="K220" i="5"/>
  <c r="J220" i="5"/>
  <c r="I220" i="5"/>
  <c r="H220" i="5"/>
  <c r="G220" i="5"/>
  <c r="F220" i="5"/>
  <c r="E220" i="5"/>
  <c r="AV219" i="5"/>
  <c r="AU219" i="5"/>
  <c r="AT219" i="5"/>
  <c r="AS219" i="5"/>
  <c r="AR219" i="5"/>
  <c r="AQ219" i="5"/>
  <c r="AP219" i="5"/>
  <c r="AO219" i="5"/>
  <c r="AN219" i="5"/>
  <c r="AM219" i="5"/>
  <c r="AL219" i="5"/>
  <c r="AK219" i="5"/>
  <c r="AJ219" i="5"/>
  <c r="AI219" i="5"/>
  <c r="AH219" i="5"/>
  <c r="AG219" i="5"/>
  <c r="AF219" i="5"/>
  <c r="AE219" i="5"/>
  <c r="AD219" i="5"/>
  <c r="AC219" i="5"/>
  <c r="AB219" i="5"/>
  <c r="AA219" i="5"/>
  <c r="Z219" i="5"/>
  <c r="Y219" i="5"/>
  <c r="X219" i="5"/>
  <c r="W219" i="5"/>
  <c r="V219" i="5"/>
  <c r="U219" i="5"/>
  <c r="T219" i="5"/>
  <c r="S219" i="5"/>
  <c r="R219" i="5"/>
  <c r="Q219" i="5"/>
  <c r="P219" i="5"/>
  <c r="O219" i="5"/>
  <c r="N219" i="5"/>
  <c r="M219" i="5"/>
  <c r="L219" i="5"/>
  <c r="K219" i="5"/>
  <c r="J219" i="5"/>
  <c r="I219" i="5"/>
  <c r="H219" i="5"/>
  <c r="G219" i="5"/>
  <c r="F219" i="5"/>
  <c r="E219" i="5"/>
  <c r="AV218" i="5"/>
  <c r="AU218" i="5"/>
  <c r="AT218" i="5"/>
  <c r="AS218" i="5"/>
  <c r="AR218" i="5"/>
  <c r="AQ218" i="5"/>
  <c r="AP218" i="5"/>
  <c r="AO218" i="5"/>
  <c r="AN218" i="5"/>
  <c r="AM218" i="5"/>
  <c r="AL218" i="5"/>
  <c r="AK218" i="5"/>
  <c r="AJ218" i="5"/>
  <c r="AI218" i="5"/>
  <c r="AH218" i="5"/>
  <c r="AG218" i="5"/>
  <c r="AF218" i="5"/>
  <c r="AE218" i="5"/>
  <c r="AD218" i="5"/>
  <c r="AC218" i="5"/>
  <c r="AB218" i="5"/>
  <c r="AA218" i="5"/>
  <c r="Z218" i="5"/>
  <c r="Y218" i="5"/>
  <c r="X218" i="5"/>
  <c r="W218" i="5"/>
  <c r="V218" i="5"/>
  <c r="U218" i="5"/>
  <c r="T218" i="5"/>
  <c r="S218" i="5"/>
  <c r="R218" i="5"/>
  <c r="Q218" i="5"/>
  <c r="P218" i="5"/>
  <c r="O218" i="5"/>
  <c r="N218" i="5"/>
  <c r="M218" i="5"/>
  <c r="L218" i="5"/>
  <c r="K218" i="5"/>
  <c r="J218" i="5"/>
  <c r="I218" i="5"/>
  <c r="H218" i="5"/>
  <c r="G218" i="5"/>
  <c r="F218" i="5"/>
  <c r="E218" i="5"/>
  <c r="AV217" i="5"/>
  <c r="AU217" i="5"/>
  <c r="AT217" i="5"/>
  <c r="AS217" i="5"/>
  <c r="AR217" i="5"/>
  <c r="AQ217" i="5"/>
  <c r="AP217" i="5"/>
  <c r="AO217" i="5"/>
  <c r="AN217" i="5"/>
  <c r="AM217" i="5"/>
  <c r="AL217" i="5"/>
  <c r="AK217" i="5"/>
  <c r="AJ217" i="5"/>
  <c r="AI217" i="5"/>
  <c r="AH217" i="5"/>
  <c r="AG217" i="5"/>
  <c r="AF217" i="5"/>
  <c r="AE217" i="5"/>
  <c r="AD217" i="5"/>
  <c r="AC217" i="5"/>
  <c r="AB217" i="5"/>
  <c r="AA217" i="5"/>
  <c r="Z217" i="5"/>
  <c r="Y217" i="5"/>
  <c r="X217" i="5"/>
  <c r="W217" i="5"/>
  <c r="V217" i="5"/>
  <c r="U217" i="5"/>
  <c r="T217" i="5"/>
  <c r="S217" i="5"/>
  <c r="R217" i="5"/>
  <c r="Q217" i="5"/>
  <c r="P217" i="5"/>
  <c r="O217" i="5"/>
  <c r="N217" i="5"/>
  <c r="M217" i="5"/>
  <c r="L217" i="5"/>
  <c r="K217" i="5"/>
  <c r="J217" i="5"/>
  <c r="I217" i="5"/>
  <c r="H217" i="5"/>
  <c r="G217" i="5"/>
  <c r="F217" i="5"/>
  <c r="E217" i="5"/>
  <c r="AV216" i="5"/>
  <c r="AU216" i="5"/>
  <c r="AT216" i="5"/>
  <c r="AS216" i="5"/>
  <c r="AR216" i="5"/>
  <c r="AQ216" i="5"/>
  <c r="AP216" i="5"/>
  <c r="AO216" i="5"/>
  <c r="AN216" i="5"/>
  <c r="AM216" i="5"/>
  <c r="AL216" i="5"/>
  <c r="AK216" i="5"/>
  <c r="AJ216" i="5"/>
  <c r="AI216" i="5"/>
  <c r="AH216" i="5"/>
  <c r="AG216" i="5"/>
  <c r="AF216" i="5"/>
  <c r="AE216" i="5"/>
  <c r="AD216" i="5"/>
  <c r="AC216" i="5"/>
  <c r="AB216" i="5"/>
  <c r="AA216" i="5"/>
  <c r="Z216" i="5"/>
  <c r="Y216" i="5"/>
  <c r="X216" i="5"/>
  <c r="W216" i="5"/>
  <c r="V216" i="5"/>
  <c r="U216" i="5"/>
  <c r="T216" i="5"/>
  <c r="S216" i="5"/>
  <c r="R216" i="5"/>
  <c r="Q216" i="5"/>
  <c r="P216" i="5"/>
  <c r="O216" i="5"/>
  <c r="N216" i="5"/>
  <c r="M216" i="5"/>
  <c r="L216" i="5"/>
  <c r="K216" i="5"/>
  <c r="J216" i="5"/>
  <c r="I216" i="5"/>
  <c r="H216" i="5"/>
  <c r="G216" i="5"/>
  <c r="F216" i="5"/>
  <c r="E216" i="5"/>
  <c r="AV215" i="5"/>
  <c r="AU215" i="5"/>
  <c r="AT215" i="5"/>
  <c r="AS215" i="5"/>
  <c r="AR215" i="5"/>
  <c r="AQ215" i="5"/>
  <c r="AP215" i="5"/>
  <c r="AO215" i="5"/>
  <c r="AN215" i="5"/>
  <c r="AM215" i="5"/>
  <c r="AL215" i="5"/>
  <c r="AK215" i="5"/>
  <c r="AJ215" i="5"/>
  <c r="AI215" i="5"/>
  <c r="AH215" i="5"/>
  <c r="AG215" i="5"/>
  <c r="AF215" i="5"/>
  <c r="AE215" i="5"/>
  <c r="AD215" i="5"/>
  <c r="AC215" i="5"/>
  <c r="AB215" i="5"/>
  <c r="AA215" i="5"/>
  <c r="Z215" i="5"/>
  <c r="Y215" i="5"/>
  <c r="X215" i="5"/>
  <c r="W215" i="5"/>
  <c r="V215" i="5"/>
  <c r="U215" i="5"/>
  <c r="T215" i="5"/>
  <c r="S215" i="5"/>
  <c r="R215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AV214" i="5"/>
  <c r="AU214" i="5"/>
  <c r="AT214" i="5"/>
  <c r="AS214" i="5"/>
  <c r="AR214" i="5"/>
  <c r="AQ214" i="5"/>
  <c r="AP214" i="5"/>
  <c r="AO214" i="5"/>
  <c r="AN214" i="5"/>
  <c r="AM214" i="5"/>
  <c r="AL214" i="5"/>
  <c r="AK214" i="5"/>
  <c r="AJ214" i="5"/>
  <c r="AI214" i="5"/>
  <c r="AH214" i="5"/>
  <c r="AG214" i="5"/>
  <c r="AF214" i="5"/>
  <c r="AE214" i="5"/>
  <c r="AD214" i="5"/>
  <c r="AC214" i="5"/>
  <c r="AB214" i="5"/>
  <c r="AA214" i="5"/>
  <c r="Z214" i="5"/>
  <c r="Y214" i="5"/>
  <c r="X214" i="5"/>
  <c r="W214" i="5"/>
  <c r="V214" i="5"/>
  <c r="U214" i="5"/>
  <c r="T214" i="5"/>
  <c r="S214" i="5"/>
  <c r="R214" i="5"/>
  <c r="Q214" i="5"/>
  <c r="P214" i="5"/>
  <c r="O214" i="5"/>
  <c r="N214" i="5"/>
  <c r="M214" i="5"/>
  <c r="L214" i="5"/>
  <c r="K214" i="5"/>
  <c r="J214" i="5"/>
  <c r="I214" i="5"/>
  <c r="H214" i="5"/>
  <c r="G214" i="5"/>
  <c r="F214" i="5"/>
  <c r="E214" i="5"/>
  <c r="AV213" i="5"/>
  <c r="AU213" i="5"/>
  <c r="AT213" i="5"/>
  <c r="AS213" i="5"/>
  <c r="AR213" i="5"/>
  <c r="AQ213" i="5"/>
  <c r="AP213" i="5"/>
  <c r="AO213" i="5"/>
  <c r="AN213" i="5"/>
  <c r="AM213" i="5"/>
  <c r="AL213" i="5"/>
  <c r="AK213" i="5"/>
  <c r="AJ213" i="5"/>
  <c r="AI213" i="5"/>
  <c r="AH213" i="5"/>
  <c r="AG213" i="5"/>
  <c r="AF213" i="5"/>
  <c r="AE213" i="5"/>
  <c r="AD213" i="5"/>
  <c r="AC213" i="5"/>
  <c r="AB213" i="5"/>
  <c r="AA213" i="5"/>
  <c r="Z213" i="5"/>
  <c r="Y213" i="5"/>
  <c r="X213" i="5"/>
  <c r="W213" i="5"/>
  <c r="V213" i="5"/>
  <c r="U213" i="5"/>
  <c r="T213" i="5"/>
  <c r="S213" i="5"/>
  <c r="R213" i="5"/>
  <c r="Q213" i="5"/>
  <c r="P213" i="5"/>
  <c r="O213" i="5"/>
  <c r="N213" i="5"/>
  <c r="M213" i="5"/>
  <c r="L213" i="5"/>
  <c r="K213" i="5"/>
  <c r="J213" i="5"/>
  <c r="I213" i="5"/>
  <c r="H213" i="5"/>
  <c r="G213" i="5"/>
  <c r="F213" i="5"/>
  <c r="E213" i="5"/>
  <c r="AV212" i="5"/>
  <c r="AU212" i="5"/>
  <c r="AT212" i="5"/>
  <c r="AS212" i="5"/>
  <c r="AR212" i="5"/>
  <c r="AQ212" i="5"/>
  <c r="AP212" i="5"/>
  <c r="AO212" i="5"/>
  <c r="AN212" i="5"/>
  <c r="AM212" i="5"/>
  <c r="AL212" i="5"/>
  <c r="AK212" i="5"/>
  <c r="AJ212" i="5"/>
  <c r="AI212" i="5"/>
  <c r="AH212" i="5"/>
  <c r="AG212" i="5"/>
  <c r="AF212" i="5"/>
  <c r="AE212" i="5"/>
  <c r="AD212" i="5"/>
  <c r="AC212" i="5"/>
  <c r="AB212" i="5"/>
  <c r="AA212" i="5"/>
  <c r="Z212" i="5"/>
  <c r="Y212" i="5"/>
  <c r="X212" i="5"/>
  <c r="W212" i="5"/>
  <c r="V212" i="5"/>
  <c r="U212" i="5"/>
  <c r="T212" i="5"/>
  <c r="S212" i="5"/>
  <c r="R212" i="5"/>
  <c r="Q212" i="5"/>
  <c r="P212" i="5"/>
  <c r="O212" i="5"/>
  <c r="N212" i="5"/>
  <c r="M212" i="5"/>
  <c r="L212" i="5"/>
  <c r="K212" i="5"/>
  <c r="J212" i="5"/>
  <c r="I212" i="5"/>
  <c r="H212" i="5"/>
  <c r="G212" i="5"/>
  <c r="F212" i="5"/>
  <c r="E212" i="5"/>
  <c r="AV211" i="5"/>
  <c r="AU211" i="5"/>
  <c r="AT211" i="5"/>
  <c r="AS211" i="5"/>
  <c r="AR211" i="5"/>
  <c r="AQ211" i="5"/>
  <c r="AP211" i="5"/>
  <c r="AO211" i="5"/>
  <c r="AN211" i="5"/>
  <c r="AM211" i="5"/>
  <c r="AL211" i="5"/>
  <c r="AK211" i="5"/>
  <c r="AJ211" i="5"/>
  <c r="AI211" i="5"/>
  <c r="AH211" i="5"/>
  <c r="AG211" i="5"/>
  <c r="AF211" i="5"/>
  <c r="AE211" i="5"/>
  <c r="AD211" i="5"/>
  <c r="AC211" i="5"/>
  <c r="AB211" i="5"/>
  <c r="AA211" i="5"/>
  <c r="Z211" i="5"/>
  <c r="Y211" i="5"/>
  <c r="X211" i="5"/>
  <c r="W211" i="5"/>
  <c r="V211" i="5"/>
  <c r="U211" i="5"/>
  <c r="T211" i="5"/>
  <c r="S211" i="5"/>
  <c r="R211" i="5"/>
  <c r="Q211" i="5"/>
  <c r="P211" i="5"/>
  <c r="O211" i="5"/>
  <c r="N211" i="5"/>
  <c r="M211" i="5"/>
  <c r="L211" i="5"/>
  <c r="K211" i="5"/>
  <c r="J211" i="5"/>
  <c r="I211" i="5"/>
  <c r="H211" i="5"/>
  <c r="G211" i="5"/>
  <c r="F211" i="5"/>
  <c r="E211" i="5"/>
  <c r="AV210" i="5"/>
  <c r="AU210" i="5"/>
  <c r="AT210" i="5"/>
  <c r="AS210" i="5"/>
  <c r="AR210" i="5"/>
  <c r="AQ210" i="5"/>
  <c r="AP210" i="5"/>
  <c r="AO210" i="5"/>
  <c r="AN210" i="5"/>
  <c r="AM210" i="5"/>
  <c r="AL210" i="5"/>
  <c r="AK210" i="5"/>
  <c r="AJ210" i="5"/>
  <c r="AI210" i="5"/>
  <c r="AH210" i="5"/>
  <c r="AG210" i="5"/>
  <c r="AF210" i="5"/>
  <c r="AE210" i="5"/>
  <c r="AD210" i="5"/>
  <c r="AC210" i="5"/>
  <c r="AB210" i="5"/>
  <c r="AA210" i="5"/>
  <c r="Z210" i="5"/>
  <c r="Y210" i="5"/>
  <c r="X210" i="5"/>
  <c r="W210" i="5"/>
  <c r="V210" i="5"/>
  <c r="U210" i="5"/>
  <c r="T210" i="5"/>
  <c r="S210" i="5"/>
  <c r="R210" i="5"/>
  <c r="Q210" i="5"/>
  <c r="P210" i="5"/>
  <c r="O210" i="5"/>
  <c r="N210" i="5"/>
  <c r="M210" i="5"/>
  <c r="L210" i="5"/>
  <c r="K210" i="5"/>
  <c r="J210" i="5"/>
  <c r="I210" i="5"/>
  <c r="H210" i="5"/>
  <c r="G210" i="5"/>
  <c r="F210" i="5"/>
  <c r="E210" i="5"/>
  <c r="AV209" i="5"/>
  <c r="AU209" i="5"/>
  <c r="AT209" i="5"/>
  <c r="AS209" i="5"/>
  <c r="AR209" i="5"/>
  <c r="AQ209" i="5"/>
  <c r="AP209" i="5"/>
  <c r="AO209" i="5"/>
  <c r="AN209" i="5"/>
  <c r="AM209" i="5"/>
  <c r="AL209" i="5"/>
  <c r="AK209" i="5"/>
  <c r="AJ209" i="5"/>
  <c r="AI209" i="5"/>
  <c r="AH209" i="5"/>
  <c r="AG209" i="5"/>
  <c r="AF209" i="5"/>
  <c r="AE209" i="5"/>
  <c r="AD209" i="5"/>
  <c r="AC209" i="5"/>
  <c r="AB209" i="5"/>
  <c r="AA209" i="5"/>
  <c r="Z209" i="5"/>
  <c r="Y209" i="5"/>
  <c r="X209" i="5"/>
  <c r="W209" i="5"/>
  <c r="V209" i="5"/>
  <c r="U209" i="5"/>
  <c r="T209" i="5"/>
  <c r="S209" i="5"/>
  <c r="R209" i="5"/>
  <c r="Q209" i="5"/>
  <c r="P209" i="5"/>
  <c r="O209" i="5"/>
  <c r="N209" i="5"/>
  <c r="M209" i="5"/>
  <c r="L209" i="5"/>
  <c r="K209" i="5"/>
  <c r="J209" i="5"/>
  <c r="I209" i="5"/>
  <c r="H209" i="5"/>
  <c r="G209" i="5"/>
  <c r="F209" i="5"/>
  <c r="E209" i="5"/>
  <c r="AV208" i="5"/>
  <c r="AU208" i="5"/>
  <c r="AT208" i="5"/>
  <c r="AS208" i="5"/>
  <c r="AR208" i="5"/>
  <c r="AQ208" i="5"/>
  <c r="AP208" i="5"/>
  <c r="AO208" i="5"/>
  <c r="AN208" i="5"/>
  <c r="AM208" i="5"/>
  <c r="AL208" i="5"/>
  <c r="AK208" i="5"/>
  <c r="AJ208" i="5"/>
  <c r="AI208" i="5"/>
  <c r="AH208" i="5"/>
  <c r="AG208" i="5"/>
  <c r="AF208" i="5"/>
  <c r="AE208" i="5"/>
  <c r="AD208" i="5"/>
  <c r="AC208" i="5"/>
  <c r="AB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I208" i="5"/>
  <c r="H208" i="5"/>
  <c r="G208" i="5"/>
  <c r="F208" i="5"/>
  <c r="E208" i="5"/>
  <c r="AV207" i="5"/>
  <c r="AU207" i="5"/>
  <c r="AT207" i="5"/>
  <c r="AS207" i="5"/>
  <c r="AR207" i="5"/>
  <c r="AQ207" i="5"/>
  <c r="AP207" i="5"/>
  <c r="AO207" i="5"/>
  <c r="AN207" i="5"/>
  <c r="AM207" i="5"/>
  <c r="AL207" i="5"/>
  <c r="AK207" i="5"/>
  <c r="AJ207" i="5"/>
  <c r="AI207" i="5"/>
  <c r="AH207" i="5"/>
  <c r="AG207" i="5"/>
  <c r="AF207" i="5"/>
  <c r="AE207" i="5"/>
  <c r="AD207" i="5"/>
  <c r="AC207" i="5"/>
  <c r="AB207" i="5"/>
  <c r="AA207" i="5"/>
  <c r="Z207" i="5"/>
  <c r="Y207" i="5"/>
  <c r="X207" i="5"/>
  <c r="W207" i="5"/>
  <c r="V207" i="5"/>
  <c r="U207" i="5"/>
  <c r="T207" i="5"/>
  <c r="S207" i="5"/>
  <c r="R207" i="5"/>
  <c r="Q207" i="5"/>
  <c r="P207" i="5"/>
  <c r="O207" i="5"/>
  <c r="N207" i="5"/>
  <c r="M207" i="5"/>
  <c r="L207" i="5"/>
  <c r="K207" i="5"/>
  <c r="J207" i="5"/>
  <c r="I207" i="5"/>
  <c r="H207" i="5"/>
  <c r="G207" i="5"/>
  <c r="F207" i="5"/>
  <c r="E207" i="5"/>
  <c r="AV206" i="5"/>
  <c r="AU206" i="5"/>
  <c r="AT206" i="5"/>
  <c r="AS206" i="5"/>
  <c r="AR206" i="5"/>
  <c r="AQ206" i="5"/>
  <c r="AP206" i="5"/>
  <c r="AO206" i="5"/>
  <c r="AN206" i="5"/>
  <c r="AM206" i="5"/>
  <c r="AL206" i="5"/>
  <c r="AK206" i="5"/>
  <c r="AJ206" i="5"/>
  <c r="AI206" i="5"/>
  <c r="AH206" i="5"/>
  <c r="AG206" i="5"/>
  <c r="AF206" i="5"/>
  <c r="AE206" i="5"/>
  <c r="AD206" i="5"/>
  <c r="AC206" i="5"/>
  <c r="AB206" i="5"/>
  <c r="AA206" i="5"/>
  <c r="Z206" i="5"/>
  <c r="Y206" i="5"/>
  <c r="X206" i="5"/>
  <c r="W206" i="5"/>
  <c r="V206" i="5"/>
  <c r="U206" i="5"/>
  <c r="T206" i="5"/>
  <c r="S206" i="5"/>
  <c r="R206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AV205" i="5"/>
  <c r="AU205" i="5"/>
  <c r="AT205" i="5"/>
  <c r="AS205" i="5"/>
  <c r="AR205" i="5"/>
  <c r="AQ205" i="5"/>
  <c r="AP205" i="5"/>
  <c r="AO205" i="5"/>
  <c r="AN205" i="5"/>
  <c r="AM205" i="5"/>
  <c r="AL205" i="5"/>
  <c r="AK205" i="5"/>
  <c r="AJ205" i="5"/>
  <c r="AI205" i="5"/>
  <c r="AH205" i="5"/>
  <c r="AG205" i="5"/>
  <c r="AF205" i="5"/>
  <c r="AE205" i="5"/>
  <c r="AD205" i="5"/>
  <c r="AC205" i="5"/>
  <c r="AB205" i="5"/>
  <c r="AA205" i="5"/>
  <c r="Z205" i="5"/>
  <c r="Y205" i="5"/>
  <c r="X205" i="5"/>
  <c r="W205" i="5"/>
  <c r="V205" i="5"/>
  <c r="U205" i="5"/>
  <c r="T205" i="5"/>
  <c r="S205" i="5"/>
  <c r="R205" i="5"/>
  <c r="Q205" i="5"/>
  <c r="P205" i="5"/>
  <c r="O205" i="5"/>
  <c r="N205" i="5"/>
  <c r="M205" i="5"/>
  <c r="L205" i="5"/>
  <c r="K205" i="5"/>
  <c r="J205" i="5"/>
  <c r="I205" i="5"/>
  <c r="H205" i="5"/>
  <c r="G205" i="5"/>
  <c r="F205" i="5"/>
  <c r="E205" i="5"/>
  <c r="AV204" i="5"/>
  <c r="AU204" i="5"/>
  <c r="AT204" i="5"/>
  <c r="AS204" i="5"/>
  <c r="AR204" i="5"/>
  <c r="AQ204" i="5"/>
  <c r="AP204" i="5"/>
  <c r="AO204" i="5"/>
  <c r="AN204" i="5"/>
  <c r="AM204" i="5"/>
  <c r="AL204" i="5"/>
  <c r="AK204" i="5"/>
  <c r="AJ204" i="5"/>
  <c r="AI204" i="5"/>
  <c r="AH204" i="5"/>
  <c r="AG204" i="5"/>
  <c r="AF204" i="5"/>
  <c r="AE204" i="5"/>
  <c r="AD204" i="5"/>
  <c r="AC204" i="5"/>
  <c r="AB204" i="5"/>
  <c r="AA204" i="5"/>
  <c r="Z204" i="5"/>
  <c r="Y204" i="5"/>
  <c r="X204" i="5"/>
  <c r="W204" i="5"/>
  <c r="V204" i="5"/>
  <c r="U204" i="5"/>
  <c r="T204" i="5"/>
  <c r="S204" i="5"/>
  <c r="R204" i="5"/>
  <c r="Q204" i="5"/>
  <c r="P204" i="5"/>
  <c r="O204" i="5"/>
  <c r="N204" i="5"/>
  <c r="M204" i="5"/>
  <c r="L204" i="5"/>
  <c r="K204" i="5"/>
  <c r="J204" i="5"/>
  <c r="I204" i="5"/>
  <c r="H204" i="5"/>
  <c r="G204" i="5"/>
  <c r="F204" i="5"/>
  <c r="E204" i="5"/>
  <c r="AV203" i="5"/>
  <c r="AU203" i="5"/>
  <c r="AT203" i="5"/>
  <c r="AS203" i="5"/>
  <c r="AR203" i="5"/>
  <c r="AQ203" i="5"/>
  <c r="AP203" i="5"/>
  <c r="AO203" i="5"/>
  <c r="AN203" i="5"/>
  <c r="AM203" i="5"/>
  <c r="AL203" i="5"/>
  <c r="AK203" i="5"/>
  <c r="AJ203" i="5"/>
  <c r="AI203" i="5"/>
  <c r="AH203" i="5"/>
  <c r="AG203" i="5"/>
  <c r="AF203" i="5"/>
  <c r="AE203" i="5"/>
  <c r="AD203" i="5"/>
  <c r="AC203" i="5"/>
  <c r="AB203" i="5"/>
  <c r="AA203" i="5"/>
  <c r="Z203" i="5"/>
  <c r="Y203" i="5"/>
  <c r="X203" i="5"/>
  <c r="W203" i="5"/>
  <c r="V203" i="5"/>
  <c r="U203" i="5"/>
  <c r="T203" i="5"/>
  <c r="S203" i="5"/>
  <c r="R203" i="5"/>
  <c r="Q203" i="5"/>
  <c r="P203" i="5"/>
  <c r="O203" i="5"/>
  <c r="N203" i="5"/>
  <c r="M203" i="5"/>
  <c r="L203" i="5"/>
  <c r="K203" i="5"/>
  <c r="J203" i="5"/>
  <c r="I203" i="5"/>
  <c r="H203" i="5"/>
  <c r="G203" i="5"/>
  <c r="F203" i="5"/>
  <c r="E203" i="5"/>
  <c r="AV202" i="5"/>
  <c r="AU202" i="5"/>
  <c r="AT202" i="5"/>
  <c r="AS202" i="5"/>
  <c r="AR202" i="5"/>
  <c r="AQ202" i="5"/>
  <c r="AP202" i="5"/>
  <c r="AO202" i="5"/>
  <c r="AN202" i="5"/>
  <c r="AM202" i="5"/>
  <c r="AL202" i="5"/>
  <c r="AK202" i="5"/>
  <c r="AJ202" i="5"/>
  <c r="AI202" i="5"/>
  <c r="AH202" i="5"/>
  <c r="AG202" i="5"/>
  <c r="AF202" i="5"/>
  <c r="AE202" i="5"/>
  <c r="AD202" i="5"/>
  <c r="AC202" i="5"/>
  <c r="AB202" i="5"/>
  <c r="AA202" i="5"/>
  <c r="Z202" i="5"/>
  <c r="Y202" i="5"/>
  <c r="X202" i="5"/>
  <c r="W202" i="5"/>
  <c r="V202" i="5"/>
  <c r="U202" i="5"/>
  <c r="T202" i="5"/>
  <c r="S202" i="5"/>
  <c r="R202" i="5"/>
  <c r="Q202" i="5"/>
  <c r="P202" i="5"/>
  <c r="O202" i="5"/>
  <c r="N202" i="5"/>
  <c r="M202" i="5"/>
  <c r="L202" i="5"/>
  <c r="K202" i="5"/>
  <c r="J202" i="5"/>
  <c r="I202" i="5"/>
  <c r="H202" i="5"/>
  <c r="G202" i="5"/>
  <c r="F202" i="5"/>
  <c r="E202" i="5"/>
  <c r="AV201" i="5"/>
  <c r="AU201" i="5"/>
  <c r="AT201" i="5"/>
  <c r="AS201" i="5"/>
  <c r="AR201" i="5"/>
  <c r="AQ201" i="5"/>
  <c r="AP201" i="5"/>
  <c r="AO201" i="5"/>
  <c r="AN201" i="5"/>
  <c r="AM201" i="5"/>
  <c r="AL201" i="5"/>
  <c r="AK201" i="5"/>
  <c r="AJ201" i="5"/>
  <c r="AI201" i="5"/>
  <c r="AH201" i="5"/>
  <c r="AG201" i="5"/>
  <c r="AF201" i="5"/>
  <c r="AE201" i="5"/>
  <c r="AD201" i="5"/>
  <c r="AC201" i="5"/>
  <c r="AB201" i="5"/>
  <c r="AA201" i="5"/>
  <c r="Z201" i="5"/>
  <c r="Y201" i="5"/>
  <c r="X201" i="5"/>
  <c r="W201" i="5"/>
  <c r="V201" i="5"/>
  <c r="U201" i="5"/>
  <c r="T201" i="5"/>
  <c r="S201" i="5"/>
  <c r="R201" i="5"/>
  <c r="Q201" i="5"/>
  <c r="P201" i="5"/>
  <c r="O201" i="5"/>
  <c r="N201" i="5"/>
  <c r="M201" i="5"/>
  <c r="L201" i="5"/>
  <c r="K201" i="5"/>
  <c r="J201" i="5"/>
  <c r="I201" i="5"/>
  <c r="H201" i="5"/>
  <c r="G201" i="5"/>
  <c r="F201" i="5"/>
  <c r="E201" i="5"/>
  <c r="AV200" i="5"/>
  <c r="AU200" i="5"/>
  <c r="AT200" i="5"/>
  <c r="AS200" i="5"/>
  <c r="AR200" i="5"/>
  <c r="AQ200" i="5"/>
  <c r="AP200" i="5"/>
  <c r="AO200" i="5"/>
  <c r="AN200" i="5"/>
  <c r="AM200" i="5"/>
  <c r="AL200" i="5"/>
  <c r="AK200" i="5"/>
  <c r="AJ200" i="5"/>
  <c r="AI200" i="5"/>
  <c r="AH200" i="5"/>
  <c r="AG200" i="5"/>
  <c r="AF200" i="5"/>
  <c r="AE200" i="5"/>
  <c r="AD200" i="5"/>
  <c r="AC200" i="5"/>
  <c r="AB200" i="5"/>
  <c r="AA200" i="5"/>
  <c r="Z200" i="5"/>
  <c r="Y200" i="5"/>
  <c r="X200" i="5"/>
  <c r="W200" i="5"/>
  <c r="V200" i="5"/>
  <c r="U200" i="5"/>
  <c r="T200" i="5"/>
  <c r="S200" i="5"/>
  <c r="R200" i="5"/>
  <c r="Q200" i="5"/>
  <c r="P200" i="5"/>
  <c r="O200" i="5"/>
  <c r="N200" i="5"/>
  <c r="M200" i="5"/>
  <c r="L200" i="5"/>
  <c r="K200" i="5"/>
  <c r="J200" i="5"/>
  <c r="I200" i="5"/>
  <c r="H200" i="5"/>
  <c r="G200" i="5"/>
  <c r="F200" i="5"/>
  <c r="E200" i="5"/>
  <c r="AV199" i="5"/>
  <c r="AU199" i="5"/>
  <c r="AT199" i="5"/>
  <c r="AS199" i="5"/>
  <c r="AR199" i="5"/>
  <c r="AQ199" i="5"/>
  <c r="AP199" i="5"/>
  <c r="AO199" i="5"/>
  <c r="AN199" i="5"/>
  <c r="AM199" i="5"/>
  <c r="AL199" i="5"/>
  <c r="AK199" i="5"/>
  <c r="AJ199" i="5"/>
  <c r="AI199" i="5"/>
  <c r="AH199" i="5"/>
  <c r="AG199" i="5"/>
  <c r="AF199" i="5"/>
  <c r="AE199" i="5"/>
  <c r="AD199" i="5"/>
  <c r="AC199" i="5"/>
  <c r="AB199" i="5"/>
  <c r="AA199" i="5"/>
  <c r="Z199" i="5"/>
  <c r="Y199" i="5"/>
  <c r="X199" i="5"/>
  <c r="W199" i="5"/>
  <c r="V199" i="5"/>
  <c r="U199" i="5"/>
  <c r="T199" i="5"/>
  <c r="S199" i="5"/>
  <c r="R199" i="5"/>
  <c r="Q199" i="5"/>
  <c r="P199" i="5"/>
  <c r="O199" i="5"/>
  <c r="N199" i="5"/>
  <c r="M199" i="5"/>
  <c r="L199" i="5"/>
  <c r="K199" i="5"/>
  <c r="J199" i="5"/>
  <c r="I199" i="5"/>
  <c r="H199" i="5"/>
  <c r="G199" i="5"/>
  <c r="F199" i="5"/>
  <c r="E199" i="5"/>
  <c r="AV198" i="5"/>
  <c r="AU198" i="5"/>
  <c r="AT198" i="5"/>
  <c r="AS198" i="5"/>
  <c r="AR198" i="5"/>
  <c r="AQ198" i="5"/>
  <c r="AP198" i="5"/>
  <c r="AO198" i="5"/>
  <c r="AN198" i="5"/>
  <c r="AM198" i="5"/>
  <c r="AL198" i="5"/>
  <c r="AK198" i="5"/>
  <c r="AJ198" i="5"/>
  <c r="AI198" i="5"/>
  <c r="AH198" i="5"/>
  <c r="AG198" i="5"/>
  <c r="AF198" i="5"/>
  <c r="AE198" i="5"/>
  <c r="AD198" i="5"/>
  <c r="AC198" i="5"/>
  <c r="AB198" i="5"/>
  <c r="AA198" i="5"/>
  <c r="Z198" i="5"/>
  <c r="Y198" i="5"/>
  <c r="X198" i="5"/>
  <c r="W198" i="5"/>
  <c r="V198" i="5"/>
  <c r="U198" i="5"/>
  <c r="T198" i="5"/>
  <c r="S198" i="5"/>
  <c r="R198" i="5"/>
  <c r="Q198" i="5"/>
  <c r="P198" i="5"/>
  <c r="O198" i="5"/>
  <c r="N198" i="5"/>
  <c r="M198" i="5"/>
  <c r="L198" i="5"/>
  <c r="K198" i="5"/>
  <c r="J198" i="5"/>
  <c r="I198" i="5"/>
  <c r="H198" i="5"/>
  <c r="G198" i="5"/>
  <c r="F198" i="5"/>
  <c r="E198" i="5"/>
  <c r="AV197" i="5"/>
  <c r="AU197" i="5"/>
  <c r="AT197" i="5"/>
  <c r="AS197" i="5"/>
  <c r="AR197" i="5"/>
  <c r="AQ197" i="5"/>
  <c r="AP197" i="5"/>
  <c r="AO197" i="5"/>
  <c r="AN197" i="5"/>
  <c r="AM197" i="5"/>
  <c r="AL197" i="5"/>
  <c r="AK197" i="5"/>
  <c r="AJ197" i="5"/>
  <c r="AI197" i="5"/>
  <c r="AH197" i="5"/>
  <c r="AG197" i="5"/>
  <c r="AF197" i="5"/>
  <c r="AE197" i="5"/>
  <c r="AD197" i="5"/>
  <c r="AC197" i="5"/>
  <c r="AB197" i="5"/>
  <c r="AA197" i="5"/>
  <c r="Z197" i="5"/>
  <c r="Y197" i="5"/>
  <c r="X197" i="5"/>
  <c r="W197" i="5"/>
  <c r="V197" i="5"/>
  <c r="U197" i="5"/>
  <c r="T197" i="5"/>
  <c r="S197" i="5"/>
  <c r="R197" i="5"/>
  <c r="Q197" i="5"/>
  <c r="P197" i="5"/>
  <c r="O197" i="5"/>
  <c r="N197" i="5"/>
  <c r="M197" i="5"/>
  <c r="L197" i="5"/>
  <c r="K197" i="5"/>
  <c r="J197" i="5"/>
  <c r="I197" i="5"/>
  <c r="H197" i="5"/>
  <c r="G197" i="5"/>
  <c r="F197" i="5"/>
  <c r="E197" i="5"/>
  <c r="AV196" i="5"/>
  <c r="AU196" i="5"/>
  <c r="AT196" i="5"/>
  <c r="AS196" i="5"/>
  <c r="AR196" i="5"/>
  <c r="AQ196" i="5"/>
  <c r="AP196" i="5"/>
  <c r="AO196" i="5"/>
  <c r="AN196" i="5"/>
  <c r="AM196" i="5"/>
  <c r="AL196" i="5"/>
  <c r="AK196" i="5"/>
  <c r="AJ196" i="5"/>
  <c r="AI196" i="5"/>
  <c r="AH196" i="5"/>
  <c r="AG196" i="5"/>
  <c r="AF196" i="5"/>
  <c r="AE196" i="5"/>
  <c r="AD196" i="5"/>
  <c r="AC196" i="5"/>
  <c r="AB196" i="5"/>
  <c r="AA196" i="5"/>
  <c r="Z196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I196" i="5"/>
  <c r="H196" i="5"/>
  <c r="G196" i="5"/>
  <c r="F196" i="5"/>
  <c r="E196" i="5"/>
  <c r="AV195" i="5"/>
  <c r="AU195" i="5"/>
  <c r="AT195" i="5"/>
  <c r="AS195" i="5"/>
  <c r="AR195" i="5"/>
  <c r="AQ195" i="5"/>
  <c r="AP195" i="5"/>
  <c r="AO195" i="5"/>
  <c r="AN195" i="5"/>
  <c r="AM195" i="5"/>
  <c r="AL195" i="5"/>
  <c r="AK195" i="5"/>
  <c r="AJ195" i="5"/>
  <c r="AI195" i="5"/>
  <c r="AH195" i="5"/>
  <c r="AG195" i="5"/>
  <c r="AF195" i="5"/>
  <c r="AE195" i="5"/>
  <c r="AD195" i="5"/>
  <c r="AC195" i="5"/>
  <c r="AB195" i="5"/>
  <c r="AA195" i="5"/>
  <c r="Z195" i="5"/>
  <c r="Y195" i="5"/>
  <c r="X195" i="5"/>
  <c r="W195" i="5"/>
  <c r="V195" i="5"/>
  <c r="U195" i="5"/>
  <c r="T195" i="5"/>
  <c r="S195" i="5"/>
  <c r="R195" i="5"/>
  <c r="Q195" i="5"/>
  <c r="P195" i="5"/>
  <c r="O195" i="5"/>
  <c r="N195" i="5"/>
  <c r="M195" i="5"/>
  <c r="L195" i="5"/>
  <c r="K195" i="5"/>
  <c r="J195" i="5"/>
  <c r="I195" i="5"/>
  <c r="H195" i="5"/>
  <c r="G195" i="5"/>
  <c r="F195" i="5"/>
  <c r="E195" i="5"/>
  <c r="AV194" i="5"/>
  <c r="AU194" i="5"/>
  <c r="AT194" i="5"/>
  <c r="AS194" i="5"/>
  <c r="AR194" i="5"/>
  <c r="AQ194" i="5"/>
  <c r="AP194" i="5"/>
  <c r="AO194" i="5"/>
  <c r="AN194" i="5"/>
  <c r="AM194" i="5"/>
  <c r="AL194" i="5"/>
  <c r="AK194" i="5"/>
  <c r="AJ194" i="5"/>
  <c r="AI194" i="5"/>
  <c r="AH194" i="5"/>
  <c r="AG194" i="5"/>
  <c r="AF194" i="5"/>
  <c r="AE194" i="5"/>
  <c r="AD194" i="5"/>
  <c r="AC194" i="5"/>
  <c r="AB194" i="5"/>
  <c r="AA194" i="5"/>
  <c r="Z194" i="5"/>
  <c r="Y194" i="5"/>
  <c r="X194" i="5"/>
  <c r="W194" i="5"/>
  <c r="V194" i="5"/>
  <c r="U194" i="5"/>
  <c r="T194" i="5"/>
  <c r="S194" i="5"/>
  <c r="R194" i="5"/>
  <c r="Q194" i="5"/>
  <c r="P194" i="5"/>
  <c r="O194" i="5"/>
  <c r="N194" i="5"/>
  <c r="M194" i="5"/>
  <c r="L194" i="5"/>
  <c r="K194" i="5"/>
  <c r="J194" i="5"/>
  <c r="I194" i="5"/>
  <c r="H194" i="5"/>
  <c r="G194" i="5"/>
  <c r="F194" i="5"/>
  <c r="E194" i="5"/>
  <c r="AV193" i="5"/>
  <c r="AU193" i="5"/>
  <c r="AT193" i="5"/>
  <c r="AS193" i="5"/>
  <c r="AR193" i="5"/>
  <c r="AQ193" i="5"/>
  <c r="AP193" i="5"/>
  <c r="AO193" i="5"/>
  <c r="AN193" i="5"/>
  <c r="AM193" i="5"/>
  <c r="AL193" i="5"/>
  <c r="AK193" i="5"/>
  <c r="AJ193" i="5"/>
  <c r="AI193" i="5"/>
  <c r="AH193" i="5"/>
  <c r="AG193" i="5"/>
  <c r="AF193" i="5"/>
  <c r="AE193" i="5"/>
  <c r="AD193" i="5"/>
  <c r="AC193" i="5"/>
  <c r="AB193" i="5"/>
  <c r="AA193" i="5"/>
  <c r="Z193" i="5"/>
  <c r="Y193" i="5"/>
  <c r="X193" i="5"/>
  <c r="W193" i="5"/>
  <c r="V193" i="5"/>
  <c r="U193" i="5"/>
  <c r="T193" i="5"/>
  <c r="S193" i="5"/>
  <c r="R193" i="5"/>
  <c r="Q193" i="5"/>
  <c r="P193" i="5"/>
  <c r="O193" i="5"/>
  <c r="N193" i="5"/>
  <c r="M193" i="5"/>
  <c r="L193" i="5"/>
  <c r="K193" i="5"/>
  <c r="J193" i="5"/>
  <c r="I193" i="5"/>
  <c r="H193" i="5"/>
  <c r="G193" i="5"/>
  <c r="F193" i="5"/>
  <c r="E193" i="5"/>
  <c r="AV192" i="5"/>
  <c r="AU192" i="5"/>
  <c r="AT192" i="5"/>
  <c r="AS192" i="5"/>
  <c r="AR192" i="5"/>
  <c r="AQ192" i="5"/>
  <c r="AP192" i="5"/>
  <c r="AO192" i="5"/>
  <c r="AN192" i="5"/>
  <c r="AM192" i="5"/>
  <c r="AL192" i="5"/>
  <c r="AK192" i="5"/>
  <c r="AJ192" i="5"/>
  <c r="AI192" i="5"/>
  <c r="AH192" i="5"/>
  <c r="AG192" i="5"/>
  <c r="AF192" i="5"/>
  <c r="AE192" i="5"/>
  <c r="AD192" i="5"/>
  <c r="AC192" i="5"/>
  <c r="AB192" i="5"/>
  <c r="AA192" i="5"/>
  <c r="Z192" i="5"/>
  <c r="Y192" i="5"/>
  <c r="X192" i="5"/>
  <c r="W192" i="5"/>
  <c r="V192" i="5"/>
  <c r="U192" i="5"/>
  <c r="T192" i="5"/>
  <c r="S192" i="5"/>
  <c r="R192" i="5"/>
  <c r="Q192" i="5"/>
  <c r="P192" i="5"/>
  <c r="O192" i="5"/>
  <c r="N192" i="5"/>
  <c r="M192" i="5"/>
  <c r="L192" i="5"/>
  <c r="K192" i="5"/>
  <c r="J192" i="5"/>
  <c r="I192" i="5"/>
  <c r="H192" i="5"/>
  <c r="G192" i="5"/>
  <c r="F192" i="5"/>
  <c r="E192" i="5"/>
  <c r="AV191" i="5"/>
  <c r="AU191" i="5"/>
  <c r="AT191" i="5"/>
  <c r="AS191" i="5"/>
  <c r="AR191" i="5"/>
  <c r="AQ191" i="5"/>
  <c r="AP191" i="5"/>
  <c r="AO191" i="5"/>
  <c r="AN191" i="5"/>
  <c r="AM191" i="5"/>
  <c r="AL191" i="5"/>
  <c r="AK191" i="5"/>
  <c r="AJ191" i="5"/>
  <c r="AI191" i="5"/>
  <c r="AH191" i="5"/>
  <c r="AG191" i="5"/>
  <c r="AF191" i="5"/>
  <c r="AE191" i="5"/>
  <c r="AD191" i="5"/>
  <c r="AC191" i="5"/>
  <c r="AB191" i="5"/>
  <c r="AA191" i="5"/>
  <c r="Z191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AV190" i="5"/>
  <c r="AU190" i="5"/>
  <c r="AT190" i="5"/>
  <c r="AS190" i="5"/>
  <c r="AR190" i="5"/>
  <c r="AQ190" i="5"/>
  <c r="AP190" i="5"/>
  <c r="AO190" i="5"/>
  <c r="AN190" i="5"/>
  <c r="AM190" i="5"/>
  <c r="AL190" i="5"/>
  <c r="AK190" i="5"/>
  <c r="AJ190" i="5"/>
  <c r="AI190" i="5"/>
  <c r="AH190" i="5"/>
  <c r="AG190" i="5"/>
  <c r="AF190" i="5"/>
  <c r="AE190" i="5"/>
  <c r="AD190" i="5"/>
  <c r="AC190" i="5"/>
  <c r="AB190" i="5"/>
  <c r="AA190" i="5"/>
  <c r="Z190" i="5"/>
  <c r="Y190" i="5"/>
  <c r="X190" i="5"/>
  <c r="W190" i="5"/>
  <c r="V190" i="5"/>
  <c r="U190" i="5"/>
  <c r="T190" i="5"/>
  <c r="S190" i="5"/>
  <c r="R190" i="5"/>
  <c r="Q190" i="5"/>
  <c r="P190" i="5"/>
  <c r="O190" i="5"/>
  <c r="N190" i="5"/>
  <c r="M190" i="5"/>
  <c r="L190" i="5"/>
  <c r="K190" i="5"/>
  <c r="J190" i="5"/>
  <c r="I190" i="5"/>
  <c r="H190" i="5"/>
  <c r="G190" i="5"/>
  <c r="F190" i="5"/>
  <c r="E190" i="5"/>
  <c r="AV189" i="5"/>
  <c r="AU189" i="5"/>
  <c r="AT189" i="5"/>
  <c r="AS189" i="5"/>
  <c r="AR189" i="5"/>
  <c r="AQ189" i="5"/>
  <c r="AP189" i="5"/>
  <c r="AO189" i="5"/>
  <c r="AN189" i="5"/>
  <c r="AM189" i="5"/>
  <c r="AL189" i="5"/>
  <c r="AK189" i="5"/>
  <c r="AJ189" i="5"/>
  <c r="AI189" i="5"/>
  <c r="AH189" i="5"/>
  <c r="AG189" i="5"/>
  <c r="AF189" i="5"/>
  <c r="AE189" i="5"/>
  <c r="AD189" i="5"/>
  <c r="AC189" i="5"/>
  <c r="AB189" i="5"/>
  <c r="AA189" i="5"/>
  <c r="Z189" i="5"/>
  <c r="Y189" i="5"/>
  <c r="X189" i="5"/>
  <c r="W189" i="5"/>
  <c r="V189" i="5"/>
  <c r="U189" i="5"/>
  <c r="T189" i="5"/>
  <c r="S189" i="5"/>
  <c r="R189" i="5"/>
  <c r="Q189" i="5"/>
  <c r="P189" i="5"/>
  <c r="O189" i="5"/>
  <c r="N189" i="5"/>
  <c r="M189" i="5"/>
  <c r="L189" i="5"/>
  <c r="K189" i="5"/>
  <c r="J189" i="5"/>
  <c r="I189" i="5"/>
  <c r="H189" i="5"/>
  <c r="G189" i="5"/>
  <c r="F189" i="5"/>
  <c r="E189" i="5"/>
  <c r="AV188" i="5"/>
  <c r="AU188" i="5"/>
  <c r="AT188" i="5"/>
  <c r="AS188" i="5"/>
  <c r="AR188" i="5"/>
  <c r="AQ188" i="5"/>
  <c r="AP188" i="5"/>
  <c r="AO188" i="5"/>
  <c r="AN188" i="5"/>
  <c r="AM188" i="5"/>
  <c r="AL188" i="5"/>
  <c r="AK188" i="5"/>
  <c r="AJ188" i="5"/>
  <c r="AI188" i="5"/>
  <c r="AH188" i="5"/>
  <c r="AG188" i="5"/>
  <c r="AF188" i="5"/>
  <c r="AE188" i="5"/>
  <c r="AD188" i="5"/>
  <c r="AC188" i="5"/>
  <c r="AB188" i="5"/>
  <c r="AA188" i="5"/>
  <c r="Z188" i="5"/>
  <c r="Y188" i="5"/>
  <c r="X188" i="5"/>
  <c r="W188" i="5"/>
  <c r="V188" i="5"/>
  <c r="U188" i="5"/>
  <c r="T188" i="5"/>
  <c r="S188" i="5"/>
  <c r="R188" i="5"/>
  <c r="Q188" i="5"/>
  <c r="P188" i="5"/>
  <c r="O188" i="5"/>
  <c r="N188" i="5"/>
  <c r="M188" i="5"/>
  <c r="L188" i="5"/>
  <c r="K188" i="5"/>
  <c r="J188" i="5"/>
  <c r="I188" i="5"/>
  <c r="H188" i="5"/>
  <c r="G188" i="5"/>
  <c r="F188" i="5"/>
  <c r="E188" i="5"/>
  <c r="AV187" i="5"/>
  <c r="AU187" i="5"/>
  <c r="AT187" i="5"/>
  <c r="AS187" i="5"/>
  <c r="AR187" i="5"/>
  <c r="AQ187" i="5"/>
  <c r="AP187" i="5"/>
  <c r="AO187" i="5"/>
  <c r="AN187" i="5"/>
  <c r="AM187" i="5"/>
  <c r="AL187" i="5"/>
  <c r="AK187" i="5"/>
  <c r="AJ187" i="5"/>
  <c r="AI187" i="5"/>
  <c r="AH187" i="5"/>
  <c r="AG187" i="5"/>
  <c r="AF187" i="5"/>
  <c r="AE187" i="5"/>
  <c r="AD187" i="5"/>
  <c r="AC187" i="5"/>
  <c r="AB187" i="5"/>
  <c r="AA187" i="5"/>
  <c r="Z187" i="5"/>
  <c r="Y187" i="5"/>
  <c r="X187" i="5"/>
  <c r="W187" i="5"/>
  <c r="V187" i="5"/>
  <c r="U187" i="5"/>
  <c r="T187" i="5"/>
  <c r="S187" i="5"/>
  <c r="R187" i="5"/>
  <c r="Q187" i="5"/>
  <c r="P187" i="5"/>
  <c r="O187" i="5"/>
  <c r="N187" i="5"/>
  <c r="M187" i="5"/>
  <c r="L187" i="5"/>
  <c r="K187" i="5"/>
  <c r="J187" i="5"/>
  <c r="I187" i="5"/>
  <c r="H187" i="5"/>
  <c r="G187" i="5"/>
  <c r="F187" i="5"/>
  <c r="E187" i="5"/>
  <c r="AV186" i="5"/>
  <c r="AU186" i="5"/>
  <c r="AT186" i="5"/>
  <c r="AS186" i="5"/>
  <c r="AR186" i="5"/>
  <c r="AQ186" i="5"/>
  <c r="AP186" i="5"/>
  <c r="AO186" i="5"/>
  <c r="AN186" i="5"/>
  <c r="AM186" i="5"/>
  <c r="AL186" i="5"/>
  <c r="AK186" i="5"/>
  <c r="AJ186" i="5"/>
  <c r="AI186" i="5"/>
  <c r="AH186" i="5"/>
  <c r="AG186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6" i="5"/>
  <c r="K186" i="5"/>
  <c r="J186" i="5"/>
  <c r="I186" i="5"/>
  <c r="H186" i="5"/>
  <c r="G186" i="5"/>
  <c r="F186" i="5"/>
  <c r="E186" i="5"/>
  <c r="AV185" i="5"/>
  <c r="AU185" i="5"/>
  <c r="AT185" i="5"/>
  <c r="AS185" i="5"/>
  <c r="AR185" i="5"/>
  <c r="AQ185" i="5"/>
  <c r="AP185" i="5"/>
  <c r="AO185" i="5"/>
  <c r="AN185" i="5"/>
  <c r="AM185" i="5"/>
  <c r="AL185" i="5"/>
  <c r="AK185" i="5"/>
  <c r="AJ185" i="5"/>
  <c r="AI185" i="5"/>
  <c r="AH185" i="5"/>
  <c r="AG185" i="5"/>
  <c r="AF185" i="5"/>
  <c r="AE185" i="5"/>
  <c r="AD185" i="5"/>
  <c r="AC185" i="5"/>
  <c r="AB185" i="5"/>
  <c r="AA185" i="5"/>
  <c r="Z185" i="5"/>
  <c r="Y185" i="5"/>
  <c r="X185" i="5"/>
  <c r="W185" i="5"/>
  <c r="V185" i="5"/>
  <c r="U185" i="5"/>
  <c r="T185" i="5"/>
  <c r="S185" i="5"/>
  <c r="R185" i="5"/>
  <c r="Q185" i="5"/>
  <c r="P185" i="5"/>
  <c r="O185" i="5"/>
  <c r="N185" i="5"/>
  <c r="M185" i="5"/>
  <c r="L185" i="5"/>
  <c r="K185" i="5"/>
  <c r="J185" i="5"/>
  <c r="I185" i="5"/>
  <c r="H185" i="5"/>
  <c r="G185" i="5"/>
  <c r="F185" i="5"/>
  <c r="E185" i="5"/>
  <c r="AV184" i="5"/>
  <c r="AU184" i="5"/>
  <c r="AT184" i="5"/>
  <c r="AS184" i="5"/>
  <c r="AR184" i="5"/>
  <c r="AQ184" i="5"/>
  <c r="AP184" i="5"/>
  <c r="AO184" i="5"/>
  <c r="AN184" i="5"/>
  <c r="AM184" i="5"/>
  <c r="AL184" i="5"/>
  <c r="AK184" i="5"/>
  <c r="AJ184" i="5"/>
  <c r="AI184" i="5"/>
  <c r="AH184" i="5"/>
  <c r="AG184" i="5"/>
  <c r="AF184" i="5"/>
  <c r="AE184" i="5"/>
  <c r="AD184" i="5"/>
  <c r="AC184" i="5"/>
  <c r="AB184" i="5"/>
  <c r="AA184" i="5"/>
  <c r="Z184" i="5"/>
  <c r="Y184" i="5"/>
  <c r="X184" i="5"/>
  <c r="W184" i="5"/>
  <c r="V184" i="5"/>
  <c r="U184" i="5"/>
  <c r="T184" i="5"/>
  <c r="S184" i="5"/>
  <c r="R184" i="5"/>
  <c r="Q184" i="5"/>
  <c r="P184" i="5"/>
  <c r="O184" i="5"/>
  <c r="N184" i="5"/>
  <c r="M184" i="5"/>
  <c r="L184" i="5"/>
  <c r="K184" i="5"/>
  <c r="J184" i="5"/>
  <c r="I184" i="5"/>
  <c r="H184" i="5"/>
  <c r="G184" i="5"/>
  <c r="F184" i="5"/>
  <c r="E184" i="5"/>
  <c r="AV183" i="5"/>
  <c r="AU183" i="5"/>
  <c r="AT183" i="5"/>
  <c r="AS183" i="5"/>
  <c r="AR183" i="5"/>
  <c r="AQ183" i="5"/>
  <c r="AP183" i="5"/>
  <c r="AO183" i="5"/>
  <c r="AN183" i="5"/>
  <c r="AM183" i="5"/>
  <c r="AL183" i="5"/>
  <c r="AK183" i="5"/>
  <c r="AJ183" i="5"/>
  <c r="AI183" i="5"/>
  <c r="AH183" i="5"/>
  <c r="AG183" i="5"/>
  <c r="AF183" i="5"/>
  <c r="AE183" i="5"/>
  <c r="AD183" i="5"/>
  <c r="AC183" i="5"/>
  <c r="AB183" i="5"/>
  <c r="AA183" i="5"/>
  <c r="Z183" i="5"/>
  <c r="Y183" i="5"/>
  <c r="X183" i="5"/>
  <c r="W183" i="5"/>
  <c r="V183" i="5"/>
  <c r="U183" i="5"/>
  <c r="T183" i="5"/>
  <c r="S183" i="5"/>
  <c r="R183" i="5"/>
  <c r="Q183" i="5"/>
  <c r="P183" i="5"/>
  <c r="O183" i="5"/>
  <c r="N183" i="5"/>
  <c r="M183" i="5"/>
  <c r="L183" i="5"/>
  <c r="K183" i="5"/>
  <c r="J183" i="5"/>
  <c r="I183" i="5"/>
  <c r="H183" i="5"/>
  <c r="G183" i="5"/>
  <c r="F183" i="5"/>
  <c r="E183" i="5"/>
  <c r="AV182" i="5"/>
  <c r="AU182" i="5"/>
  <c r="AT182" i="5"/>
  <c r="AS182" i="5"/>
  <c r="AR182" i="5"/>
  <c r="AQ182" i="5"/>
  <c r="AP182" i="5"/>
  <c r="AO182" i="5"/>
  <c r="AN182" i="5"/>
  <c r="AM182" i="5"/>
  <c r="AL182" i="5"/>
  <c r="AK182" i="5"/>
  <c r="AJ182" i="5"/>
  <c r="AI182" i="5"/>
  <c r="AH182" i="5"/>
  <c r="AG182" i="5"/>
  <c r="AF182" i="5"/>
  <c r="AE182" i="5"/>
  <c r="AD182" i="5"/>
  <c r="AC182" i="5"/>
  <c r="AB182" i="5"/>
  <c r="AA182" i="5"/>
  <c r="Z182" i="5"/>
  <c r="Y182" i="5"/>
  <c r="X182" i="5"/>
  <c r="W182" i="5"/>
  <c r="V182" i="5"/>
  <c r="U182" i="5"/>
  <c r="T182" i="5"/>
  <c r="S182" i="5"/>
  <c r="R182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AV181" i="5"/>
  <c r="AU181" i="5"/>
  <c r="AT181" i="5"/>
  <c r="AS181" i="5"/>
  <c r="AR181" i="5"/>
  <c r="AQ181" i="5"/>
  <c r="AP181" i="5"/>
  <c r="AO181" i="5"/>
  <c r="AN181" i="5"/>
  <c r="AM181" i="5"/>
  <c r="AL181" i="5"/>
  <c r="AK181" i="5"/>
  <c r="AJ181" i="5"/>
  <c r="AI181" i="5"/>
  <c r="AH181" i="5"/>
  <c r="AG181" i="5"/>
  <c r="AF181" i="5"/>
  <c r="AE181" i="5"/>
  <c r="AD181" i="5"/>
  <c r="AC181" i="5"/>
  <c r="AB181" i="5"/>
  <c r="AA181" i="5"/>
  <c r="Z181" i="5"/>
  <c r="Y181" i="5"/>
  <c r="X181" i="5"/>
  <c r="W181" i="5"/>
  <c r="V181" i="5"/>
  <c r="U181" i="5"/>
  <c r="T181" i="5"/>
  <c r="S181" i="5"/>
  <c r="R181" i="5"/>
  <c r="Q181" i="5"/>
  <c r="P181" i="5"/>
  <c r="O181" i="5"/>
  <c r="N181" i="5"/>
  <c r="M181" i="5"/>
  <c r="L181" i="5"/>
  <c r="K181" i="5"/>
  <c r="J181" i="5"/>
  <c r="I181" i="5"/>
  <c r="H181" i="5"/>
  <c r="G181" i="5"/>
  <c r="F181" i="5"/>
  <c r="E181" i="5"/>
  <c r="AV180" i="5"/>
  <c r="AU180" i="5"/>
  <c r="AT180" i="5"/>
  <c r="AS180" i="5"/>
  <c r="AR180" i="5"/>
  <c r="AQ180" i="5"/>
  <c r="AP180" i="5"/>
  <c r="AO180" i="5"/>
  <c r="AN180" i="5"/>
  <c r="AM180" i="5"/>
  <c r="AL180" i="5"/>
  <c r="AK180" i="5"/>
  <c r="AJ180" i="5"/>
  <c r="AI180" i="5"/>
  <c r="AH180" i="5"/>
  <c r="AG180" i="5"/>
  <c r="AF180" i="5"/>
  <c r="AE180" i="5"/>
  <c r="AD180" i="5"/>
  <c r="AC180" i="5"/>
  <c r="AB180" i="5"/>
  <c r="AA180" i="5"/>
  <c r="Z180" i="5"/>
  <c r="Y180" i="5"/>
  <c r="X180" i="5"/>
  <c r="W180" i="5"/>
  <c r="V180" i="5"/>
  <c r="U180" i="5"/>
  <c r="T180" i="5"/>
  <c r="S180" i="5"/>
  <c r="R180" i="5"/>
  <c r="Q180" i="5"/>
  <c r="P180" i="5"/>
  <c r="O180" i="5"/>
  <c r="N180" i="5"/>
  <c r="M180" i="5"/>
  <c r="L180" i="5"/>
  <c r="K180" i="5"/>
  <c r="J180" i="5"/>
  <c r="I180" i="5"/>
  <c r="H180" i="5"/>
  <c r="G180" i="5"/>
  <c r="F180" i="5"/>
  <c r="E180" i="5"/>
  <c r="AV179" i="5"/>
  <c r="AU179" i="5"/>
  <c r="AT179" i="5"/>
  <c r="AS179" i="5"/>
  <c r="AR179" i="5"/>
  <c r="AQ179" i="5"/>
  <c r="AP179" i="5"/>
  <c r="AO179" i="5"/>
  <c r="AN179" i="5"/>
  <c r="AM179" i="5"/>
  <c r="AL179" i="5"/>
  <c r="AK179" i="5"/>
  <c r="AJ179" i="5"/>
  <c r="AI179" i="5"/>
  <c r="AH179" i="5"/>
  <c r="AG179" i="5"/>
  <c r="AF179" i="5"/>
  <c r="AE179" i="5"/>
  <c r="AD179" i="5"/>
  <c r="AC179" i="5"/>
  <c r="AB179" i="5"/>
  <c r="AA179" i="5"/>
  <c r="Z179" i="5"/>
  <c r="Y179" i="5"/>
  <c r="X179" i="5"/>
  <c r="W179" i="5"/>
  <c r="V179" i="5"/>
  <c r="U179" i="5"/>
  <c r="T179" i="5"/>
  <c r="S179" i="5"/>
  <c r="R179" i="5"/>
  <c r="Q179" i="5"/>
  <c r="P179" i="5"/>
  <c r="O179" i="5"/>
  <c r="N179" i="5"/>
  <c r="M179" i="5"/>
  <c r="L179" i="5"/>
  <c r="K179" i="5"/>
  <c r="J179" i="5"/>
  <c r="I179" i="5"/>
  <c r="H179" i="5"/>
  <c r="G179" i="5"/>
  <c r="F179" i="5"/>
  <c r="E179" i="5"/>
  <c r="AV178" i="5"/>
  <c r="AU178" i="5"/>
  <c r="AT178" i="5"/>
  <c r="AS178" i="5"/>
  <c r="AR178" i="5"/>
  <c r="AQ178" i="5"/>
  <c r="AP178" i="5"/>
  <c r="AO178" i="5"/>
  <c r="AN178" i="5"/>
  <c r="AM178" i="5"/>
  <c r="AL178" i="5"/>
  <c r="AK178" i="5"/>
  <c r="AJ178" i="5"/>
  <c r="AI178" i="5"/>
  <c r="AH178" i="5"/>
  <c r="AG178" i="5"/>
  <c r="AF178" i="5"/>
  <c r="AE178" i="5"/>
  <c r="AD178" i="5"/>
  <c r="AC178" i="5"/>
  <c r="AB178" i="5"/>
  <c r="AA178" i="5"/>
  <c r="Z178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I178" i="5"/>
  <c r="H178" i="5"/>
  <c r="G178" i="5"/>
  <c r="F178" i="5"/>
  <c r="E178" i="5"/>
  <c r="AV177" i="5"/>
  <c r="AU177" i="5"/>
  <c r="AT177" i="5"/>
  <c r="AS177" i="5"/>
  <c r="AR177" i="5"/>
  <c r="AQ177" i="5"/>
  <c r="AP177" i="5"/>
  <c r="AO177" i="5"/>
  <c r="AN177" i="5"/>
  <c r="AM177" i="5"/>
  <c r="AL177" i="5"/>
  <c r="AK177" i="5"/>
  <c r="AJ177" i="5"/>
  <c r="AI177" i="5"/>
  <c r="AH177" i="5"/>
  <c r="AG177" i="5"/>
  <c r="AF177" i="5"/>
  <c r="AE177" i="5"/>
  <c r="AD177" i="5"/>
  <c r="AC177" i="5"/>
  <c r="AB177" i="5"/>
  <c r="AA177" i="5"/>
  <c r="Z177" i="5"/>
  <c r="Y177" i="5"/>
  <c r="X177" i="5"/>
  <c r="W177" i="5"/>
  <c r="V177" i="5"/>
  <c r="U177" i="5"/>
  <c r="T177" i="5"/>
  <c r="S177" i="5"/>
  <c r="R177" i="5"/>
  <c r="Q177" i="5"/>
  <c r="P177" i="5"/>
  <c r="O177" i="5"/>
  <c r="N177" i="5"/>
  <c r="M177" i="5"/>
  <c r="L177" i="5"/>
  <c r="K177" i="5"/>
  <c r="J177" i="5"/>
  <c r="I177" i="5"/>
  <c r="H177" i="5"/>
  <c r="G177" i="5"/>
  <c r="F177" i="5"/>
  <c r="E177" i="5"/>
  <c r="AV176" i="5"/>
  <c r="AU176" i="5"/>
  <c r="AT176" i="5"/>
  <c r="AS176" i="5"/>
  <c r="AR176" i="5"/>
  <c r="AQ176" i="5"/>
  <c r="AP176" i="5"/>
  <c r="AO176" i="5"/>
  <c r="AN176" i="5"/>
  <c r="AM176" i="5"/>
  <c r="AL176" i="5"/>
  <c r="AK176" i="5"/>
  <c r="AJ176" i="5"/>
  <c r="AI176" i="5"/>
  <c r="AH176" i="5"/>
  <c r="AG176" i="5"/>
  <c r="AF176" i="5"/>
  <c r="AE176" i="5"/>
  <c r="AD176" i="5"/>
  <c r="AC176" i="5"/>
  <c r="AB176" i="5"/>
  <c r="AA176" i="5"/>
  <c r="Z176" i="5"/>
  <c r="Y176" i="5"/>
  <c r="X176" i="5"/>
  <c r="W176" i="5"/>
  <c r="V176" i="5"/>
  <c r="U176" i="5"/>
  <c r="T176" i="5"/>
  <c r="S176" i="5"/>
  <c r="R176" i="5"/>
  <c r="Q176" i="5"/>
  <c r="P176" i="5"/>
  <c r="O176" i="5"/>
  <c r="N176" i="5"/>
  <c r="M176" i="5"/>
  <c r="L176" i="5"/>
  <c r="K176" i="5"/>
  <c r="J176" i="5"/>
  <c r="I176" i="5"/>
  <c r="H176" i="5"/>
  <c r="G176" i="5"/>
  <c r="F176" i="5"/>
  <c r="E176" i="5"/>
  <c r="AV175" i="5"/>
  <c r="AU175" i="5"/>
  <c r="AT175" i="5"/>
  <c r="AS175" i="5"/>
  <c r="AR175" i="5"/>
  <c r="AQ175" i="5"/>
  <c r="AP175" i="5"/>
  <c r="AO175" i="5"/>
  <c r="AN175" i="5"/>
  <c r="AM175" i="5"/>
  <c r="AL175" i="5"/>
  <c r="AK175" i="5"/>
  <c r="AJ175" i="5"/>
  <c r="AI175" i="5"/>
  <c r="AH175" i="5"/>
  <c r="AG175" i="5"/>
  <c r="AF175" i="5"/>
  <c r="AE175" i="5"/>
  <c r="AD175" i="5"/>
  <c r="AC175" i="5"/>
  <c r="AB175" i="5"/>
  <c r="AA175" i="5"/>
  <c r="Z175" i="5"/>
  <c r="Y175" i="5"/>
  <c r="X175" i="5"/>
  <c r="W175" i="5"/>
  <c r="V175" i="5"/>
  <c r="U175" i="5"/>
  <c r="T175" i="5"/>
  <c r="S175" i="5"/>
  <c r="R175" i="5"/>
  <c r="Q175" i="5"/>
  <c r="P175" i="5"/>
  <c r="O175" i="5"/>
  <c r="N175" i="5"/>
  <c r="M175" i="5"/>
  <c r="L175" i="5"/>
  <c r="K175" i="5"/>
  <c r="J175" i="5"/>
  <c r="I175" i="5"/>
  <c r="H175" i="5"/>
  <c r="G175" i="5"/>
  <c r="F175" i="5"/>
  <c r="E175" i="5"/>
  <c r="AV174" i="5"/>
  <c r="AU174" i="5"/>
  <c r="AT174" i="5"/>
  <c r="AS174" i="5"/>
  <c r="AR174" i="5"/>
  <c r="AQ174" i="5"/>
  <c r="AP174" i="5"/>
  <c r="AO174" i="5"/>
  <c r="AN174" i="5"/>
  <c r="AM174" i="5"/>
  <c r="AL174" i="5"/>
  <c r="AK174" i="5"/>
  <c r="AJ174" i="5"/>
  <c r="AI174" i="5"/>
  <c r="AH174" i="5"/>
  <c r="AG174" i="5"/>
  <c r="AF174" i="5"/>
  <c r="AE174" i="5"/>
  <c r="AD174" i="5"/>
  <c r="AC174" i="5"/>
  <c r="AB174" i="5"/>
  <c r="AA174" i="5"/>
  <c r="Z174" i="5"/>
  <c r="Y174" i="5"/>
  <c r="X174" i="5"/>
  <c r="W174" i="5"/>
  <c r="V174" i="5"/>
  <c r="U174" i="5"/>
  <c r="T174" i="5"/>
  <c r="S174" i="5"/>
  <c r="R174" i="5"/>
  <c r="Q174" i="5"/>
  <c r="P174" i="5"/>
  <c r="O174" i="5"/>
  <c r="N174" i="5"/>
  <c r="M174" i="5"/>
  <c r="L174" i="5"/>
  <c r="K174" i="5"/>
  <c r="J174" i="5"/>
  <c r="I174" i="5"/>
  <c r="H174" i="5"/>
  <c r="G174" i="5"/>
  <c r="F174" i="5"/>
  <c r="E174" i="5"/>
  <c r="AV173" i="5"/>
  <c r="AU173" i="5"/>
  <c r="AT173" i="5"/>
  <c r="AS173" i="5"/>
  <c r="AR173" i="5"/>
  <c r="AQ173" i="5"/>
  <c r="AP173" i="5"/>
  <c r="AO173" i="5"/>
  <c r="AN173" i="5"/>
  <c r="AM173" i="5"/>
  <c r="AL173" i="5"/>
  <c r="AK173" i="5"/>
  <c r="AJ173" i="5"/>
  <c r="AI173" i="5"/>
  <c r="AH173" i="5"/>
  <c r="AG173" i="5"/>
  <c r="AF173" i="5"/>
  <c r="AE173" i="5"/>
  <c r="AD173" i="5"/>
  <c r="AC173" i="5"/>
  <c r="AB173" i="5"/>
  <c r="AA173" i="5"/>
  <c r="Z173" i="5"/>
  <c r="Y173" i="5"/>
  <c r="X173" i="5"/>
  <c r="W173" i="5"/>
  <c r="V173" i="5"/>
  <c r="U173" i="5"/>
  <c r="T173" i="5"/>
  <c r="S173" i="5"/>
  <c r="R173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AV172" i="5"/>
  <c r="AU172" i="5"/>
  <c r="AT172" i="5"/>
  <c r="AS172" i="5"/>
  <c r="AR172" i="5"/>
  <c r="AQ172" i="5"/>
  <c r="AP172" i="5"/>
  <c r="AO172" i="5"/>
  <c r="AN172" i="5"/>
  <c r="AM172" i="5"/>
  <c r="AL172" i="5"/>
  <c r="AK172" i="5"/>
  <c r="AJ172" i="5"/>
  <c r="AI172" i="5"/>
  <c r="AH172" i="5"/>
  <c r="AG172" i="5"/>
  <c r="AF172" i="5"/>
  <c r="AE172" i="5"/>
  <c r="AD172" i="5"/>
  <c r="AC172" i="5"/>
  <c r="AB172" i="5"/>
  <c r="AA172" i="5"/>
  <c r="Z172" i="5"/>
  <c r="Y172" i="5"/>
  <c r="X172" i="5"/>
  <c r="W172" i="5"/>
  <c r="V172" i="5"/>
  <c r="U172" i="5"/>
  <c r="T172" i="5"/>
  <c r="S172" i="5"/>
  <c r="R172" i="5"/>
  <c r="Q172" i="5"/>
  <c r="P172" i="5"/>
  <c r="O172" i="5"/>
  <c r="N172" i="5"/>
  <c r="M172" i="5"/>
  <c r="L172" i="5"/>
  <c r="K172" i="5"/>
  <c r="J172" i="5"/>
  <c r="I172" i="5"/>
  <c r="H172" i="5"/>
  <c r="G172" i="5"/>
  <c r="F172" i="5"/>
  <c r="E172" i="5"/>
  <c r="AV171" i="5"/>
  <c r="AU171" i="5"/>
  <c r="AT171" i="5"/>
  <c r="AS171" i="5"/>
  <c r="AR171" i="5"/>
  <c r="AQ171" i="5"/>
  <c r="AP171" i="5"/>
  <c r="AO171" i="5"/>
  <c r="AN171" i="5"/>
  <c r="AM171" i="5"/>
  <c r="AL171" i="5"/>
  <c r="AK171" i="5"/>
  <c r="AJ171" i="5"/>
  <c r="AI171" i="5"/>
  <c r="AH171" i="5"/>
  <c r="AG171" i="5"/>
  <c r="AF171" i="5"/>
  <c r="AE171" i="5"/>
  <c r="AD171" i="5"/>
  <c r="AC171" i="5"/>
  <c r="AB171" i="5"/>
  <c r="AA171" i="5"/>
  <c r="Z171" i="5"/>
  <c r="Y171" i="5"/>
  <c r="X171" i="5"/>
  <c r="W171" i="5"/>
  <c r="V171" i="5"/>
  <c r="U171" i="5"/>
  <c r="T171" i="5"/>
  <c r="S171" i="5"/>
  <c r="R171" i="5"/>
  <c r="Q171" i="5"/>
  <c r="P171" i="5"/>
  <c r="O171" i="5"/>
  <c r="N171" i="5"/>
  <c r="M171" i="5"/>
  <c r="L171" i="5"/>
  <c r="K171" i="5"/>
  <c r="J171" i="5"/>
  <c r="I171" i="5"/>
  <c r="H171" i="5"/>
  <c r="G171" i="5"/>
  <c r="F171" i="5"/>
  <c r="E171" i="5"/>
  <c r="AV170" i="5"/>
  <c r="AU170" i="5"/>
  <c r="AT170" i="5"/>
  <c r="AS170" i="5"/>
  <c r="AR170" i="5"/>
  <c r="AQ170" i="5"/>
  <c r="AP170" i="5"/>
  <c r="AO170" i="5"/>
  <c r="AN170" i="5"/>
  <c r="AM170" i="5"/>
  <c r="AL170" i="5"/>
  <c r="AK170" i="5"/>
  <c r="AJ170" i="5"/>
  <c r="AI170" i="5"/>
  <c r="AH170" i="5"/>
  <c r="AG170" i="5"/>
  <c r="AF170" i="5"/>
  <c r="AE170" i="5"/>
  <c r="AD170" i="5"/>
  <c r="AC170" i="5"/>
  <c r="AB170" i="5"/>
  <c r="AA170" i="5"/>
  <c r="Z170" i="5"/>
  <c r="Y170" i="5"/>
  <c r="X170" i="5"/>
  <c r="W170" i="5"/>
  <c r="V170" i="5"/>
  <c r="U170" i="5"/>
  <c r="T170" i="5"/>
  <c r="S170" i="5"/>
  <c r="R170" i="5"/>
  <c r="Q170" i="5"/>
  <c r="P170" i="5"/>
  <c r="O170" i="5"/>
  <c r="N170" i="5"/>
  <c r="M170" i="5"/>
  <c r="L170" i="5"/>
  <c r="K170" i="5"/>
  <c r="J170" i="5"/>
  <c r="I170" i="5"/>
  <c r="H170" i="5"/>
  <c r="G170" i="5"/>
  <c r="F170" i="5"/>
  <c r="E170" i="5"/>
  <c r="AV169" i="5"/>
  <c r="AU169" i="5"/>
  <c r="AT169" i="5"/>
  <c r="AS169" i="5"/>
  <c r="AR169" i="5"/>
  <c r="AQ169" i="5"/>
  <c r="AP169" i="5"/>
  <c r="AO169" i="5"/>
  <c r="AN169" i="5"/>
  <c r="AM169" i="5"/>
  <c r="AL169" i="5"/>
  <c r="AK169" i="5"/>
  <c r="AJ169" i="5"/>
  <c r="AI169" i="5"/>
  <c r="AH169" i="5"/>
  <c r="AG169" i="5"/>
  <c r="AF169" i="5"/>
  <c r="AE169" i="5"/>
  <c r="AD169" i="5"/>
  <c r="AC169" i="5"/>
  <c r="AB169" i="5"/>
  <c r="AA169" i="5"/>
  <c r="Z169" i="5"/>
  <c r="Y169" i="5"/>
  <c r="X169" i="5"/>
  <c r="W169" i="5"/>
  <c r="V169" i="5"/>
  <c r="U169" i="5"/>
  <c r="T169" i="5"/>
  <c r="S169" i="5"/>
  <c r="R169" i="5"/>
  <c r="Q169" i="5"/>
  <c r="P169" i="5"/>
  <c r="O169" i="5"/>
  <c r="N169" i="5"/>
  <c r="M169" i="5"/>
  <c r="L169" i="5"/>
  <c r="K169" i="5"/>
  <c r="J169" i="5"/>
  <c r="I169" i="5"/>
  <c r="H169" i="5"/>
  <c r="G169" i="5"/>
  <c r="F169" i="5"/>
  <c r="E169" i="5"/>
  <c r="AV168" i="5"/>
  <c r="AU168" i="5"/>
  <c r="AT168" i="5"/>
  <c r="AS168" i="5"/>
  <c r="AR168" i="5"/>
  <c r="AQ168" i="5"/>
  <c r="AP168" i="5"/>
  <c r="AO168" i="5"/>
  <c r="AN168" i="5"/>
  <c r="AM168" i="5"/>
  <c r="AL168" i="5"/>
  <c r="AK168" i="5"/>
  <c r="AJ168" i="5"/>
  <c r="AI168" i="5"/>
  <c r="AH168" i="5"/>
  <c r="AG168" i="5"/>
  <c r="AF168" i="5"/>
  <c r="AE168" i="5"/>
  <c r="AD168" i="5"/>
  <c r="AC168" i="5"/>
  <c r="AB168" i="5"/>
  <c r="AA168" i="5"/>
  <c r="Z168" i="5"/>
  <c r="Y168" i="5"/>
  <c r="X168" i="5"/>
  <c r="W168" i="5"/>
  <c r="V168" i="5"/>
  <c r="U168" i="5"/>
  <c r="T168" i="5"/>
  <c r="S168" i="5"/>
  <c r="R168" i="5"/>
  <c r="Q168" i="5"/>
  <c r="P168" i="5"/>
  <c r="O168" i="5"/>
  <c r="N168" i="5"/>
  <c r="M168" i="5"/>
  <c r="L168" i="5"/>
  <c r="K168" i="5"/>
  <c r="J168" i="5"/>
  <c r="I168" i="5"/>
  <c r="H168" i="5"/>
  <c r="G168" i="5"/>
  <c r="F168" i="5"/>
  <c r="E168" i="5"/>
  <c r="AV167" i="5"/>
  <c r="AU167" i="5"/>
  <c r="AT167" i="5"/>
  <c r="AS167" i="5"/>
  <c r="AR167" i="5"/>
  <c r="AQ167" i="5"/>
  <c r="AP167" i="5"/>
  <c r="AO167" i="5"/>
  <c r="AN167" i="5"/>
  <c r="AM167" i="5"/>
  <c r="AL167" i="5"/>
  <c r="AK167" i="5"/>
  <c r="AJ167" i="5"/>
  <c r="AI167" i="5"/>
  <c r="AH167" i="5"/>
  <c r="AG167" i="5"/>
  <c r="AF167" i="5"/>
  <c r="AE167" i="5"/>
  <c r="AD167" i="5"/>
  <c r="AC167" i="5"/>
  <c r="AB167" i="5"/>
  <c r="AA167" i="5"/>
  <c r="Z167" i="5"/>
  <c r="Y167" i="5"/>
  <c r="X167" i="5"/>
  <c r="W167" i="5"/>
  <c r="V167" i="5"/>
  <c r="U167" i="5"/>
  <c r="T167" i="5"/>
  <c r="S167" i="5"/>
  <c r="R167" i="5"/>
  <c r="Q167" i="5"/>
  <c r="P167" i="5"/>
  <c r="O167" i="5"/>
  <c r="N167" i="5"/>
  <c r="M167" i="5"/>
  <c r="L167" i="5"/>
  <c r="K167" i="5"/>
  <c r="J167" i="5"/>
  <c r="I167" i="5"/>
  <c r="H167" i="5"/>
  <c r="G167" i="5"/>
  <c r="F167" i="5"/>
  <c r="E167" i="5"/>
  <c r="AV166" i="5"/>
  <c r="AU166" i="5"/>
  <c r="AT166" i="5"/>
  <c r="AS166" i="5"/>
  <c r="AR166" i="5"/>
  <c r="AQ166" i="5"/>
  <c r="AP166" i="5"/>
  <c r="AO166" i="5"/>
  <c r="AN166" i="5"/>
  <c r="AM166" i="5"/>
  <c r="AL166" i="5"/>
  <c r="AK166" i="5"/>
  <c r="AJ166" i="5"/>
  <c r="AI166" i="5"/>
  <c r="AH166" i="5"/>
  <c r="AG166" i="5"/>
  <c r="AF166" i="5"/>
  <c r="AE166" i="5"/>
  <c r="AD166" i="5"/>
  <c r="AC166" i="5"/>
  <c r="AB166" i="5"/>
  <c r="AA166" i="5"/>
  <c r="Z166" i="5"/>
  <c r="Y166" i="5"/>
  <c r="X166" i="5"/>
  <c r="W166" i="5"/>
  <c r="V166" i="5"/>
  <c r="U166" i="5"/>
  <c r="T166" i="5"/>
  <c r="S166" i="5"/>
  <c r="R166" i="5"/>
  <c r="Q166" i="5"/>
  <c r="P166" i="5"/>
  <c r="O166" i="5"/>
  <c r="N166" i="5"/>
  <c r="M166" i="5"/>
  <c r="L166" i="5"/>
  <c r="K166" i="5"/>
  <c r="J166" i="5"/>
  <c r="I166" i="5"/>
  <c r="H166" i="5"/>
  <c r="G166" i="5"/>
  <c r="F166" i="5"/>
  <c r="E166" i="5"/>
  <c r="AV165" i="5"/>
  <c r="AU165" i="5"/>
  <c r="AT165" i="5"/>
  <c r="AS165" i="5"/>
  <c r="AR165" i="5"/>
  <c r="AQ165" i="5"/>
  <c r="AP165" i="5"/>
  <c r="AO165" i="5"/>
  <c r="AN165" i="5"/>
  <c r="AM165" i="5"/>
  <c r="AL165" i="5"/>
  <c r="AK165" i="5"/>
  <c r="AJ165" i="5"/>
  <c r="AI165" i="5"/>
  <c r="AH165" i="5"/>
  <c r="AG165" i="5"/>
  <c r="AF165" i="5"/>
  <c r="AE165" i="5"/>
  <c r="AD165" i="5"/>
  <c r="AC165" i="5"/>
  <c r="AB165" i="5"/>
  <c r="AA165" i="5"/>
  <c r="Z165" i="5"/>
  <c r="Y165" i="5"/>
  <c r="X165" i="5"/>
  <c r="W165" i="5"/>
  <c r="V165" i="5"/>
  <c r="U165" i="5"/>
  <c r="T165" i="5"/>
  <c r="S165" i="5"/>
  <c r="R165" i="5"/>
  <c r="Q165" i="5"/>
  <c r="P165" i="5"/>
  <c r="O165" i="5"/>
  <c r="N165" i="5"/>
  <c r="M165" i="5"/>
  <c r="L165" i="5"/>
  <c r="K165" i="5"/>
  <c r="J165" i="5"/>
  <c r="I165" i="5"/>
  <c r="H165" i="5"/>
  <c r="G165" i="5"/>
  <c r="F165" i="5"/>
  <c r="E165" i="5"/>
  <c r="AV164" i="5"/>
  <c r="AU164" i="5"/>
  <c r="AT164" i="5"/>
  <c r="AS164" i="5"/>
  <c r="AR164" i="5"/>
  <c r="AQ164" i="5"/>
  <c r="AP164" i="5"/>
  <c r="AO164" i="5"/>
  <c r="AN164" i="5"/>
  <c r="AM164" i="5"/>
  <c r="AL164" i="5"/>
  <c r="AK164" i="5"/>
  <c r="AJ164" i="5"/>
  <c r="AI164" i="5"/>
  <c r="AH164" i="5"/>
  <c r="AG164" i="5"/>
  <c r="AF164" i="5"/>
  <c r="AE164" i="5"/>
  <c r="AD164" i="5"/>
  <c r="AC164" i="5"/>
  <c r="AB164" i="5"/>
  <c r="AA164" i="5"/>
  <c r="Z164" i="5"/>
  <c r="Y164" i="5"/>
  <c r="X164" i="5"/>
  <c r="W164" i="5"/>
  <c r="V164" i="5"/>
  <c r="U164" i="5"/>
  <c r="T164" i="5"/>
  <c r="S164" i="5"/>
  <c r="R164" i="5"/>
  <c r="Q164" i="5"/>
  <c r="P164" i="5"/>
  <c r="O164" i="5"/>
  <c r="N164" i="5"/>
  <c r="M164" i="5"/>
  <c r="L164" i="5"/>
  <c r="K164" i="5"/>
  <c r="J164" i="5"/>
  <c r="I164" i="5"/>
  <c r="H164" i="5"/>
  <c r="G164" i="5"/>
  <c r="F164" i="5"/>
  <c r="E164" i="5"/>
  <c r="AV163" i="5"/>
  <c r="AU163" i="5"/>
  <c r="AT163" i="5"/>
  <c r="AS163" i="5"/>
  <c r="AR163" i="5"/>
  <c r="AQ163" i="5"/>
  <c r="AP163" i="5"/>
  <c r="AO163" i="5"/>
  <c r="AN163" i="5"/>
  <c r="AM163" i="5"/>
  <c r="AL163" i="5"/>
  <c r="AK163" i="5"/>
  <c r="AJ163" i="5"/>
  <c r="AI163" i="5"/>
  <c r="AH163" i="5"/>
  <c r="AG163" i="5"/>
  <c r="AF163" i="5"/>
  <c r="AE163" i="5"/>
  <c r="AD163" i="5"/>
  <c r="AC163" i="5"/>
  <c r="AB163" i="5"/>
  <c r="AA163" i="5"/>
  <c r="Z163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I163" i="5"/>
  <c r="H163" i="5"/>
  <c r="G163" i="5"/>
  <c r="F163" i="5"/>
  <c r="E163" i="5"/>
  <c r="AV162" i="5"/>
  <c r="AU162" i="5"/>
  <c r="AT162" i="5"/>
  <c r="AS162" i="5"/>
  <c r="AR162" i="5"/>
  <c r="AQ162" i="5"/>
  <c r="AP162" i="5"/>
  <c r="AO162" i="5"/>
  <c r="AN162" i="5"/>
  <c r="AM162" i="5"/>
  <c r="AL162" i="5"/>
  <c r="AK162" i="5"/>
  <c r="AJ162" i="5"/>
  <c r="AI162" i="5"/>
  <c r="AH162" i="5"/>
  <c r="AG162" i="5"/>
  <c r="AF162" i="5"/>
  <c r="AE162" i="5"/>
  <c r="AD162" i="5"/>
  <c r="AC162" i="5"/>
  <c r="AB162" i="5"/>
  <c r="AA162" i="5"/>
  <c r="Z162" i="5"/>
  <c r="Y162" i="5"/>
  <c r="X162" i="5"/>
  <c r="W162" i="5"/>
  <c r="V162" i="5"/>
  <c r="U162" i="5"/>
  <c r="T162" i="5"/>
  <c r="S162" i="5"/>
  <c r="R162" i="5"/>
  <c r="Q162" i="5"/>
  <c r="P162" i="5"/>
  <c r="O162" i="5"/>
  <c r="N162" i="5"/>
  <c r="M162" i="5"/>
  <c r="L162" i="5"/>
  <c r="K162" i="5"/>
  <c r="J162" i="5"/>
  <c r="I162" i="5"/>
  <c r="H162" i="5"/>
  <c r="G162" i="5"/>
  <c r="F162" i="5"/>
  <c r="E162" i="5"/>
  <c r="AV161" i="5"/>
  <c r="AU161" i="5"/>
  <c r="AT161" i="5"/>
  <c r="AS161" i="5"/>
  <c r="AR161" i="5"/>
  <c r="AQ161" i="5"/>
  <c r="AP161" i="5"/>
  <c r="AO161" i="5"/>
  <c r="AN161" i="5"/>
  <c r="AM161" i="5"/>
  <c r="AL161" i="5"/>
  <c r="AK161" i="5"/>
  <c r="AJ161" i="5"/>
  <c r="AI161" i="5"/>
  <c r="AH161" i="5"/>
  <c r="AG161" i="5"/>
  <c r="AF161" i="5"/>
  <c r="AE161" i="5"/>
  <c r="AD161" i="5"/>
  <c r="AC161" i="5"/>
  <c r="AB161" i="5"/>
  <c r="AA161" i="5"/>
  <c r="Z161" i="5"/>
  <c r="Y161" i="5"/>
  <c r="X161" i="5"/>
  <c r="W161" i="5"/>
  <c r="V161" i="5"/>
  <c r="U161" i="5"/>
  <c r="T161" i="5"/>
  <c r="S161" i="5"/>
  <c r="R161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AV160" i="5"/>
  <c r="AU160" i="5"/>
  <c r="AT160" i="5"/>
  <c r="AS160" i="5"/>
  <c r="AR160" i="5"/>
  <c r="AQ160" i="5"/>
  <c r="AP160" i="5"/>
  <c r="AO160" i="5"/>
  <c r="AN160" i="5"/>
  <c r="AM160" i="5"/>
  <c r="AL160" i="5"/>
  <c r="AK160" i="5"/>
  <c r="AJ160" i="5"/>
  <c r="AI160" i="5"/>
  <c r="AH160" i="5"/>
  <c r="AG160" i="5"/>
  <c r="AF160" i="5"/>
  <c r="AE160" i="5"/>
  <c r="AD160" i="5"/>
  <c r="AC160" i="5"/>
  <c r="AB160" i="5"/>
  <c r="AA160" i="5"/>
  <c r="Z160" i="5"/>
  <c r="Y160" i="5"/>
  <c r="X160" i="5"/>
  <c r="W160" i="5"/>
  <c r="V160" i="5"/>
  <c r="U160" i="5"/>
  <c r="T160" i="5"/>
  <c r="S160" i="5"/>
  <c r="R160" i="5"/>
  <c r="Q160" i="5"/>
  <c r="P160" i="5"/>
  <c r="O160" i="5"/>
  <c r="N160" i="5"/>
  <c r="M160" i="5"/>
  <c r="L160" i="5"/>
  <c r="K160" i="5"/>
  <c r="J160" i="5"/>
  <c r="I160" i="5"/>
  <c r="H160" i="5"/>
  <c r="G160" i="5"/>
  <c r="F160" i="5"/>
  <c r="E160" i="5"/>
  <c r="AV159" i="5"/>
  <c r="AU159" i="5"/>
  <c r="AT159" i="5"/>
  <c r="AS159" i="5"/>
  <c r="AR159" i="5"/>
  <c r="AQ159" i="5"/>
  <c r="AP159" i="5"/>
  <c r="AO159" i="5"/>
  <c r="AN159" i="5"/>
  <c r="AM159" i="5"/>
  <c r="AL159" i="5"/>
  <c r="AK159" i="5"/>
  <c r="AJ159" i="5"/>
  <c r="AI159" i="5"/>
  <c r="AH159" i="5"/>
  <c r="AG159" i="5"/>
  <c r="AF159" i="5"/>
  <c r="AE159" i="5"/>
  <c r="AD159" i="5"/>
  <c r="AC159" i="5"/>
  <c r="AB159" i="5"/>
  <c r="AA159" i="5"/>
  <c r="Z159" i="5"/>
  <c r="Y159" i="5"/>
  <c r="X159" i="5"/>
  <c r="W159" i="5"/>
  <c r="V159" i="5"/>
  <c r="U159" i="5"/>
  <c r="T159" i="5"/>
  <c r="S159" i="5"/>
  <c r="R159" i="5"/>
  <c r="Q159" i="5"/>
  <c r="P159" i="5"/>
  <c r="O159" i="5"/>
  <c r="N159" i="5"/>
  <c r="M159" i="5"/>
  <c r="L159" i="5"/>
  <c r="K159" i="5"/>
  <c r="J159" i="5"/>
  <c r="I159" i="5"/>
  <c r="H159" i="5"/>
  <c r="G159" i="5"/>
  <c r="F159" i="5"/>
  <c r="E159" i="5"/>
  <c r="AV158" i="5"/>
  <c r="AU158" i="5"/>
  <c r="AT158" i="5"/>
  <c r="AS158" i="5"/>
  <c r="AR158" i="5"/>
  <c r="AQ158" i="5"/>
  <c r="AP158" i="5"/>
  <c r="AO158" i="5"/>
  <c r="AN158" i="5"/>
  <c r="AM158" i="5"/>
  <c r="AL158" i="5"/>
  <c r="AK158" i="5"/>
  <c r="AJ158" i="5"/>
  <c r="AI158" i="5"/>
  <c r="AH158" i="5"/>
  <c r="AG158" i="5"/>
  <c r="AF158" i="5"/>
  <c r="AE158" i="5"/>
  <c r="AD158" i="5"/>
  <c r="AC158" i="5"/>
  <c r="AB158" i="5"/>
  <c r="AA158" i="5"/>
  <c r="Z158" i="5"/>
  <c r="Y158" i="5"/>
  <c r="X158" i="5"/>
  <c r="W158" i="5"/>
  <c r="V158" i="5"/>
  <c r="U158" i="5"/>
  <c r="T158" i="5"/>
  <c r="S158" i="5"/>
  <c r="R158" i="5"/>
  <c r="Q158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AV157" i="5"/>
  <c r="AU157" i="5"/>
  <c r="AT157" i="5"/>
  <c r="AS157" i="5"/>
  <c r="AR157" i="5"/>
  <c r="AQ157" i="5"/>
  <c r="AP157" i="5"/>
  <c r="AO157" i="5"/>
  <c r="AN157" i="5"/>
  <c r="AM157" i="5"/>
  <c r="AL157" i="5"/>
  <c r="AK157" i="5"/>
  <c r="AJ157" i="5"/>
  <c r="AI157" i="5"/>
  <c r="AH157" i="5"/>
  <c r="AG157" i="5"/>
  <c r="AF157" i="5"/>
  <c r="AE157" i="5"/>
  <c r="AD157" i="5"/>
  <c r="AC157" i="5"/>
  <c r="AB157" i="5"/>
  <c r="AA157" i="5"/>
  <c r="Z157" i="5"/>
  <c r="Y157" i="5"/>
  <c r="X157" i="5"/>
  <c r="W157" i="5"/>
  <c r="V157" i="5"/>
  <c r="U157" i="5"/>
  <c r="T157" i="5"/>
  <c r="S157" i="5"/>
  <c r="R157" i="5"/>
  <c r="Q157" i="5"/>
  <c r="P157" i="5"/>
  <c r="O157" i="5"/>
  <c r="N157" i="5"/>
  <c r="M157" i="5"/>
  <c r="L157" i="5"/>
  <c r="K157" i="5"/>
  <c r="J157" i="5"/>
  <c r="I157" i="5"/>
  <c r="H157" i="5"/>
  <c r="G157" i="5"/>
  <c r="F157" i="5"/>
  <c r="E157" i="5"/>
  <c r="AV156" i="5"/>
  <c r="AU156" i="5"/>
  <c r="AT156" i="5"/>
  <c r="AS156" i="5"/>
  <c r="AR156" i="5"/>
  <c r="AQ156" i="5"/>
  <c r="AP156" i="5"/>
  <c r="AO156" i="5"/>
  <c r="AN156" i="5"/>
  <c r="AM156" i="5"/>
  <c r="AL156" i="5"/>
  <c r="AK156" i="5"/>
  <c r="AJ156" i="5"/>
  <c r="AI156" i="5"/>
  <c r="AH156" i="5"/>
  <c r="AG156" i="5"/>
  <c r="AF156" i="5"/>
  <c r="AE156" i="5"/>
  <c r="AD156" i="5"/>
  <c r="AC156" i="5"/>
  <c r="AB156" i="5"/>
  <c r="AA156" i="5"/>
  <c r="Z156" i="5"/>
  <c r="Y156" i="5"/>
  <c r="X156" i="5"/>
  <c r="W156" i="5"/>
  <c r="V156" i="5"/>
  <c r="U156" i="5"/>
  <c r="T156" i="5"/>
  <c r="S156" i="5"/>
  <c r="R156" i="5"/>
  <c r="Q156" i="5"/>
  <c r="P156" i="5"/>
  <c r="O156" i="5"/>
  <c r="N156" i="5"/>
  <c r="M156" i="5"/>
  <c r="L156" i="5"/>
  <c r="K156" i="5"/>
  <c r="J156" i="5"/>
  <c r="I156" i="5"/>
  <c r="H156" i="5"/>
  <c r="G156" i="5"/>
  <c r="F156" i="5"/>
  <c r="E156" i="5"/>
  <c r="AV155" i="5"/>
  <c r="AU155" i="5"/>
  <c r="AT155" i="5"/>
  <c r="AS155" i="5"/>
  <c r="AR155" i="5"/>
  <c r="AQ155" i="5"/>
  <c r="AP155" i="5"/>
  <c r="AO155" i="5"/>
  <c r="AN155" i="5"/>
  <c r="AM155" i="5"/>
  <c r="AL155" i="5"/>
  <c r="AK155" i="5"/>
  <c r="AJ155" i="5"/>
  <c r="AI155" i="5"/>
  <c r="AH155" i="5"/>
  <c r="AG155" i="5"/>
  <c r="AF155" i="5"/>
  <c r="AE155" i="5"/>
  <c r="AD155" i="5"/>
  <c r="AC155" i="5"/>
  <c r="AB155" i="5"/>
  <c r="AA155" i="5"/>
  <c r="Z155" i="5"/>
  <c r="Y155" i="5"/>
  <c r="X155" i="5"/>
  <c r="W155" i="5"/>
  <c r="V155" i="5"/>
  <c r="U155" i="5"/>
  <c r="T155" i="5"/>
  <c r="S155" i="5"/>
  <c r="R155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AV154" i="5"/>
  <c r="AU154" i="5"/>
  <c r="AT154" i="5"/>
  <c r="AS154" i="5"/>
  <c r="AR154" i="5"/>
  <c r="AQ154" i="5"/>
  <c r="AP154" i="5"/>
  <c r="AO154" i="5"/>
  <c r="AN154" i="5"/>
  <c r="AM154" i="5"/>
  <c r="AL154" i="5"/>
  <c r="AK154" i="5"/>
  <c r="AJ154" i="5"/>
  <c r="AI154" i="5"/>
  <c r="AH154" i="5"/>
  <c r="AG154" i="5"/>
  <c r="AF154" i="5"/>
  <c r="AE154" i="5"/>
  <c r="AD154" i="5"/>
  <c r="AC154" i="5"/>
  <c r="AB154" i="5"/>
  <c r="AA154" i="5"/>
  <c r="Z154" i="5"/>
  <c r="Y154" i="5"/>
  <c r="X154" i="5"/>
  <c r="W154" i="5"/>
  <c r="V154" i="5"/>
  <c r="U154" i="5"/>
  <c r="T154" i="5"/>
  <c r="S154" i="5"/>
  <c r="R154" i="5"/>
  <c r="Q154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AV153" i="5"/>
  <c r="AU153" i="5"/>
  <c r="AT153" i="5"/>
  <c r="AS153" i="5"/>
  <c r="AR153" i="5"/>
  <c r="AQ153" i="5"/>
  <c r="AP153" i="5"/>
  <c r="AO153" i="5"/>
  <c r="AN153" i="5"/>
  <c r="AM153" i="5"/>
  <c r="AL153" i="5"/>
  <c r="AK153" i="5"/>
  <c r="AJ153" i="5"/>
  <c r="AI153" i="5"/>
  <c r="AH153" i="5"/>
  <c r="AG153" i="5"/>
  <c r="AF153" i="5"/>
  <c r="AE153" i="5"/>
  <c r="AD153" i="5"/>
  <c r="AC153" i="5"/>
  <c r="AB153" i="5"/>
  <c r="AA153" i="5"/>
  <c r="Z153" i="5"/>
  <c r="Y153" i="5"/>
  <c r="X153" i="5"/>
  <c r="W153" i="5"/>
  <c r="V153" i="5"/>
  <c r="U153" i="5"/>
  <c r="T153" i="5"/>
  <c r="S153" i="5"/>
  <c r="R153" i="5"/>
  <c r="Q153" i="5"/>
  <c r="P153" i="5"/>
  <c r="O153" i="5"/>
  <c r="N153" i="5"/>
  <c r="M153" i="5"/>
  <c r="L153" i="5"/>
  <c r="K153" i="5"/>
  <c r="J153" i="5"/>
  <c r="I153" i="5"/>
  <c r="H153" i="5"/>
  <c r="G153" i="5"/>
  <c r="F153" i="5"/>
  <c r="E153" i="5"/>
  <c r="AV152" i="5"/>
  <c r="AU152" i="5"/>
  <c r="AT152" i="5"/>
  <c r="AS152" i="5"/>
  <c r="AR152" i="5"/>
  <c r="AQ152" i="5"/>
  <c r="AP152" i="5"/>
  <c r="AO152" i="5"/>
  <c r="AN152" i="5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AV151" i="5"/>
  <c r="AU151" i="5"/>
  <c r="AT151" i="5"/>
  <c r="AS151" i="5"/>
  <c r="AR151" i="5"/>
  <c r="AQ151" i="5"/>
  <c r="AP151" i="5"/>
  <c r="AO151" i="5"/>
  <c r="AN151" i="5"/>
  <c r="AM151" i="5"/>
  <c r="AL151" i="5"/>
  <c r="AK151" i="5"/>
  <c r="AJ151" i="5"/>
  <c r="AI151" i="5"/>
  <c r="AH151" i="5"/>
  <c r="AG151" i="5"/>
  <c r="AF151" i="5"/>
  <c r="AE151" i="5"/>
  <c r="AD151" i="5"/>
  <c r="AC151" i="5"/>
  <c r="AB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I151" i="5"/>
  <c r="H151" i="5"/>
  <c r="G151" i="5"/>
  <c r="F151" i="5"/>
  <c r="E151" i="5"/>
  <c r="AV150" i="5"/>
  <c r="AU150" i="5"/>
  <c r="AT150" i="5"/>
  <c r="AS150" i="5"/>
  <c r="AR150" i="5"/>
  <c r="AQ150" i="5"/>
  <c r="AP150" i="5"/>
  <c r="AO150" i="5"/>
  <c r="AN150" i="5"/>
  <c r="AM150" i="5"/>
  <c r="AL150" i="5"/>
  <c r="AK150" i="5"/>
  <c r="AJ150" i="5"/>
  <c r="AI150" i="5"/>
  <c r="AH150" i="5"/>
  <c r="AG150" i="5"/>
  <c r="AF150" i="5"/>
  <c r="AE150" i="5"/>
  <c r="AD150" i="5"/>
  <c r="AC150" i="5"/>
  <c r="AB150" i="5"/>
  <c r="AA150" i="5"/>
  <c r="Z150" i="5"/>
  <c r="Y150" i="5"/>
  <c r="X150" i="5"/>
  <c r="W150" i="5"/>
  <c r="V150" i="5"/>
  <c r="U150" i="5"/>
  <c r="T150" i="5"/>
  <c r="S150" i="5"/>
  <c r="R150" i="5"/>
  <c r="Q150" i="5"/>
  <c r="P150" i="5"/>
  <c r="O150" i="5"/>
  <c r="N150" i="5"/>
  <c r="M150" i="5"/>
  <c r="L150" i="5"/>
  <c r="K150" i="5"/>
  <c r="J150" i="5"/>
  <c r="I150" i="5"/>
  <c r="H150" i="5"/>
  <c r="G150" i="5"/>
  <c r="F150" i="5"/>
  <c r="E150" i="5"/>
  <c r="AV149" i="5"/>
  <c r="AU149" i="5"/>
  <c r="AT149" i="5"/>
  <c r="AS149" i="5"/>
  <c r="AR149" i="5"/>
  <c r="AQ149" i="5"/>
  <c r="AP149" i="5"/>
  <c r="AO149" i="5"/>
  <c r="AN149" i="5"/>
  <c r="AM149" i="5"/>
  <c r="AL149" i="5"/>
  <c r="AK149" i="5"/>
  <c r="AJ149" i="5"/>
  <c r="AI149" i="5"/>
  <c r="AH149" i="5"/>
  <c r="AG149" i="5"/>
  <c r="AF149" i="5"/>
  <c r="AE149" i="5"/>
  <c r="AD149" i="5"/>
  <c r="AC149" i="5"/>
  <c r="AB149" i="5"/>
  <c r="AA149" i="5"/>
  <c r="Z149" i="5"/>
  <c r="Y149" i="5"/>
  <c r="X149" i="5"/>
  <c r="W149" i="5"/>
  <c r="V149" i="5"/>
  <c r="U149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AV148" i="5"/>
  <c r="AU148" i="5"/>
  <c r="AT148" i="5"/>
  <c r="AS148" i="5"/>
  <c r="AR148" i="5"/>
  <c r="AQ148" i="5"/>
  <c r="AP148" i="5"/>
  <c r="AO148" i="5"/>
  <c r="AN148" i="5"/>
  <c r="AM148" i="5"/>
  <c r="AL148" i="5"/>
  <c r="AK148" i="5"/>
  <c r="AJ148" i="5"/>
  <c r="AI148" i="5"/>
  <c r="AH148" i="5"/>
  <c r="AG148" i="5"/>
  <c r="AF148" i="5"/>
  <c r="AE148" i="5"/>
  <c r="AD148" i="5"/>
  <c r="AC148" i="5"/>
  <c r="AB148" i="5"/>
  <c r="AA148" i="5"/>
  <c r="Z148" i="5"/>
  <c r="Y148" i="5"/>
  <c r="X148" i="5"/>
  <c r="W148" i="5"/>
  <c r="V148" i="5"/>
  <c r="U148" i="5"/>
  <c r="T148" i="5"/>
  <c r="S148" i="5"/>
  <c r="R148" i="5"/>
  <c r="Q148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AV147" i="5"/>
  <c r="AU147" i="5"/>
  <c r="AT147" i="5"/>
  <c r="AS147" i="5"/>
  <c r="AR147" i="5"/>
  <c r="AQ147" i="5"/>
  <c r="AP147" i="5"/>
  <c r="AO147" i="5"/>
  <c r="AN147" i="5"/>
  <c r="AM147" i="5"/>
  <c r="AL147" i="5"/>
  <c r="AK147" i="5"/>
  <c r="AJ147" i="5"/>
  <c r="AI147" i="5"/>
  <c r="AH147" i="5"/>
  <c r="AG147" i="5"/>
  <c r="AF147" i="5"/>
  <c r="AE147" i="5"/>
  <c r="AD147" i="5"/>
  <c r="AC147" i="5"/>
  <c r="AB147" i="5"/>
  <c r="AA147" i="5"/>
  <c r="Z147" i="5"/>
  <c r="Y147" i="5"/>
  <c r="X147" i="5"/>
  <c r="W147" i="5"/>
  <c r="V147" i="5"/>
  <c r="U147" i="5"/>
  <c r="T147" i="5"/>
  <c r="S147" i="5"/>
  <c r="R147" i="5"/>
  <c r="Q147" i="5"/>
  <c r="P147" i="5"/>
  <c r="O147" i="5"/>
  <c r="N147" i="5"/>
  <c r="M147" i="5"/>
  <c r="L147" i="5"/>
  <c r="K147" i="5"/>
  <c r="J147" i="5"/>
  <c r="I147" i="5"/>
  <c r="H147" i="5"/>
  <c r="G147" i="5"/>
  <c r="F147" i="5"/>
  <c r="E147" i="5"/>
  <c r="AV146" i="5"/>
  <c r="AU146" i="5"/>
  <c r="AT146" i="5"/>
  <c r="AS146" i="5"/>
  <c r="AR146" i="5"/>
  <c r="AQ146" i="5"/>
  <c r="AP146" i="5"/>
  <c r="AO146" i="5"/>
  <c r="AN146" i="5"/>
  <c r="AM146" i="5"/>
  <c r="AL146" i="5"/>
  <c r="AK146" i="5"/>
  <c r="AJ146" i="5"/>
  <c r="AI146" i="5"/>
  <c r="AH146" i="5"/>
  <c r="AG146" i="5"/>
  <c r="AF146" i="5"/>
  <c r="AE146" i="5"/>
  <c r="AD146" i="5"/>
  <c r="AC146" i="5"/>
  <c r="AB146" i="5"/>
  <c r="AA146" i="5"/>
  <c r="Z146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AV145" i="5"/>
  <c r="AU145" i="5"/>
  <c r="AT145" i="5"/>
  <c r="AS145" i="5"/>
  <c r="AR145" i="5"/>
  <c r="AQ145" i="5"/>
  <c r="AP145" i="5"/>
  <c r="AO145" i="5"/>
  <c r="AN145" i="5"/>
  <c r="AM145" i="5"/>
  <c r="AL145" i="5"/>
  <c r="AK145" i="5"/>
  <c r="AJ145" i="5"/>
  <c r="AI145" i="5"/>
  <c r="AH145" i="5"/>
  <c r="AG145" i="5"/>
  <c r="AF145" i="5"/>
  <c r="AE145" i="5"/>
  <c r="AD145" i="5"/>
  <c r="AC145" i="5"/>
  <c r="AB145" i="5"/>
  <c r="AA145" i="5"/>
  <c r="Z145" i="5"/>
  <c r="Y145" i="5"/>
  <c r="X145" i="5"/>
  <c r="W145" i="5"/>
  <c r="V145" i="5"/>
  <c r="U145" i="5"/>
  <c r="T145" i="5"/>
  <c r="S145" i="5"/>
  <c r="R145" i="5"/>
  <c r="Q145" i="5"/>
  <c r="P145" i="5"/>
  <c r="O145" i="5"/>
  <c r="N145" i="5"/>
  <c r="M145" i="5"/>
  <c r="L145" i="5"/>
  <c r="K145" i="5"/>
  <c r="J145" i="5"/>
  <c r="I145" i="5"/>
  <c r="H145" i="5"/>
  <c r="G145" i="5"/>
  <c r="F145" i="5"/>
  <c r="E145" i="5"/>
  <c r="AV144" i="5"/>
  <c r="AU144" i="5"/>
  <c r="AT144" i="5"/>
  <c r="AS144" i="5"/>
  <c r="AR144" i="5"/>
  <c r="AQ144" i="5"/>
  <c r="AP144" i="5"/>
  <c r="AO144" i="5"/>
  <c r="AN144" i="5"/>
  <c r="AM144" i="5"/>
  <c r="AL144" i="5"/>
  <c r="AK144" i="5"/>
  <c r="AJ144" i="5"/>
  <c r="AI144" i="5"/>
  <c r="AH144" i="5"/>
  <c r="AG144" i="5"/>
  <c r="AF144" i="5"/>
  <c r="AE144" i="5"/>
  <c r="AD144" i="5"/>
  <c r="AC144" i="5"/>
  <c r="AB144" i="5"/>
  <c r="AA144" i="5"/>
  <c r="Z144" i="5"/>
  <c r="Y144" i="5"/>
  <c r="X144" i="5"/>
  <c r="W144" i="5"/>
  <c r="V144" i="5"/>
  <c r="U144" i="5"/>
  <c r="T144" i="5"/>
  <c r="S144" i="5"/>
  <c r="R144" i="5"/>
  <c r="Q144" i="5"/>
  <c r="P144" i="5"/>
  <c r="O144" i="5"/>
  <c r="N144" i="5"/>
  <c r="M144" i="5"/>
  <c r="L144" i="5"/>
  <c r="K144" i="5"/>
  <c r="J144" i="5"/>
  <c r="I144" i="5"/>
  <c r="H144" i="5"/>
  <c r="G144" i="5"/>
  <c r="F144" i="5"/>
  <c r="E144" i="5"/>
  <c r="AV143" i="5"/>
  <c r="AU143" i="5"/>
  <c r="AT143" i="5"/>
  <c r="AS143" i="5"/>
  <c r="AR143" i="5"/>
  <c r="AQ143" i="5"/>
  <c r="AP143" i="5"/>
  <c r="AO143" i="5"/>
  <c r="AN143" i="5"/>
  <c r="AM143" i="5"/>
  <c r="AL143" i="5"/>
  <c r="AK143" i="5"/>
  <c r="AJ143" i="5"/>
  <c r="AI143" i="5"/>
  <c r="AH143" i="5"/>
  <c r="AG143" i="5"/>
  <c r="AF143" i="5"/>
  <c r="AE143" i="5"/>
  <c r="AD143" i="5"/>
  <c r="AC143" i="5"/>
  <c r="AB143" i="5"/>
  <c r="AA143" i="5"/>
  <c r="Z143" i="5"/>
  <c r="Y143" i="5"/>
  <c r="X143" i="5"/>
  <c r="W143" i="5"/>
  <c r="V143" i="5"/>
  <c r="U143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H143" i="5"/>
  <c r="G143" i="5"/>
  <c r="F143" i="5"/>
  <c r="E143" i="5"/>
  <c r="AV142" i="5"/>
  <c r="AU142" i="5"/>
  <c r="AT142" i="5"/>
  <c r="AS142" i="5"/>
  <c r="AR142" i="5"/>
  <c r="AQ142" i="5"/>
  <c r="AP142" i="5"/>
  <c r="AO142" i="5"/>
  <c r="AN142" i="5"/>
  <c r="AM142" i="5"/>
  <c r="AL142" i="5"/>
  <c r="AK142" i="5"/>
  <c r="AJ142" i="5"/>
  <c r="AI142" i="5"/>
  <c r="AH142" i="5"/>
  <c r="AG142" i="5"/>
  <c r="AF142" i="5"/>
  <c r="AE142" i="5"/>
  <c r="AD142" i="5"/>
  <c r="AC142" i="5"/>
  <c r="AB142" i="5"/>
  <c r="AA142" i="5"/>
  <c r="Z142" i="5"/>
  <c r="Y142" i="5"/>
  <c r="X142" i="5"/>
  <c r="W142" i="5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AV141" i="5"/>
  <c r="AU141" i="5"/>
  <c r="AT141" i="5"/>
  <c r="AS141" i="5"/>
  <c r="AR141" i="5"/>
  <c r="AQ141" i="5"/>
  <c r="AP141" i="5"/>
  <c r="AO141" i="5"/>
  <c r="AN141" i="5"/>
  <c r="AM141" i="5"/>
  <c r="AL141" i="5"/>
  <c r="AK141" i="5"/>
  <c r="AJ141" i="5"/>
  <c r="AI141" i="5"/>
  <c r="AH141" i="5"/>
  <c r="AG141" i="5"/>
  <c r="AF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AV140" i="5"/>
  <c r="AU140" i="5"/>
  <c r="AT140" i="5"/>
  <c r="AS140" i="5"/>
  <c r="AR140" i="5"/>
  <c r="AQ140" i="5"/>
  <c r="AP140" i="5"/>
  <c r="AO140" i="5"/>
  <c r="AN140" i="5"/>
  <c r="AM140" i="5"/>
  <c r="AL140" i="5"/>
  <c r="AK140" i="5"/>
  <c r="AJ140" i="5"/>
  <c r="AI140" i="5"/>
  <c r="AH140" i="5"/>
  <c r="AG140" i="5"/>
  <c r="AF140" i="5"/>
  <c r="AE140" i="5"/>
  <c r="AD140" i="5"/>
  <c r="AC140" i="5"/>
  <c r="AB140" i="5"/>
  <c r="AA140" i="5"/>
  <c r="Z140" i="5"/>
  <c r="Y140" i="5"/>
  <c r="X140" i="5"/>
  <c r="W140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AV139" i="5"/>
  <c r="AU139" i="5"/>
  <c r="AT139" i="5"/>
  <c r="AS139" i="5"/>
  <c r="AR139" i="5"/>
  <c r="AQ139" i="5"/>
  <c r="AP139" i="5"/>
  <c r="AO139" i="5"/>
  <c r="AN139" i="5"/>
  <c r="AM139" i="5"/>
  <c r="AL139" i="5"/>
  <c r="AK139" i="5"/>
  <c r="AJ139" i="5"/>
  <c r="AI139" i="5"/>
  <c r="AH139" i="5"/>
  <c r="AG139" i="5"/>
  <c r="AF139" i="5"/>
  <c r="AE139" i="5"/>
  <c r="AD139" i="5"/>
  <c r="AC139" i="5"/>
  <c r="AB139" i="5"/>
  <c r="AA139" i="5"/>
  <c r="Z139" i="5"/>
  <c r="Y139" i="5"/>
  <c r="X139" i="5"/>
  <c r="W139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AV138" i="5"/>
  <c r="AU138" i="5"/>
  <c r="AT138" i="5"/>
  <c r="AS138" i="5"/>
  <c r="AR138" i="5"/>
  <c r="AQ138" i="5"/>
  <c r="AP138" i="5"/>
  <c r="AO138" i="5"/>
  <c r="AN138" i="5"/>
  <c r="AM138" i="5"/>
  <c r="AL138" i="5"/>
  <c r="AK138" i="5"/>
  <c r="AJ138" i="5"/>
  <c r="AI138" i="5"/>
  <c r="AH138" i="5"/>
  <c r="AG138" i="5"/>
  <c r="AF138" i="5"/>
  <c r="AE138" i="5"/>
  <c r="AD138" i="5"/>
  <c r="AC138" i="5"/>
  <c r="AB138" i="5"/>
  <c r="AA138" i="5"/>
  <c r="Z138" i="5"/>
  <c r="Y138" i="5"/>
  <c r="X138" i="5"/>
  <c r="W138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AV137" i="5"/>
  <c r="AU137" i="5"/>
  <c r="AT137" i="5"/>
  <c r="AS137" i="5"/>
  <c r="AR137" i="5"/>
  <c r="AQ137" i="5"/>
  <c r="AP137" i="5"/>
  <c r="AO137" i="5"/>
  <c r="AN137" i="5"/>
  <c r="AM137" i="5"/>
  <c r="AL137" i="5"/>
  <c r="AK137" i="5"/>
  <c r="AJ137" i="5"/>
  <c r="AI137" i="5"/>
  <c r="AH137" i="5"/>
  <c r="AG137" i="5"/>
  <c r="AF137" i="5"/>
  <c r="AE137" i="5"/>
  <c r="AD137" i="5"/>
  <c r="AC137" i="5"/>
  <c r="AB137" i="5"/>
  <c r="AA137" i="5"/>
  <c r="Z137" i="5"/>
  <c r="Y137" i="5"/>
  <c r="X137" i="5"/>
  <c r="W137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AV136" i="5"/>
  <c r="AU136" i="5"/>
  <c r="AT136" i="5"/>
  <c r="AS136" i="5"/>
  <c r="AR136" i="5"/>
  <c r="AQ136" i="5"/>
  <c r="AP136" i="5"/>
  <c r="AO136" i="5"/>
  <c r="AN136" i="5"/>
  <c r="AM136" i="5"/>
  <c r="AL136" i="5"/>
  <c r="AK136" i="5"/>
  <c r="AJ136" i="5"/>
  <c r="AI136" i="5"/>
  <c r="AH136" i="5"/>
  <c r="AG136" i="5"/>
  <c r="AF136" i="5"/>
  <c r="AE136" i="5"/>
  <c r="AD136" i="5"/>
  <c r="AC136" i="5"/>
  <c r="AB136" i="5"/>
  <c r="AA136" i="5"/>
  <c r="Z136" i="5"/>
  <c r="Y136" i="5"/>
  <c r="X136" i="5"/>
  <c r="W136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AV135" i="5"/>
  <c r="AU135" i="5"/>
  <c r="AT135" i="5"/>
  <c r="AS135" i="5"/>
  <c r="AR135" i="5"/>
  <c r="AQ135" i="5"/>
  <c r="AP135" i="5"/>
  <c r="AO135" i="5"/>
  <c r="AN135" i="5"/>
  <c r="AM135" i="5"/>
  <c r="AL135" i="5"/>
  <c r="AK135" i="5"/>
  <c r="AJ135" i="5"/>
  <c r="AI135" i="5"/>
  <c r="AH135" i="5"/>
  <c r="AG135" i="5"/>
  <c r="AF135" i="5"/>
  <c r="AE135" i="5"/>
  <c r="AD135" i="5"/>
  <c r="AC135" i="5"/>
  <c r="AB135" i="5"/>
  <c r="AA135" i="5"/>
  <c r="Z135" i="5"/>
  <c r="Y135" i="5"/>
  <c r="X135" i="5"/>
  <c r="W135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AV134" i="5"/>
  <c r="AU134" i="5"/>
  <c r="AT134" i="5"/>
  <c r="AS134" i="5"/>
  <c r="AR134" i="5"/>
  <c r="AQ134" i="5"/>
  <c r="AP134" i="5"/>
  <c r="AO134" i="5"/>
  <c r="AN134" i="5"/>
  <c r="AM134" i="5"/>
  <c r="AL134" i="5"/>
  <c r="AK134" i="5"/>
  <c r="AJ134" i="5"/>
  <c r="AI134" i="5"/>
  <c r="AH134" i="5"/>
  <c r="AG134" i="5"/>
  <c r="AF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AV133" i="5"/>
  <c r="AU133" i="5"/>
  <c r="AT133" i="5"/>
  <c r="AS133" i="5"/>
  <c r="AR133" i="5"/>
  <c r="AQ133" i="5"/>
  <c r="AP133" i="5"/>
  <c r="AO133" i="5"/>
  <c r="AN133" i="5"/>
  <c r="AM133" i="5"/>
  <c r="AL133" i="5"/>
  <c r="AK133" i="5"/>
  <c r="AJ133" i="5"/>
  <c r="AI133" i="5"/>
  <c r="AH133" i="5"/>
  <c r="AG133" i="5"/>
  <c r="AF133" i="5"/>
  <c r="AE133" i="5"/>
  <c r="AD133" i="5"/>
  <c r="AC133" i="5"/>
  <c r="AB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AV132" i="5"/>
  <c r="AU132" i="5"/>
  <c r="AT132" i="5"/>
  <c r="AS132" i="5"/>
  <c r="AR132" i="5"/>
  <c r="AQ132" i="5"/>
  <c r="AP132" i="5"/>
  <c r="AO132" i="5"/>
  <c r="AN132" i="5"/>
  <c r="AM132" i="5"/>
  <c r="AL132" i="5"/>
  <c r="AK132" i="5"/>
  <c r="AJ132" i="5"/>
  <c r="AI132" i="5"/>
  <c r="AH132" i="5"/>
  <c r="AG132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AV131" i="5"/>
  <c r="AU131" i="5"/>
  <c r="AT131" i="5"/>
  <c r="AS131" i="5"/>
  <c r="AR131" i="5"/>
  <c r="AQ131" i="5"/>
  <c r="AP131" i="5"/>
  <c r="AO131" i="5"/>
  <c r="AN131" i="5"/>
  <c r="AM131" i="5"/>
  <c r="AL131" i="5"/>
  <c r="AK131" i="5"/>
  <c r="AJ131" i="5"/>
  <c r="AI131" i="5"/>
  <c r="AH131" i="5"/>
  <c r="AG131" i="5"/>
  <c r="AF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AV130" i="5"/>
  <c r="AU130" i="5"/>
  <c r="AT130" i="5"/>
  <c r="AS130" i="5"/>
  <c r="AR130" i="5"/>
  <c r="AQ130" i="5"/>
  <c r="AP130" i="5"/>
  <c r="AO130" i="5"/>
  <c r="AN130" i="5"/>
  <c r="AM130" i="5"/>
  <c r="AL130" i="5"/>
  <c r="AK130" i="5"/>
  <c r="AJ130" i="5"/>
  <c r="AI130" i="5"/>
  <c r="AH130" i="5"/>
  <c r="AG130" i="5"/>
  <c r="AF130" i="5"/>
  <c r="AE130" i="5"/>
  <c r="AD130" i="5"/>
  <c r="AC130" i="5"/>
  <c r="AB130" i="5"/>
  <c r="AA130" i="5"/>
  <c r="Z130" i="5"/>
  <c r="Y130" i="5"/>
  <c r="X130" i="5"/>
  <c r="W130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AV129" i="5"/>
  <c r="AU129" i="5"/>
  <c r="AT129" i="5"/>
  <c r="AS129" i="5"/>
  <c r="AR129" i="5"/>
  <c r="AQ129" i="5"/>
  <c r="AP129" i="5"/>
  <c r="AO129" i="5"/>
  <c r="AN129" i="5"/>
  <c r="AM129" i="5"/>
  <c r="AL129" i="5"/>
  <c r="AK129" i="5"/>
  <c r="AJ129" i="5"/>
  <c r="AI129" i="5"/>
  <c r="AH129" i="5"/>
  <c r="AG129" i="5"/>
  <c r="AF129" i="5"/>
  <c r="AE129" i="5"/>
  <c r="AD129" i="5"/>
  <c r="AC129" i="5"/>
  <c r="AB129" i="5"/>
  <c r="AA129" i="5"/>
  <c r="Z129" i="5"/>
  <c r="Y129" i="5"/>
  <c r="X129" i="5"/>
  <c r="W129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AV128" i="5"/>
  <c r="AU128" i="5"/>
  <c r="AT128" i="5"/>
  <c r="AS128" i="5"/>
  <c r="AR128" i="5"/>
  <c r="AQ128" i="5"/>
  <c r="AP128" i="5"/>
  <c r="AO128" i="5"/>
  <c r="AN128" i="5"/>
  <c r="AM128" i="5"/>
  <c r="AL128" i="5"/>
  <c r="AK128" i="5"/>
  <c r="AJ128" i="5"/>
  <c r="AI128" i="5"/>
  <c r="AH128" i="5"/>
  <c r="AG128" i="5"/>
  <c r="AF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AV127" i="5"/>
  <c r="AU127" i="5"/>
  <c r="AT127" i="5"/>
  <c r="AS127" i="5"/>
  <c r="AR127" i="5"/>
  <c r="AQ127" i="5"/>
  <c r="AP127" i="5"/>
  <c r="AO127" i="5"/>
  <c r="AN127" i="5"/>
  <c r="AM127" i="5"/>
  <c r="AL127" i="5"/>
  <c r="AK127" i="5"/>
  <c r="AJ127" i="5"/>
  <c r="AI127" i="5"/>
  <c r="AH127" i="5"/>
  <c r="AG127" i="5"/>
  <c r="AF127" i="5"/>
  <c r="AE127" i="5"/>
  <c r="AD127" i="5"/>
  <c r="AC127" i="5"/>
  <c r="AB127" i="5"/>
  <c r="AA127" i="5"/>
  <c r="Z127" i="5"/>
  <c r="Y127" i="5"/>
  <c r="X127" i="5"/>
  <c r="W127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AV126" i="5"/>
  <c r="AU126" i="5"/>
  <c r="AT126" i="5"/>
  <c r="AS126" i="5"/>
  <c r="AR126" i="5"/>
  <c r="AQ126" i="5"/>
  <c r="AP126" i="5"/>
  <c r="AO126" i="5"/>
  <c r="AN126" i="5"/>
  <c r="AM126" i="5"/>
  <c r="AL126" i="5"/>
  <c r="AK126" i="5"/>
  <c r="AJ126" i="5"/>
  <c r="AI126" i="5"/>
  <c r="AH126" i="5"/>
  <c r="AG126" i="5"/>
  <c r="AF126" i="5"/>
  <c r="AE126" i="5"/>
  <c r="AD126" i="5"/>
  <c r="AC126" i="5"/>
  <c r="AB126" i="5"/>
  <c r="AA126" i="5"/>
  <c r="Z126" i="5"/>
  <c r="Y126" i="5"/>
  <c r="X126" i="5"/>
  <c r="W126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AV125" i="5"/>
  <c r="AU125" i="5"/>
  <c r="AT125" i="5"/>
  <c r="AS125" i="5"/>
  <c r="AR125" i="5"/>
  <c r="AQ125" i="5"/>
  <c r="AP125" i="5"/>
  <c r="AO125" i="5"/>
  <c r="AN125" i="5"/>
  <c r="AM125" i="5"/>
  <c r="AL125" i="5"/>
  <c r="AK125" i="5"/>
  <c r="AJ125" i="5"/>
  <c r="AI125" i="5"/>
  <c r="AH125" i="5"/>
  <c r="AG125" i="5"/>
  <c r="AF125" i="5"/>
  <c r="AE125" i="5"/>
  <c r="AD125" i="5"/>
  <c r="AC125" i="5"/>
  <c r="AB125" i="5"/>
  <c r="AA125" i="5"/>
  <c r="Z125" i="5"/>
  <c r="Y125" i="5"/>
  <c r="X125" i="5"/>
  <c r="W125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AV124" i="5"/>
  <c r="AU124" i="5"/>
  <c r="AT124" i="5"/>
  <c r="AS124" i="5"/>
  <c r="AR124" i="5"/>
  <c r="AQ124" i="5"/>
  <c r="AP124" i="5"/>
  <c r="AO124" i="5"/>
  <c r="AN124" i="5"/>
  <c r="AM124" i="5"/>
  <c r="AL124" i="5"/>
  <c r="AK124" i="5"/>
  <c r="AJ124" i="5"/>
  <c r="AI124" i="5"/>
  <c r="AH124" i="5"/>
  <c r="AG124" i="5"/>
  <c r="AF124" i="5"/>
  <c r="AE124" i="5"/>
  <c r="AD124" i="5"/>
  <c r="AC124" i="5"/>
  <c r="AB124" i="5"/>
  <c r="AA124" i="5"/>
  <c r="Z124" i="5"/>
  <c r="Y124" i="5"/>
  <c r="X124" i="5"/>
  <c r="W124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AV123" i="5"/>
  <c r="AU123" i="5"/>
  <c r="AT123" i="5"/>
  <c r="AS123" i="5"/>
  <c r="AR123" i="5"/>
  <c r="AQ123" i="5"/>
  <c r="AP123" i="5"/>
  <c r="AO123" i="5"/>
  <c r="AN123" i="5"/>
  <c r="AM123" i="5"/>
  <c r="AL123" i="5"/>
  <c r="AK123" i="5"/>
  <c r="AJ123" i="5"/>
  <c r="AI123" i="5"/>
  <c r="AH123" i="5"/>
  <c r="AG123" i="5"/>
  <c r="AF123" i="5"/>
  <c r="AE123" i="5"/>
  <c r="AD123" i="5"/>
  <c r="AC123" i="5"/>
  <c r="AB123" i="5"/>
  <c r="AA123" i="5"/>
  <c r="Z123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AV122" i="5"/>
  <c r="AU122" i="5"/>
  <c r="AT122" i="5"/>
  <c r="AS122" i="5"/>
  <c r="AR122" i="5"/>
  <c r="AQ122" i="5"/>
  <c r="AP122" i="5"/>
  <c r="AO122" i="5"/>
  <c r="AN122" i="5"/>
  <c r="AM122" i="5"/>
  <c r="AL122" i="5"/>
  <c r="AK122" i="5"/>
  <c r="AJ122" i="5"/>
  <c r="AI122" i="5"/>
  <c r="AH122" i="5"/>
  <c r="AG122" i="5"/>
  <c r="AF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AV121" i="5"/>
  <c r="AU121" i="5"/>
  <c r="AT121" i="5"/>
  <c r="AS121" i="5"/>
  <c r="AR121" i="5"/>
  <c r="AQ121" i="5"/>
  <c r="AP121" i="5"/>
  <c r="AO121" i="5"/>
  <c r="AN121" i="5"/>
  <c r="AM121" i="5"/>
  <c r="AL121" i="5"/>
  <c r="AK121" i="5"/>
  <c r="AJ121" i="5"/>
  <c r="AI121" i="5"/>
  <c r="AH121" i="5"/>
  <c r="AG121" i="5"/>
  <c r="AF121" i="5"/>
  <c r="AE121" i="5"/>
  <c r="AD121" i="5"/>
  <c r="AC121" i="5"/>
  <c r="AB121" i="5"/>
  <c r="AA121" i="5"/>
  <c r="Z121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H121" i="5"/>
  <c r="G121" i="5"/>
  <c r="F121" i="5"/>
  <c r="E121" i="5"/>
  <c r="AV120" i="5"/>
  <c r="AU120" i="5"/>
  <c r="AT120" i="5"/>
  <c r="AS120" i="5"/>
  <c r="AR120" i="5"/>
  <c r="AQ120" i="5"/>
  <c r="AP120" i="5"/>
  <c r="AO120" i="5"/>
  <c r="AN120" i="5"/>
  <c r="AM120" i="5"/>
  <c r="AL120" i="5"/>
  <c r="AK120" i="5"/>
  <c r="AJ120" i="5"/>
  <c r="AI120" i="5"/>
  <c r="AH120" i="5"/>
  <c r="AG120" i="5"/>
  <c r="AF120" i="5"/>
  <c r="AE120" i="5"/>
  <c r="AD120" i="5"/>
  <c r="AC120" i="5"/>
  <c r="AB120" i="5"/>
  <c r="AA120" i="5"/>
  <c r="Z120" i="5"/>
  <c r="Y120" i="5"/>
  <c r="X120" i="5"/>
  <c r="W120" i="5"/>
  <c r="V120" i="5"/>
  <c r="U120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H120" i="5"/>
  <c r="G120" i="5"/>
  <c r="F120" i="5"/>
  <c r="E120" i="5"/>
  <c r="AV119" i="5"/>
  <c r="AU119" i="5"/>
  <c r="AT119" i="5"/>
  <c r="AS119" i="5"/>
  <c r="AR119" i="5"/>
  <c r="AQ119" i="5"/>
  <c r="AP119" i="5"/>
  <c r="AO119" i="5"/>
  <c r="AN119" i="5"/>
  <c r="AM119" i="5"/>
  <c r="AL119" i="5"/>
  <c r="AK119" i="5"/>
  <c r="AJ119" i="5"/>
  <c r="AI119" i="5"/>
  <c r="AH119" i="5"/>
  <c r="AG119" i="5"/>
  <c r="AF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AV117" i="5"/>
  <c r="AU117" i="5"/>
  <c r="AT117" i="5"/>
  <c r="AS117" i="5"/>
  <c r="AR117" i="5"/>
  <c r="AQ117" i="5"/>
  <c r="AP117" i="5"/>
  <c r="AO117" i="5"/>
  <c r="AN117" i="5"/>
  <c r="AM117" i="5"/>
  <c r="AL117" i="5"/>
  <c r="AK117" i="5"/>
  <c r="AJ117" i="5"/>
  <c r="AI117" i="5"/>
  <c r="AH117" i="5"/>
  <c r="AG117" i="5"/>
  <c r="AF117" i="5"/>
  <c r="AE117" i="5"/>
  <c r="AD117" i="5"/>
  <c r="AC117" i="5"/>
  <c r="AB117" i="5"/>
  <c r="AA117" i="5"/>
  <c r="Z117" i="5"/>
  <c r="Y117" i="5"/>
  <c r="X117" i="5"/>
  <c r="W117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AV116" i="5"/>
  <c r="AU116" i="5"/>
  <c r="AT116" i="5"/>
  <c r="AS116" i="5"/>
  <c r="AR116" i="5"/>
  <c r="AQ116" i="5"/>
  <c r="AP116" i="5"/>
  <c r="AO116" i="5"/>
  <c r="AN116" i="5"/>
  <c r="AM116" i="5"/>
  <c r="AL116" i="5"/>
  <c r="AK116" i="5"/>
  <c r="AJ116" i="5"/>
  <c r="AI116" i="5"/>
  <c r="AH116" i="5"/>
  <c r="AG116" i="5"/>
  <c r="AF116" i="5"/>
  <c r="AE116" i="5"/>
  <c r="AD116" i="5"/>
  <c r="AC116" i="5"/>
  <c r="AB116" i="5"/>
  <c r="AA116" i="5"/>
  <c r="Z116" i="5"/>
  <c r="Y116" i="5"/>
  <c r="X116" i="5"/>
  <c r="W116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AV114" i="5"/>
  <c r="AU114" i="5"/>
  <c r="AT114" i="5"/>
  <c r="AS114" i="5"/>
  <c r="AR114" i="5"/>
  <c r="AQ114" i="5"/>
  <c r="AP114" i="5"/>
  <c r="AO114" i="5"/>
  <c r="AN114" i="5"/>
  <c r="AM114" i="5"/>
  <c r="AL114" i="5"/>
  <c r="AK114" i="5"/>
  <c r="AJ114" i="5"/>
  <c r="AI114" i="5"/>
  <c r="AH114" i="5"/>
  <c r="AG114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AV113" i="5"/>
  <c r="AU113" i="5"/>
  <c r="AT113" i="5"/>
  <c r="AS113" i="5"/>
  <c r="AR113" i="5"/>
  <c r="AQ113" i="5"/>
  <c r="AP113" i="5"/>
  <c r="AO113" i="5"/>
  <c r="AN113" i="5"/>
  <c r="AM113" i="5"/>
  <c r="AL113" i="5"/>
  <c r="AK113" i="5"/>
  <c r="AJ113" i="5"/>
  <c r="AI113" i="5"/>
  <c r="AH113" i="5"/>
  <c r="AG113" i="5"/>
  <c r="AF113" i="5"/>
  <c r="AE113" i="5"/>
  <c r="AD113" i="5"/>
  <c r="AC113" i="5"/>
  <c r="AB113" i="5"/>
  <c r="AA113" i="5"/>
  <c r="Z113" i="5"/>
  <c r="Y113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AV112" i="5"/>
  <c r="AU112" i="5"/>
  <c r="AT112" i="5"/>
  <c r="AS112" i="5"/>
  <c r="AR112" i="5"/>
  <c r="AQ112" i="5"/>
  <c r="AP112" i="5"/>
  <c r="AO112" i="5"/>
  <c r="AN112" i="5"/>
  <c r="AM112" i="5"/>
  <c r="AL112" i="5"/>
  <c r="AK112" i="5"/>
  <c r="AJ112" i="5"/>
  <c r="AI112" i="5"/>
  <c r="AH112" i="5"/>
  <c r="AG112" i="5"/>
  <c r="AF112" i="5"/>
  <c r="AE112" i="5"/>
  <c r="AD112" i="5"/>
  <c r="AC112" i="5"/>
  <c r="AB112" i="5"/>
  <c r="AA112" i="5"/>
  <c r="Z112" i="5"/>
  <c r="Y112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AV111" i="5"/>
  <c r="AU111" i="5"/>
  <c r="AT111" i="5"/>
  <c r="AS111" i="5"/>
  <c r="AR111" i="5"/>
  <c r="AQ111" i="5"/>
  <c r="AP111" i="5"/>
  <c r="AO111" i="5"/>
  <c r="AN111" i="5"/>
  <c r="AM111" i="5"/>
  <c r="AL111" i="5"/>
  <c r="AK111" i="5"/>
  <c r="AJ111" i="5"/>
  <c r="AI111" i="5"/>
  <c r="AH111" i="5"/>
  <c r="AG111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AV110" i="5"/>
  <c r="AU110" i="5"/>
  <c r="AT110" i="5"/>
  <c r="AS110" i="5"/>
  <c r="AR110" i="5"/>
  <c r="AQ110" i="5"/>
  <c r="AP110" i="5"/>
  <c r="AO110" i="5"/>
  <c r="AN110" i="5"/>
  <c r="AM110" i="5"/>
  <c r="AL110" i="5"/>
  <c r="AK110" i="5"/>
  <c r="AJ110" i="5"/>
  <c r="AI110" i="5"/>
  <c r="AH110" i="5"/>
  <c r="AG110" i="5"/>
  <c r="AF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AV109" i="5"/>
  <c r="AU109" i="5"/>
  <c r="AT109" i="5"/>
  <c r="AS109" i="5"/>
  <c r="AR109" i="5"/>
  <c r="AQ109" i="5"/>
  <c r="AP109" i="5"/>
  <c r="AO109" i="5"/>
  <c r="AN109" i="5"/>
  <c r="AM109" i="5"/>
  <c r="AL109" i="5"/>
  <c r="AK109" i="5"/>
  <c r="AJ109" i="5"/>
  <c r="AI109" i="5"/>
  <c r="AH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AV108" i="5"/>
  <c r="AU108" i="5"/>
  <c r="AT108" i="5"/>
  <c r="AS108" i="5"/>
  <c r="AR108" i="5"/>
  <c r="AQ108" i="5"/>
  <c r="AP108" i="5"/>
  <c r="AO108" i="5"/>
  <c r="AN108" i="5"/>
  <c r="AM108" i="5"/>
  <c r="AL108" i="5"/>
  <c r="AK108" i="5"/>
  <c r="AJ108" i="5"/>
  <c r="AI108" i="5"/>
  <c r="AH108" i="5"/>
  <c r="AG108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AV107" i="5"/>
  <c r="AU107" i="5"/>
  <c r="AT107" i="5"/>
  <c r="AS107" i="5"/>
  <c r="AR107" i="5"/>
  <c r="AQ107" i="5"/>
  <c r="AP107" i="5"/>
  <c r="AO107" i="5"/>
  <c r="AN107" i="5"/>
  <c r="AM107" i="5"/>
  <c r="AL107" i="5"/>
  <c r="AK107" i="5"/>
  <c r="AJ107" i="5"/>
  <c r="AI107" i="5"/>
  <c r="AH107" i="5"/>
  <c r="AG107" i="5"/>
  <c r="AF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AV106" i="5"/>
  <c r="AU106" i="5"/>
  <c r="AT106" i="5"/>
  <c r="AS106" i="5"/>
  <c r="AR106" i="5"/>
  <c r="AQ106" i="5"/>
  <c r="AP106" i="5"/>
  <c r="AO106" i="5"/>
  <c r="AN106" i="5"/>
  <c r="AM106" i="5"/>
  <c r="AL106" i="5"/>
  <c r="AK106" i="5"/>
  <c r="AJ106" i="5"/>
  <c r="AI106" i="5"/>
  <c r="AH106" i="5"/>
  <c r="AG106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AV105" i="5"/>
  <c r="AU105" i="5"/>
  <c r="AT105" i="5"/>
  <c r="AS105" i="5"/>
  <c r="AR105" i="5"/>
  <c r="AQ105" i="5"/>
  <c r="AP105" i="5"/>
  <c r="AO105" i="5"/>
  <c r="AN105" i="5"/>
  <c r="AM105" i="5"/>
  <c r="AL105" i="5"/>
  <c r="AK105" i="5"/>
  <c r="AJ105" i="5"/>
  <c r="AI105" i="5"/>
  <c r="AH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H101" i="5"/>
  <c r="AG101" i="5"/>
  <c r="AF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414" i="5"/>
  <c r="C414" i="5"/>
  <c r="B414" i="5"/>
  <c r="A414" i="5"/>
  <c r="D413" i="5"/>
  <c r="C413" i="5"/>
  <c r="B413" i="5"/>
  <c r="A413" i="5"/>
  <c r="D412" i="5"/>
  <c r="C412" i="5"/>
  <c r="B412" i="5"/>
  <c r="A412" i="5"/>
  <c r="D411" i="5"/>
  <c r="C411" i="5"/>
  <c r="B411" i="5"/>
  <c r="A411" i="5"/>
  <c r="D410" i="5"/>
  <c r="C410" i="5"/>
  <c r="B410" i="5"/>
  <c r="A410" i="5"/>
  <c r="D409" i="5"/>
  <c r="C409" i="5"/>
  <c r="B409" i="5"/>
  <c r="A409" i="5"/>
  <c r="D408" i="5"/>
  <c r="C408" i="5"/>
  <c r="B408" i="5"/>
  <c r="A408" i="5"/>
  <c r="D407" i="5"/>
  <c r="C407" i="5"/>
  <c r="B407" i="5"/>
  <c r="A407" i="5"/>
  <c r="D406" i="5"/>
  <c r="C406" i="5"/>
  <c r="B406" i="5"/>
  <c r="A406" i="5"/>
  <c r="D405" i="5"/>
  <c r="C405" i="5"/>
  <c r="B405" i="5"/>
  <c r="A405" i="5"/>
  <c r="D404" i="5"/>
  <c r="C404" i="5"/>
  <c r="B404" i="5"/>
  <c r="A404" i="5"/>
  <c r="D403" i="5"/>
  <c r="C403" i="5"/>
  <c r="B403" i="5"/>
  <c r="A403" i="5"/>
  <c r="D402" i="5"/>
  <c r="C402" i="5"/>
  <c r="B402" i="5"/>
  <c r="A402" i="5"/>
  <c r="D401" i="5"/>
  <c r="C401" i="5"/>
  <c r="B401" i="5"/>
  <c r="A401" i="5"/>
  <c r="D400" i="5"/>
  <c r="C400" i="5"/>
  <c r="B400" i="5"/>
  <c r="A400" i="5"/>
  <c r="D399" i="5"/>
  <c r="C399" i="5"/>
  <c r="B399" i="5"/>
  <c r="A399" i="5"/>
  <c r="D398" i="5"/>
  <c r="C398" i="5"/>
  <c r="B398" i="5"/>
  <c r="A398" i="5"/>
  <c r="D397" i="5"/>
  <c r="C397" i="5"/>
  <c r="B397" i="5"/>
  <c r="A397" i="5"/>
  <c r="D396" i="5"/>
  <c r="C396" i="5"/>
  <c r="B396" i="5"/>
  <c r="A396" i="5"/>
  <c r="D395" i="5"/>
  <c r="C395" i="5"/>
  <c r="B395" i="5"/>
  <c r="A395" i="5"/>
  <c r="D394" i="5"/>
  <c r="C394" i="5"/>
  <c r="B394" i="5"/>
  <c r="A394" i="5"/>
  <c r="D393" i="5"/>
  <c r="C393" i="5"/>
  <c r="B393" i="5"/>
  <c r="A393" i="5"/>
  <c r="D392" i="5"/>
  <c r="C392" i="5"/>
  <c r="B392" i="5"/>
  <c r="A392" i="5"/>
  <c r="D391" i="5"/>
  <c r="C391" i="5"/>
  <c r="B391" i="5"/>
  <c r="A391" i="5"/>
  <c r="D390" i="5"/>
  <c r="C390" i="5"/>
  <c r="B390" i="5"/>
  <c r="A390" i="5"/>
  <c r="D389" i="5"/>
  <c r="C389" i="5"/>
  <c r="B389" i="5"/>
  <c r="A389" i="5"/>
  <c r="D388" i="5"/>
  <c r="C388" i="5"/>
  <c r="B388" i="5"/>
  <c r="A388" i="5"/>
  <c r="D387" i="5"/>
  <c r="C387" i="5"/>
  <c r="B387" i="5"/>
  <c r="A387" i="5"/>
  <c r="D386" i="5"/>
  <c r="C386" i="5"/>
  <c r="B386" i="5"/>
  <c r="A386" i="5"/>
  <c r="D385" i="5"/>
  <c r="C385" i="5"/>
  <c r="B385" i="5"/>
  <c r="A385" i="5"/>
  <c r="D384" i="5"/>
  <c r="C384" i="5"/>
  <c r="B384" i="5"/>
  <c r="A384" i="5"/>
  <c r="D383" i="5"/>
  <c r="C383" i="5"/>
  <c r="B383" i="5"/>
  <c r="A383" i="5"/>
  <c r="D382" i="5"/>
  <c r="C382" i="5"/>
  <c r="B382" i="5"/>
  <c r="A382" i="5"/>
  <c r="D381" i="5"/>
  <c r="C381" i="5"/>
  <c r="B381" i="5"/>
  <c r="A381" i="5"/>
  <c r="D380" i="5"/>
  <c r="C380" i="5"/>
  <c r="B380" i="5"/>
  <c r="A380" i="5"/>
  <c r="D379" i="5"/>
  <c r="C379" i="5"/>
  <c r="B379" i="5"/>
  <c r="A379" i="5"/>
  <c r="D378" i="5"/>
  <c r="C378" i="5"/>
  <c r="B378" i="5"/>
  <c r="A378" i="5"/>
  <c r="D377" i="5"/>
  <c r="C377" i="5"/>
  <c r="B377" i="5"/>
  <c r="A377" i="5"/>
  <c r="D376" i="5"/>
  <c r="C376" i="5"/>
  <c r="B376" i="5"/>
  <c r="A376" i="5"/>
  <c r="D375" i="5"/>
  <c r="C375" i="5"/>
  <c r="B375" i="5"/>
  <c r="A375" i="5"/>
  <c r="D374" i="5"/>
  <c r="C374" i="5"/>
  <c r="B374" i="5"/>
  <c r="A374" i="5"/>
  <c r="D373" i="5"/>
  <c r="C373" i="5"/>
  <c r="B373" i="5"/>
  <c r="A373" i="5"/>
  <c r="D372" i="5"/>
  <c r="C372" i="5"/>
  <c r="B372" i="5"/>
  <c r="A372" i="5"/>
  <c r="D371" i="5"/>
  <c r="C371" i="5"/>
  <c r="B371" i="5"/>
  <c r="A371" i="5"/>
  <c r="D370" i="5"/>
  <c r="C370" i="5"/>
  <c r="B370" i="5"/>
  <c r="A370" i="5"/>
  <c r="D369" i="5"/>
  <c r="C369" i="5"/>
  <c r="B369" i="5"/>
  <c r="A369" i="5"/>
  <c r="D368" i="5"/>
  <c r="C368" i="5"/>
  <c r="B368" i="5"/>
  <c r="A368" i="5"/>
  <c r="D367" i="5"/>
  <c r="C367" i="5"/>
  <c r="B367" i="5"/>
  <c r="A367" i="5"/>
  <c r="D366" i="5"/>
  <c r="C366" i="5"/>
  <c r="B366" i="5"/>
  <c r="A366" i="5"/>
  <c r="D365" i="5"/>
  <c r="C365" i="5"/>
  <c r="B365" i="5"/>
  <c r="A365" i="5"/>
  <c r="D364" i="5"/>
  <c r="C364" i="5"/>
  <c r="B364" i="5"/>
  <c r="A364" i="5"/>
  <c r="D363" i="5"/>
  <c r="C363" i="5"/>
  <c r="B363" i="5"/>
  <c r="A363" i="5"/>
  <c r="D362" i="5"/>
  <c r="C362" i="5"/>
  <c r="B362" i="5"/>
  <c r="A362" i="5"/>
  <c r="D361" i="5"/>
  <c r="C361" i="5"/>
  <c r="B361" i="5"/>
  <c r="A361" i="5"/>
  <c r="D360" i="5"/>
  <c r="C360" i="5"/>
  <c r="B360" i="5"/>
  <c r="A360" i="5"/>
  <c r="D359" i="5"/>
  <c r="C359" i="5"/>
  <c r="B359" i="5"/>
  <c r="A359" i="5"/>
  <c r="D358" i="5"/>
  <c r="C358" i="5"/>
  <c r="B358" i="5"/>
  <c r="A358" i="5"/>
  <c r="D357" i="5"/>
  <c r="C357" i="5"/>
  <c r="B357" i="5"/>
  <c r="A357" i="5"/>
  <c r="D356" i="5"/>
  <c r="C356" i="5"/>
  <c r="B356" i="5"/>
  <c r="A356" i="5"/>
  <c r="D355" i="5"/>
  <c r="C355" i="5"/>
  <c r="B355" i="5"/>
  <c r="A355" i="5"/>
  <c r="D354" i="5"/>
  <c r="C354" i="5"/>
  <c r="B354" i="5"/>
  <c r="A354" i="5"/>
  <c r="D353" i="5"/>
  <c r="C353" i="5"/>
  <c r="B353" i="5"/>
  <c r="A353" i="5"/>
  <c r="D352" i="5"/>
  <c r="C352" i="5"/>
  <c r="B352" i="5"/>
  <c r="A352" i="5"/>
  <c r="D351" i="5"/>
  <c r="C351" i="5"/>
  <c r="B351" i="5"/>
  <c r="A351" i="5"/>
  <c r="D350" i="5"/>
  <c r="C350" i="5"/>
  <c r="B350" i="5"/>
  <c r="A350" i="5"/>
  <c r="D349" i="5"/>
  <c r="C349" i="5"/>
  <c r="B349" i="5"/>
  <c r="A349" i="5"/>
  <c r="D348" i="5"/>
  <c r="C348" i="5"/>
  <c r="B348" i="5"/>
  <c r="A348" i="5"/>
  <c r="D347" i="5"/>
  <c r="C347" i="5"/>
  <c r="B347" i="5"/>
  <c r="A347" i="5"/>
  <c r="D346" i="5"/>
  <c r="C346" i="5"/>
  <c r="B346" i="5"/>
  <c r="A346" i="5"/>
  <c r="D345" i="5"/>
  <c r="C345" i="5"/>
  <c r="B345" i="5"/>
  <c r="A345" i="5"/>
  <c r="D344" i="5"/>
  <c r="C344" i="5"/>
  <c r="B344" i="5"/>
  <c r="A344" i="5"/>
  <c r="D343" i="5"/>
  <c r="C343" i="5"/>
  <c r="B343" i="5"/>
  <c r="A343" i="5"/>
  <c r="D342" i="5"/>
  <c r="C342" i="5"/>
  <c r="B342" i="5"/>
  <c r="A342" i="5"/>
  <c r="D341" i="5"/>
  <c r="C341" i="5"/>
  <c r="B341" i="5"/>
  <c r="A341" i="5"/>
  <c r="D340" i="5"/>
  <c r="C340" i="5"/>
  <c r="B340" i="5"/>
  <c r="A340" i="5"/>
  <c r="D339" i="5"/>
  <c r="C339" i="5"/>
  <c r="B339" i="5"/>
  <c r="A339" i="5"/>
  <c r="D338" i="5"/>
  <c r="C338" i="5"/>
  <c r="B338" i="5"/>
  <c r="A338" i="5"/>
  <c r="D337" i="5"/>
  <c r="C337" i="5"/>
  <c r="B337" i="5"/>
  <c r="A337" i="5"/>
  <c r="D336" i="5"/>
  <c r="C336" i="5"/>
  <c r="B336" i="5"/>
  <c r="A336" i="5"/>
  <c r="D335" i="5"/>
  <c r="C335" i="5"/>
  <c r="B335" i="5"/>
  <c r="A335" i="5"/>
  <c r="D334" i="5"/>
  <c r="C334" i="5"/>
  <c r="B334" i="5"/>
  <c r="A334" i="5"/>
  <c r="D333" i="5"/>
  <c r="C333" i="5"/>
  <c r="B333" i="5"/>
  <c r="A333" i="5"/>
  <c r="D332" i="5"/>
  <c r="C332" i="5"/>
  <c r="B332" i="5"/>
  <c r="A332" i="5"/>
  <c r="D331" i="5"/>
  <c r="C331" i="5"/>
  <c r="B331" i="5"/>
  <c r="A331" i="5"/>
  <c r="D330" i="5"/>
  <c r="C330" i="5"/>
  <c r="B330" i="5"/>
  <c r="A330" i="5"/>
  <c r="D329" i="5"/>
  <c r="C329" i="5"/>
  <c r="B329" i="5"/>
  <c r="A329" i="5"/>
  <c r="D328" i="5"/>
  <c r="C328" i="5"/>
  <c r="B328" i="5"/>
  <c r="A328" i="5"/>
  <c r="D327" i="5"/>
  <c r="C327" i="5"/>
  <c r="B327" i="5"/>
  <c r="A327" i="5"/>
  <c r="D326" i="5"/>
  <c r="C326" i="5"/>
  <c r="B326" i="5"/>
  <c r="A326" i="5"/>
  <c r="D325" i="5"/>
  <c r="C325" i="5"/>
  <c r="B325" i="5"/>
  <c r="A325" i="5"/>
  <c r="D324" i="5"/>
  <c r="C324" i="5"/>
  <c r="B324" i="5"/>
  <c r="A324" i="5"/>
  <c r="D323" i="5"/>
  <c r="C323" i="5"/>
  <c r="B323" i="5"/>
  <c r="A323" i="5"/>
  <c r="D322" i="5"/>
  <c r="C322" i="5"/>
  <c r="B322" i="5"/>
  <c r="A322" i="5"/>
  <c r="D321" i="5"/>
  <c r="C321" i="5"/>
  <c r="B321" i="5"/>
  <c r="A321" i="5"/>
  <c r="D320" i="5"/>
  <c r="C320" i="5"/>
  <c r="B320" i="5"/>
  <c r="A320" i="5"/>
  <c r="D319" i="5"/>
  <c r="C319" i="5"/>
  <c r="B319" i="5"/>
  <c r="A319" i="5"/>
  <c r="D318" i="5"/>
  <c r="C318" i="5"/>
  <c r="B318" i="5"/>
  <c r="A318" i="5"/>
  <c r="D317" i="5"/>
  <c r="C317" i="5"/>
  <c r="B317" i="5"/>
  <c r="A317" i="5"/>
  <c r="D316" i="5"/>
  <c r="C316" i="5"/>
  <c r="B316" i="5"/>
  <c r="A316" i="5"/>
  <c r="D315" i="5"/>
  <c r="C315" i="5"/>
  <c r="B315" i="5"/>
  <c r="A315" i="5"/>
  <c r="D314" i="5"/>
  <c r="C314" i="5"/>
  <c r="B314" i="5"/>
  <c r="A314" i="5"/>
  <c r="D313" i="5"/>
  <c r="C313" i="5"/>
  <c r="B313" i="5"/>
  <c r="A313" i="5"/>
  <c r="D312" i="5"/>
  <c r="C312" i="5"/>
  <c r="B312" i="5"/>
  <c r="A312" i="5"/>
  <c r="D311" i="5"/>
  <c r="C311" i="5"/>
  <c r="B311" i="5"/>
  <c r="A311" i="5"/>
  <c r="D310" i="5"/>
  <c r="C310" i="5"/>
  <c r="B310" i="5"/>
  <c r="A310" i="5"/>
  <c r="D309" i="5"/>
  <c r="C309" i="5"/>
  <c r="B309" i="5"/>
  <c r="A309" i="5"/>
  <c r="D308" i="5"/>
  <c r="C308" i="5"/>
  <c r="B308" i="5"/>
  <c r="A308" i="5"/>
  <c r="D307" i="5"/>
  <c r="C307" i="5"/>
  <c r="B307" i="5"/>
  <c r="A307" i="5"/>
  <c r="D306" i="5"/>
  <c r="C306" i="5"/>
  <c r="B306" i="5"/>
  <c r="A306" i="5"/>
  <c r="D305" i="5"/>
  <c r="C305" i="5"/>
  <c r="B305" i="5"/>
  <c r="A305" i="5"/>
  <c r="D304" i="5"/>
  <c r="C304" i="5"/>
  <c r="B304" i="5"/>
  <c r="A304" i="5"/>
  <c r="D303" i="5"/>
  <c r="C303" i="5"/>
  <c r="B303" i="5"/>
  <c r="A303" i="5"/>
  <c r="D302" i="5"/>
  <c r="C302" i="5"/>
  <c r="B302" i="5"/>
  <c r="A302" i="5"/>
  <c r="D301" i="5"/>
  <c r="C301" i="5"/>
  <c r="B301" i="5"/>
  <c r="A301" i="5"/>
  <c r="D300" i="5"/>
  <c r="C300" i="5"/>
  <c r="B300" i="5"/>
  <c r="A300" i="5"/>
  <c r="D299" i="5"/>
  <c r="C299" i="5"/>
  <c r="B299" i="5"/>
  <c r="A299" i="5"/>
  <c r="D298" i="5"/>
  <c r="C298" i="5"/>
  <c r="B298" i="5"/>
  <c r="A298" i="5"/>
  <c r="D297" i="5"/>
  <c r="C297" i="5"/>
  <c r="B297" i="5"/>
  <c r="A297" i="5"/>
  <c r="D296" i="5"/>
  <c r="C296" i="5"/>
  <c r="B296" i="5"/>
  <c r="A296" i="5"/>
  <c r="D295" i="5"/>
  <c r="C295" i="5"/>
  <c r="B295" i="5"/>
  <c r="A295" i="5"/>
  <c r="D294" i="5"/>
  <c r="C294" i="5"/>
  <c r="B294" i="5"/>
  <c r="A294" i="5"/>
  <c r="D293" i="5"/>
  <c r="C293" i="5"/>
  <c r="B293" i="5"/>
  <c r="A293" i="5"/>
  <c r="D292" i="5"/>
  <c r="C292" i="5"/>
  <c r="B292" i="5"/>
  <c r="A292" i="5"/>
  <c r="D291" i="5"/>
  <c r="C291" i="5"/>
  <c r="B291" i="5"/>
  <c r="A291" i="5"/>
  <c r="D290" i="5"/>
  <c r="C290" i="5"/>
  <c r="B290" i="5"/>
  <c r="A290" i="5"/>
  <c r="D289" i="5"/>
  <c r="C289" i="5"/>
  <c r="B289" i="5"/>
  <c r="A289" i="5"/>
  <c r="D288" i="5"/>
  <c r="C288" i="5"/>
  <c r="B288" i="5"/>
  <c r="A288" i="5"/>
  <c r="D287" i="5"/>
  <c r="C287" i="5"/>
  <c r="B287" i="5"/>
  <c r="A287" i="5"/>
  <c r="D286" i="5"/>
  <c r="C286" i="5"/>
  <c r="B286" i="5"/>
  <c r="A286" i="5"/>
  <c r="D285" i="5"/>
  <c r="C285" i="5"/>
  <c r="B285" i="5"/>
  <c r="A285" i="5"/>
  <c r="D284" i="5"/>
  <c r="C284" i="5"/>
  <c r="B284" i="5"/>
  <c r="A284" i="5"/>
  <c r="D283" i="5"/>
  <c r="C283" i="5"/>
  <c r="B283" i="5"/>
  <c r="A283" i="5"/>
  <c r="D282" i="5"/>
  <c r="C282" i="5"/>
  <c r="B282" i="5"/>
  <c r="A282" i="5"/>
  <c r="D281" i="5"/>
  <c r="C281" i="5"/>
  <c r="B281" i="5"/>
  <c r="A281" i="5"/>
  <c r="D280" i="5"/>
  <c r="C280" i="5"/>
  <c r="B280" i="5"/>
  <c r="A280" i="5"/>
  <c r="D279" i="5"/>
  <c r="C279" i="5"/>
  <c r="B279" i="5"/>
  <c r="A279" i="5"/>
  <c r="D278" i="5"/>
  <c r="C278" i="5"/>
  <c r="B278" i="5"/>
  <c r="A278" i="5"/>
  <c r="D277" i="5"/>
  <c r="C277" i="5"/>
  <c r="B277" i="5"/>
  <c r="A277" i="5"/>
  <c r="D276" i="5"/>
  <c r="C276" i="5"/>
  <c r="B276" i="5"/>
  <c r="A276" i="5"/>
  <c r="D275" i="5"/>
  <c r="C275" i="5"/>
  <c r="B275" i="5"/>
  <c r="A275" i="5"/>
  <c r="D274" i="5"/>
  <c r="C274" i="5"/>
  <c r="B274" i="5"/>
  <c r="A274" i="5"/>
  <c r="D273" i="5"/>
  <c r="C273" i="5"/>
  <c r="B273" i="5"/>
  <c r="A273" i="5"/>
  <c r="D272" i="5"/>
  <c r="C272" i="5"/>
  <c r="B272" i="5"/>
  <c r="A272" i="5"/>
  <c r="D271" i="5"/>
  <c r="C271" i="5"/>
  <c r="B271" i="5"/>
  <c r="A271" i="5"/>
  <c r="D270" i="5"/>
  <c r="C270" i="5"/>
  <c r="B270" i="5"/>
  <c r="A270" i="5"/>
  <c r="D269" i="5"/>
  <c r="C269" i="5"/>
  <c r="B269" i="5"/>
  <c r="A269" i="5"/>
  <c r="D268" i="5"/>
  <c r="C268" i="5"/>
  <c r="B268" i="5"/>
  <c r="A268" i="5"/>
  <c r="D267" i="5"/>
  <c r="C267" i="5"/>
  <c r="B267" i="5"/>
  <c r="A267" i="5"/>
  <c r="D266" i="5"/>
  <c r="C266" i="5"/>
  <c r="B266" i="5"/>
  <c r="A266" i="5"/>
  <c r="D265" i="5"/>
  <c r="C265" i="5"/>
  <c r="B265" i="5"/>
  <c r="A265" i="5"/>
  <c r="D264" i="5"/>
  <c r="C264" i="5"/>
  <c r="B264" i="5"/>
  <c r="A264" i="5"/>
  <c r="D263" i="5"/>
  <c r="C263" i="5"/>
  <c r="B263" i="5"/>
  <c r="A263" i="5"/>
  <c r="D262" i="5"/>
  <c r="C262" i="5"/>
  <c r="B262" i="5"/>
  <c r="A262" i="5"/>
  <c r="D261" i="5"/>
  <c r="C261" i="5"/>
  <c r="B261" i="5"/>
  <c r="A261" i="5"/>
  <c r="D260" i="5"/>
  <c r="C260" i="5"/>
  <c r="B260" i="5"/>
  <c r="A260" i="5"/>
  <c r="D259" i="5"/>
  <c r="C259" i="5"/>
  <c r="B259" i="5"/>
  <c r="A259" i="5"/>
  <c r="D258" i="5"/>
  <c r="C258" i="5"/>
  <c r="B258" i="5"/>
  <c r="A258" i="5"/>
  <c r="D257" i="5"/>
  <c r="C257" i="5"/>
  <c r="B257" i="5"/>
  <c r="A257" i="5"/>
  <c r="D256" i="5"/>
  <c r="C256" i="5"/>
  <c r="B256" i="5"/>
  <c r="A256" i="5"/>
  <c r="D255" i="5"/>
  <c r="C255" i="5"/>
  <c r="B255" i="5"/>
  <c r="A255" i="5"/>
  <c r="D254" i="5"/>
  <c r="C254" i="5"/>
  <c r="B254" i="5"/>
  <c r="A254" i="5"/>
  <c r="D253" i="5"/>
  <c r="C253" i="5"/>
  <c r="B253" i="5"/>
  <c r="A253" i="5"/>
  <c r="D252" i="5"/>
  <c r="C252" i="5"/>
  <c r="B252" i="5"/>
  <c r="A252" i="5"/>
  <c r="D251" i="5"/>
  <c r="C251" i="5"/>
  <c r="B251" i="5"/>
  <c r="A251" i="5"/>
  <c r="D250" i="5"/>
  <c r="C250" i="5"/>
  <c r="B250" i="5"/>
  <c r="A250" i="5"/>
  <c r="D249" i="5"/>
  <c r="C249" i="5"/>
  <c r="B249" i="5"/>
  <c r="A249" i="5"/>
  <c r="D248" i="5"/>
  <c r="C248" i="5"/>
  <c r="B248" i="5"/>
  <c r="A248" i="5"/>
  <c r="D247" i="5"/>
  <c r="C247" i="5"/>
  <c r="B247" i="5"/>
  <c r="A247" i="5"/>
  <c r="D246" i="5"/>
  <c r="C246" i="5"/>
  <c r="B246" i="5"/>
  <c r="A246" i="5"/>
  <c r="D245" i="5"/>
  <c r="C245" i="5"/>
  <c r="B245" i="5"/>
  <c r="A245" i="5"/>
  <c r="D244" i="5"/>
  <c r="C244" i="5"/>
  <c r="B244" i="5"/>
  <c r="A244" i="5"/>
  <c r="D243" i="5"/>
  <c r="C243" i="5"/>
  <c r="B243" i="5"/>
  <c r="A243" i="5"/>
  <c r="D242" i="5"/>
  <c r="C242" i="5"/>
  <c r="B242" i="5"/>
  <c r="A242" i="5"/>
  <c r="D241" i="5"/>
  <c r="C241" i="5"/>
  <c r="B241" i="5"/>
  <c r="A241" i="5"/>
  <c r="D240" i="5"/>
  <c r="C240" i="5"/>
  <c r="B240" i="5"/>
  <c r="A240" i="5"/>
  <c r="D239" i="5"/>
  <c r="C239" i="5"/>
  <c r="B239" i="5"/>
  <c r="A239" i="5"/>
  <c r="D238" i="5"/>
  <c r="C238" i="5"/>
  <c r="B238" i="5"/>
  <c r="A238" i="5"/>
  <c r="D237" i="5"/>
  <c r="C237" i="5"/>
  <c r="B237" i="5"/>
  <c r="A237" i="5"/>
  <c r="D236" i="5"/>
  <c r="C236" i="5"/>
  <c r="B236" i="5"/>
  <c r="A236" i="5"/>
  <c r="D235" i="5"/>
  <c r="C235" i="5"/>
  <c r="B235" i="5"/>
  <c r="A235" i="5"/>
  <c r="D234" i="5"/>
  <c r="C234" i="5"/>
  <c r="B234" i="5"/>
  <c r="A234" i="5"/>
  <c r="D233" i="5"/>
  <c r="C233" i="5"/>
  <c r="B233" i="5"/>
  <c r="A233" i="5"/>
  <c r="D232" i="5"/>
  <c r="C232" i="5"/>
  <c r="B232" i="5"/>
  <c r="A232" i="5"/>
  <c r="D231" i="5"/>
  <c r="C231" i="5"/>
  <c r="B231" i="5"/>
  <c r="A231" i="5"/>
  <c r="D230" i="5"/>
  <c r="C230" i="5"/>
  <c r="B230" i="5"/>
  <c r="A230" i="5"/>
  <c r="D229" i="5"/>
  <c r="C229" i="5"/>
  <c r="B229" i="5"/>
  <c r="A229" i="5"/>
  <c r="D228" i="5"/>
  <c r="C228" i="5"/>
  <c r="B228" i="5"/>
  <c r="A228" i="5"/>
  <c r="D227" i="5"/>
  <c r="C227" i="5"/>
  <c r="B227" i="5"/>
  <c r="A227" i="5"/>
  <c r="D226" i="5"/>
  <c r="C226" i="5"/>
  <c r="B226" i="5"/>
  <c r="A226" i="5"/>
  <c r="D225" i="5"/>
  <c r="C225" i="5"/>
  <c r="B225" i="5"/>
  <c r="A225" i="5"/>
  <c r="D224" i="5"/>
  <c r="C224" i="5"/>
  <c r="B224" i="5"/>
  <c r="A224" i="5"/>
  <c r="D223" i="5"/>
  <c r="C223" i="5"/>
  <c r="B223" i="5"/>
  <c r="A223" i="5"/>
  <c r="D222" i="5"/>
  <c r="C222" i="5"/>
  <c r="B222" i="5"/>
  <c r="A222" i="5"/>
  <c r="D221" i="5"/>
  <c r="C221" i="5"/>
  <c r="B221" i="5"/>
  <c r="A221" i="5"/>
  <c r="D220" i="5"/>
  <c r="C220" i="5"/>
  <c r="B220" i="5"/>
  <c r="A220" i="5"/>
  <c r="D219" i="5"/>
  <c r="C219" i="5"/>
  <c r="B219" i="5"/>
  <c r="A219" i="5"/>
  <c r="D218" i="5"/>
  <c r="C218" i="5"/>
  <c r="B218" i="5"/>
  <c r="A218" i="5"/>
  <c r="D217" i="5"/>
  <c r="C217" i="5"/>
  <c r="B217" i="5"/>
  <c r="A217" i="5"/>
  <c r="D216" i="5"/>
  <c r="C216" i="5"/>
  <c r="B216" i="5"/>
  <c r="A216" i="5"/>
  <c r="D215" i="5"/>
  <c r="C215" i="5"/>
  <c r="B215" i="5"/>
  <c r="A215" i="5"/>
  <c r="D214" i="5"/>
  <c r="C214" i="5"/>
  <c r="B214" i="5"/>
  <c r="A214" i="5"/>
  <c r="D213" i="5"/>
  <c r="C213" i="5"/>
  <c r="B213" i="5"/>
  <c r="A213" i="5"/>
  <c r="D212" i="5"/>
  <c r="C212" i="5"/>
  <c r="B212" i="5"/>
  <c r="A212" i="5"/>
  <c r="D211" i="5"/>
  <c r="C211" i="5"/>
  <c r="B211" i="5"/>
  <c r="A211" i="5"/>
  <c r="D210" i="5"/>
  <c r="C210" i="5"/>
  <c r="B210" i="5"/>
  <c r="A210" i="5"/>
  <c r="D209" i="5"/>
  <c r="C209" i="5"/>
  <c r="B209" i="5"/>
  <c r="A209" i="5"/>
  <c r="D208" i="5"/>
  <c r="C208" i="5"/>
  <c r="B208" i="5"/>
  <c r="A208" i="5"/>
  <c r="D207" i="5"/>
  <c r="C207" i="5"/>
  <c r="B207" i="5"/>
  <c r="A207" i="5"/>
  <c r="D206" i="5"/>
  <c r="C206" i="5"/>
  <c r="B206" i="5"/>
  <c r="A206" i="5"/>
  <c r="D205" i="5"/>
  <c r="C205" i="5"/>
  <c r="B205" i="5"/>
  <c r="A205" i="5"/>
  <c r="D204" i="5"/>
  <c r="C204" i="5"/>
  <c r="B204" i="5"/>
  <c r="A204" i="5"/>
  <c r="D203" i="5"/>
  <c r="C203" i="5"/>
  <c r="B203" i="5"/>
  <c r="A203" i="5"/>
  <c r="D202" i="5"/>
  <c r="C202" i="5"/>
  <c r="B202" i="5"/>
  <c r="A202" i="5"/>
  <c r="D201" i="5"/>
  <c r="C201" i="5"/>
  <c r="B201" i="5"/>
  <c r="A201" i="5"/>
  <c r="D200" i="5"/>
  <c r="C200" i="5"/>
  <c r="B200" i="5"/>
  <c r="A200" i="5"/>
  <c r="D199" i="5"/>
  <c r="C199" i="5"/>
  <c r="B199" i="5"/>
  <c r="A199" i="5"/>
  <c r="D198" i="5"/>
  <c r="C198" i="5"/>
  <c r="B198" i="5"/>
  <c r="A198" i="5"/>
  <c r="D197" i="5"/>
  <c r="C197" i="5"/>
  <c r="B197" i="5"/>
  <c r="A197" i="5"/>
  <c r="D196" i="5"/>
  <c r="C196" i="5"/>
  <c r="B196" i="5"/>
  <c r="A196" i="5"/>
  <c r="D195" i="5"/>
  <c r="C195" i="5"/>
  <c r="B195" i="5"/>
  <c r="A195" i="5"/>
  <c r="D194" i="5"/>
  <c r="C194" i="5"/>
  <c r="B194" i="5"/>
  <c r="A194" i="5"/>
  <c r="D193" i="5"/>
  <c r="C193" i="5"/>
  <c r="B193" i="5"/>
  <c r="A193" i="5"/>
  <c r="D192" i="5"/>
  <c r="C192" i="5"/>
  <c r="B192" i="5"/>
  <c r="A192" i="5"/>
  <c r="D191" i="5"/>
  <c r="C191" i="5"/>
  <c r="B191" i="5"/>
  <c r="A191" i="5"/>
  <c r="D190" i="5"/>
  <c r="C190" i="5"/>
  <c r="B190" i="5"/>
  <c r="A190" i="5"/>
  <c r="D189" i="5"/>
  <c r="C189" i="5"/>
  <c r="B189" i="5"/>
  <c r="A189" i="5"/>
  <c r="D188" i="5"/>
  <c r="C188" i="5"/>
  <c r="B188" i="5"/>
  <c r="A188" i="5"/>
  <c r="D187" i="5"/>
  <c r="C187" i="5"/>
  <c r="B187" i="5"/>
  <c r="A187" i="5"/>
  <c r="D186" i="5"/>
  <c r="C186" i="5"/>
  <c r="B186" i="5"/>
  <c r="A186" i="5"/>
  <c r="D185" i="5"/>
  <c r="C185" i="5"/>
  <c r="B185" i="5"/>
  <c r="A185" i="5"/>
  <c r="D184" i="5"/>
  <c r="C184" i="5"/>
  <c r="B184" i="5"/>
  <c r="A184" i="5"/>
  <c r="D183" i="5"/>
  <c r="C183" i="5"/>
  <c r="B183" i="5"/>
  <c r="A183" i="5"/>
  <c r="D182" i="5"/>
  <c r="C182" i="5"/>
  <c r="B182" i="5"/>
  <c r="A182" i="5"/>
  <c r="D181" i="5"/>
  <c r="C181" i="5"/>
  <c r="B181" i="5"/>
  <c r="A181" i="5"/>
  <c r="D180" i="5"/>
  <c r="C180" i="5"/>
  <c r="B180" i="5"/>
  <c r="A180" i="5"/>
  <c r="D179" i="5"/>
  <c r="C179" i="5"/>
  <c r="B179" i="5"/>
  <c r="A179" i="5"/>
  <c r="D178" i="5"/>
  <c r="C178" i="5"/>
  <c r="B178" i="5"/>
  <c r="A178" i="5"/>
  <c r="D177" i="5"/>
  <c r="C177" i="5"/>
  <c r="B177" i="5"/>
  <c r="A177" i="5"/>
  <c r="D176" i="5"/>
  <c r="C176" i="5"/>
  <c r="B176" i="5"/>
  <c r="A176" i="5"/>
  <c r="D175" i="5"/>
  <c r="C175" i="5"/>
  <c r="B175" i="5"/>
  <c r="A175" i="5"/>
  <c r="D174" i="5"/>
  <c r="C174" i="5"/>
  <c r="B174" i="5"/>
  <c r="A174" i="5"/>
  <c r="D173" i="5"/>
  <c r="C173" i="5"/>
  <c r="B173" i="5"/>
  <c r="A173" i="5"/>
  <c r="D172" i="5"/>
  <c r="C172" i="5"/>
  <c r="B172" i="5"/>
  <c r="A172" i="5"/>
  <c r="D171" i="5"/>
  <c r="C171" i="5"/>
  <c r="B171" i="5"/>
  <c r="A171" i="5"/>
  <c r="D170" i="5"/>
  <c r="C170" i="5"/>
  <c r="B170" i="5"/>
  <c r="A170" i="5"/>
  <c r="D169" i="5"/>
  <c r="C169" i="5"/>
  <c r="B169" i="5"/>
  <c r="A169" i="5"/>
  <c r="D168" i="5"/>
  <c r="C168" i="5"/>
  <c r="B168" i="5"/>
  <c r="A168" i="5"/>
  <c r="D167" i="5"/>
  <c r="C167" i="5"/>
  <c r="B167" i="5"/>
  <c r="A167" i="5"/>
  <c r="D166" i="5"/>
  <c r="C166" i="5"/>
  <c r="B166" i="5"/>
  <c r="A166" i="5"/>
  <c r="D165" i="5"/>
  <c r="C165" i="5"/>
  <c r="B165" i="5"/>
  <c r="A165" i="5"/>
  <c r="D164" i="5"/>
  <c r="C164" i="5"/>
  <c r="B164" i="5"/>
  <c r="A164" i="5"/>
  <c r="D163" i="5"/>
  <c r="C163" i="5"/>
  <c r="B163" i="5"/>
  <c r="A163" i="5"/>
  <c r="D162" i="5"/>
  <c r="C162" i="5"/>
  <c r="B162" i="5"/>
  <c r="A162" i="5"/>
  <c r="D161" i="5"/>
  <c r="C161" i="5"/>
  <c r="B161" i="5"/>
  <c r="A161" i="5"/>
  <c r="D160" i="5"/>
  <c r="C160" i="5"/>
  <c r="B160" i="5"/>
  <c r="A160" i="5"/>
  <c r="D159" i="5"/>
  <c r="C159" i="5"/>
  <c r="B159" i="5"/>
  <c r="A159" i="5"/>
  <c r="D158" i="5"/>
  <c r="C158" i="5"/>
  <c r="B158" i="5"/>
  <c r="A158" i="5"/>
  <c r="D157" i="5"/>
  <c r="C157" i="5"/>
  <c r="B157" i="5"/>
  <c r="A157" i="5"/>
  <c r="D156" i="5"/>
  <c r="C156" i="5"/>
  <c r="B156" i="5"/>
  <c r="A156" i="5"/>
  <c r="D155" i="5"/>
  <c r="C155" i="5"/>
  <c r="B155" i="5"/>
  <c r="A155" i="5"/>
  <c r="D154" i="5"/>
  <c r="C154" i="5"/>
  <c r="B154" i="5"/>
  <c r="A154" i="5"/>
  <c r="D153" i="5"/>
  <c r="C153" i="5"/>
  <c r="B153" i="5"/>
  <c r="A153" i="5"/>
  <c r="D152" i="5"/>
  <c r="C152" i="5"/>
  <c r="B152" i="5"/>
  <c r="A152" i="5"/>
  <c r="D151" i="5"/>
  <c r="C151" i="5"/>
  <c r="B151" i="5"/>
  <c r="A151" i="5"/>
  <c r="D150" i="5"/>
  <c r="C150" i="5"/>
  <c r="B150" i="5"/>
  <c r="A150" i="5"/>
  <c r="D149" i="5"/>
  <c r="C149" i="5"/>
  <c r="B149" i="5"/>
  <c r="A149" i="5"/>
  <c r="D148" i="5"/>
  <c r="C148" i="5"/>
  <c r="B148" i="5"/>
  <c r="A148" i="5"/>
  <c r="D147" i="5"/>
  <c r="C147" i="5"/>
  <c r="B147" i="5"/>
  <c r="A147" i="5"/>
  <c r="D146" i="5"/>
  <c r="C146" i="5"/>
  <c r="B146" i="5"/>
  <c r="A146" i="5"/>
  <c r="D145" i="5"/>
  <c r="C145" i="5"/>
  <c r="B145" i="5"/>
  <c r="A145" i="5"/>
  <c r="D144" i="5"/>
  <c r="C144" i="5"/>
  <c r="B144" i="5"/>
  <c r="A144" i="5"/>
  <c r="D143" i="5"/>
  <c r="C143" i="5"/>
  <c r="B143" i="5"/>
  <c r="A143" i="5"/>
  <c r="D142" i="5"/>
  <c r="C142" i="5"/>
  <c r="B142" i="5"/>
  <c r="A142" i="5"/>
  <c r="D141" i="5"/>
  <c r="C141" i="5"/>
  <c r="B141" i="5"/>
  <c r="A141" i="5"/>
  <c r="D140" i="5"/>
  <c r="C140" i="5"/>
  <c r="B140" i="5"/>
  <c r="A140" i="5"/>
  <c r="D139" i="5"/>
  <c r="C139" i="5"/>
  <c r="B139" i="5"/>
  <c r="A139" i="5"/>
  <c r="D138" i="5"/>
  <c r="C138" i="5"/>
  <c r="B138" i="5"/>
  <c r="A138" i="5"/>
  <c r="D137" i="5"/>
  <c r="C137" i="5"/>
  <c r="B137" i="5"/>
  <c r="A137" i="5"/>
  <c r="D136" i="5"/>
  <c r="C136" i="5"/>
  <c r="B136" i="5"/>
  <c r="A136" i="5"/>
  <c r="D135" i="5"/>
  <c r="C135" i="5"/>
  <c r="B135" i="5"/>
  <c r="A135" i="5"/>
  <c r="D134" i="5"/>
  <c r="C134" i="5"/>
  <c r="B134" i="5"/>
  <c r="A134" i="5"/>
  <c r="D133" i="5"/>
  <c r="C133" i="5"/>
  <c r="B133" i="5"/>
  <c r="A133" i="5"/>
  <c r="D132" i="5"/>
  <c r="C132" i="5"/>
  <c r="B132" i="5"/>
  <c r="A132" i="5"/>
  <c r="D131" i="5"/>
  <c r="C131" i="5"/>
  <c r="B131" i="5"/>
  <c r="A131" i="5"/>
  <c r="D130" i="5"/>
  <c r="C130" i="5"/>
  <c r="B130" i="5"/>
  <c r="A130" i="5"/>
  <c r="D129" i="5"/>
  <c r="C129" i="5"/>
  <c r="B129" i="5"/>
  <c r="A129" i="5"/>
  <c r="D128" i="5"/>
  <c r="C128" i="5"/>
  <c r="B128" i="5"/>
  <c r="A128" i="5"/>
  <c r="D127" i="5"/>
  <c r="C127" i="5"/>
  <c r="B127" i="5"/>
  <c r="A127" i="5"/>
  <c r="D126" i="5"/>
  <c r="C126" i="5"/>
  <c r="B126" i="5"/>
  <c r="A126" i="5"/>
  <c r="D125" i="5"/>
  <c r="C125" i="5"/>
  <c r="B125" i="5"/>
  <c r="A125" i="5"/>
  <c r="D124" i="5"/>
  <c r="C124" i="5"/>
  <c r="B124" i="5"/>
  <c r="A124" i="5"/>
  <c r="D123" i="5"/>
  <c r="C123" i="5"/>
  <c r="B123" i="5"/>
  <c r="A123" i="5"/>
  <c r="D122" i="5"/>
  <c r="C122" i="5"/>
  <c r="B122" i="5"/>
  <c r="A122" i="5"/>
  <c r="D121" i="5"/>
  <c r="C121" i="5"/>
  <c r="B121" i="5"/>
  <c r="A121" i="5"/>
  <c r="D120" i="5"/>
  <c r="C120" i="5"/>
  <c r="B120" i="5"/>
  <c r="A120" i="5"/>
  <c r="D119" i="5"/>
  <c r="C119" i="5"/>
  <c r="B119" i="5"/>
  <c r="A119" i="5"/>
  <c r="D118" i="5"/>
  <c r="C118" i="5"/>
  <c r="B118" i="5"/>
  <c r="A118" i="5"/>
  <c r="D117" i="5"/>
  <c r="C117" i="5"/>
  <c r="B117" i="5"/>
  <c r="A117" i="5"/>
  <c r="D116" i="5"/>
  <c r="C116" i="5"/>
  <c r="B116" i="5"/>
  <c r="A116" i="5"/>
  <c r="D115" i="5"/>
  <c r="C115" i="5"/>
  <c r="B115" i="5"/>
  <c r="A115" i="5"/>
  <c r="D114" i="5"/>
  <c r="C114" i="5"/>
  <c r="B114" i="5"/>
  <c r="A114" i="5"/>
  <c r="D113" i="5"/>
  <c r="C113" i="5"/>
  <c r="B113" i="5"/>
  <c r="A113" i="5"/>
  <c r="D112" i="5"/>
  <c r="C112" i="5"/>
  <c r="B112" i="5"/>
  <c r="A112" i="5"/>
  <c r="D111" i="5"/>
  <c r="C111" i="5"/>
  <c r="B111" i="5"/>
  <c r="A111" i="5"/>
  <c r="D110" i="5"/>
  <c r="C110" i="5"/>
  <c r="B110" i="5"/>
  <c r="A110" i="5"/>
  <c r="D109" i="5"/>
  <c r="C109" i="5"/>
  <c r="B109" i="5"/>
  <c r="A109" i="5"/>
  <c r="D108" i="5"/>
  <c r="C108" i="5"/>
  <c r="B108" i="5"/>
  <c r="A108" i="5"/>
  <c r="D107" i="5"/>
  <c r="C107" i="5"/>
  <c r="B107" i="5"/>
  <c r="A107" i="5"/>
  <c r="D106" i="5"/>
  <c r="C106" i="5"/>
  <c r="B106" i="5"/>
  <c r="A106" i="5"/>
  <c r="D105" i="5"/>
  <c r="C105" i="5"/>
  <c r="B105" i="5"/>
  <c r="A105" i="5"/>
  <c r="D104" i="5"/>
  <c r="C104" i="5"/>
  <c r="B104" i="5"/>
  <c r="A104" i="5"/>
  <c r="D103" i="5"/>
  <c r="C103" i="5"/>
  <c r="B103" i="5"/>
  <c r="A103" i="5"/>
  <c r="D102" i="5"/>
  <c r="C102" i="5"/>
  <c r="B102" i="5"/>
  <c r="A102" i="5"/>
  <c r="D101" i="5"/>
  <c r="C101" i="5"/>
  <c r="B101" i="5"/>
  <c r="A101" i="5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D7" i="5"/>
  <c r="C7" i="5"/>
  <c r="B7" i="5"/>
  <c r="A7" i="5"/>
  <c r="D6" i="5"/>
  <c r="C6" i="5"/>
  <c r="B6" i="5"/>
  <c r="A6" i="5"/>
  <c r="D5" i="5"/>
  <c r="C5" i="5"/>
  <c r="B5" i="5"/>
  <c r="A5" i="5"/>
  <c r="D4" i="5"/>
  <c r="C4" i="5"/>
  <c r="B4" i="5"/>
  <c r="A4" i="5"/>
  <c r="D3" i="5"/>
  <c r="C3" i="5"/>
  <c r="B3" i="5"/>
  <c r="A3" i="5"/>
  <c r="D2" i="5"/>
  <c r="C2" i="5"/>
  <c r="B2" i="5"/>
  <c r="A2" i="5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2" i="4"/>
  <c r="AV414" i="4"/>
  <c r="AU414" i="4"/>
  <c r="AT414" i="4"/>
  <c r="AS414" i="4"/>
  <c r="AR414" i="4"/>
  <c r="AQ414" i="4"/>
  <c r="AP414" i="4"/>
  <c r="AO414" i="4"/>
  <c r="AN414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L414" i="4"/>
  <c r="K414" i="4"/>
  <c r="J414" i="4"/>
  <c r="I414" i="4"/>
  <c r="H414" i="4"/>
  <c r="G414" i="4"/>
  <c r="F414" i="4"/>
  <c r="E414" i="4"/>
  <c r="AV413" i="4"/>
  <c r="AU413" i="4"/>
  <c r="AT413" i="4"/>
  <c r="AS413" i="4"/>
  <c r="AR413" i="4"/>
  <c r="AQ413" i="4"/>
  <c r="AP413" i="4"/>
  <c r="AO413" i="4"/>
  <c r="AN413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L413" i="4"/>
  <c r="K413" i="4"/>
  <c r="J413" i="4"/>
  <c r="I413" i="4"/>
  <c r="H413" i="4"/>
  <c r="G413" i="4"/>
  <c r="F413" i="4"/>
  <c r="E413" i="4"/>
  <c r="AV412" i="4"/>
  <c r="AU412" i="4"/>
  <c r="AT412" i="4"/>
  <c r="AS412" i="4"/>
  <c r="AR412" i="4"/>
  <c r="AQ412" i="4"/>
  <c r="AP412" i="4"/>
  <c r="AO412" i="4"/>
  <c r="AN412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L412" i="4"/>
  <c r="K412" i="4"/>
  <c r="J412" i="4"/>
  <c r="I412" i="4"/>
  <c r="H412" i="4"/>
  <c r="G412" i="4"/>
  <c r="F412" i="4"/>
  <c r="E412" i="4"/>
  <c r="AV411" i="4"/>
  <c r="AU411" i="4"/>
  <c r="AT411" i="4"/>
  <c r="AS411" i="4"/>
  <c r="AR411" i="4"/>
  <c r="AQ411" i="4"/>
  <c r="AP411" i="4"/>
  <c r="AO411" i="4"/>
  <c r="AN411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L411" i="4"/>
  <c r="K411" i="4"/>
  <c r="J411" i="4"/>
  <c r="I411" i="4"/>
  <c r="H411" i="4"/>
  <c r="G411" i="4"/>
  <c r="F411" i="4"/>
  <c r="E411" i="4"/>
  <c r="AV410" i="4"/>
  <c r="AU410" i="4"/>
  <c r="AT410" i="4"/>
  <c r="AS410" i="4"/>
  <c r="AR410" i="4"/>
  <c r="AQ410" i="4"/>
  <c r="AP410" i="4"/>
  <c r="AO410" i="4"/>
  <c r="AN410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L410" i="4"/>
  <c r="K410" i="4"/>
  <c r="J410" i="4"/>
  <c r="I410" i="4"/>
  <c r="H410" i="4"/>
  <c r="G410" i="4"/>
  <c r="F410" i="4"/>
  <c r="E410" i="4"/>
  <c r="AV409" i="4"/>
  <c r="AU409" i="4"/>
  <c r="AT409" i="4"/>
  <c r="AS409" i="4"/>
  <c r="AR409" i="4"/>
  <c r="AQ409" i="4"/>
  <c r="AP409" i="4"/>
  <c r="AO409" i="4"/>
  <c r="AN409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L409" i="4"/>
  <c r="K409" i="4"/>
  <c r="J409" i="4"/>
  <c r="I409" i="4"/>
  <c r="H409" i="4"/>
  <c r="G409" i="4"/>
  <c r="F409" i="4"/>
  <c r="E409" i="4"/>
  <c r="AV408" i="4"/>
  <c r="AU408" i="4"/>
  <c r="AT408" i="4"/>
  <c r="AS408" i="4"/>
  <c r="AR408" i="4"/>
  <c r="AQ408" i="4"/>
  <c r="AP408" i="4"/>
  <c r="AO408" i="4"/>
  <c r="AN408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L408" i="4"/>
  <c r="K408" i="4"/>
  <c r="J408" i="4"/>
  <c r="I408" i="4"/>
  <c r="H408" i="4"/>
  <c r="G408" i="4"/>
  <c r="F408" i="4"/>
  <c r="E408" i="4"/>
  <c r="AV407" i="4"/>
  <c r="AU407" i="4"/>
  <c r="AT407" i="4"/>
  <c r="AS407" i="4"/>
  <c r="AR407" i="4"/>
  <c r="AQ407" i="4"/>
  <c r="AP407" i="4"/>
  <c r="AO407" i="4"/>
  <c r="AN407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L407" i="4"/>
  <c r="K407" i="4"/>
  <c r="J407" i="4"/>
  <c r="I407" i="4"/>
  <c r="H407" i="4"/>
  <c r="G407" i="4"/>
  <c r="F407" i="4"/>
  <c r="E407" i="4"/>
  <c r="AV406" i="4"/>
  <c r="AU406" i="4"/>
  <c r="AT406" i="4"/>
  <c r="AS406" i="4"/>
  <c r="AR406" i="4"/>
  <c r="AQ406" i="4"/>
  <c r="AP406" i="4"/>
  <c r="AO406" i="4"/>
  <c r="AN406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L406" i="4"/>
  <c r="K406" i="4"/>
  <c r="J406" i="4"/>
  <c r="I406" i="4"/>
  <c r="H406" i="4"/>
  <c r="G406" i="4"/>
  <c r="F406" i="4"/>
  <c r="E406" i="4"/>
  <c r="AV405" i="4"/>
  <c r="AU405" i="4"/>
  <c r="AT405" i="4"/>
  <c r="AS405" i="4"/>
  <c r="AR405" i="4"/>
  <c r="AQ405" i="4"/>
  <c r="AP405" i="4"/>
  <c r="AO405" i="4"/>
  <c r="AN405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L405" i="4"/>
  <c r="K405" i="4"/>
  <c r="J405" i="4"/>
  <c r="I405" i="4"/>
  <c r="H405" i="4"/>
  <c r="G405" i="4"/>
  <c r="F405" i="4"/>
  <c r="E405" i="4"/>
  <c r="AV404" i="4"/>
  <c r="AU404" i="4"/>
  <c r="AT404" i="4"/>
  <c r="AS404" i="4"/>
  <c r="AR404" i="4"/>
  <c r="AQ404" i="4"/>
  <c r="AP404" i="4"/>
  <c r="AO404" i="4"/>
  <c r="AN404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L404" i="4"/>
  <c r="K404" i="4"/>
  <c r="J404" i="4"/>
  <c r="I404" i="4"/>
  <c r="H404" i="4"/>
  <c r="G404" i="4"/>
  <c r="F404" i="4"/>
  <c r="E404" i="4"/>
  <c r="AV403" i="4"/>
  <c r="AU403" i="4"/>
  <c r="AT403" i="4"/>
  <c r="AS403" i="4"/>
  <c r="AR403" i="4"/>
  <c r="AQ403" i="4"/>
  <c r="AP403" i="4"/>
  <c r="AO403" i="4"/>
  <c r="AN403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L403" i="4"/>
  <c r="K403" i="4"/>
  <c r="J403" i="4"/>
  <c r="I403" i="4"/>
  <c r="H403" i="4"/>
  <c r="G403" i="4"/>
  <c r="F403" i="4"/>
  <c r="E403" i="4"/>
  <c r="AV402" i="4"/>
  <c r="AU402" i="4"/>
  <c r="AT402" i="4"/>
  <c r="AS402" i="4"/>
  <c r="AR402" i="4"/>
  <c r="AQ402" i="4"/>
  <c r="AP402" i="4"/>
  <c r="AO402" i="4"/>
  <c r="AN402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L402" i="4"/>
  <c r="K402" i="4"/>
  <c r="J402" i="4"/>
  <c r="I402" i="4"/>
  <c r="H402" i="4"/>
  <c r="G402" i="4"/>
  <c r="F402" i="4"/>
  <c r="E402" i="4"/>
  <c r="AV401" i="4"/>
  <c r="AU401" i="4"/>
  <c r="AT401" i="4"/>
  <c r="AS401" i="4"/>
  <c r="AR401" i="4"/>
  <c r="AQ401" i="4"/>
  <c r="AP401" i="4"/>
  <c r="AO401" i="4"/>
  <c r="AN401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L401" i="4"/>
  <c r="K401" i="4"/>
  <c r="J401" i="4"/>
  <c r="I401" i="4"/>
  <c r="H401" i="4"/>
  <c r="G401" i="4"/>
  <c r="F401" i="4"/>
  <c r="E401" i="4"/>
  <c r="AV400" i="4"/>
  <c r="AU400" i="4"/>
  <c r="AT400" i="4"/>
  <c r="AS400" i="4"/>
  <c r="AR400" i="4"/>
  <c r="AQ400" i="4"/>
  <c r="AP400" i="4"/>
  <c r="AO400" i="4"/>
  <c r="AN400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L400" i="4"/>
  <c r="K400" i="4"/>
  <c r="J400" i="4"/>
  <c r="I400" i="4"/>
  <c r="H400" i="4"/>
  <c r="G400" i="4"/>
  <c r="F400" i="4"/>
  <c r="E400" i="4"/>
  <c r="AV399" i="4"/>
  <c r="AU399" i="4"/>
  <c r="AT399" i="4"/>
  <c r="AS399" i="4"/>
  <c r="AR399" i="4"/>
  <c r="AQ399" i="4"/>
  <c r="AP399" i="4"/>
  <c r="AO399" i="4"/>
  <c r="AN399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L399" i="4"/>
  <c r="K399" i="4"/>
  <c r="J399" i="4"/>
  <c r="I399" i="4"/>
  <c r="H399" i="4"/>
  <c r="G399" i="4"/>
  <c r="F399" i="4"/>
  <c r="E399" i="4"/>
  <c r="AV398" i="4"/>
  <c r="AU398" i="4"/>
  <c r="AT398" i="4"/>
  <c r="AS398" i="4"/>
  <c r="AR398" i="4"/>
  <c r="AQ398" i="4"/>
  <c r="AP398" i="4"/>
  <c r="AO398" i="4"/>
  <c r="AN398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L398" i="4"/>
  <c r="K398" i="4"/>
  <c r="J398" i="4"/>
  <c r="I398" i="4"/>
  <c r="H398" i="4"/>
  <c r="G398" i="4"/>
  <c r="F398" i="4"/>
  <c r="E398" i="4"/>
  <c r="AV397" i="4"/>
  <c r="AU397" i="4"/>
  <c r="AT397" i="4"/>
  <c r="AS397" i="4"/>
  <c r="AR397" i="4"/>
  <c r="AQ397" i="4"/>
  <c r="AP397" i="4"/>
  <c r="AO397" i="4"/>
  <c r="AN397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L397" i="4"/>
  <c r="K397" i="4"/>
  <c r="J397" i="4"/>
  <c r="I397" i="4"/>
  <c r="H397" i="4"/>
  <c r="G397" i="4"/>
  <c r="F397" i="4"/>
  <c r="E397" i="4"/>
  <c r="AV396" i="4"/>
  <c r="AU396" i="4"/>
  <c r="AT396" i="4"/>
  <c r="AS396" i="4"/>
  <c r="AR396" i="4"/>
  <c r="AQ396" i="4"/>
  <c r="AP396" i="4"/>
  <c r="AO396" i="4"/>
  <c r="AN396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L396" i="4"/>
  <c r="K396" i="4"/>
  <c r="J396" i="4"/>
  <c r="I396" i="4"/>
  <c r="H396" i="4"/>
  <c r="G396" i="4"/>
  <c r="F396" i="4"/>
  <c r="E396" i="4"/>
  <c r="AV395" i="4"/>
  <c r="AU395" i="4"/>
  <c r="AT395" i="4"/>
  <c r="AS395" i="4"/>
  <c r="AR395" i="4"/>
  <c r="AQ395" i="4"/>
  <c r="AP395" i="4"/>
  <c r="AO395" i="4"/>
  <c r="AN395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L395" i="4"/>
  <c r="K395" i="4"/>
  <c r="J395" i="4"/>
  <c r="I395" i="4"/>
  <c r="H395" i="4"/>
  <c r="G395" i="4"/>
  <c r="F395" i="4"/>
  <c r="E395" i="4"/>
  <c r="AV394" i="4"/>
  <c r="AU394" i="4"/>
  <c r="AT394" i="4"/>
  <c r="AS394" i="4"/>
  <c r="AR394" i="4"/>
  <c r="AQ394" i="4"/>
  <c r="AP394" i="4"/>
  <c r="AO394" i="4"/>
  <c r="AN394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L394" i="4"/>
  <c r="K394" i="4"/>
  <c r="J394" i="4"/>
  <c r="I394" i="4"/>
  <c r="H394" i="4"/>
  <c r="G394" i="4"/>
  <c r="F394" i="4"/>
  <c r="E394" i="4"/>
  <c r="AV393" i="4"/>
  <c r="AU393" i="4"/>
  <c r="AT393" i="4"/>
  <c r="AS393" i="4"/>
  <c r="AR393" i="4"/>
  <c r="AQ393" i="4"/>
  <c r="AP393" i="4"/>
  <c r="AO393" i="4"/>
  <c r="AN393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L393" i="4"/>
  <c r="K393" i="4"/>
  <c r="J393" i="4"/>
  <c r="I393" i="4"/>
  <c r="H393" i="4"/>
  <c r="G393" i="4"/>
  <c r="F393" i="4"/>
  <c r="E393" i="4"/>
  <c r="AV392" i="4"/>
  <c r="AU392" i="4"/>
  <c r="AT392" i="4"/>
  <c r="AS392" i="4"/>
  <c r="AR392" i="4"/>
  <c r="AQ392" i="4"/>
  <c r="AP392" i="4"/>
  <c r="AO392" i="4"/>
  <c r="AN392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L392" i="4"/>
  <c r="K392" i="4"/>
  <c r="J392" i="4"/>
  <c r="I392" i="4"/>
  <c r="H392" i="4"/>
  <c r="G392" i="4"/>
  <c r="F392" i="4"/>
  <c r="E392" i="4"/>
  <c r="AV391" i="4"/>
  <c r="AU391" i="4"/>
  <c r="AT391" i="4"/>
  <c r="AS391" i="4"/>
  <c r="AR391" i="4"/>
  <c r="AQ391" i="4"/>
  <c r="AP391" i="4"/>
  <c r="AO391" i="4"/>
  <c r="AN391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L391" i="4"/>
  <c r="K391" i="4"/>
  <c r="J391" i="4"/>
  <c r="I391" i="4"/>
  <c r="H391" i="4"/>
  <c r="G391" i="4"/>
  <c r="F391" i="4"/>
  <c r="E391" i="4"/>
  <c r="AV390" i="4"/>
  <c r="AU390" i="4"/>
  <c r="AT390" i="4"/>
  <c r="AS390" i="4"/>
  <c r="AR390" i="4"/>
  <c r="AQ390" i="4"/>
  <c r="AP390" i="4"/>
  <c r="AO390" i="4"/>
  <c r="AN390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L390" i="4"/>
  <c r="K390" i="4"/>
  <c r="J390" i="4"/>
  <c r="I390" i="4"/>
  <c r="H390" i="4"/>
  <c r="G390" i="4"/>
  <c r="F390" i="4"/>
  <c r="E390" i="4"/>
  <c r="AV389" i="4"/>
  <c r="AU389" i="4"/>
  <c r="AT389" i="4"/>
  <c r="AS389" i="4"/>
  <c r="AR389" i="4"/>
  <c r="AQ389" i="4"/>
  <c r="AP389" i="4"/>
  <c r="AO389" i="4"/>
  <c r="AN389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L389" i="4"/>
  <c r="K389" i="4"/>
  <c r="J389" i="4"/>
  <c r="I389" i="4"/>
  <c r="H389" i="4"/>
  <c r="G389" i="4"/>
  <c r="F389" i="4"/>
  <c r="E389" i="4"/>
  <c r="AV388" i="4"/>
  <c r="AU388" i="4"/>
  <c r="AT388" i="4"/>
  <c r="AS388" i="4"/>
  <c r="AR388" i="4"/>
  <c r="AQ388" i="4"/>
  <c r="AP388" i="4"/>
  <c r="AO388" i="4"/>
  <c r="AN388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AV387" i="4"/>
  <c r="AU387" i="4"/>
  <c r="AT387" i="4"/>
  <c r="AS387" i="4"/>
  <c r="AR387" i="4"/>
  <c r="AQ387" i="4"/>
  <c r="AP387" i="4"/>
  <c r="AO387" i="4"/>
  <c r="AN387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AV386" i="4"/>
  <c r="AU386" i="4"/>
  <c r="AT386" i="4"/>
  <c r="AS386" i="4"/>
  <c r="AR386" i="4"/>
  <c r="AQ386" i="4"/>
  <c r="AP386" i="4"/>
  <c r="AO386" i="4"/>
  <c r="AN386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AV383" i="4"/>
  <c r="AU383" i="4"/>
  <c r="AT383" i="4"/>
  <c r="AS383" i="4"/>
  <c r="AR383" i="4"/>
  <c r="AQ383" i="4"/>
  <c r="AP383" i="4"/>
  <c r="AO383" i="4"/>
  <c r="AN383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AV382" i="4"/>
  <c r="AU382" i="4"/>
  <c r="AT382" i="4"/>
  <c r="AS382" i="4"/>
  <c r="AR382" i="4"/>
  <c r="AQ382" i="4"/>
  <c r="AP382" i="4"/>
  <c r="AO382" i="4"/>
  <c r="AN382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AV380" i="4"/>
  <c r="AU380" i="4"/>
  <c r="AT380" i="4"/>
  <c r="AS380" i="4"/>
  <c r="AR380" i="4"/>
  <c r="AQ380" i="4"/>
  <c r="AP380" i="4"/>
  <c r="AO380" i="4"/>
  <c r="AN380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AV379" i="4"/>
  <c r="AU379" i="4"/>
  <c r="AT379" i="4"/>
  <c r="AS379" i="4"/>
  <c r="AR379" i="4"/>
  <c r="AQ379" i="4"/>
  <c r="AP379" i="4"/>
  <c r="AO379" i="4"/>
  <c r="AN379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AV378" i="4"/>
  <c r="AU378" i="4"/>
  <c r="AT378" i="4"/>
  <c r="AS378" i="4"/>
  <c r="AR378" i="4"/>
  <c r="AQ378" i="4"/>
  <c r="AP378" i="4"/>
  <c r="AO378" i="4"/>
  <c r="AN378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AV377" i="4"/>
  <c r="AU377" i="4"/>
  <c r="AT377" i="4"/>
  <c r="AS377" i="4"/>
  <c r="AR377" i="4"/>
  <c r="AQ377" i="4"/>
  <c r="AP377" i="4"/>
  <c r="AO377" i="4"/>
  <c r="AN377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AV376" i="4"/>
  <c r="AU376" i="4"/>
  <c r="AT376" i="4"/>
  <c r="AS376" i="4"/>
  <c r="AR376" i="4"/>
  <c r="AQ376" i="4"/>
  <c r="AP376" i="4"/>
  <c r="AO376" i="4"/>
  <c r="AN376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AV375" i="4"/>
  <c r="AU375" i="4"/>
  <c r="AT375" i="4"/>
  <c r="AS375" i="4"/>
  <c r="AR375" i="4"/>
  <c r="AQ375" i="4"/>
  <c r="AP375" i="4"/>
  <c r="AO375" i="4"/>
  <c r="AN375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AV374" i="4"/>
  <c r="AU374" i="4"/>
  <c r="AT374" i="4"/>
  <c r="AS374" i="4"/>
  <c r="AR374" i="4"/>
  <c r="AQ374" i="4"/>
  <c r="AP374" i="4"/>
  <c r="AO374" i="4"/>
  <c r="AN374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AV373" i="4"/>
  <c r="AU373" i="4"/>
  <c r="AT373" i="4"/>
  <c r="AS373" i="4"/>
  <c r="AR373" i="4"/>
  <c r="AQ373" i="4"/>
  <c r="AP373" i="4"/>
  <c r="AO373" i="4"/>
  <c r="AN373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AV372" i="4"/>
  <c r="AU372" i="4"/>
  <c r="AT372" i="4"/>
  <c r="AS372" i="4"/>
  <c r="AR372" i="4"/>
  <c r="AQ372" i="4"/>
  <c r="AP372" i="4"/>
  <c r="AO372" i="4"/>
  <c r="AN372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AV371" i="4"/>
  <c r="AU371" i="4"/>
  <c r="AT371" i="4"/>
  <c r="AS371" i="4"/>
  <c r="AR371" i="4"/>
  <c r="AQ371" i="4"/>
  <c r="AP371" i="4"/>
  <c r="AO371" i="4"/>
  <c r="AN371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AV370" i="4"/>
  <c r="AU370" i="4"/>
  <c r="AT370" i="4"/>
  <c r="AS370" i="4"/>
  <c r="AR370" i="4"/>
  <c r="AQ370" i="4"/>
  <c r="AP370" i="4"/>
  <c r="AO370" i="4"/>
  <c r="AN370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L370" i="4"/>
  <c r="K370" i="4"/>
  <c r="J370" i="4"/>
  <c r="I370" i="4"/>
  <c r="H370" i="4"/>
  <c r="G370" i="4"/>
  <c r="F370" i="4"/>
  <c r="E370" i="4"/>
  <c r="AV369" i="4"/>
  <c r="AU369" i="4"/>
  <c r="AT369" i="4"/>
  <c r="AS369" i="4"/>
  <c r="AR369" i="4"/>
  <c r="AQ369" i="4"/>
  <c r="AP369" i="4"/>
  <c r="AO369" i="4"/>
  <c r="AN369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L369" i="4"/>
  <c r="K369" i="4"/>
  <c r="J369" i="4"/>
  <c r="I369" i="4"/>
  <c r="H369" i="4"/>
  <c r="G369" i="4"/>
  <c r="F369" i="4"/>
  <c r="E369" i="4"/>
  <c r="AV368" i="4"/>
  <c r="AU368" i="4"/>
  <c r="AT368" i="4"/>
  <c r="AS368" i="4"/>
  <c r="AR368" i="4"/>
  <c r="AQ368" i="4"/>
  <c r="AP368" i="4"/>
  <c r="AO368" i="4"/>
  <c r="AN368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L368" i="4"/>
  <c r="K368" i="4"/>
  <c r="J368" i="4"/>
  <c r="I368" i="4"/>
  <c r="H368" i="4"/>
  <c r="G368" i="4"/>
  <c r="F368" i="4"/>
  <c r="E368" i="4"/>
  <c r="AV367" i="4"/>
  <c r="AU367" i="4"/>
  <c r="AT367" i="4"/>
  <c r="AS367" i="4"/>
  <c r="AR367" i="4"/>
  <c r="AQ367" i="4"/>
  <c r="AP367" i="4"/>
  <c r="AO367" i="4"/>
  <c r="AN367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L367" i="4"/>
  <c r="K367" i="4"/>
  <c r="J367" i="4"/>
  <c r="I367" i="4"/>
  <c r="H367" i="4"/>
  <c r="G367" i="4"/>
  <c r="F367" i="4"/>
  <c r="E367" i="4"/>
  <c r="AV366" i="4"/>
  <c r="AU366" i="4"/>
  <c r="AT366" i="4"/>
  <c r="AS366" i="4"/>
  <c r="AR366" i="4"/>
  <c r="AQ366" i="4"/>
  <c r="AP366" i="4"/>
  <c r="AO366" i="4"/>
  <c r="AN366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L366" i="4"/>
  <c r="K366" i="4"/>
  <c r="J366" i="4"/>
  <c r="I366" i="4"/>
  <c r="H366" i="4"/>
  <c r="G366" i="4"/>
  <c r="F366" i="4"/>
  <c r="E366" i="4"/>
  <c r="AV365" i="4"/>
  <c r="AU365" i="4"/>
  <c r="AT365" i="4"/>
  <c r="AS365" i="4"/>
  <c r="AR365" i="4"/>
  <c r="AQ365" i="4"/>
  <c r="AP365" i="4"/>
  <c r="AO365" i="4"/>
  <c r="AN365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L365" i="4"/>
  <c r="K365" i="4"/>
  <c r="J365" i="4"/>
  <c r="I365" i="4"/>
  <c r="H365" i="4"/>
  <c r="G365" i="4"/>
  <c r="F365" i="4"/>
  <c r="E365" i="4"/>
  <c r="AV364" i="4"/>
  <c r="AU364" i="4"/>
  <c r="AT364" i="4"/>
  <c r="AS364" i="4"/>
  <c r="AR364" i="4"/>
  <c r="AQ364" i="4"/>
  <c r="AP364" i="4"/>
  <c r="AO364" i="4"/>
  <c r="AN364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L364" i="4"/>
  <c r="K364" i="4"/>
  <c r="J364" i="4"/>
  <c r="I364" i="4"/>
  <c r="H364" i="4"/>
  <c r="G364" i="4"/>
  <c r="F364" i="4"/>
  <c r="E364" i="4"/>
  <c r="AV363" i="4"/>
  <c r="AU363" i="4"/>
  <c r="AT363" i="4"/>
  <c r="AS363" i="4"/>
  <c r="AR363" i="4"/>
  <c r="AQ363" i="4"/>
  <c r="AP363" i="4"/>
  <c r="AO363" i="4"/>
  <c r="AN363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L363" i="4"/>
  <c r="K363" i="4"/>
  <c r="J363" i="4"/>
  <c r="I363" i="4"/>
  <c r="H363" i="4"/>
  <c r="G363" i="4"/>
  <c r="F363" i="4"/>
  <c r="E363" i="4"/>
  <c r="AV362" i="4"/>
  <c r="AU362" i="4"/>
  <c r="AT362" i="4"/>
  <c r="AS362" i="4"/>
  <c r="AR362" i="4"/>
  <c r="AQ362" i="4"/>
  <c r="AP362" i="4"/>
  <c r="AO362" i="4"/>
  <c r="AN362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L362" i="4"/>
  <c r="K362" i="4"/>
  <c r="J362" i="4"/>
  <c r="I362" i="4"/>
  <c r="H362" i="4"/>
  <c r="G362" i="4"/>
  <c r="F362" i="4"/>
  <c r="E362" i="4"/>
  <c r="AV361" i="4"/>
  <c r="AU361" i="4"/>
  <c r="AT361" i="4"/>
  <c r="AS361" i="4"/>
  <c r="AR361" i="4"/>
  <c r="AQ361" i="4"/>
  <c r="AP361" i="4"/>
  <c r="AO361" i="4"/>
  <c r="AN361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L361" i="4"/>
  <c r="K361" i="4"/>
  <c r="J361" i="4"/>
  <c r="I361" i="4"/>
  <c r="H361" i="4"/>
  <c r="G361" i="4"/>
  <c r="F361" i="4"/>
  <c r="E361" i="4"/>
  <c r="AV360" i="4"/>
  <c r="AU360" i="4"/>
  <c r="AT360" i="4"/>
  <c r="AS360" i="4"/>
  <c r="AR360" i="4"/>
  <c r="AQ360" i="4"/>
  <c r="AP360" i="4"/>
  <c r="AO360" i="4"/>
  <c r="AN360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L360" i="4"/>
  <c r="K360" i="4"/>
  <c r="J360" i="4"/>
  <c r="I360" i="4"/>
  <c r="H360" i="4"/>
  <c r="G360" i="4"/>
  <c r="F360" i="4"/>
  <c r="E360" i="4"/>
  <c r="AV359" i="4"/>
  <c r="AU359" i="4"/>
  <c r="AT359" i="4"/>
  <c r="AS359" i="4"/>
  <c r="AR359" i="4"/>
  <c r="AQ359" i="4"/>
  <c r="AP359" i="4"/>
  <c r="AO359" i="4"/>
  <c r="AN359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L359" i="4"/>
  <c r="K359" i="4"/>
  <c r="J359" i="4"/>
  <c r="I359" i="4"/>
  <c r="H359" i="4"/>
  <c r="G359" i="4"/>
  <c r="F359" i="4"/>
  <c r="E359" i="4"/>
  <c r="AV358" i="4"/>
  <c r="AU358" i="4"/>
  <c r="AT358" i="4"/>
  <c r="AS358" i="4"/>
  <c r="AR358" i="4"/>
  <c r="AQ358" i="4"/>
  <c r="AP358" i="4"/>
  <c r="AO358" i="4"/>
  <c r="AN358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L358" i="4"/>
  <c r="K358" i="4"/>
  <c r="J358" i="4"/>
  <c r="I358" i="4"/>
  <c r="H358" i="4"/>
  <c r="G358" i="4"/>
  <c r="F358" i="4"/>
  <c r="E358" i="4"/>
  <c r="AV357" i="4"/>
  <c r="AU357" i="4"/>
  <c r="AT357" i="4"/>
  <c r="AS357" i="4"/>
  <c r="AR357" i="4"/>
  <c r="AQ357" i="4"/>
  <c r="AP357" i="4"/>
  <c r="AO357" i="4"/>
  <c r="AN357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L357" i="4"/>
  <c r="K357" i="4"/>
  <c r="J357" i="4"/>
  <c r="I357" i="4"/>
  <c r="H357" i="4"/>
  <c r="G357" i="4"/>
  <c r="F357" i="4"/>
  <c r="E357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L356" i="4"/>
  <c r="K356" i="4"/>
  <c r="J356" i="4"/>
  <c r="I356" i="4"/>
  <c r="H356" i="4"/>
  <c r="G356" i="4"/>
  <c r="F356" i="4"/>
  <c r="E356" i="4"/>
  <c r="AV355" i="4"/>
  <c r="AU355" i="4"/>
  <c r="AT355" i="4"/>
  <c r="AS355" i="4"/>
  <c r="AR355" i="4"/>
  <c r="AQ355" i="4"/>
  <c r="AP355" i="4"/>
  <c r="AO355" i="4"/>
  <c r="AN355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L355" i="4"/>
  <c r="K355" i="4"/>
  <c r="J355" i="4"/>
  <c r="I355" i="4"/>
  <c r="H355" i="4"/>
  <c r="G355" i="4"/>
  <c r="F355" i="4"/>
  <c r="E355" i="4"/>
  <c r="AV354" i="4"/>
  <c r="AU354" i="4"/>
  <c r="AT354" i="4"/>
  <c r="AS354" i="4"/>
  <c r="AR354" i="4"/>
  <c r="AQ354" i="4"/>
  <c r="AP354" i="4"/>
  <c r="AO354" i="4"/>
  <c r="AN354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L354" i="4"/>
  <c r="K354" i="4"/>
  <c r="J354" i="4"/>
  <c r="I354" i="4"/>
  <c r="H354" i="4"/>
  <c r="G354" i="4"/>
  <c r="F354" i="4"/>
  <c r="E354" i="4"/>
  <c r="AV353" i="4"/>
  <c r="AU353" i="4"/>
  <c r="AT353" i="4"/>
  <c r="AS353" i="4"/>
  <c r="AR353" i="4"/>
  <c r="AQ353" i="4"/>
  <c r="AP353" i="4"/>
  <c r="AO353" i="4"/>
  <c r="AN353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L353" i="4"/>
  <c r="K353" i="4"/>
  <c r="J353" i="4"/>
  <c r="I353" i="4"/>
  <c r="H353" i="4"/>
  <c r="G353" i="4"/>
  <c r="F353" i="4"/>
  <c r="E353" i="4"/>
  <c r="AV352" i="4"/>
  <c r="AU352" i="4"/>
  <c r="AT352" i="4"/>
  <c r="AS352" i="4"/>
  <c r="AR352" i="4"/>
  <c r="AQ352" i="4"/>
  <c r="AP352" i="4"/>
  <c r="AO352" i="4"/>
  <c r="AN352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L352" i="4"/>
  <c r="K352" i="4"/>
  <c r="J352" i="4"/>
  <c r="I352" i="4"/>
  <c r="H352" i="4"/>
  <c r="G352" i="4"/>
  <c r="F352" i="4"/>
  <c r="E352" i="4"/>
  <c r="AV351" i="4"/>
  <c r="AU351" i="4"/>
  <c r="AT351" i="4"/>
  <c r="AS351" i="4"/>
  <c r="AR351" i="4"/>
  <c r="AQ351" i="4"/>
  <c r="AP351" i="4"/>
  <c r="AO351" i="4"/>
  <c r="AN351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L351" i="4"/>
  <c r="K351" i="4"/>
  <c r="J351" i="4"/>
  <c r="I351" i="4"/>
  <c r="H351" i="4"/>
  <c r="G351" i="4"/>
  <c r="F351" i="4"/>
  <c r="E351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L350" i="4"/>
  <c r="K350" i="4"/>
  <c r="J350" i="4"/>
  <c r="I350" i="4"/>
  <c r="H350" i="4"/>
  <c r="G350" i="4"/>
  <c r="F350" i="4"/>
  <c r="E350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L349" i="4"/>
  <c r="K349" i="4"/>
  <c r="J349" i="4"/>
  <c r="I349" i="4"/>
  <c r="H349" i="4"/>
  <c r="G349" i="4"/>
  <c r="F349" i="4"/>
  <c r="E349" i="4"/>
  <c r="AV348" i="4"/>
  <c r="AU348" i="4"/>
  <c r="AT348" i="4"/>
  <c r="AS348" i="4"/>
  <c r="AR348" i="4"/>
  <c r="AQ348" i="4"/>
  <c r="AP348" i="4"/>
  <c r="AO348" i="4"/>
  <c r="AN348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L348" i="4"/>
  <c r="K348" i="4"/>
  <c r="J348" i="4"/>
  <c r="I348" i="4"/>
  <c r="H348" i="4"/>
  <c r="G348" i="4"/>
  <c r="F348" i="4"/>
  <c r="E348" i="4"/>
  <c r="AV347" i="4"/>
  <c r="AU347" i="4"/>
  <c r="AT347" i="4"/>
  <c r="AS347" i="4"/>
  <c r="AR347" i="4"/>
  <c r="AQ347" i="4"/>
  <c r="AP347" i="4"/>
  <c r="AO347" i="4"/>
  <c r="AN347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L347" i="4"/>
  <c r="K347" i="4"/>
  <c r="J347" i="4"/>
  <c r="I347" i="4"/>
  <c r="H347" i="4"/>
  <c r="G347" i="4"/>
  <c r="F347" i="4"/>
  <c r="E347" i="4"/>
  <c r="AV346" i="4"/>
  <c r="AU346" i="4"/>
  <c r="AT346" i="4"/>
  <c r="AS346" i="4"/>
  <c r="AR346" i="4"/>
  <c r="AQ346" i="4"/>
  <c r="AP346" i="4"/>
  <c r="AO346" i="4"/>
  <c r="AN346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L346" i="4"/>
  <c r="K346" i="4"/>
  <c r="J346" i="4"/>
  <c r="I346" i="4"/>
  <c r="H346" i="4"/>
  <c r="G346" i="4"/>
  <c r="F346" i="4"/>
  <c r="E346" i="4"/>
  <c r="AV345" i="4"/>
  <c r="AU345" i="4"/>
  <c r="AT345" i="4"/>
  <c r="AS345" i="4"/>
  <c r="AR345" i="4"/>
  <c r="AQ345" i="4"/>
  <c r="AP345" i="4"/>
  <c r="AO345" i="4"/>
  <c r="AN345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L345" i="4"/>
  <c r="K345" i="4"/>
  <c r="J345" i="4"/>
  <c r="I345" i="4"/>
  <c r="H345" i="4"/>
  <c r="G345" i="4"/>
  <c r="F345" i="4"/>
  <c r="E345" i="4"/>
  <c r="AV344" i="4"/>
  <c r="AU344" i="4"/>
  <c r="AT344" i="4"/>
  <c r="AS344" i="4"/>
  <c r="AR344" i="4"/>
  <c r="AQ344" i="4"/>
  <c r="AP344" i="4"/>
  <c r="AO344" i="4"/>
  <c r="AN344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L344" i="4"/>
  <c r="K344" i="4"/>
  <c r="J344" i="4"/>
  <c r="I344" i="4"/>
  <c r="H344" i="4"/>
  <c r="G344" i="4"/>
  <c r="F344" i="4"/>
  <c r="E344" i="4"/>
  <c r="AV343" i="4"/>
  <c r="AU343" i="4"/>
  <c r="AT343" i="4"/>
  <c r="AS343" i="4"/>
  <c r="AR343" i="4"/>
  <c r="AQ343" i="4"/>
  <c r="AP343" i="4"/>
  <c r="AO343" i="4"/>
  <c r="AN343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L343" i="4"/>
  <c r="K343" i="4"/>
  <c r="J343" i="4"/>
  <c r="I343" i="4"/>
  <c r="H343" i="4"/>
  <c r="G343" i="4"/>
  <c r="F343" i="4"/>
  <c r="E343" i="4"/>
  <c r="AV342" i="4"/>
  <c r="AU342" i="4"/>
  <c r="AT342" i="4"/>
  <c r="AS342" i="4"/>
  <c r="AR342" i="4"/>
  <c r="AQ342" i="4"/>
  <c r="AP342" i="4"/>
  <c r="AO342" i="4"/>
  <c r="AN342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L342" i="4"/>
  <c r="K342" i="4"/>
  <c r="J342" i="4"/>
  <c r="I342" i="4"/>
  <c r="H342" i="4"/>
  <c r="G342" i="4"/>
  <c r="F342" i="4"/>
  <c r="E342" i="4"/>
  <c r="AV341" i="4"/>
  <c r="AU341" i="4"/>
  <c r="AT341" i="4"/>
  <c r="AS341" i="4"/>
  <c r="AR341" i="4"/>
  <c r="AQ341" i="4"/>
  <c r="AP341" i="4"/>
  <c r="AO341" i="4"/>
  <c r="AN341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L341" i="4"/>
  <c r="K341" i="4"/>
  <c r="J341" i="4"/>
  <c r="I341" i="4"/>
  <c r="H341" i="4"/>
  <c r="G341" i="4"/>
  <c r="F341" i="4"/>
  <c r="E341" i="4"/>
  <c r="AV340" i="4"/>
  <c r="AU340" i="4"/>
  <c r="AT340" i="4"/>
  <c r="AS340" i="4"/>
  <c r="AR340" i="4"/>
  <c r="AQ340" i="4"/>
  <c r="AP340" i="4"/>
  <c r="AO340" i="4"/>
  <c r="AN340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L340" i="4"/>
  <c r="K340" i="4"/>
  <c r="J340" i="4"/>
  <c r="I340" i="4"/>
  <c r="H340" i="4"/>
  <c r="G340" i="4"/>
  <c r="F340" i="4"/>
  <c r="E340" i="4"/>
  <c r="AV339" i="4"/>
  <c r="AU339" i="4"/>
  <c r="AT339" i="4"/>
  <c r="AS339" i="4"/>
  <c r="AR339" i="4"/>
  <c r="AQ339" i="4"/>
  <c r="AP339" i="4"/>
  <c r="AO339" i="4"/>
  <c r="AN339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L339" i="4"/>
  <c r="K339" i="4"/>
  <c r="J339" i="4"/>
  <c r="I339" i="4"/>
  <c r="H339" i="4"/>
  <c r="G339" i="4"/>
  <c r="F339" i="4"/>
  <c r="E339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L338" i="4"/>
  <c r="K338" i="4"/>
  <c r="J338" i="4"/>
  <c r="I338" i="4"/>
  <c r="H338" i="4"/>
  <c r="G338" i="4"/>
  <c r="F338" i="4"/>
  <c r="E338" i="4"/>
  <c r="AV337" i="4"/>
  <c r="AU337" i="4"/>
  <c r="AT337" i="4"/>
  <c r="AS337" i="4"/>
  <c r="AR337" i="4"/>
  <c r="AQ337" i="4"/>
  <c r="AP337" i="4"/>
  <c r="AO337" i="4"/>
  <c r="AN337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L337" i="4"/>
  <c r="K337" i="4"/>
  <c r="J337" i="4"/>
  <c r="I337" i="4"/>
  <c r="H337" i="4"/>
  <c r="G337" i="4"/>
  <c r="F337" i="4"/>
  <c r="E337" i="4"/>
  <c r="AV336" i="4"/>
  <c r="AU336" i="4"/>
  <c r="AT336" i="4"/>
  <c r="AS336" i="4"/>
  <c r="AR336" i="4"/>
  <c r="AQ336" i="4"/>
  <c r="AP336" i="4"/>
  <c r="AO336" i="4"/>
  <c r="AN336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L336" i="4"/>
  <c r="K336" i="4"/>
  <c r="J336" i="4"/>
  <c r="I336" i="4"/>
  <c r="H336" i="4"/>
  <c r="G336" i="4"/>
  <c r="F336" i="4"/>
  <c r="E336" i="4"/>
  <c r="AV335" i="4"/>
  <c r="AU335" i="4"/>
  <c r="AT335" i="4"/>
  <c r="AS335" i="4"/>
  <c r="AR335" i="4"/>
  <c r="AQ335" i="4"/>
  <c r="AP335" i="4"/>
  <c r="AO335" i="4"/>
  <c r="AN335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L335" i="4"/>
  <c r="K335" i="4"/>
  <c r="J335" i="4"/>
  <c r="I335" i="4"/>
  <c r="H335" i="4"/>
  <c r="G335" i="4"/>
  <c r="F335" i="4"/>
  <c r="E335" i="4"/>
  <c r="AV334" i="4"/>
  <c r="AU334" i="4"/>
  <c r="AT334" i="4"/>
  <c r="AS334" i="4"/>
  <c r="AR334" i="4"/>
  <c r="AQ334" i="4"/>
  <c r="AP334" i="4"/>
  <c r="AO334" i="4"/>
  <c r="AN334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L334" i="4"/>
  <c r="K334" i="4"/>
  <c r="J334" i="4"/>
  <c r="I334" i="4"/>
  <c r="H334" i="4"/>
  <c r="G334" i="4"/>
  <c r="F334" i="4"/>
  <c r="E334" i="4"/>
  <c r="AV333" i="4"/>
  <c r="AU333" i="4"/>
  <c r="AT333" i="4"/>
  <c r="AS333" i="4"/>
  <c r="AR333" i="4"/>
  <c r="AQ333" i="4"/>
  <c r="AP333" i="4"/>
  <c r="AO333" i="4"/>
  <c r="AN333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L333" i="4"/>
  <c r="K333" i="4"/>
  <c r="J333" i="4"/>
  <c r="I333" i="4"/>
  <c r="H333" i="4"/>
  <c r="G333" i="4"/>
  <c r="F333" i="4"/>
  <c r="E333" i="4"/>
  <c r="AV332" i="4"/>
  <c r="AU332" i="4"/>
  <c r="AT332" i="4"/>
  <c r="AS332" i="4"/>
  <c r="AR332" i="4"/>
  <c r="AQ332" i="4"/>
  <c r="AP332" i="4"/>
  <c r="AO332" i="4"/>
  <c r="AN332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L332" i="4"/>
  <c r="K332" i="4"/>
  <c r="J332" i="4"/>
  <c r="I332" i="4"/>
  <c r="H332" i="4"/>
  <c r="G332" i="4"/>
  <c r="F332" i="4"/>
  <c r="E332" i="4"/>
  <c r="AV331" i="4"/>
  <c r="AU331" i="4"/>
  <c r="AT331" i="4"/>
  <c r="AS331" i="4"/>
  <c r="AR331" i="4"/>
  <c r="AQ331" i="4"/>
  <c r="AP331" i="4"/>
  <c r="AO331" i="4"/>
  <c r="AN331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L331" i="4"/>
  <c r="K331" i="4"/>
  <c r="J331" i="4"/>
  <c r="I331" i="4"/>
  <c r="H331" i="4"/>
  <c r="G331" i="4"/>
  <c r="F331" i="4"/>
  <c r="E331" i="4"/>
  <c r="AV330" i="4"/>
  <c r="AU330" i="4"/>
  <c r="AT330" i="4"/>
  <c r="AS330" i="4"/>
  <c r="AR330" i="4"/>
  <c r="AQ330" i="4"/>
  <c r="AP330" i="4"/>
  <c r="AO330" i="4"/>
  <c r="AN330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L330" i="4"/>
  <c r="K330" i="4"/>
  <c r="J330" i="4"/>
  <c r="I330" i="4"/>
  <c r="H330" i="4"/>
  <c r="G330" i="4"/>
  <c r="F330" i="4"/>
  <c r="E330" i="4"/>
  <c r="AV329" i="4"/>
  <c r="AU329" i="4"/>
  <c r="AT329" i="4"/>
  <c r="AS329" i="4"/>
  <c r="AR329" i="4"/>
  <c r="AQ329" i="4"/>
  <c r="AP329" i="4"/>
  <c r="AO329" i="4"/>
  <c r="AN329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L329" i="4"/>
  <c r="K329" i="4"/>
  <c r="J329" i="4"/>
  <c r="I329" i="4"/>
  <c r="H329" i="4"/>
  <c r="G329" i="4"/>
  <c r="F329" i="4"/>
  <c r="E329" i="4"/>
  <c r="AV328" i="4"/>
  <c r="AU328" i="4"/>
  <c r="AT328" i="4"/>
  <c r="AS328" i="4"/>
  <c r="AR328" i="4"/>
  <c r="AQ328" i="4"/>
  <c r="AP328" i="4"/>
  <c r="AO328" i="4"/>
  <c r="AN328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L328" i="4"/>
  <c r="K328" i="4"/>
  <c r="J328" i="4"/>
  <c r="I328" i="4"/>
  <c r="H328" i="4"/>
  <c r="G328" i="4"/>
  <c r="F328" i="4"/>
  <c r="E328" i="4"/>
  <c r="AV327" i="4"/>
  <c r="AU327" i="4"/>
  <c r="AT327" i="4"/>
  <c r="AS327" i="4"/>
  <c r="AR327" i="4"/>
  <c r="AQ327" i="4"/>
  <c r="AP327" i="4"/>
  <c r="AO327" i="4"/>
  <c r="AN327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L327" i="4"/>
  <c r="K327" i="4"/>
  <c r="J327" i="4"/>
  <c r="I327" i="4"/>
  <c r="H327" i="4"/>
  <c r="G327" i="4"/>
  <c r="F327" i="4"/>
  <c r="E327" i="4"/>
  <c r="AV326" i="4"/>
  <c r="AU326" i="4"/>
  <c r="AT326" i="4"/>
  <c r="AS326" i="4"/>
  <c r="AR326" i="4"/>
  <c r="AQ326" i="4"/>
  <c r="AP326" i="4"/>
  <c r="AO326" i="4"/>
  <c r="AN326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L326" i="4"/>
  <c r="K326" i="4"/>
  <c r="J326" i="4"/>
  <c r="I326" i="4"/>
  <c r="H326" i="4"/>
  <c r="G326" i="4"/>
  <c r="F326" i="4"/>
  <c r="E326" i="4"/>
  <c r="AV325" i="4"/>
  <c r="AU325" i="4"/>
  <c r="AT325" i="4"/>
  <c r="AS325" i="4"/>
  <c r="AR325" i="4"/>
  <c r="AQ325" i="4"/>
  <c r="AP325" i="4"/>
  <c r="AO325" i="4"/>
  <c r="AN325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L325" i="4"/>
  <c r="K325" i="4"/>
  <c r="J325" i="4"/>
  <c r="I325" i="4"/>
  <c r="H325" i="4"/>
  <c r="G325" i="4"/>
  <c r="F325" i="4"/>
  <c r="E325" i="4"/>
  <c r="AV324" i="4"/>
  <c r="AU324" i="4"/>
  <c r="AT324" i="4"/>
  <c r="AS324" i="4"/>
  <c r="AR324" i="4"/>
  <c r="AQ324" i="4"/>
  <c r="AP324" i="4"/>
  <c r="AO324" i="4"/>
  <c r="AN324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L324" i="4"/>
  <c r="K324" i="4"/>
  <c r="J324" i="4"/>
  <c r="I324" i="4"/>
  <c r="H324" i="4"/>
  <c r="G324" i="4"/>
  <c r="F324" i="4"/>
  <c r="E324" i="4"/>
  <c r="AV323" i="4"/>
  <c r="AU323" i="4"/>
  <c r="AT323" i="4"/>
  <c r="AS323" i="4"/>
  <c r="AR323" i="4"/>
  <c r="AQ323" i="4"/>
  <c r="AP323" i="4"/>
  <c r="AO323" i="4"/>
  <c r="AN323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L323" i="4"/>
  <c r="K323" i="4"/>
  <c r="J323" i="4"/>
  <c r="I323" i="4"/>
  <c r="H323" i="4"/>
  <c r="G323" i="4"/>
  <c r="F323" i="4"/>
  <c r="E323" i="4"/>
  <c r="AV322" i="4"/>
  <c r="AU322" i="4"/>
  <c r="AT322" i="4"/>
  <c r="AS322" i="4"/>
  <c r="AR322" i="4"/>
  <c r="AQ322" i="4"/>
  <c r="AP322" i="4"/>
  <c r="AO322" i="4"/>
  <c r="AN322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L322" i="4"/>
  <c r="K322" i="4"/>
  <c r="J322" i="4"/>
  <c r="I322" i="4"/>
  <c r="H322" i="4"/>
  <c r="G322" i="4"/>
  <c r="F322" i="4"/>
  <c r="E322" i="4"/>
  <c r="AV321" i="4"/>
  <c r="AU321" i="4"/>
  <c r="AT321" i="4"/>
  <c r="AS321" i="4"/>
  <c r="AR321" i="4"/>
  <c r="AQ321" i="4"/>
  <c r="AP321" i="4"/>
  <c r="AO321" i="4"/>
  <c r="AN321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L321" i="4"/>
  <c r="K321" i="4"/>
  <c r="J321" i="4"/>
  <c r="I321" i="4"/>
  <c r="H321" i="4"/>
  <c r="G321" i="4"/>
  <c r="F321" i="4"/>
  <c r="E321" i="4"/>
  <c r="AV320" i="4"/>
  <c r="AU320" i="4"/>
  <c r="AT320" i="4"/>
  <c r="AS320" i="4"/>
  <c r="AR320" i="4"/>
  <c r="AQ320" i="4"/>
  <c r="AP320" i="4"/>
  <c r="AO320" i="4"/>
  <c r="AN320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L320" i="4"/>
  <c r="K320" i="4"/>
  <c r="J320" i="4"/>
  <c r="I320" i="4"/>
  <c r="H320" i="4"/>
  <c r="G320" i="4"/>
  <c r="F320" i="4"/>
  <c r="E320" i="4"/>
  <c r="AV319" i="4"/>
  <c r="AU319" i="4"/>
  <c r="AT319" i="4"/>
  <c r="AS319" i="4"/>
  <c r="AR319" i="4"/>
  <c r="AQ319" i="4"/>
  <c r="AP319" i="4"/>
  <c r="AO319" i="4"/>
  <c r="AN319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L319" i="4"/>
  <c r="K319" i="4"/>
  <c r="J319" i="4"/>
  <c r="I319" i="4"/>
  <c r="H319" i="4"/>
  <c r="G319" i="4"/>
  <c r="F319" i="4"/>
  <c r="E319" i="4"/>
  <c r="AV318" i="4"/>
  <c r="AU318" i="4"/>
  <c r="AT318" i="4"/>
  <c r="AS318" i="4"/>
  <c r="AR318" i="4"/>
  <c r="AQ318" i="4"/>
  <c r="AP318" i="4"/>
  <c r="AO318" i="4"/>
  <c r="AN318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L318" i="4"/>
  <c r="K318" i="4"/>
  <c r="J318" i="4"/>
  <c r="I318" i="4"/>
  <c r="H318" i="4"/>
  <c r="G318" i="4"/>
  <c r="F318" i="4"/>
  <c r="E318" i="4"/>
  <c r="AV317" i="4"/>
  <c r="AU317" i="4"/>
  <c r="AT317" i="4"/>
  <c r="AS317" i="4"/>
  <c r="AR317" i="4"/>
  <c r="AQ317" i="4"/>
  <c r="AP317" i="4"/>
  <c r="AO317" i="4"/>
  <c r="AN317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L317" i="4"/>
  <c r="K317" i="4"/>
  <c r="J317" i="4"/>
  <c r="I317" i="4"/>
  <c r="H317" i="4"/>
  <c r="G317" i="4"/>
  <c r="F317" i="4"/>
  <c r="E317" i="4"/>
  <c r="AV316" i="4"/>
  <c r="AU316" i="4"/>
  <c r="AT316" i="4"/>
  <c r="AS316" i="4"/>
  <c r="AR316" i="4"/>
  <c r="AQ316" i="4"/>
  <c r="AP316" i="4"/>
  <c r="AO316" i="4"/>
  <c r="AN316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L316" i="4"/>
  <c r="K316" i="4"/>
  <c r="J316" i="4"/>
  <c r="I316" i="4"/>
  <c r="H316" i="4"/>
  <c r="G316" i="4"/>
  <c r="F316" i="4"/>
  <c r="E316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L315" i="4"/>
  <c r="K315" i="4"/>
  <c r="J315" i="4"/>
  <c r="I315" i="4"/>
  <c r="H315" i="4"/>
  <c r="G315" i="4"/>
  <c r="F315" i="4"/>
  <c r="E315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L314" i="4"/>
  <c r="K314" i="4"/>
  <c r="J314" i="4"/>
  <c r="I314" i="4"/>
  <c r="H314" i="4"/>
  <c r="G314" i="4"/>
  <c r="F314" i="4"/>
  <c r="E314" i="4"/>
  <c r="AV313" i="4"/>
  <c r="AU313" i="4"/>
  <c r="AT313" i="4"/>
  <c r="AS313" i="4"/>
  <c r="AR313" i="4"/>
  <c r="AQ313" i="4"/>
  <c r="AP313" i="4"/>
  <c r="AO313" i="4"/>
  <c r="AN313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L313" i="4"/>
  <c r="K313" i="4"/>
  <c r="J313" i="4"/>
  <c r="I313" i="4"/>
  <c r="H313" i="4"/>
  <c r="G313" i="4"/>
  <c r="F313" i="4"/>
  <c r="E313" i="4"/>
  <c r="AV312" i="4"/>
  <c r="AU312" i="4"/>
  <c r="AT312" i="4"/>
  <c r="AS312" i="4"/>
  <c r="AR312" i="4"/>
  <c r="AQ312" i="4"/>
  <c r="AP312" i="4"/>
  <c r="AO312" i="4"/>
  <c r="AN312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L312" i="4"/>
  <c r="K312" i="4"/>
  <c r="J312" i="4"/>
  <c r="I312" i="4"/>
  <c r="H312" i="4"/>
  <c r="G312" i="4"/>
  <c r="F312" i="4"/>
  <c r="E312" i="4"/>
  <c r="AV311" i="4"/>
  <c r="AU311" i="4"/>
  <c r="AT311" i="4"/>
  <c r="AS311" i="4"/>
  <c r="AR311" i="4"/>
  <c r="AQ311" i="4"/>
  <c r="AP311" i="4"/>
  <c r="AO311" i="4"/>
  <c r="AN311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L311" i="4"/>
  <c r="K311" i="4"/>
  <c r="J311" i="4"/>
  <c r="I311" i="4"/>
  <c r="H311" i="4"/>
  <c r="G311" i="4"/>
  <c r="F311" i="4"/>
  <c r="E311" i="4"/>
  <c r="AV310" i="4"/>
  <c r="AU310" i="4"/>
  <c r="AT310" i="4"/>
  <c r="AS310" i="4"/>
  <c r="AR310" i="4"/>
  <c r="AQ310" i="4"/>
  <c r="AP310" i="4"/>
  <c r="AO310" i="4"/>
  <c r="AN310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L310" i="4"/>
  <c r="K310" i="4"/>
  <c r="J310" i="4"/>
  <c r="I310" i="4"/>
  <c r="H310" i="4"/>
  <c r="G310" i="4"/>
  <c r="F310" i="4"/>
  <c r="E310" i="4"/>
  <c r="AV309" i="4"/>
  <c r="AU309" i="4"/>
  <c r="AT309" i="4"/>
  <c r="AS309" i="4"/>
  <c r="AR309" i="4"/>
  <c r="AQ309" i="4"/>
  <c r="AP309" i="4"/>
  <c r="AO309" i="4"/>
  <c r="AN309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L309" i="4"/>
  <c r="K309" i="4"/>
  <c r="J309" i="4"/>
  <c r="I309" i="4"/>
  <c r="H309" i="4"/>
  <c r="G309" i="4"/>
  <c r="F309" i="4"/>
  <c r="E309" i="4"/>
  <c r="AV308" i="4"/>
  <c r="AU308" i="4"/>
  <c r="AT308" i="4"/>
  <c r="AS308" i="4"/>
  <c r="AR308" i="4"/>
  <c r="AQ308" i="4"/>
  <c r="AP308" i="4"/>
  <c r="AO308" i="4"/>
  <c r="AN308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L308" i="4"/>
  <c r="K308" i="4"/>
  <c r="J308" i="4"/>
  <c r="I308" i="4"/>
  <c r="H308" i="4"/>
  <c r="G308" i="4"/>
  <c r="F308" i="4"/>
  <c r="E308" i="4"/>
  <c r="AV307" i="4"/>
  <c r="AU307" i="4"/>
  <c r="AT307" i="4"/>
  <c r="AS307" i="4"/>
  <c r="AR307" i="4"/>
  <c r="AQ307" i="4"/>
  <c r="AP307" i="4"/>
  <c r="AO307" i="4"/>
  <c r="AN307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L307" i="4"/>
  <c r="K307" i="4"/>
  <c r="J307" i="4"/>
  <c r="I307" i="4"/>
  <c r="H307" i="4"/>
  <c r="G307" i="4"/>
  <c r="F307" i="4"/>
  <c r="E307" i="4"/>
  <c r="AV306" i="4"/>
  <c r="AU306" i="4"/>
  <c r="AT306" i="4"/>
  <c r="AS306" i="4"/>
  <c r="AR306" i="4"/>
  <c r="AQ306" i="4"/>
  <c r="AP306" i="4"/>
  <c r="AO306" i="4"/>
  <c r="AN306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L306" i="4"/>
  <c r="K306" i="4"/>
  <c r="J306" i="4"/>
  <c r="I306" i="4"/>
  <c r="H306" i="4"/>
  <c r="G306" i="4"/>
  <c r="F306" i="4"/>
  <c r="E306" i="4"/>
  <c r="AV305" i="4"/>
  <c r="AU305" i="4"/>
  <c r="AT305" i="4"/>
  <c r="AS305" i="4"/>
  <c r="AR305" i="4"/>
  <c r="AQ305" i="4"/>
  <c r="AP305" i="4"/>
  <c r="AO305" i="4"/>
  <c r="AN305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L305" i="4"/>
  <c r="K305" i="4"/>
  <c r="J305" i="4"/>
  <c r="I305" i="4"/>
  <c r="H305" i="4"/>
  <c r="G305" i="4"/>
  <c r="F305" i="4"/>
  <c r="E305" i="4"/>
  <c r="AV304" i="4"/>
  <c r="AU304" i="4"/>
  <c r="AT304" i="4"/>
  <c r="AS304" i="4"/>
  <c r="AR304" i="4"/>
  <c r="AQ304" i="4"/>
  <c r="AP304" i="4"/>
  <c r="AO304" i="4"/>
  <c r="AN304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L304" i="4"/>
  <c r="K304" i="4"/>
  <c r="J304" i="4"/>
  <c r="I304" i="4"/>
  <c r="H304" i="4"/>
  <c r="G304" i="4"/>
  <c r="F304" i="4"/>
  <c r="E304" i="4"/>
  <c r="AV303" i="4"/>
  <c r="AU303" i="4"/>
  <c r="AT303" i="4"/>
  <c r="AS303" i="4"/>
  <c r="AR303" i="4"/>
  <c r="AQ303" i="4"/>
  <c r="AP303" i="4"/>
  <c r="AO303" i="4"/>
  <c r="AN303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L303" i="4"/>
  <c r="K303" i="4"/>
  <c r="J303" i="4"/>
  <c r="I303" i="4"/>
  <c r="H303" i="4"/>
  <c r="G303" i="4"/>
  <c r="F303" i="4"/>
  <c r="E303" i="4"/>
  <c r="AV302" i="4"/>
  <c r="AU302" i="4"/>
  <c r="AT302" i="4"/>
  <c r="AS302" i="4"/>
  <c r="AR302" i="4"/>
  <c r="AQ302" i="4"/>
  <c r="AP302" i="4"/>
  <c r="AO302" i="4"/>
  <c r="AN302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L302" i="4"/>
  <c r="K302" i="4"/>
  <c r="J302" i="4"/>
  <c r="I302" i="4"/>
  <c r="H302" i="4"/>
  <c r="G302" i="4"/>
  <c r="F302" i="4"/>
  <c r="E302" i="4"/>
  <c r="AV301" i="4"/>
  <c r="AU301" i="4"/>
  <c r="AT301" i="4"/>
  <c r="AS301" i="4"/>
  <c r="AR301" i="4"/>
  <c r="AQ301" i="4"/>
  <c r="AP301" i="4"/>
  <c r="AO301" i="4"/>
  <c r="AN301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L301" i="4"/>
  <c r="K301" i="4"/>
  <c r="J301" i="4"/>
  <c r="I301" i="4"/>
  <c r="H301" i="4"/>
  <c r="G301" i="4"/>
  <c r="F301" i="4"/>
  <c r="E301" i="4"/>
  <c r="AV300" i="4"/>
  <c r="AU300" i="4"/>
  <c r="AT300" i="4"/>
  <c r="AS300" i="4"/>
  <c r="AR300" i="4"/>
  <c r="AQ300" i="4"/>
  <c r="AP300" i="4"/>
  <c r="AO300" i="4"/>
  <c r="AN300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L300" i="4"/>
  <c r="K300" i="4"/>
  <c r="J300" i="4"/>
  <c r="I300" i="4"/>
  <c r="H300" i="4"/>
  <c r="G300" i="4"/>
  <c r="F300" i="4"/>
  <c r="E300" i="4"/>
  <c r="AV299" i="4"/>
  <c r="AU299" i="4"/>
  <c r="AT299" i="4"/>
  <c r="AS299" i="4"/>
  <c r="AR299" i="4"/>
  <c r="AQ299" i="4"/>
  <c r="AP299" i="4"/>
  <c r="AO299" i="4"/>
  <c r="AN299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L299" i="4"/>
  <c r="K299" i="4"/>
  <c r="J299" i="4"/>
  <c r="I299" i="4"/>
  <c r="H299" i="4"/>
  <c r="G299" i="4"/>
  <c r="F299" i="4"/>
  <c r="E299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AV297" i="4"/>
  <c r="AU297" i="4"/>
  <c r="AT297" i="4"/>
  <c r="AS297" i="4"/>
  <c r="AR297" i="4"/>
  <c r="AQ297" i="4"/>
  <c r="AP297" i="4"/>
  <c r="AO297" i="4"/>
  <c r="AN297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L297" i="4"/>
  <c r="K297" i="4"/>
  <c r="J297" i="4"/>
  <c r="I297" i="4"/>
  <c r="H297" i="4"/>
  <c r="G297" i="4"/>
  <c r="F297" i="4"/>
  <c r="E297" i="4"/>
  <c r="AV296" i="4"/>
  <c r="AU296" i="4"/>
  <c r="AT296" i="4"/>
  <c r="AS296" i="4"/>
  <c r="AR296" i="4"/>
  <c r="AQ296" i="4"/>
  <c r="AP296" i="4"/>
  <c r="AO296" i="4"/>
  <c r="AN296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L296" i="4"/>
  <c r="K296" i="4"/>
  <c r="J296" i="4"/>
  <c r="I296" i="4"/>
  <c r="H296" i="4"/>
  <c r="G296" i="4"/>
  <c r="F296" i="4"/>
  <c r="E296" i="4"/>
  <c r="AV295" i="4"/>
  <c r="AU295" i="4"/>
  <c r="AT295" i="4"/>
  <c r="AS295" i="4"/>
  <c r="AR295" i="4"/>
  <c r="AQ295" i="4"/>
  <c r="AP295" i="4"/>
  <c r="AO295" i="4"/>
  <c r="AN295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L295" i="4"/>
  <c r="K295" i="4"/>
  <c r="J295" i="4"/>
  <c r="I295" i="4"/>
  <c r="H295" i="4"/>
  <c r="G295" i="4"/>
  <c r="F295" i="4"/>
  <c r="E295" i="4"/>
  <c r="AV294" i="4"/>
  <c r="AU294" i="4"/>
  <c r="AT294" i="4"/>
  <c r="AS294" i="4"/>
  <c r="AR294" i="4"/>
  <c r="AQ294" i="4"/>
  <c r="AP294" i="4"/>
  <c r="AO294" i="4"/>
  <c r="AN294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L294" i="4"/>
  <c r="K294" i="4"/>
  <c r="J294" i="4"/>
  <c r="I294" i="4"/>
  <c r="H294" i="4"/>
  <c r="G294" i="4"/>
  <c r="F294" i="4"/>
  <c r="E294" i="4"/>
  <c r="AV293" i="4"/>
  <c r="AU293" i="4"/>
  <c r="AT293" i="4"/>
  <c r="AS293" i="4"/>
  <c r="AR293" i="4"/>
  <c r="AQ293" i="4"/>
  <c r="AP293" i="4"/>
  <c r="AO293" i="4"/>
  <c r="AN293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L293" i="4"/>
  <c r="K293" i="4"/>
  <c r="J293" i="4"/>
  <c r="I293" i="4"/>
  <c r="H293" i="4"/>
  <c r="G293" i="4"/>
  <c r="F293" i="4"/>
  <c r="E293" i="4"/>
  <c r="AV292" i="4"/>
  <c r="AU292" i="4"/>
  <c r="AT292" i="4"/>
  <c r="AS292" i="4"/>
  <c r="AR292" i="4"/>
  <c r="AQ292" i="4"/>
  <c r="AP292" i="4"/>
  <c r="AO292" i="4"/>
  <c r="AN292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L292" i="4"/>
  <c r="K292" i="4"/>
  <c r="J292" i="4"/>
  <c r="I292" i="4"/>
  <c r="H292" i="4"/>
  <c r="G292" i="4"/>
  <c r="F292" i="4"/>
  <c r="E292" i="4"/>
  <c r="AV291" i="4"/>
  <c r="AU291" i="4"/>
  <c r="AT291" i="4"/>
  <c r="AS291" i="4"/>
  <c r="AR291" i="4"/>
  <c r="AQ291" i="4"/>
  <c r="AP291" i="4"/>
  <c r="AO291" i="4"/>
  <c r="AN291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L291" i="4"/>
  <c r="K291" i="4"/>
  <c r="J291" i="4"/>
  <c r="I291" i="4"/>
  <c r="H291" i="4"/>
  <c r="G291" i="4"/>
  <c r="F291" i="4"/>
  <c r="E291" i="4"/>
  <c r="AV290" i="4"/>
  <c r="AU290" i="4"/>
  <c r="AT290" i="4"/>
  <c r="AS290" i="4"/>
  <c r="AR290" i="4"/>
  <c r="AQ290" i="4"/>
  <c r="AP290" i="4"/>
  <c r="AO290" i="4"/>
  <c r="AN290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L290" i="4"/>
  <c r="K290" i="4"/>
  <c r="J290" i="4"/>
  <c r="I290" i="4"/>
  <c r="H290" i="4"/>
  <c r="G290" i="4"/>
  <c r="F290" i="4"/>
  <c r="E290" i="4"/>
  <c r="AV289" i="4"/>
  <c r="AU289" i="4"/>
  <c r="AT289" i="4"/>
  <c r="AS289" i="4"/>
  <c r="AR289" i="4"/>
  <c r="AQ289" i="4"/>
  <c r="AP289" i="4"/>
  <c r="AO289" i="4"/>
  <c r="AN289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L289" i="4"/>
  <c r="K289" i="4"/>
  <c r="J289" i="4"/>
  <c r="I289" i="4"/>
  <c r="H289" i="4"/>
  <c r="G289" i="4"/>
  <c r="F289" i="4"/>
  <c r="E289" i="4"/>
  <c r="AV288" i="4"/>
  <c r="AU288" i="4"/>
  <c r="AT288" i="4"/>
  <c r="AS288" i="4"/>
  <c r="AR288" i="4"/>
  <c r="AQ288" i="4"/>
  <c r="AP288" i="4"/>
  <c r="AO288" i="4"/>
  <c r="AN288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L288" i="4"/>
  <c r="K288" i="4"/>
  <c r="J288" i="4"/>
  <c r="I288" i="4"/>
  <c r="H288" i="4"/>
  <c r="G288" i="4"/>
  <c r="F288" i="4"/>
  <c r="E288" i="4"/>
  <c r="AV287" i="4"/>
  <c r="AU287" i="4"/>
  <c r="AT287" i="4"/>
  <c r="AS287" i="4"/>
  <c r="AR287" i="4"/>
  <c r="AQ287" i="4"/>
  <c r="AP287" i="4"/>
  <c r="AO287" i="4"/>
  <c r="AN287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L287" i="4"/>
  <c r="K287" i="4"/>
  <c r="J287" i="4"/>
  <c r="I287" i="4"/>
  <c r="H287" i="4"/>
  <c r="G287" i="4"/>
  <c r="F287" i="4"/>
  <c r="E287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L286" i="4"/>
  <c r="K286" i="4"/>
  <c r="J286" i="4"/>
  <c r="I286" i="4"/>
  <c r="H286" i="4"/>
  <c r="G286" i="4"/>
  <c r="F286" i="4"/>
  <c r="E286" i="4"/>
  <c r="AV285" i="4"/>
  <c r="AU285" i="4"/>
  <c r="AT285" i="4"/>
  <c r="AS285" i="4"/>
  <c r="AR285" i="4"/>
  <c r="AQ285" i="4"/>
  <c r="AP285" i="4"/>
  <c r="AO285" i="4"/>
  <c r="AN285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L285" i="4"/>
  <c r="K285" i="4"/>
  <c r="J285" i="4"/>
  <c r="I285" i="4"/>
  <c r="H285" i="4"/>
  <c r="G285" i="4"/>
  <c r="F285" i="4"/>
  <c r="E285" i="4"/>
  <c r="AV284" i="4"/>
  <c r="AU284" i="4"/>
  <c r="AT284" i="4"/>
  <c r="AS284" i="4"/>
  <c r="AR284" i="4"/>
  <c r="AQ284" i="4"/>
  <c r="AP284" i="4"/>
  <c r="AO284" i="4"/>
  <c r="AN284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L284" i="4"/>
  <c r="K284" i="4"/>
  <c r="J284" i="4"/>
  <c r="I284" i="4"/>
  <c r="H284" i="4"/>
  <c r="G284" i="4"/>
  <c r="F284" i="4"/>
  <c r="E284" i="4"/>
  <c r="AV283" i="4"/>
  <c r="AU283" i="4"/>
  <c r="AT283" i="4"/>
  <c r="AS283" i="4"/>
  <c r="AR283" i="4"/>
  <c r="AQ283" i="4"/>
  <c r="AP283" i="4"/>
  <c r="AO283" i="4"/>
  <c r="AN283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L283" i="4"/>
  <c r="K283" i="4"/>
  <c r="J283" i="4"/>
  <c r="I283" i="4"/>
  <c r="H283" i="4"/>
  <c r="G283" i="4"/>
  <c r="F283" i="4"/>
  <c r="E283" i="4"/>
  <c r="AV282" i="4"/>
  <c r="AU282" i="4"/>
  <c r="AT282" i="4"/>
  <c r="AS282" i="4"/>
  <c r="AR282" i="4"/>
  <c r="AQ282" i="4"/>
  <c r="AP282" i="4"/>
  <c r="AO282" i="4"/>
  <c r="AN282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L282" i="4"/>
  <c r="K282" i="4"/>
  <c r="J282" i="4"/>
  <c r="I282" i="4"/>
  <c r="H282" i="4"/>
  <c r="G282" i="4"/>
  <c r="F282" i="4"/>
  <c r="E282" i="4"/>
  <c r="AV281" i="4"/>
  <c r="AU281" i="4"/>
  <c r="AT281" i="4"/>
  <c r="AS281" i="4"/>
  <c r="AR281" i="4"/>
  <c r="AQ281" i="4"/>
  <c r="AP281" i="4"/>
  <c r="AO281" i="4"/>
  <c r="AN281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L281" i="4"/>
  <c r="K281" i="4"/>
  <c r="J281" i="4"/>
  <c r="I281" i="4"/>
  <c r="H281" i="4"/>
  <c r="G281" i="4"/>
  <c r="F281" i="4"/>
  <c r="E281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L280" i="4"/>
  <c r="K280" i="4"/>
  <c r="J280" i="4"/>
  <c r="I280" i="4"/>
  <c r="H280" i="4"/>
  <c r="G280" i="4"/>
  <c r="F280" i="4"/>
  <c r="E280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L279" i="4"/>
  <c r="K279" i="4"/>
  <c r="J279" i="4"/>
  <c r="I279" i="4"/>
  <c r="H279" i="4"/>
  <c r="G279" i="4"/>
  <c r="F279" i="4"/>
  <c r="E279" i="4"/>
  <c r="AV278" i="4"/>
  <c r="AU278" i="4"/>
  <c r="AT278" i="4"/>
  <c r="AS278" i="4"/>
  <c r="AR278" i="4"/>
  <c r="AQ278" i="4"/>
  <c r="AP278" i="4"/>
  <c r="AO278" i="4"/>
  <c r="AN278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L278" i="4"/>
  <c r="K278" i="4"/>
  <c r="J278" i="4"/>
  <c r="I278" i="4"/>
  <c r="H278" i="4"/>
  <c r="G278" i="4"/>
  <c r="F278" i="4"/>
  <c r="E278" i="4"/>
  <c r="AV277" i="4"/>
  <c r="AU277" i="4"/>
  <c r="AT277" i="4"/>
  <c r="AS277" i="4"/>
  <c r="AR277" i="4"/>
  <c r="AQ277" i="4"/>
  <c r="AP277" i="4"/>
  <c r="AO277" i="4"/>
  <c r="AN277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L277" i="4"/>
  <c r="K277" i="4"/>
  <c r="J277" i="4"/>
  <c r="I277" i="4"/>
  <c r="H277" i="4"/>
  <c r="G277" i="4"/>
  <c r="F277" i="4"/>
  <c r="E277" i="4"/>
  <c r="AV276" i="4"/>
  <c r="AU276" i="4"/>
  <c r="AT276" i="4"/>
  <c r="AS276" i="4"/>
  <c r="AR276" i="4"/>
  <c r="AQ276" i="4"/>
  <c r="AP276" i="4"/>
  <c r="AO276" i="4"/>
  <c r="AN276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L276" i="4"/>
  <c r="K276" i="4"/>
  <c r="J276" i="4"/>
  <c r="I276" i="4"/>
  <c r="H276" i="4"/>
  <c r="G276" i="4"/>
  <c r="F276" i="4"/>
  <c r="E276" i="4"/>
  <c r="AV275" i="4"/>
  <c r="AU275" i="4"/>
  <c r="AT275" i="4"/>
  <c r="AS275" i="4"/>
  <c r="AR275" i="4"/>
  <c r="AQ275" i="4"/>
  <c r="AP275" i="4"/>
  <c r="AO275" i="4"/>
  <c r="AN275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L275" i="4"/>
  <c r="K275" i="4"/>
  <c r="J275" i="4"/>
  <c r="I275" i="4"/>
  <c r="H275" i="4"/>
  <c r="G275" i="4"/>
  <c r="F275" i="4"/>
  <c r="E275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AV273" i="4"/>
  <c r="AU273" i="4"/>
  <c r="AT273" i="4"/>
  <c r="AS273" i="4"/>
  <c r="AR273" i="4"/>
  <c r="AQ273" i="4"/>
  <c r="AP273" i="4"/>
  <c r="AO273" i="4"/>
  <c r="AN273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L273" i="4"/>
  <c r="K273" i="4"/>
  <c r="J273" i="4"/>
  <c r="I273" i="4"/>
  <c r="H273" i="4"/>
  <c r="G273" i="4"/>
  <c r="F273" i="4"/>
  <c r="E273" i="4"/>
  <c r="AV272" i="4"/>
  <c r="AU272" i="4"/>
  <c r="AT272" i="4"/>
  <c r="AS272" i="4"/>
  <c r="AR272" i="4"/>
  <c r="AQ272" i="4"/>
  <c r="AP272" i="4"/>
  <c r="AO272" i="4"/>
  <c r="AN272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L272" i="4"/>
  <c r="K272" i="4"/>
  <c r="J272" i="4"/>
  <c r="I272" i="4"/>
  <c r="H272" i="4"/>
  <c r="G272" i="4"/>
  <c r="F272" i="4"/>
  <c r="E272" i="4"/>
  <c r="AV271" i="4"/>
  <c r="AU271" i="4"/>
  <c r="AT271" i="4"/>
  <c r="AS271" i="4"/>
  <c r="AR271" i="4"/>
  <c r="AQ271" i="4"/>
  <c r="AP271" i="4"/>
  <c r="AO271" i="4"/>
  <c r="AN271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L271" i="4"/>
  <c r="K271" i="4"/>
  <c r="J271" i="4"/>
  <c r="I271" i="4"/>
  <c r="H271" i="4"/>
  <c r="G271" i="4"/>
  <c r="F271" i="4"/>
  <c r="E271" i="4"/>
  <c r="AV270" i="4"/>
  <c r="AU270" i="4"/>
  <c r="AT270" i="4"/>
  <c r="AS270" i="4"/>
  <c r="AR270" i="4"/>
  <c r="AQ270" i="4"/>
  <c r="AP270" i="4"/>
  <c r="AO270" i="4"/>
  <c r="AN270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L270" i="4"/>
  <c r="K270" i="4"/>
  <c r="J270" i="4"/>
  <c r="I270" i="4"/>
  <c r="H270" i="4"/>
  <c r="G270" i="4"/>
  <c r="F270" i="4"/>
  <c r="E270" i="4"/>
  <c r="AV269" i="4"/>
  <c r="AU269" i="4"/>
  <c r="AT269" i="4"/>
  <c r="AS269" i="4"/>
  <c r="AR269" i="4"/>
  <c r="AQ269" i="4"/>
  <c r="AP269" i="4"/>
  <c r="AO269" i="4"/>
  <c r="AN269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L269" i="4"/>
  <c r="K269" i="4"/>
  <c r="J269" i="4"/>
  <c r="I269" i="4"/>
  <c r="H269" i="4"/>
  <c r="G269" i="4"/>
  <c r="F269" i="4"/>
  <c r="E269" i="4"/>
  <c r="AV268" i="4"/>
  <c r="AU268" i="4"/>
  <c r="AT268" i="4"/>
  <c r="AS268" i="4"/>
  <c r="AR268" i="4"/>
  <c r="AQ268" i="4"/>
  <c r="AP268" i="4"/>
  <c r="AO268" i="4"/>
  <c r="AN268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L268" i="4"/>
  <c r="K268" i="4"/>
  <c r="J268" i="4"/>
  <c r="I268" i="4"/>
  <c r="H268" i="4"/>
  <c r="G268" i="4"/>
  <c r="F268" i="4"/>
  <c r="E268" i="4"/>
  <c r="AV267" i="4"/>
  <c r="AU267" i="4"/>
  <c r="AT267" i="4"/>
  <c r="AS267" i="4"/>
  <c r="AR267" i="4"/>
  <c r="AQ267" i="4"/>
  <c r="AP267" i="4"/>
  <c r="AO267" i="4"/>
  <c r="AN267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L267" i="4"/>
  <c r="K267" i="4"/>
  <c r="J267" i="4"/>
  <c r="I267" i="4"/>
  <c r="H267" i="4"/>
  <c r="G267" i="4"/>
  <c r="F267" i="4"/>
  <c r="E267" i="4"/>
  <c r="AV266" i="4"/>
  <c r="AU266" i="4"/>
  <c r="AT266" i="4"/>
  <c r="AS266" i="4"/>
  <c r="AR266" i="4"/>
  <c r="AQ266" i="4"/>
  <c r="AP266" i="4"/>
  <c r="AO266" i="4"/>
  <c r="AN266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L266" i="4"/>
  <c r="K266" i="4"/>
  <c r="J266" i="4"/>
  <c r="I266" i="4"/>
  <c r="H266" i="4"/>
  <c r="G266" i="4"/>
  <c r="F266" i="4"/>
  <c r="E266" i="4"/>
  <c r="AV265" i="4"/>
  <c r="AU265" i="4"/>
  <c r="AT265" i="4"/>
  <c r="AS265" i="4"/>
  <c r="AR265" i="4"/>
  <c r="AQ265" i="4"/>
  <c r="AP265" i="4"/>
  <c r="AO265" i="4"/>
  <c r="AN265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L265" i="4"/>
  <c r="K265" i="4"/>
  <c r="J265" i="4"/>
  <c r="I265" i="4"/>
  <c r="H265" i="4"/>
  <c r="G265" i="4"/>
  <c r="F265" i="4"/>
  <c r="E265" i="4"/>
  <c r="AV264" i="4"/>
  <c r="AU264" i="4"/>
  <c r="AT264" i="4"/>
  <c r="AS264" i="4"/>
  <c r="AR264" i="4"/>
  <c r="AQ264" i="4"/>
  <c r="AP264" i="4"/>
  <c r="AO264" i="4"/>
  <c r="AN264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L264" i="4"/>
  <c r="K264" i="4"/>
  <c r="J264" i="4"/>
  <c r="I264" i="4"/>
  <c r="H264" i="4"/>
  <c r="G264" i="4"/>
  <c r="F264" i="4"/>
  <c r="E264" i="4"/>
  <c r="AV263" i="4"/>
  <c r="AU263" i="4"/>
  <c r="AT263" i="4"/>
  <c r="AS263" i="4"/>
  <c r="AR263" i="4"/>
  <c r="AQ263" i="4"/>
  <c r="AP263" i="4"/>
  <c r="AO263" i="4"/>
  <c r="AN263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L263" i="4"/>
  <c r="K263" i="4"/>
  <c r="J263" i="4"/>
  <c r="I263" i="4"/>
  <c r="H263" i="4"/>
  <c r="G263" i="4"/>
  <c r="F263" i="4"/>
  <c r="E263" i="4"/>
  <c r="AV262" i="4"/>
  <c r="AU262" i="4"/>
  <c r="AT262" i="4"/>
  <c r="AS262" i="4"/>
  <c r="AR262" i="4"/>
  <c r="AQ262" i="4"/>
  <c r="AP262" i="4"/>
  <c r="AO262" i="4"/>
  <c r="AN262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L262" i="4"/>
  <c r="K262" i="4"/>
  <c r="J262" i="4"/>
  <c r="I262" i="4"/>
  <c r="H262" i="4"/>
  <c r="G262" i="4"/>
  <c r="F262" i="4"/>
  <c r="E262" i="4"/>
  <c r="AV261" i="4"/>
  <c r="AU261" i="4"/>
  <c r="AT261" i="4"/>
  <c r="AS261" i="4"/>
  <c r="AR261" i="4"/>
  <c r="AQ261" i="4"/>
  <c r="AP261" i="4"/>
  <c r="AO261" i="4"/>
  <c r="AN261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L261" i="4"/>
  <c r="K261" i="4"/>
  <c r="J261" i="4"/>
  <c r="I261" i="4"/>
  <c r="H261" i="4"/>
  <c r="G261" i="4"/>
  <c r="F261" i="4"/>
  <c r="E261" i="4"/>
  <c r="AV260" i="4"/>
  <c r="AU260" i="4"/>
  <c r="AT260" i="4"/>
  <c r="AS260" i="4"/>
  <c r="AR260" i="4"/>
  <c r="AQ260" i="4"/>
  <c r="AP260" i="4"/>
  <c r="AO260" i="4"/>
  <c r="AN260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L260" i="4"/>
  <c r="K260" i="4"/>
  <c r="J260" i="4"/>
  <c r="I260" i="4"/>
  <c r="H260" i="4"/>
  <c r="G260" i="4"/>
  <c r="F260" i="4"/>
  <c r="E260" i="4"/>
  <c r="AV259" i="4"/>
  <c r="AU259" i="4"/>
  <c r="AT259" i="4"/>
  <c r="AS259" i="4"/>
  <c r="AR259" i="4"/>
  <c r="AQ259" i="4"/>
  <c r="AP259" i="4"/>
  <c r="AO259" i="4"/>
  <c r="AN259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L259" i="4"/>
  <c r="K259" i="4"/>
  <c r="J259" i="4"/>
  <c r="I259" i="4"/>
  <c r="H259" i="4"/>
  <c r="G259" i="4"/>
  <c r="F259" i="4"/>
  <c r="E259" i="4"/>
  <c r="AV258" i="4"/>
  <c r="AU258" i="4"/>
  <c r="AT258" i="4"/>
  <c r="AS258" i="4"/>
  <c r="AR258" i="4"/>
  <c r="AQ258" i="4"/>
  <c r="AP258" i="4"/>
  <c r="AO258" i="4"/>
  <c r="AN258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L258" i="4"/>
  <c r="K258" i="4"/>
  <c r="J258" i="4"/>
  <c r="I258" i="4"/>
  <c r="H258" i="4"/>
  <c r="G258" i="4"/>
  <c r="F258" i="4"/>
  <c r="E258" i="4"/>
  <c r="AV257" i="4"/>
  <c r="AU257" i="4"/>
  <c r="AT257" i="4"/>
  <c r="AS257" i="4"/>
  <c r="AR257" i="4"/>
  <c r="AQ257" i="4"/>
  <c r="AP257" i="4"/>
  <c r="AO257" i="4"/>
  <c r="AN257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L257" i="4"/>
  <c r="K257" i="4"/>
  <c r="J257" i="4"/>
  <c r="I257" i="4"/>
  <c r="H257" i="4"/>
  <c r="G257" i="4"/>
  <c r="F257" i="4"/>
  <c r="E257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L256" i="4"/>
  <c r="K256" i="4"/>
  <c r="J256" i="4"/>
  <c r="I256" i="4"/>
  <c r="H256" i="4"/>
  <c r="G256" i="4"/>
  <c r="F256" i="4"/>
  <c r="E256" i="4"/>
  <c r="AV255" i="4"/>
  <c r="AU255" i="4"/>
  <c r="AT255" i="4"/>
  <c r="AS255" i="4"/>
  <c r="AR255" i="4"/>
  <c r="AQ255" i="4"/>
  <c r="AP255" i="4"/>
  <c r="AO255" i="4"/>
  <c r="AN255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L255" i="4"/>
  <c r="K255" i="4"/>
  <c r="J255" i="4"/>
  <c r="I255" i="4"/>
  <c r="H255" i="4"/>
  <c r="G255" i="4"/>
  <c r="F255" i="4"/>
  <c r="E255" i="4"/>
  <c r="AV254" i="4"/>
  <c r="AU254" i="4"/>
  <c r="AT254" i="4"/>
  <c r="AS254" i="4"/>
  <c r="AR254" i="4"/>
  <c r="AQ254" i="4"/>
  <c r="AP254" i="4"/>
  <c r="AO254" i="4"/>
  <c r="AN254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L254" i="4"/>
  <c r="K254" i="4"/>
  <c r="J254" i="4"/>
  <c r="I254" i="4"/>
  <c r="H254" i="4"/>
  <c r="G254" i="4"/>
  <c r="F254" i="4"/>
  <c r="E254" i="4"/>
  <c r="AV253" i="4"/>
  <c r="AU253" i="4"/>
  <c r="AT253" i="4"/>
  <c r="AS253" i="4"/>
  <c r="AR253" i="4"/>
  <c r="AQ253" i="4"/>
  <c r="AP253" i="4"/>
  <c r="AO253" i="4"/>
  <c r="AN253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L253" i="4"/>
  <c r="K253" i="4"/>
  <c r="J253" i="4"/>
  <c r="I253" i="4"/>
  <c r="H253" i="4"/>
  <c r="G253" i="4"/>
  <c r="F253" i="4"/>
  <c r="E253" i="4"/>
  <c r="AV252" i="4"/>
  <c r="AU252" i="4"/>
  <c r="AT252" i="4"/>
  <c r="AS252" i="4"/>
  <c r="AR252" i="4"/>
  <c r="AQ252" i="4"/>
  <c r="AP252" i="4"/>
  <c r="AO252" i="4"/>
  <c r="AN252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L252" i="4"/>
  <c r="K252" i="4"/>
  <c r="J252" i="4"/>
  <c r="I252" i="4"/>
  <c r="H252" i="4"/>
  <c r="G252" i="4"/>
  <c r="F252" i="4"/>
  <c r="E252" i="4"/>
  <c r="AV251" i="4"/>
  <c r="AU251" i="4"/>
  <c r="AT251" i="4"/>
  <c r="AS251" i="4"/>
  <c r="AR251" i="4"/>
  <c r="AQ251" i="4"/>
  <c r="AP251" i="4"/>
  <c r="AO251" i="4"/>
  <c r="AN251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L251" i="4"/>
  <c r="K251" i="4"/>
  <c r="J251" i="4"/>
  <c r="I251" i="4"/>
  <c r="H251" i="4"/>
  <c r="G251" i="4"/>
  <c r="F251" i="4"/>
  <c r="E251" i="4"/>
  <c r="AV250" i="4"/>
  <c r="AU250" i="4"/>
  <c r="AT250" i="4"/>
  <c r="AS250" i="4"/>
  <c r="AR250" i="4"/>
  <c r="AQ250" i="4"/>
  <c r="AP250" i="4"/>
  <c r="AO250" i="4"/>
  <c r="AN250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L250" i="4"/>
  <c r="K250" i="4"/>
  <c r="J250" i="4"/>
  <c r="I250" i="4"/>
  <c r="H250" i="4"/>
  <c r="G250" i="4"/>
  <c r="F250" i="4"/>
  <c r="E250" i="4"/>
  <c r="AV249" i="4"/>
  <c r="AU249" i="4"/>
  <c r="AT249" i="4"/>
  <c r="AS249" i="4"/>
  <c r="AR249" i="4"/>
  <c r="AQ249" i="4"/>
  <c r="AP249" i="4"/>
  <c r="AO249" i="4"/>
  <c r="AN249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L249" i="4"/>
  <c r="K249" i="4"/>
  <c r="J249" i="4"/>
  <c r="I249" i="4"/>
  <c r="H249" i="4"/>
  <c r="G249" i="4"/>
  <c r="F249" i="4"/>
  <c r="E249" i="4"/>
  <c r="AV248" i="4"/>
  <c r="AU248" i="4"/>
  <c r="AT248" i="4"/>
  <c r="AS248" i="4"/>
  <c r="AR248" i="4"/>
  <c r="AQ248" i="4"/>
  <c r="AP248" i="4"/>
  <c r="AO248" i="4"/>
  <c r="AN248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L248" i="4"/>
  <c r="K248" i="4"/>
  <c r="J248" i="4"/>
  <c r="I248" i="4"/>
  <c r="H248" i="4"/>
  <c r="G248" i="4"/>
  <c r="F248" i="4"/>
  <c r="E248" i="4"/>
  <c r="AV247" i="4"/>
  <c r="AU247" i="4"/>
  <c r="AT247" i="4"/>
  <c r="AS247" i="4"/>
  <c r="AR247" i="4"/>
  <c r="AQ247" i="4"/>
  <c r="AP247" i="4"/>
  <c r="AO247" i="4"/>
  <c r="AN247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L247" i="4"/>
  <c r="K247" i="4"/>
  <c r="J247" i="4"/>
  <c r="I247" i="4"/>
  <c r="H247" i="4"/>
  <c r="G247" i="4"/>
  <c r="F247" i="4"/>
  <c r="E247" i="4"/>
  <c r="AV246" i="4"/>
  <c r="AU246" i="4"/>
  <c r="AT246" i="4"/>
  <c r="AS246" i="4"/>
  <c r="AR246" i="4"/>
  <c r="AQ246" i="4"/>
  <c r="AP246" i="4"/>
  <c r="AO246" i="4"/>
  <c r="AN246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L246" i="4"/>
  <c r="K246" i="4"/>
  <c r="J246" i="4"/>
  <c r="I246" i="4"/>
  <c r="H246" i="4"/>
  <c r="G246" i="4"/>
  <c r="F246" i="4"/>
  <c r="E246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L245" i="4"/>
  <c r="K245" i="4"/>
  <c r="J245" i="4"/>
  <c r="I245" i="4"/>
  <c r="H245" i="4"/>
  <c r="G245" i="4"/>
  <c r="F245" i="4"/>
  <c r="E245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L244" i="4"/>
  <c r="K244" i="4"/>
  <c r="J244" i="4"/>
  <c r="I244" i="4"/>
  <c r="H244" i="4"/>
  <c r="G244" i="4"/>
  <c r="F244" i="4"/>
  <c r="E244" i="4"/>
  <c r="AV243" i="4"/>
  <c r="AU243" i="4"/>
  <c r="AT243" i="4"/>
  <c r="AS243" i="4"/>
  <c r="AR243" i="4"/>
  <c r="AQ243" i="4"/>
  <c r="AP243" i="4"/>
  <c r="AO243" i="4"/>
  <c r="AN243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L243" i="4"/>
  <c r="K243" i="4"/>
  <c r="J243" i="4"/>
  <c r="I243" i="4"/>
  <c r="H243" i="4"/>
  <c r="G243" i="4"/>
  <c r="F243" i="4"/>
  <c r="E243" i="4"/>
  <c r="AV242" i="4"/>
  <c r="AU242" i="4"/>
  <c r="AT242" i="4"/>
  <c r="AS242" i="4"/>
  <c r="AR242" i="4"/>
  <c r="AQ242" i="4"/>
  <c r="AP242" i="4"/>
  <c r="AO242" i="4"/>
  <c r="AN242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L242" i="4"/>
  <c r="K242" i="4"/>
  <c r="J242" i="4"/>
  <c r="I242" i="4"/>
  <c r="H242" i="4"/>
  <c r="G242" i="4"/>
  <c r="F242" i="4"/>
  <c r="E242" i="4"/>
  <c r="AV241" i="4"/>
  <c r="AU241" i="4"/>
  <c r="AT241" i="4"/>
  <c r="AS241" i="4"/>
  <c r="AR241" i="4"/>
  <c r="AQ241" i="4"/>
  <c r="AP241" i="4"/>
  <c r="AO241" i="4"/>
  <c r="AN241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L241" i="4"/>
  <c r="K241" i="4"/>
  <c r="J241" i="4"/>
  <c r="I241" i="4"/>
  <c r="H241" i="4"/>
  <c r="G241" i="4"/>
  <c r="F241" i="4"/>
  <c r="E241" i="4"/>
  <c r="AV240" i="4"/>
  <c r="AU240" i="4"/>
  <c r="AT240" i="4"/>
  <c r="AS240" i="4"/>
  <c r="AR240" i="4"/>
  <c r="AQ240" i="4"/>
  <c r="AP240" i="4"/>
  <c r="AO240" i="4"/>
  <c r="AN240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L240" i="4"/>
  <c r="K240" i="4"/>
  <c r="J240" i="4"/>
  <c r="I240" i="4"/>
  <c r="H240" i="4"/>
  <c r="G240" i="4"/>
  <c r="F240" i="4"/>
  <c r="E240" i="4"/>
  <c r="AV239" i="4"/>
  <c r="AU239" i="4"/>
  <c r="AT239" i="4"/>
  <c r="AS239" i="4"/>
  <c r="AR239" i="4"/>
  <c r="AQ239" i="4"/>
  <c r="AP239" i="4"/>
  <c r="AO239" i="4"/>
  <c r="AN239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L239" i="4"/>
  <c r="K239" i="4"/>
  <c r="J239" i="4"/>
  <c r="I239" i="4"/>
  <c r="H239" i="4"/>
  <c r="G239" i="4"/>
  <c r="F239" i="4"/>
  <c r="E239" i="4"/>
  <c r="AV238" i="4"/>
  <c r="AU238" i="4"/>
  <c r="AT238" i="4"/>
  <c r="AS238" i="4"/>
  <c r="AR238" i="4"/>
  <c r="AQ238" i="4"/>
  <c r="AP238" i="4"/>
  <c r="AO238" i="4"/>
  <c r="AN238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AV237" i="4"/>
  <c r="AU237" i="4"/>
  <c r="AT237" i="4"/>
  <c r="AS237" i="4"/>
  <c r="AR237" i="4"/>
  <c r="AQ237" i="4"/>
  <c r="AP237" i="4"/>
  <c r="AO237" i="4"/>
  <c r="AN237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L237" i="4"/>
  <c r="K237" i="4"/>
  <c r="J237" i="4"/>
  <c r="I237" i="4"/>
  <c r="H237" i="4"/>
  <c r="G237" i="4"/>
  <c r="F237" i="4"/>
  <c r="E237" i="4"/>
  <c r="AV236" i="4"/>
  <c r="AU236" i="4"/>
  <c r="AT236" i="4"/>
  <c r="AS236" i="4"/>
  <c r="AR236" i="4"/>
  <c r="AQ236" i="4"/>
  <c r="AP236" i="4"/>
  <c r="AO236" i="4"/>
  <c r="AN236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L236" i="4"/>
  <c r="K236" i="4"/>
  <c r="J236" i="4"/>
  <c r="I236" i="4"/>
  <c r="H236" i="4"/>
  <c r="G236" i="4"/>
  <c r="F236" i="4"/>
  <c r="E236" i="4"/>
  <c r="AV235" i="4"/>
  <c r="AU235" i="4"/>
  <c r="AT235" i="4"/>
  <c r="AS235" i="4"/>
  <c r="AR235" i="4"/>
  <c r="AQ235" i="4"/>
  <c r="AP235" i="4"/>
  <c r="AO235" i="4"/>
  <c r="AN235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L235" i="4"/>
  <c r="K235" i="4"/>
  <c r="J235" i="4"/>
  <c r="I235" i="4"/>
  <c r="H235" i="4"/>
  <c r="G235" i="4"/>
  <c r="F235" i="4"/>
  <c r="E235" i="4"/>
  <c r="AV234" i="4"/>
  <c r="AU234" i="4"/>
  <c r="AT234" i="4"/>
  <c r="AS234" i="4"/>
  <c r="AR234" i="4"/>
  <c r="AQ234" i="4"/>
  <c r="AP234" i="4"/>
  <c r="AO234" i="4"/>
  <c r="AN234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L234" i="4"/>
  <c r="K234" i="4"/>
  <c r="J234" i="4"/>
  <c r="I234" i="4"/>
  <c r="H234" i="4"/>
  <c r="G234" i="4"/>
  <c r="F234" i="4"/>
  <c r="E234" i="4"/>
  <c r="AV233" i="4"/>
  <c r="AU233" i="4"/>
  <c r="AT233" i="4"/>
  <c r="AS233" i="4"/>
  <c r="AR233" i="4"/>
  <c r="AQ233" i="4"/>
  <c r="AP233" i="4"/>
  <c r="AO233" i="4"/>
  <c r="AN233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L233" i="4"/>
  <c r="K233" i="4"/>
  <c r="J233" i="4"/>
  <c r="I233" i="4"/>
  <c r="H233" i="4"/>
  <c r="G233" i="4"/>
  <c r="F233" i="4"/>
  <c r="E233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L232" i="4"/>
  <c r="K232" i="4"/>
  <c r="J232" i="4"/>
  <c r="I232" i="4"/>
  <c r="H232" i="4"/>
  <c r="G232" i="4"/>
  <c r="F232" i="4"/>
  <c r="E232" i="4"/>
  <c r="AV231" i="4"/>
  <c r="AU231" i="4"/>
  <c r="AT231" i="4"/>
  <c r="AS231" i="4"/>
  <c r="AR231" i="4"/>
  <c r="AQ231" i="4"/>
  <c r="AP231" i="4"/>
  <c r="AO231" i="4"/>
  <c r="AN231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L231" i="4"/>
  <c r="K231" i="4"/>
  <c r="J231" i="4"/>
  <c r="I231" i="4"/>
  <c r="H231" i="4"/>
  <c r="G231" i="4"/>
  <c r="F231" i="4"/>
  <c r="E231" i="4"/>
  <c r="AV230" i="4"/>
  <c r="AU230" i="4"/>
  <c r="AT230" i="4"/>
  <c r="AS230" i="4"/>
  <c r="AR230" i="4"/>
  <c r="AQ230" i="4"/>
  <c r="AP230" i="4"/>
  <c r="AO230" i="4"/>
  <c r="AN230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L230" i="4"/>
  <c r="K230" i="4"/>
  <c r="J230" i="4"/>
  <c r="I230" i="4"/>
  <c r="H230" i="4"/>
  <c r="G230" i="4"/>
  <c r="F230" i="4"/>
  <c r="E230" i="4"/>
  <c r="AV229" i="4"/>
  <c r="AU229" i="4"/>
  <c r="AT229" i="4"/>
  <c r="AS229" i="4"/>
  <c r="AR229" i="4"/>
  <c r="AQ229" i="4"/>
  <c r="AP229" i="4"/>
  <c r="AO229" i="4"/>
  <c r="AN229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L229" i="4"/>
  <c r="K229" i="4"/>
  <c r="J229" i="4"/>
  <c r="I229" i="4"/>
  <c r="H229" i="4"/>
  <c r="G229" i="4"/>
  <c r="F229" i="4"/>
  <c r="E229" i="4"/>
  <c r="AV228" i="4"/>
  <c r="AU228" i="4"/>
  <c r="AT228" i="4"/>
  <c r="AS228" i="4"/>
  <c r="AR228" i="4"/>
  <c r="AQ228" i="4"/>
  <c r="AP228" i="4"/>
  <c r="AO228" i="4"/>
  <c r="AN228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L228" i="4"/>
  <c r="K228" i="4"/>
  <c r="J228" i="4"/>
  <c r="I228" i="4"/>
  <c r="H228" i="4"/>
  <c r="G228" i="4"/>
  <c r="F228" i="4"/>
  <c r="E228" i="4"/>
  <c r="AV227" i="4"/>
  <c r="AU227" i="4"/>
  <c r="AT227" i="4"/>
  <c r="AS227" i="4"/>
  <c r="AR227" i="4"/>
  <c r="AQ227" i="4"/>
  <c r="AP227" i="4"/>
  <c r="AO227" i="4"/>
  <c r="AN227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L227" i="4"/>
  <c r="K227" i="4"/>
  <c r="J227" i="4"/>
  <c r="I227" i="4"/>
  <c r="H227" i="4"/>
  <c r="G227" i="4"/>
  <c r="F227" i="4"/>
  <c r="E227" i="4"/>
  <c r="AV226" i="4"/>
  <c r="AU226" i="4"/>
  <c r="AT226" i="4"/>
  <c r="AS226" i="4"/>
  <c r="AR226" i="4"/>
  <c r="AQ226" i="4"/>
  <c r="AP226" i="4"/>
  <c r="AO226" i="4"/>
  <c r="AN226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AV225" i="4"/>
  <c r="AU225" i="4"/>
  <c r="AT225" i="4"/>
  <c r="AS225" i="4"/>
  <c r="AR225" i="4"/>
  <c r="AQ225" i="4"/>
  <c r="AP225" i="4"/>
  <c r="AO225" i="4"/>
  <c r="AN225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AV224" i="4"/>
  <c r="AU224" i="4"/>
  <c r="AT224" i="4"/>
  <c r="AS224" i="4"/>
  <c r="AR224" i="4"/>
  <c r="AQ224" i="4"/>
  <c r="AP224" i="4"/>
  <c r="AO224" i="4"/>
  <c r="AN224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AV223" i="4"/>
  <c r="AU223" i="4"/>
  <c r="AT223" i="4"/>
  <c r="AS223" i="4"/>
  <c r="AR223" i="4"/>
  <c r="AQ223" i="4"/>
  <c r="AP223" i="4"/>
  <c r="AO223" i="4"/>
  <c r="AN223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AV222" i="4"/>
  <c r="AU222" i="4"/>
  <c r="AT222" i="4"/>
  <c r="AS222" i="4"/>
  <c r="AR222" i="4"/>
  <c r="AQ222" i="4"/>
  <c r="AP222" i="4"/>
  <c r="AO222" i="4"/>
  <c r="AN222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AV221" i="4"/>
  <c r="AU221" i="4"/>
  <c r="AT221" i="4"/>
  <c r="AS221" i="4"/>
  <c r="AR221" i="4"/>
  <c r="AQ221" i="4"/>
  <c r="AP221" i="4"/>
  <c r="AO221" i="4"/>
  <c r="AN221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AV220" i="4"/>
  <c r="AU220" i="4"/>
  <c r="AT220" i="4"/>
  <c r="AS220" i="4"/>
  <c r="AR220" i="4"/>
  <c r="AQ220" i="4"/>
  <c r="AP220" i="4"/>
  <c r="AO220" i="4"/>
  <c r="AN220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AV219" i="4"/>
  <c r="AU219" i="4"/>
  <c r="AT219" i="4"/>
  <c r="AS219" i="4"/>
  <c r="AR219" i="4"/>
  <c r="AQ219" i="4"/>
  <c r="AP219" i="4"/>
  <c r="AO219" i="4"/>
  <c r="AN219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AV218" i="4"/>
  <c r="AU218" i="4"/>
  <c r="AT218" i="4"/>
  <c r="AS218" i="4"/>
  <c r="AR218" i="4"/>
  <c r="AQ218" i="4"/>
  <c r="AP218" i="4"/>
  <c r="AO218" i="4"/>
  <c r="AN218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AV217" i="4"/>
  <c r="AU217" i="4"/>
  <c r="AT217" i="4"/>
  <c r="AS217" i="4"/>
  <c r="AR217" i="4"/>
  <c r="AQ217" i="4"/>
  <c r="AP217" i="4"/>
  <c r="AO217" i="4"/>
  <c r="AN217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AV216" i="4"/>
  <c r="AU216" i="4"/>
  <c r="AT216" i="4"/>
  <c r="AS216" i="4"/>
  <c r="AR216" i="4"/>
  <c r="AQ216" i="4"/>
  <c r="AP216" i="4"/>
  <c r="AO216" i="4"/>
  <c r="AN216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AV215" i="4"/>
  <c r="AU215" i="4"/>
  <c r="AT215" i="4"/>
  <c r="AS215" i="4"/>
  <c r="AR215" i="4"/>
  <c r="AQ215" i="4"/>
  <c r="AP215" i="4"/>
  <c r="AO215" i="4"/>
  <c r="AN215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AV214" i="4"/>
  <c r="AU214" i="4"/>
  <c r="AT214" i="4"/>
  <c r="AS214" i="4"/>
  <c r="AR214" i="4"/>
  <c r="AQ214" i="4"/>
  <c r="AP214" i="4"/>
  <c r="AO214" i="4"/>
  <c r="AN214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AV213" i="4"/>
  <c r="AU213" i="4"/>
  <c r="AT213" i="4"/>
  <c r="AS213" i="4"/>
  <c r="AR213" i="4"/>
  <c r="AQ213" i="4"/>
  <c r="AP213" i="4"/>
  <c r="AO213" i="4"/>
  <c r="AN213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AV212" i="4"/>
  <c r="AU212" i="4"/>
  <c r="AT212" i="4"/>
  <c r="AS212" i="4"/>
  <c r="AR212" i="4"/>
  <c r="AQ212" i="4"/>
  <c r="AP212" i="4"/>
  <c r="AO212" i="4"/>
  <c r="AN212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AV211" i="4"/>
  <c r="AU211" i="4"/>
  <c r="AT211" i="4"/>
  <c r="AS211" i="4"/>
  <c r="AR211" i="4"/>
  <c r="AQ211" i="4"/>
  <c r="AP211" i="4"/>
  <c r="AO211" i="4"/>
  <c r="AN211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L210" i="4"/>
  <c r="K210" i="4"/>
  <c r="J210" i="4"/>
  <c r="I210" i="4"/>
  <c r="H210" i="4"/>
  <c r="G210" i="4"/>
  <c r="F210" i="4"/>
  <c r="E210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L209" i="4"/>
  <c r="K209" i="4"/>
  <c r="J209" i="4"/>
  <c r="I209" i="4"/>
  <c r="H209" i="4"/>
  <c r="G209" i="4"/>
  <c r="F209" i="4"/>
  <c r="E209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AV207" i="4"/>
  <c r="AU207" i="4"/>
  <c r="AT207" i="4"/>
  <c r="AS207" i="4"/>
  <c r="AR207" i="4"/>
  <c r="AQ207" i="4"/>
  <c r="AP207" i="4"/>
  <c r="AO207" i="4"/>
  <c r="AN207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L207" i="4"/>
  <c r="K207" i="4"/>
  <c r="J207" i="4"/>
  <c r="I207" i="4"/>
  <c r="H207" i="4"/>
  <c r="G207" i="4"/>
  <c r="F207" i="4"/>
  <c r="E207" i="4"/>
  <c r="AV206" i="4"/>
  <c r="AU206" i="4"/>
  <c r="AT206" i="4"/>
  <c r="AS206" i="4"/>
  <c r="AR206" i="4"/>
  <c r="AQ206" i="4"/>
  <c r="AP206" i="4"/>
  <c r="AO206" i="4"/>
  <c r="AN206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AV205" i="4"/>
  <c r="AU205" i="4"/>
  <c r="AT205" i="4"/>
  <c r="AS205" i="4"/>
  <c r="AR205" i="4"/>
  <c r="AQ205" i="4"/>
  <c r="AP205" i="4"/>
  <c r="AO205" i="4"/>
  <c r="AN205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AV204" i="4"/>
  <c r="AU204" i="4"/>
  <c r="AT204" i="4"/>
  <c r="AS204" i="4"/>
  <c r="AR204" i="4"/>
  <c r="AQ204" i="4"/>
  <c r="AP204" i="4"/>
  <c r="AO204" i="4"/>
  <c r="AN204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AV203" i="4"/>
  <c r="AU203" i="4"/>
  <c r="AT203" i="4"/>
  <c r="AS203" i="4"/>
  <c r="AR203" i="4"/>
  <c r="AQ203" i="4"/>
  <c r="AP203" i="4"/>
  <c r="AO203" i="4"/>
  <c r="AN203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AV202" i="4"/>
  <c r="AU202" i="4"/>
  <c r="AT202" i="4"/>
  <c r="AS202" i="4"/>
  <c r="AR202" i="4"/>
  <c r="AQ202" i="4"/>
  <c r="AP202" i="4"/>
  <c r="AO202" i="4"/>
  <c r="AN202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AV201" i="4"/>
  <c r="AU201" i="4"/>
  <c r="AT201" i="4"/>
  <c r="AS201" i="4"/>
  <c r="AR201" i="4"/>
  <c r="AQ201" i="4"/>
  <c r="AP201" i="4"/>
  <c r="AO201" i="4"/>
  <c r="AN201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AV200" i="4"/>
  <c r="AU200" i="4"/>
  <c r="AT200" i="4"/>
  <c r="AS200" i="4"/>
  <c r="AR200" i="4"/>
  <c r="AQ200" i="4"/>
  <c r="AP200" i="4"/>
  <c r="AO200" i="4"/>
  <c r="AN200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AV199" i="4"/>
  <c r="AU199" i="4"/>
  <c r="AT199" i="4"/>
  <c r="AS199" i="4"/>
  <c r="AR199" i="4"/>
  <c r="AQ199" i="4"/>
  <c r="AP199" i="4"/>
  <c r="AO199" i="4"/>
  <c r="AN199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AV198" i="4"/>
  <c r="AU198" i="4"/>
  <c r="AT198" i="4"/>
  <c r="AS198" i="4"/>
  <c r="AR198" i="4"/>
  <c r="AQ198" i="4"/>
  <c r="AP198" i="4"/>
  <c r="AO198" i="4"/>
  <c r="AN198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AV197" i="4"/>
  <c r="AU197" i="4"/>
  <c r="AT197" i="4"/>
  <c r="AS197" i="4"/>
  <c r="AR197" i="4"/>
  <c r="AQ197" i="4"/>
  <c r="AP197" i="4"/>
  <c r="AO197" i="4"/>
  <c r="AN197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AV196" i="4"/>
  <c r="AU196" i="4"/>
  <c r="AT196" i="4"/>
  <c r="AS196" i="4"/>
  <c r="AR196" i="4"/>
  <c r="AQ196" i="4"/>
  <c r="AP196" i="4"/>
  <c r="AO196" i="4"/>
  <c r="AN196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AV195" i="4"/>
  <c r="AU195" i="4"/>
  <c r="AT195" i="4"/>
  <c r="AS195" i="4"/>
  <c r="AR195" i="4"/>
  <c r="AQ195" i="4"/>
  <c r="AP195" i="4"/>
  <c r="AO195" i="4"/>
  <c r="AN195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AV194" i="4"/>
  <c r="AU194" i="4"/>
  <c r="AT194" i="4"/>
  <c r="AS194" i="4"/>
  <c r="AR194" i="4"/>
  <c r="AQ194" i="4"/>
  <c r="AP194" i="4"/>
  <c r="AO194" i="4"/>
  <c r="AN194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AV193" i="4"/>
  <c r="AU193" i="4"/>
  <c r="AT193" i="4"/>
  <c r="AS193" i="4"/>
  <c r="AR193" i="4"/>
  <c r="AQ193" i="4"/>
  <c r="AP193" i="4"/>
  <c r="AO193" i="4"/>
  <c r="AN193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AV192" i="4"/>
  <c r="AU192" i="4"/>
  <c r="AT192" i="4"/>
  <c r="AS192" i="4"/>
  <c r="AR192" i="4"/>
  <c r="AQ192" i="4"/>
  <c r="AP192" i="4"/>
  <c r="AO192" i="4"/>
  <c r="AN192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AV191" i="4"/>
  <c r="AU191" i="4"/>
  <c r="AT191" i="4"/>
  <c r="AS191" i="4"/>
  <c r="AR191" i="4"/>
  <c r="AQ191" i="4"/>
  <c r="AP191" i="4"/>
  <c r="AO191" i="4"/>
  <c r="AN191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AV190" i="4"/>
  <c r="AU190" i="4"/>
  <c r="AT190" i="4"/>
  <c r="AS190" i="4"/>
  <c r="AR190" i="4"/>
  <c r="AQ190" i="4"/>
  <c r="AP190" i="4"/>
  <c r="AO190" i="4"/>
  <c r="AN190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AV189" i="4"/>
  <c r="AU189" i="4"/>
  <c r="AT189" i="4"/>
  <c r="AS189" i="4"/>
  <c r="AR189" i="4"/>
  <c r="AQ189" i="4"/>
  <c r="AP189" i="4"/>
  <c r="AO189" i="4"/>
  <c r="AN189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AV188" i="4"/>
  <c r="AU188" i="4"/>
  <c r="AT188" i="4"/>
  <c r="AS188" i="4"/>
  <c r="AR188" i="4"/>
  <c r="AQ188" i="4"/>
  <c r="AP188" i="4"/>
  <c r="AO188" i="4"/>
  <c r="AN188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AV187" i="4"/>
  <c r="AU187" i="4"/>
  <c r="AT187" i="4"/>
  <c r="AS187" i="4"/>
  <c r="AR187" i="4"/>
  <c r="AQ187" i="4"/>
  <c r="AP187" i="4"/>
  <c r="AO187" i="4"/>
  <c r="AN187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AV186" i="4"/>
  <c r="AU186" i="4"/>
  <c r="AT186" i="4"/>
  <c r="AS186" i="4"/>
  <c r="AR186" i="4"/>
  <c r="AQ186" i="4"/>
  <c r="AP186" i="4"/>
  <c r="AO186" i="4"/>
  <c r="AN186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AV185" i="4"/>
  <c r="AU185" i="4"/>
  <c r="AT185" i="4"/>
  <c r="AS185" i="4"/>
  <c r="AR185" i="4"/>
  <c r="AQ185" i="4"/>
  <c r="AP185" i="4"/>
  <c r="AO185" i="4"/>
  <c r="AN185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AV184" i="4"/>
  <c r="AU184" i="4"/>
  <c r="AT184" i="4"/>
  <c r="AS184" i="4"/>
  <c r="AR184" i="4"/>
  <c r="AQ184" i="4"/>
  <c r="AP184" i="4"/>
  <c r="AO184" i="4"/>
  <c r="AN184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AV183" i="4"/>
  <c r="AU183" i="4"/>
  <c r="AT183" i="4"/>
  <c r="AS183" i="4"/>
  <c r="AR183" i="4"/>
  <c r="AQ183" i="4"/>
  <c r="AP183" i="4"/>
  <c r="AO183" i="4"/>
  <c r="AN183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AV182" i="4"/>
  <c r="AU182" i="4"/>
  <c r="AT182" i="4"/>
  <c r="AS182" i="4"/>
  <c r="AR182" i="4"/>
  <c r="AQ182" i="4"/>
  <c r="AP182" i="4"/>
  <c r="AO182" i="4"/>
  <c r="AN182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AV181" i="4"/>
  <c r="AU181" i="4"/>
  <c r="AT181" i="4"/>
  <c r="AS181" i="4"/>
  <c r="AR181" i="4"/>
  <c r="AQ181" i="4"/>
  <c r="AP181" i="4"/>
  <c r="AO181" i="4"/>
  <c r="AN181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AV180" i="4"/>
  <c r="AU180" i="4"/>
  <c r="AT180" i="4"/>
  <c r="AS180" i="4"/>
  <c r="AR180" i="4"/>
  <c r="AQ180" i="4"/>
  <c r="AP180" i="4"/>
  <c r="AO180" i="4"/>
  <c r="AN180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AV179" i="4"/>
  <c r="AU179" i="4"/>
  <c r="AT179" i="4"/>
  <c r="AS179" i="4"/>
  <c r="AR179" i="4"/>
  <c r="AQ179" i="4"/>
  <c r="AP179" i="4"/>
  <c r="AO179" i="4"/>
  <c r="AN179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AV178" i="4"/>
  <c r="AU178" i="4"/>
  <c r="AT178" i="4"/>
  <c r="AS178" i="4"/>
  <c r="AR178" i="4"/>
  <c r="AQ178" i="4"/>
  <c r="AP178" i="4"/>
  <c r="AO178" i="4"/>
  <c r="AN178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AV177" i="4"/>
  <c r="AU177" i="4"/>
  <c r="AT177" i="4"/>
  <c r="AS177" i="4"/>
  <c r="AR177" i="4"/>
  <c r="AQ177" i="4"/>
  <c r="AP177" i="4"/>
  <c r="AO177" i="4"/>
  <c r="AN177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AV176" i="4"/>
  <c r="AU176" i="4"/>
  <c r="AT176" i="4"/>
  <c r="AS176" i="4"/>
  <c r="AR176" i="4"/>
  <c r="AQ176" i="4"/>
  <c r="AP176" i="4"/>
  <c r="AO176" i="4"/>
  <c r="AN176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AV173" i="4"/>
  <c r="AU173" i="4"/>
  <c r="AT173" i="4"/>
  <c r="AS173" i="4"/>
  <c r="AR173" i="4"/>
  <c r="AQ173" i="4"/>
  <c r="AP173" i="4"/>
  <c r="AO173" i="4"/>
  <c r="AN173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AV172" i="4"/>
  <c r="AU172" i="4"/>
  <c r="AT172" i="4"/>
  <c r="AS172" i="4"/>
  <c r="AR172" i="4"/>
  <c r="AQ172" i="4"/>
  <c r="AP172" i="4"/>
  <c r="AO172" i="4"/>
  <c r="AN172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AV171" i="4"/>
  <c r="AU171" i="4"/>
  <c r="AT171" i="4"/>
  <c r="AS171" i="4"/>
  <c r="AR171" i="4"/>
  <c r="AQ171" i="4"/>
  <c r="AP171" i="4"/>
  <c r="AO171" i="4"/>
  <c r="AN171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AV170" i="4"/>
  <c r="AU170" i="4"/>
  <c r="AT170" i="4"/>
  <c r="AS170" i="4"/>
  <c r="AR170" i="4"/>
  <c r="AQ170" i="4"/>
  <c r="AP170" i="4"/>
  <c r="AO170" i="4"/>
  <c r="AN170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AV168" i="4"/>
  <c r="AU168" i="4"/>
  <c r="AT168" i="4"/>
  <c r="AS168" i="4"/>
  <c r="AR168" i="4"/>
  <c r="AQ168" i="4"/>
  <c r="AP168" i="4"/>
  <c r="AO168" i="4"/>
  <c r="AN168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AV167" i="4"/>
  <c r="AU167" i="4"/>
  <c r="AT167" i="4"/>
  <c r="AS167" i="4"/>
  <c r="AR167" i="4"/>
  <c r="AQ167" i="4"/>
  <c r="AP167" i="4"/>
  <c r="AO167" i="4"/>
  <c r="AN167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AV166" i="4"/>
  <c r="AU166" i="4"/>
  <c r="AT166" i="4"/>
  <c r="AS166" i="4"/>
  <c r="AR166" i="4"/>
  <c r="AQ166" i="4"/>
  <c r="AP166" i="4"/>
  <c r="AO166" i="4"/>
  <c r="AN166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AV165" i="4"/>
  <c r="AU165" i="4"/>
  <c r="AT165" i="4"/>
  <c r="AS165" i="4"/>
  <c r="AR165" i="4"/>
  <c r="AQ165" i="4"/>
  <c r="AP165" i="4"/>
  <c r="AO165" i="4"/>
  <c r="AN165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AV164" i="4"/>
  <c r="AU164" i="4"/>
  <c r="AT164" i="4"/>
  <c r="AS164" i="4"/>
  <c r="AR164" i="4"/>
  <c r="AQ164" i="4"/>
  <c r="AP164" i="4"/>
  <c r="AO164" i="4"/>
  <c r="AN164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AV161" i="4"/>
  <c r="AU161" i="4"/>
  <c r="AT161" i="4"/>
  <c r="AS161" i="4"/>
  <c r="AR161" i="4"/>
  <c r="AQ161" i="4"/>
  <c r="AP161" i="4"/>
  <c r="AO161" i="4"/>
  <c r="AN161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AV160" i="4"/>
  <c r="AU160" i="4"/>
  <c r="AT160" i="4"/>
  <c r="AS160" i="4"/>
  <c r="AR160" i="4"/>
  <c r="AQ160" i="4"/>
  <c r="AP160" i="4"/>
  <c r="AO160" i="4"/>
  <c r="AN160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AV159" i="4"/>
  <c r="AU159" i="4"/>
  <c r="AT159" i="4"/>
  <c r="AS159" i="4"/>
  <c r="AR159" i="4"/>
  <c r="AQ159" i="4"/>
  <c r="AP159" i="4"/>
  <c r="AO159" i="4"/>
  <c r="AN159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AV158" i="4"/>
  <c r="AU158" i="4"/>
  <c r="AT158" i="4"/>
  <c r="AS158" i="4"/>
  <c r="AR158" i="4"/>
  <c r="AQ158" i="4"/>
  <c r="AP158" i="4"/>
  <c r="AO158" i="4"/>
  <c r="AN158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AV157" i="4"/>
  <c r="AU157" i="4"/>
  <c r="AT157" i="4"/>
  <c r="AS157" i="4"/>
  <c r="AR157" i="4"/>
  <c r="AQ157" i="4"/>
  <c r="AP157" i="4"/>
  <c r="AO157" i="4"/>
  <c r="AN157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AV155" i="4"/>
  <c r="AU155" i="4"/>
  <c r="AT155" i="4"/>
  <c r="AS155" i="4"/>
  <c r="AR155" i="4"/>
  <c r="AQ155" i="4"/>
  <c r="AP155" i="4"/>
  <c r="AO155" i="4"/>
  <c r="AN155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AV154" i="4"/>
  <c r="AU154" i="4"/>
  <c r="AT154" i="4"/>
  <c r="AS154" i="4"/>
  <c r="AR154" i="4"/>
  <c r="AQ154" i="4"/>
  <c r="AP154" i="4"/>
  <c r="AO154" i="4"/>
  <c r="AN154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AV153" i="4"/>
  <c r="AU153" i="4"/>
  <c r="AT153" i="4"/>
  <c r="AS153" i="4"/>
  <c r="AR153" i="4"/>
  <c r="AQ153" i="4"/>
  <c r="AP153" i="4"/>
  <c r="AO153" i="4"/>
  <c r="AN153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AV133" i="4"/>
  <c r="AU133" i="4"/>
  <c r="AT133" i="4"/>
  <c r="AS133" i="4"/>
  <c r="AR133" i="4"/>
  <c r="AQ133" i="4"/>
  <c r="AP133" i="4"/>
  <c r="AO133" i="4"/>
  <c r="AN133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AV132" i="4"/>
  <c r="AU132" i="4"/>
  <c r="AT132" i="4"/>
  <c r="AS132" i="4"/>
  <c r="AR132" i="4"/>
  <c r="AQ132" i="4"/>
  <c r="AP132" i="4"/>
  <c r="AO132" i="4"/>
  <c r="AN132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AV131" i="4"/>
  <c r="AU131" i="4"/>
  <c r="AT131" i="4"/>
  <c r="AS131" i="4"/>
  <c r="AR131" i="4"/>
  <c r="AQ131" i="4"/>
  <c r="AP131" i="4"/>
  <c r="AO131" i="4"/>
  <c r="AN131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AV130" i="4"/>
  <c r="AU130" i="4"/>
  <c r="AT130" i="4"/>
  <c r="AS130" i="4"/>
  <c r="AR130" i="4"/>
  <c r="AQ130" i="4"/>
  <c r="AP130" i="4"/>
  <c r="AO130" i="4"/>
  <c r="AN130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AV128" i="4"/>
  <c r="AU128" i="4"/>
  <c r="AT128" i="4"/>
  <c r="AS128" i="4"/>
  <c r="AR128" i="4"/>
  <c r="AQ128" i="4"/>
  <c r="AP128" i="4"/>
  <c r="AO128" i="4"/>
  <c r="AN128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A179" i="4"/>
  <c r="B179" i="4"/>
  <c r="C179" i="4"/>
  <c r="D179" i="4"/>
  <c r="A180" i="4"/>
  <c r="B180" i="4"/>
  <c r="C180" i="4"/>
  <c r="D180" i="4"/>
  <c r="A181" i="4"/>
  <c r="B181" i="4"/>
  <c r="C181" i="4"/>
  <c r="D181" i="4"/>
  <c r="A182" i="4"/>
  <c r="B182" i="4"/>
  <c r="C182" i="4"/>
  <c r="D182" i="4"/>
  <c r="A183" i="4"/>
  <c r="B183" i="4"/>
  <c r="C183" i="4"/>
  <c r="D183" i="4"/>
  <c r="A184" i="4"/>
  <c r="B184" i="4"/>
  <c r="C184" i="4"/>
  <c r="D184" i="4"/>
  <c r="A185" i="4"/>
  <c r="B185" i="4"/>
  <c r="C185" i="4"/>
  <c r="D185" i="4"/>
  <c r="A186" i="4"/>
  <c r="B186" i="4"/>
  <c r="C186" i="4"/>
  <c r="D186" i="4"/>
  <c r="A187" i="4"/>
  <c r="B187" i="4"/>
  <c r="C187" i="4"/>
  <c r="D187" i="4"/>
  <c r="A188" i="4"/>
  <c r="B188" i="4"/>
  <c r="C188" i="4"/>
  <c r="D188" i="4"/>
  <c r="A189" i="4"/>
  <c r="B189" i="4"/>
  <c r="C189" i="4"/>
  <c r="D189" i="4"/>
  <c r="A190" i="4"/>
  <c r="B190" i="4"/>
  <c r="C190" i="4"/>
  <c r="D190" i="4"/>
  <c r="A191" i="4"/>
  <c r="B191" i="4"/>
  <c r="C191" i="4"/>
  <c r="D191" i="4"/>
  <c r="A192" i="4"/>
  <c r="B192" i="4"/>
  <c r="C192" i="4"/>
  <c r="D192" i="4"/>
  <c r="A193" i="4"/>
  <c r="B193" i="4"/>
  <c r="C193" i="4"/>
  <c r="D193" i="4"/>
  <c r="A194" i="4"/>
  <c r="B194" i="4"/>
  <c r="C194" i="4"/>
  <c r="D194" i="4"/>
  <c r="A195" i="4"/>
  <c r="B195" i="4"/>
  <c r="C195" i="4"/>
  <c r="D195" i="4"/>
  <c r="A196" i="4"/>
  <c r="B196" i="4"/>
  <c r="C196" i="4"/>
  <c r="D196" i="4"/>
  <c r="A197" i="4"/>
  <c r="B197" i="4"/>
  <c r="C197" i="4"/>
  <c r="D197" i="4"/>
  <c r="A198" i="4"/>
  <c r="B198" i="4"/>
  <c r="C198" i="4"/>
  <c r="D198" i="4"/>
  <c r="A199" i="4"/>
  <c r="B199" i="4"/>
  <c r="C199" i="4"/>
  <c r="D199" i="4"/>
  <c r="A200" i="4"/>
  <c r="B200" i="4"/>
  <c r="C200" i="4"/>
  <c r="D200" i="4"/>
  <c r="A201" i="4"/>
  <c r="B201" i="4"/>
  <c r="C201" i="4"/>
  <c r="D201" i="4"/>
  <c r="A202" i="4"/>
  <c r="B202" i="4"/>
  <c r="C202" i="4"/>
  <c r="D202" i="4"/>
  <c r="A203" i="4"/>
  <c r="B203" i="4"/>
  <c r="C203" i="4"/>
  <c r="D203" i="4"/>
  <c r="A204" i="4"/>
  <c r="B204" i="4"/>
  <c r="C204" i="4"/>
  <c r="D204" i="4"/>
  <c r="A205" i="4"/>
  <c r="B205" i="4"/>
  <c r="C205" i="4"/>
  <c r="D205" i="4"/>
  <c r="A206" i="4"/>
  <c r="B206" i="4"/>
  <c r="C206" i="4"/>
  <c r="D206" i="4"/>
  <c r="A207" i="4"/>
  <c r="B207" i="4"/>
  <c r="C207" i="4"/>
  <c r="D207" i="4"/>
  <c r="A208" i="4"/>
  <c r="B208" i="4"/>
  <c r="C208" i="4"/>
  <c r="D208" i="4"/>
  <c r="A209" i="4"/>
  <c r="B209" i="4"/>
  <c r="C209" i="4"/>
  <c r="D209" i="4"/>
  <c r="A210" i="4"/>
  <c r="B210" i="4"/>
  <c r="C210" i="4"/>
  <c r="D210" i="4"/>
  <c r="A211" i="4"/>
  <c r="B211" i="4"/>
  <c r="C211" i="4"/>
  <c r="D211" i="4"/>
  <c r="A212" i="4"/>
  <c r="B212" i="4"/>
  <c r="C212" i="4"/>
  <c r="D212" i="4"/>
  <c r="A213" i="4"/>
  <c r="B213" i="4"/>
  <c r="C213" i="4"/>
  <c r="D213" i="4"/>
  <c r="A214" i="4"/>
  <c r="B214" i="4"/>
  <c r="C214" i="4"/>
  <c r="D214" i="4"/>
  <c r="A215" i="4"/>
  <c r="B215" i="4"/>
  <c r="C215" i="4"/>
  <c r="D215" i="4"/>
  <c r="A216" i="4"/>
  <c r="B216" i="4"/>
  <c r="C216" i="4"/>
  <c r="D216" i="4"/>
  <c r="A217" i="4"/>
  <c r="B217" i="4"/>
  <c r="C217" i="4"/>
  <c r="D217" i="4"/>
  <c r="A218" i="4"/>
  <c r="B218" i="4"/>
  <c r="C218" i="4"/>
  <c r="D218" i="4"/>
  <c r="A219" i="4"/>
  <c r="B219" i="4"/>
  <c r="C219" i="4"/>
  <c r="D219" i="4"/>
  <c r="A220" i="4"/>
  <c r="B220" i="4"/>
  <c r="C220" i="4"/>
  <c r="D220" i="4"/>
  <c r="A221" i="4"/>
  <c r="B221" i="4"/>
  <c r="C221" i="4"/>
  <c r="D221" i="4"/>
  <c r="A222" i="4"/>
  <c r="B222" i="4"/>
  <c r="C222" i="4"/>
  <c r="D222" i="4"/>
  <c r="A223" i="4"/>
  <c r="B223" i="4"/>
  <c r="C223" i="4"/>
  <c r="D223" i="4"/>
  <c r="A224" i="4"/>
  <c r="B224" i="4"/>
  <c r="C224" i="4"/>
  <c r="D224" i="4"/>
  <c r="A225" i="4"/>
  <c r="B225" i="4"/>
  <c r="C225" i="4"/>
  <c r="D225" i="4"/>
  <c r="A226" i="4"/>
  <c r="B226" i="4"/>
  <c r="C226" i="4"/>
  <c r="D226" i="4"/>
  <c r="A227" i="4"/>
  <c r="B227" i="4"/>
  <c r="C227" i="4"/>
  <c r="D227" i="4"/>
  <c r="A228" i="4"/>
  <c r="B228" i="4"/>
  <c r="C228" i="4"/>
  <c r="D228" i="4"/>
  <c r="A229" i="4"/>
  <c r="B229" i="4"/>
  <c r="C229" i="4"/>
  <c r="D229" i="4"/>
  <c r="A230" i="4"/>
  <c r="B230" i="4"/>
  <c r="C230" i="4"/>
  <c r="D230" i="4"/>
  <c r="A231" i="4"/>
  <c r="B231" i="4"/>
  <c r="C231" i="4"/>
  <c r="D231" i="4"/>
  <c r="A232" i="4"/>
  <c r="B232" i="4"/>
  <c r="C232" i="4"/>
  <c r="D232" i="4"/>
  <c r="A233" i="4"/>
  <c r="B233" i="4"/>
  <c r="C233" i="4"/>
  <c r="D233" i="4"/>
  <c r="A234" i="4"/>
  <c r="B234" i="4"/>
  <c r="C234" i="4"/>
  <c r="D234" i="4"/>
  <c r="A235" i="4"/>
  <c r="B235" i="4"/>
  <c r="C235" i="4"/>
  <c r="D235" i="4"/>
  <c r="A236" i="4"/>
  <c r="B236" i="4"/>
  <c r="C236" i="4"/>
  <c r="D236" i="4"/>
  <c r="A237" i="4"/>
  <c r="B237" i="4"/>
  <c r="C237" i="4"/>
  <c r="D237" i="4"/>
  <c r="A238" i="4"/>
  <c r="B238" i="4"/>
  <c r="C238" i="4"/>
  <c r="D238" i="4"/>
  <c r="A239" i="4"/>
  <c r="B239" i="4"/>
  <c r="C239" i="4"/>
  <c r="D239" i="4"/>
  <c r="A240" i="4"/>
  <c r="B240" i="4"/>
  <c r="C240" i="4"/>
  <c r="D240" i="4"/>
  <c r="A241" i="4"/>
  <c r="B241" i="4"/>
  <c r="C241" i="4"/>
  <c r="D241" i="4"/>
  <c r="A242" i="4"/>
  <c r="B242" i="4"/>
  <c r="C242" i="4"/>
  <c r="D242" i="4"/>
  <c r="A243" i="4"/>
  <c r="B243" i="4"/>
  <c r="C243" i="4"/>
  <c r="D243" i="4"/>
  <c r="A244" i="4"/>
  <c r="B244" i="4"/>
  <c r="C244" i="4"/>
  <c r="D244" i="4"/>
  <c r="A245" i="4"/>
  <c r="B245" i="4"/>
  <c r="C245" i="4"/>
  <c r="D245" i="4"/>
  <c r="A246" i="4"/>
  <c r="B246" i="4"/>
  <c r="C246" i="4"/>
  <c r="D246" i="4"/>
  <c r="A247" i="4"/>
  <c r="B247" i="4"/>
  <c r="C247" i="4"/>
  <c r="D247" i="4"/>
  <c r="A248" i="4"/>
  <c r="B248" i="4"/>
  <c r="C248" i="4"/>
  <c r="D248" i="4"/>
  <c r="A249" i="4"/>
  <c r="B249" i="4"/>
  <c r="C249" i="4"/>
  <c r="D249" i="4"/>
  <c r="A250" i="4"/>
  <c r="B250" i="4"/>
  <c r="C250" i="4"/>
  <c r="D250" i="4"/>
  <c r="A251" i="4"/>
  <c r="B251" i="4"/>
  <c r="C251" i="4"/>
  <c r="D251" i="4"/>
  <c r="A252" i="4"/>
  <c r="B252" i="4"/>
  <c r="C252" i="4"/>
  <c r="D252" i="4"/>
  <c r="A253" i="4"/>
  <c r="B253" i="4"/>
  <c r="C253" i="4"/>
  <c r="D253" i="4"/>
  <c r="A254" i="4"/>
  <c r="B254" i="4"/>
  <c r="C254" i="4"/>
  <c r="D254" i="4"/>
  <c r="A255" i="4"/>
  <c r="B255" i="4"/>
  <c r="C255" i="4"/>
  <c r="D255" i="4"/>
  <c r="A256" i="4"/>
  <c r="B256" i="4"/>
  <c r="C256" i="4"/>
  <c r="D256" i="4"/>
  <c r="A257" i="4"/>
  <c r="B257" i="4"/>
  <c r="C257" i="4"/>
  <c r="D257" i="4"/>
  <c r="A258" i="4"/>
  <c r="B258" i="4"/>
  <c r="C258" i="4"/>
  <c r="D258" i="4"/>
  <c r="A259" i="4"/>
  <c r="B259" i="4"/>
  <c r="C259" i="4"/>
  <c r="D259" i="4"/>
  <c r="A260" i="4"/>
  <c r="B260" i="4"/>
  <c r="C260" i="4"/>
  <c r="D260" i="4"/>
  <c r="A261" i="4"/>
  <c r="B261" i="4"/>
  <c r="C261" i="4"/>
  <c r="D261" i="4"/>
  <c r="A262" i="4"/>
  <c r="B262" i="4"/>
  <c r="C262" i="4"/>
  <c r="D262" i="4"/>
  <c r="A263" i="4"/>
  <c r="B263" i="4"/>
  <c r="C263" i="4"/>
  <c r="D263" i="4"/>
  <c r="A264" i="4"/>
  <c r="B264" i="4"/>
  <c r="C264" i="4"/>
  <c r="D264" i="4"/>
  <c r="A265" i="4"/>
  <c r="B265" i="4"/>
  <c r="C265" i="4"/>
  <c r="D265" i="4"/>
  <c r="A266" i="4"/>
  <c r="B266" i="4"/>
  <c r="C266" i="4"/>
  <c r="D266" i="4"/>
  <c r="A267" i="4"/>
  <c r="B267" i="4"/>
  <c r="C267" i="4"/>
  <c r="D267" i="4"/>
  <c r="A268" i="4"/>
  <c r="B268" i="4"/>
  <c r="C268" i="4"/>
  <c r="D268" i="4"/>
  <c r="A269" i="4"/>
  <c r="B269" i="4"/>
  <c r="C269" i="4"/>
  <c r="D269" i="4"/>
  <c r="A270" i="4"/>
  <c r="B270" i="4"/>
  <c r="C270" i="4"/>
  <c r="D270" i="4"/>
  <c r="A271" i="4"/>
  <c r="B271" i="4"/>
  <c r="C271" i="4"/>
  <c r="D271" i="4"/>
  <c r="A272" i="4"/>
  <c r="B272" i="4"/>
  <c r="C272" i="4"/>
  <c r="D272" i="4"/>
  <c r="A273" i="4"/>
  <c r="B273" i="4"/>
  <c r="C273" i="4"/>
  <c r="D273" i="4"/>
  <c r="A274" i="4"/>
  <c r="B274" i="4"/>
  <c r="C274" i="4"/>
  <c r="D274" i="4"/>
  <c r="A275" i="4"/>
  <c r="B275" i="4"/>
  <c r="C275" i="4"/>
  <c r="D275" i="4"/>
  <c r="A276" i="4"/>
  <c r="B276" i="4"/>
  <c r="C276" i="4"/>
  <c r="D276" i="4"/>
  <c r="A277" i="4"/>
  <c r="B277" i="4"/>
  <c r="C277" i="4"/>
  <c r="D277" i="4"/>
  <c r="A278" i="4"/>
  <c r="B278" i="4"/>
  <c r="C278" i="4"/>
  <c r="D278" i="4"/>
  <c r="A279" i="4"/>
  <c r="B279" i="4"/>
  <c r="C279" i="4"/>
  <c r="D279" i="4"/>
  <c r="A280" i="4"/>
  <c r="B280" i="4"/>
  <c r="C280" i="4"/>
  <c r="D280" i="4"/>
  <c r="A281" i="4"/>
  <c r="B281" i="4"/>
  <c r="C281" i="4"/>
  <c r="D281" i="4"/>
  <c r="A282" i="4"/>
  <c r="B282" i="4"/>
  <c r="C282" i="4"/>
  <c r="D282" i="4"/>
  <c r="A283" i="4"/>
  <c r="B283" i="4"/>
  <c r="C283" i="4"/>
  <c r="D283" i="4"/>
  <c r="A284" i="4"/>
  <c r="B284" i="4"/>
  <c r="C284" i="4"/>
  <c r="D284" i="4"/>
  <c r="A285" i="4"/>
  <c r="B285" i="4"/>
  <c r="C285" i="4"/>
  <c r="D285" i="4"/>
  <c r="A286" i="4"/>
  <c r="B286" i="4"/>
  <c r="C286" i="4"/>
  <c r="D286" i="4"/>
  <c r="A287" i="4"/>
  <c r="B287" i="4"/>
  <c r="C287" i="4"/>
  <c r="D287" i="4"/>
  <c r="A288" i="4"/>
  <c r="B288" i="4"/>
  <c r="C288" i="4"/>
  <c r="D288" i="4"/>
  <c r="A289" i="4"/>
  <c r="B289" i="4"/>
  <c r="C289" i="4"/>
  <c r="D289" i="4"/>
  <c r="A290" i="4"/>
  <c r="B290" i="4"/>
  <c r="C290" i="4"/>
  <c r="D290" i="4"/>
  <c r="A291" i="4"/>
  <c r="B291" i="4"/>
  <c r="C291" i="4"/>
  <c r="D291" i="4"/>
  <c r="A292" i="4"/>
  <c r="B292" i="4"/>
  <c r="C292" i="4"/>
  <c r="D292" i="4"/>
  <c r="A293" i="4"/>
  <c r="B293" i="4"/>
  <c r="C293" i="4"/>
  <c r="D293" i="4"/>
  <c r="A294" i="4"/>
  <c r="B294" i="4"/>
  <c r="C294" i="4"/>
  <c r="D294" i="4"/>
  <c r="A295" i="4"/>
  <c r="B295" i="4"/>
  <c r="C295" i="4"/>
  <c r="D295" i="4"/>
  <c r="A296" i="4"/>
  <c r="B296" i="4"/>
  <c r="C296" i="4"/>
  <c r="D296" i="4"/>
  <c r="A297" i="4"/>
  <c r="B297" i="4"/>
  <c r="C297" i="4"/>
  <c r="D297" i="4"/>
  <c r="A298" i="4"/>
  <c r="B298" i="4"/>
  <c r="C298" i="4"/>
  <c r="D298" i="4"/>
  <c r="A299" i="4"/>
  <c r="B299" i="4"/>
  <c r="C299" i="4"/>
  <c r="D299" i="4"/>
  <c r="A300" i="4"/>
  <c r="B300" i="4"/>
  <c r="C300" i="4"/>
  <c r="D300" i="4"/>
  <c r="A301" i="4"/>
  <c r="B301" i="4"/>
  <c r="C301" i="4"/>
  <c r="D301" i="4"/>
  <c r="A302" i="4"/>
  <c r="B302" i="4"/>
  <c r="C302" i="4"/>
  <c r="D302" i="4"/>
  <c r="A303" i="4"/>
  <c r="B303" i="4"/>
  <c r="C303" i="4"/>
  <c r="D303" i="4"/>
  <c r="A304" i="4"/>
  <c r="B304" i="4"/>
  <c r="C304" i="4"/>
  <c r="D304" i="4"/>
  <c r="A305" i="4"/>
  <c r="B305" i="4"/>
  <c r="C305" i="4"/>
  <c r="D305" i="4"/>
  <c r="A306" i="4"/>
  <c r="B306" i="4"/>
  <c r="C306" i="4"/>
  <c r="D306" i="4"/>
  <c r="A307" i="4"/>
  <c r="B307" i="4"/>
  <c r="C307" i="4"/>
  <c r="D307" i="4"/>
  <c r="A308" i="4"/>
  <c r="B308" i="4"/>
  <c r="C308" i="4"/>
  <c r="D308" i="4"/>
  <c r="A309" i="4"/>
  <c r="B309" i="4"/>
  <c r="C309" i="4"/>
  <c r="D309" i="4"/>
  <c r="A310" i="4"/>
  <c r="B310" i="4"/>
  <c r="C310" i="4"/>
  <c r="D310" i="4"/>
  <c r="A311" i="4"/>
  <c r="B311" i="4"/>
  <c r="C311" i="4"/>
  <c r="D311" i="4"/>
  <c r="A312" i="4"/>
  <c r="B312" i="4"/>
  <c r="C312" i="4"/>
  <c r="D312" i="4"/>
  <c r="A313" i="4"/>
  <c r="B313" i="4"/>
  <c r="C313" i="4"/>
  <c r="D313" i="4"/>
  <c r="A314" i="4"/>
  <c r="B314" i="4"/>
  <c r="C314" i="4"/>
  <c r="D314" i="4"/>
  <c r="A315" i="4"/>
  <c r="B315" i="4"/>
  <c r="C315" i="4"/>
  <c r="D315" i="4"/>
  <c r="A316" i="4"/>
  <c r="B316" i="4"/>
  <c r="C316" i="4"/>
  <c r="D316" i="4"/>
  <c r="A317" i="4"/>
  <c r="B317" i="4"/>
  <c r="C317" i="4"/>
  <c r="D317" i="4"/>
  <c r="A318" i="4"/>
  <c r="B318" i="4"/>
  <c r="C318" i="4"/>
  <c r="D318" i="4"/>
  <c r="A319" i="4"/>
  <c r="B319" i="4"/>
  <c r="C319" i="4"/>
  <c r="D319" i="4"/>
  <c r="A320" i="4"/>
  <c r="B320" i="4"/>
  <c r="C320" i="4"/>
  <c r="D320" i="4"/>
  <c r="A321" i="4"/>
  <c r="B321" i="4"/>
  <c r="C321" i="4"/>
  <c r="D321" i="4"/>
  <c r="A322" i="4"/>
  <c r="B322" i="4"/>
  <c r="C322" i="4"/>
  <c r="D322" i="4"/>
  <c r="A323" i="4"/>
  <c r="B323" i="4"/>
  <c r="C323" i="4"/>
  <c r="D323" i="4"/>
  <c r="A324" i="4"/>
  <c r="B324" i="4"/>
  <c r="C324" i="4"/>
  <c r="D324" i="4"/>
  <c r="A325" i="4"/>
  <c r="B325" i="4"/>
  <c r="C325" i="4"/>
  <c r="D325" i="4"/>
  <c r="A326" i="4"/>
  <c r="B326" i="4"/>
  <c r="C326" i="4"/>
  <c r="D326" i="4"/>
  <c r="A327" i="4"/>
  <c r="B327" i="4"/>
  <c r="C327" i="4"/>
  <c r="D327" i="4"/>
  <c r="A328" i="4"/>
  <c r="B328" i="4"/>
  <c r="C328" i="4"/>
  <c r="D328" i="4"/>
  <c r="A329" i="4"/>
  <c r="B329" i="4"/>
  <c r="C329" i="4"/>
  <c r="D329" i="4"/>
  <c r="A330" i="4"/>
  <c r="B330" i="4"/>
  <c r="C330" i="4"/>
  <c r="D330" i="4"/>
  <c r="A331" i="4"/>
  <c r="B331" i="4"/>
  <c r="C331" i="4"/>
  <c r="D331" i="4"/>
  <c r="A332" i="4"/>
  <c r="B332" i="4"/>
  <c r="C332" i="4"/>
  <c r="D332" i="4"/>
  <c r="A333" i="4"/>
  <c r="B333" i="4"/>
  <c r="C333" i="4"/>
  <c r="D333" i="4"/>
  <c r="A334" i="4"/>
  <c r="B334" i="4"/>
  <c r="C334" i="4"/>
  <c r="D334" i="4"/>
  <c r="A335" i="4"/>
  <c r="B335" i="4"/>
  <c r="C335" i="4"/>
  <c r="D335" i="4"/>
  <c r="A336" i="4"/>
  <c r="B336" i="4"/>
  <c r="C336" i="4"/>
  <c r="D336" i="4"/>
  <c r="A337" i="4"/>
  <c r="B337" i="4"/>
  <c r="C337" i="4"/>
  <c r="D337" i="4"/>
  <c r="A338" i="4"/>
  <c r="B338" i="4"/>
  <c r="C338" i="4"/>
  <c r="D338" i="4"/>
  <c r="A339" i="4"/>
  <c r="B339" i="4"/>
  <c r="C339" i="4"/>
  <c r="D339" i="4"/>
  <c r="A340" i="4"/>
  <c r="B340" i="4"/>
  <c r="C340" i="4"/>
  <c r="D340" i="4"/>
  <c r="A341" i="4"/>
  <c r="B341" i="4"/>
  <c r="C341" i="4"/>
  <c r="D341" i="4"/>
  <c r="A342" i="4"/>
  <c r="B342" i="4"/>
  <c r="C342" i="4"/>
  <c r="D342" i="4"/>
  <c r="A343" i="4"/>
  <c r="B343" i="4"/>
  <c r="C343" i="4"/>
  <c r="D343" i="4"/>
  <c r="A344" i="4"/>
  <c r="B344" i="4"/>
  <c r="C344" i="4"/>
  <c r="D344" i="4"/>
  <c r="A345" i="4"/>
  <c r="B345" i="4"/>
  <c r="C345" i="4"/>
  <c r="D345" i="4"/>
  <c r="A346" i="4"/>
  <c r="B346" i="4"/>
  <c r="C346" i="4"/>
  <c r="D346" i="4"/>
  <c r="A347" i="4"/>
  <c r="B347" i="4"/>
  <c r="C347" i="4"/>
  <c r="D347" i="4"/>
  <c r="A348" i="4"/>
  <c r="B348" i="4"/>
  <c r="C348" i="4"/>
  <c r="D348" i="4"/>
  <c r="A349" i="4"/>
  <c r="B349" i="4"/>
  <c r="C349" i="4"/>
  <c r="D349" i="4"/>
  <c r="A350" i="4"/>
  <c r="B350" i="4"/>
  <c r="C350" i="4"/>
  <c r="D350" i="4"/>
  <c r="A351" i="4"/>
  <c r="B351" i="4"/>
  <c r="C351" i="4"/>
  <c r="D351" i="4"/>
  <c r="A352" i="4"/>
  <c r="B352" i="4"/>
  <c r="C352" i="4"/>
  <c r="D352" i="4"/>
  <c r="A353" i="4"/>
  <c r="B353" i="4"/>
  <c r="C353" i="4"/>
  <c r="D353" i="4"/>
  <c r="A354" i="4"/>
  <c r="B354" i="4"/>
  <c r="C354" i="4"/>
  <c r="D354" i="4"/>
  <c r="A355" i="4"/>
  <c r="B355" i="4"/>
  <c r="C355" i="4"/>
  <c r="D355" i="4"/>
  <c r="A356" i="4"/>
  <c r="B356" i="4"/>
  <c r="C356" i="4"/>
  <c r="D356" i="4"/>
  <c r="A357" i="4"/>
  <c r="B357" i="4"/>
  <c r="C357" i="4"/>
  <c r="D357" i="4"/>
  <c r="A358" i="4"/>
  <c r="B358" i="4"/>
  <c r="C358" i="4"/>
  <c r="D358" i="4"/>
  <c r="A359" i="4"/>
  <c r="B359" i="4"/>
  <c r="C359" i="4"/>
  <c r="D359" i="4"/>
  <c r="A360" i="4"/>
  <c r="B360" i="4"/>
  <c r="C360" i="4"/>
  <c r="D360" i="4"/>
  <c r="A361" i="4"/>
  <c r="B361" i="4"/>
  <c r="C361" i="4"/>
  <c r="D361" i="4"/>
  <c r="A362" i="4"/>
  <c r="B362" i="4"/>
  <c r="C362" i="4"/>
  <c r="D362" i="4"/>
  <c r="A363" i="4"/>
  <c r="B363" i="4"/>
  <c r="C363" i="4"/>
  <c r="D363" i="4"/>
  <c r="A364" i="4"/>
  <c r="B364" i="4"/>
  <c r="C364" i="4"/>
  <c r="D364" i="4"/>
  <c r="A365" i="4"/>
  <c r="B365" i="4"/>
  <c r="C365" i="4"/>
  <c r="D365" i="4"/>
  <c r="A366" i="4"/>
  <c r="B366" i="4"/>
  <c r="C366" i="4"/>
  <c r="D366" i="4"/>
  <c r="A367" i="4"/>
  <c r="B367" i="4"/>
  <c r="C367" i="4"/>
  <c r="D367" i="4"/>
  <c r="A368" i="4"/>
  <c r="B368" i="4"/>
  <c r="C368" i="4"/>
  <c r="D368" i="4"/>
  <c r="A369" i="4"/>
  <c r="B369" i="4"/>
  <c r="C369" i="4"/>
  <c r="D369" i="4"/>
  <c r="A370" i="4"/>
  <c r="B370" i="4"/>
  <c r="C370" i="4"/>
  <c r="D370" i="4"/>
  <c r="A371" i="4"/>
  <c r="B371" i="4"/>
  <c r="C371" i="4"/>
  <c r="D371" i="4"/>
  <c r="A372" i="4"/>
  <c r="B372" i="4"/>
  <c r="C372" i="4"/>
  <c r="D372" i="4"/>
  <c r="A373" i="4"/>
  <c r="B373" i="4"/>
  <c r="C373" i="4"/>
  <c r="D373" i="4"/>
  <c r="A374" i="4"/>
  <c r="B374" i="4"/>
  <c r="C374" i="4"/>
  <c r="D374" i="4"/>
  <c r="A375" i="4"/>
  <c r="B375" i="4"/>
  <c r="C375" i="4"/>
  <c r="D375" i="4"/>
  <c r="A376" i="4"/>
  <c r="B376" i="4"/>
  <c r="C376" i="4"/>
  <c r="D376" i="4"/>
  <c r="A377" i="4"/>
  <c r="B377" i="4"/>
  <c r="C377" i="4"/>
  <c r="D377" i="4"/>
  <c r="A378" i="4"/>
  <c r="B378" i="4"/>
  <c r="C378" i="4"/>
  <c r="D378" i="4"/>
  <c r="A379" i="4"/>
  <c r="B379" i="4"/>
  <c r="C379" i="4"/>
  <c r="D379" i="4"/>
  <c r="A380" i="4"/>
  <c r="B380" i="4"/>
  <c r="C380" i="4"/>
  <c r="D380" i="4"/>
  <c r="A381" i="4"/>
  <c r="B381" i="4"/>
  <c r="C381" i="4"/>
  <c r="D381" i="4"/>
  <c r="A382" i="4"/>
  <c r="B382" i="4"/>
  <c r="C382" i="4"/>
  <c r="D382" i="4"/>
  <c r="A383" i="4"/>
  <c r="B383" i="4"/>
  <c r="C383" i="4"/>
  <c r="D383" i="4"/>
  <c r="A384" i="4"/>
  <c r="B384" i="4"/>
  <c r="C384" i="4"/>
  <c r="D384" i="4"/>
  <c r="A385" i="4"/>
  <c r="B385" i="4"/>
  <c r="C385" i="4"/>
  <c r="D385" i="4"/>
  <c r="A386" i="4"/>
  <c r="B386" i="4"/>
  <c r="C386" i="4"/>
  <c r="D386" i="4"/>
  <c r="A387" i="4"/>
  <c r="B387" i="4"/>
  <c r="C387" i="4"/>
  <c r="D387" i="4"/>
  <c r="A388" i="4"/>
  <c r="B388" i="4"/>
  <c r="C388" i="4"/>
  <c r="D388" i="4"/>
  <c r="A389" i="4"/>
  <c r="B389" i="4"/>
  <c r="C389" i="4"/>
  <c r="D389" i="4"/>
  <c r="A390" i="4"/>
  <c r="B390" i="4"/>
  <c r="C390" i="4"/>
  <c r="D390" i="4"/>
  <c r="A391" i="4"/>
  <c r="B391" i="4"/>
  <c r="C391" i="4"/>
  <c r="D391" i="4"/>
  <c r="A392" i="4"/>
  <c r="B392" i="4"/>
  <c r="C392" i="4"/>
  <c r="D392" i="4"/>
  <c r="A393" i="4"/>
  <c r="B393" i="4"/>
  <c r="C393" i="4"/>
  <c r="D393" i="4"/>
  <c r="A394" i="4"/>
  <c r="B394" i="4"/>
  <c r="C394" i="4"/>
  <c r="D394" i="4"/>
  <c r="A395" i="4"/>
  <c r="B395" i="4"/>
  <c r="C395" i="4"/>
  <c r="D395" i="4"/>
  <c r="A396" i="4"/>
  <c r="B396" i="4"/>
  <c r="C396" i="4"/>
  <c r="D396" i="4"/>
  <c r="A397" i="4"/>
  <c r="B397" i="4"/>
  <c r="C397" i="4"/>
  <c r="D397" i="4"/>
  <c r="A398" i="4"/>
  <c r="B398" i="4"/>
  <c r="C398" i="4"/>
  <c r="D398" i="4"/>
  <c r="A399" i="4"/>
  <c r="B399" i="4"/>
  <c r="C399" i="4"/>
  <c r="D399" i="4"/>
  <c r="A400" i="4"/>
  <c r="B400" i="4"/>
  <c r="C400" i="4"/>
  <c r="D400" i="4"/>
  <c r="A401" i="4"/>
  <c r="B401" i="4"/>
  <c r="C401" i="4"/>
  <c r="D401" i="4"/>
  <c r="A402" i="4"/>
  <c r="B402" i="4"/>
  <c r="C402" i="4"/>
  <c r="D402" i="4"/>
  <c r="A403" i="4"/>
  <c r="B403" i="4"/>
  <c r="C403" i="4"/>
  <c r="D403" i="4"/>
  <c r="A404" i="4"/>
  <c r="B404" i="4"/>
  <c r="C404" i="4"/>
  <c r="D404" i="4"/>
  <c r="A405" i="4"/>
  <c r="B405" i="4"/>
  <c r="C405" i="4"/>
  <c r="D405" i="4"/>
  <c r="A406" i="4"/>
  <c r="B406" i="4"/>
  <c r="C406" i="4"/>
  <c r="D406" i="4"/>
  <c r="A407" i="4"/>
  <c r="B407" i="4"/>
  <c r="C407" i="4"/>
  <c r="D407" i="4"/>
  <c r="A408" i="4"/>
  <c r="B408" i="4"/>
  <c r="C408" i="4"/>
  <c r="D408" i="4"/>
  <c r="A409" i="4"/>
  <c r="B409" i="4"/>
  <c r="C409" i="4"/>
  <c r="D409" i="4"/>
  <c r="A410" i="4"/>
  <c r="B410" i="4"/>
  <c r="C410" i="4"/>
  <c r="D410" i="4"/>
  <c r="A411" i="4"/>
  <c r="B411" i="4"/>
  <c r="C411" i="4"/>
  <c r="D411" i="4"/>
  <c r="A412" i="4"/>
  <c r="B412" i="4"/>
  <c r="C412" i="4"/>
  <c r="D412" i="4"/>
  <c r="A413" i="4"/>
  <c r="B413" i="4"/>
  <c r="C413" i="4"/>
  <c r="D413" i="4"/>
  <c r="A414" i="4"/>
  <c r="B414" i="4"/>
  <c r="C414" i="4"/>
  <c r="D414" i="4"/>
  <c r="A134" i="4"/>
  <c r="B134" i="4"/>
  <c r="C134" i="4"/>
  <c r="D134" i="4"/>
  <c r="A135" i="4"/>
  <c r="B135" i="4"/>
  <c r="C135" i="4"/>
  <c r="D135" i="4"/>
  <c r="A136" i="4"/>
  <c r="B136" i="4"/>
  <c r="C136" i="4"/>
  <c r="D136" i="4"/>
  <c r="A137" i="4"/>
  <c r="B137" i="4"/>
  <c r="C137" i="4"/>
  <c r="D137" i="4"/>
  <c r="A138" i="4"/>
  <c r="B138" i="4"/>
  <c r="C138" i="4"/>
  <c r="D138" i="4"/>
  <c r="A139" i="4"/>
  <c r="B139" i="4"/>
  <c r="C139" i="4"/>
  <c r="D139" i="4"/>
  <c r="A140" i="4"/>
  <c r="B140" i="4"/>
  <c r="C140" i="4"/>
  <c r="D140" i="4"/>
  <c r="A141" i="4"/>
  <c r="B141" i="4"/>
  <c r="C141" i="4"/>
  <c r="D141" i="4"/>
  <c r="A142" i="4"/>
  <c r="B142" i="4"/>
  <c r="C142" i="4"/>
  <c r="D142" i="4"/>
  <c r="A143" i="4"/>
  <c r="B143" i="4"/>
  <c r="C143" i="4"/>
  <c r="D143" i="4"/>
  <c r="A144" i="4"/>
  <c r="B144" i="4"/>
  <c r="C144" i="4"/>
  <c r="D144" i="4"/>
  <c r="A145" i="4"/>
  <c r="B145" i="4"/>
  <c r="C145" i="4"/>
  <c r="D145" i="4"/>
  <c r="A146" i="4"/>
  <c r="B146" i="4"/>
  <c r="C146" i="4"/>
  <c r="D146" i="4"/>
  <c r="A147" i="4"/>
  <c r="B147" i="4"/>
  <c r="C147" i="4"/>
  <c r="D147" i="4"/>
  <c r="A148" i="4"/>
  <c r="B148" i="4"/>
  <c r="C148" i="4"/>
  <c r="D148" i="4"/>
  <c r="A149" i="4"/>
  <c r="B149" i="4"/>
  <c r="C149" i="4"/>
  <c r="D149" i="4"/>
  <c r="A150" i="4"/>
  <c r="B150" i="4"/>
  <c r="C150" i="4"/>
  <c r="D150" i="4"/>
  <c r="A151" i="4"/>
  <c r="B151" i="4"/>
  <c r="C151" i="4"/>
  <c r="D151" i="4"/>
  <c r="A152" i="4"/>
  <c r="B152" i="4"/>
  <c r="C152" i="4"/>
  <c r="D152" i="4"/>
  <c r="A153" i="4"/>
  <c r="B153" i="4"/>
  <c r="C153" i="4"/>
  <c r="D153" i="4"/>
  <c r="A154" i="4"/>
  <c r="B154" i="4"/>
  <c r="C154" i="4"/>
  <c r="D154" i="4"/>
  <c r="A155" i="4"/>
  <c r="B155" i="4"/>
  <c r="C155" i="4"/>
  <c r="D155" i="4"/>
  <c r="A156" i="4"/>
  <c r="B156" i="4"/>
  <c r="C156" i="4"/>
  <c r="D156" i="4"/>
  <c r="A157" i="4"/>
  <c r="B157" i="4"/>
  <c r="C157" i="4"/>
  <c r="D157" i="4"/>
  <c r="A158" i="4"/>
  <c r="B158" i="4"/>
  <c r="C158" i="4"/>
  <c r="D158" i="4"/>
  <c r="A159" i="4"/>
  <c r="B159" i="4"/>
  <c r="C159" i="4"/>
  <c r="D159" i="4"/>
  <c r="A160" i="4"/>
  <c r="B160" i="4"/>
  <c r="C160" i="4"/>
  <c r="D160" i="4"/>
  <c r="A161" i="4"/>
  <c r="B161" i="4"/>
  <c r="C161" i="4"/>
  <c r="D161" i="4"/>
  <c r="A162" i="4"/>
  <c r="B162" i="4"/>
  <c r="C162" i="4"/>
  <c r="D162" i="4"/>
  <c r="A163" i="4"/>
  <c r="B163" i="4"/>
  <c r="C163" i="4"/>
  <c r="D163" i="4"/>
  <c r="A164" i="4"/>
  <c r="B164" i="4"/>
  <c r="C164" i="4"/>
  <c r="D164" i="4"/>
  <c r="A165" i="4"/>
  <c r="B165" i="4"/>
  <c r="C165" i="4"/>
  <c r="D165" i="4"/>
  <c r="A166" i="4"/>
  <c r="B166" i="4"/>
  <c r="C166" i="4"/>
  <c r="D166" i="4"/>
  <c r="A167" i="4"/>
  <c r="B167" i="4"/>
  <c r="C167" i="4"/>
  <c r="D167" i="4"/>
  <c r="A168" i="4"/>
  <c r="B168" i="4"/>
  <c r="C168" i="4"/>
  <c r="D168" i="4"/>
  <c r="A169" i="4"/>
  <c r="B169" i="4"/>
  <c r="C169" i="4"/>
  <c r="D169" i="4"/>
  <c r="A170" i="4"/>
  <c r="B170" i="4"/>
  <c r="C170" i="4"/>
  <c r="D170" i="4"/>
  <c r="A171" i="4"/>
  <c r="B171" i="4"/>
  <c r="C171" i="4"/>
  <c r="D171" i="4"/>
  <c r="A172" i="4"/>
  <c r="B172" i="4"/>
  <c r="C172" i="4"/>
  <c r="D172" i="4"/>
  <c r="A173" i="4"/>
  <c r="B173" i="4"/>
  <c r="C173" i="4"/>
  <c r="D173" i="4"/>
  <c r="A174" i="4"/>
  <c r="B174" i="4"/>
  <c r="C174" i="4"/>
  <c r="D174" i="4"/>
  <c r="A175" i="4"/>
  <c r="B175" i="4"/>
  <c r="C175" i="4"/>
  <c r="D175" i="4"/>
  <c r="A176" i="4"/>
  <c r="B176" i="4"/>
  <c r="C176" i="4"/>
  <c r="D176" i="4"/>
  <c r="A177" i="4"/>
  <c r="B177" i="4"/>
  <c r="C177" i="4"/>
  <c r="D177" i="4"/>
  <c r="A178" i="4"/>
  <c r="B178" i="4"/>
  <c r="C178" i="4"/>
  <c r="D178" i="4"/>
  <c r="A91" i="4"/>
  <c r="B91" i="4"/>
  <c r="C91" i="4"/>
  <c r="D91" i="4"/>
  <c r="A92" i="4"/>
  <c r="B92" i="4"/>
  <c r="C92" i="4"/>
  <c r="D92" i="4"/>
  <c r="A93" i="4"/>
  <c r="B93" i="4"/>
  <c r="C93" i="4"/>
  <c r="D93" i="4"/>
  <c r="A94" i="4"/>
  <c r="B94" i="4"/>
  <c r="C94" i="4"/>
  <c r="D94" i="4"/>
  <c r="A95" i="4"/>
  <c r="B95" i="4"/>
  <c r="C95" i="4"/>
  <c r="D95" i="4"/>
  <c r="A96" i="4"/>
  <c r="B96" i="4"/>
  <c r="C96" i="4"/>
  <c r="D96" i="4"/>
  <c r="A97" i="4"/>
  <c r="B97" i="4"/>
  <c r="C97" i="4"/>
  <c r="D97" i="4"/>
  <c r="A98" i="4"/>
  <c r="B98" i="4"/>
  <c r="C98" i="4"/>
  <c r="D98" i="4"/>
  <c r="A99" i="4"/>
  <c r="B99" i="4"/>
  <c r="C99" i="4"/>
  <c r="D99" i="4"/>
  <c r="A100" i="4"/>
  <c r="B100" i="4"/>
  <c r="C100" i="4"/>
  <c r="D100" i="4"/>
  <c r="A101" i="4"/>
  <c r="B101" i="4"/>
  <c r="C101" i="4"/>
  <c r="D101" i="4"/>
  <c r="A102" i="4"/>
  <c r="B102" i="4"/>
  <c r="C102" i="4"/>
  <c r="D102" i="4"/>
  <c r="A103" i="4"/>
  <c r="B103" i="4"/>
  <c r="C103" i="4"/>
  <c r="D103" i="4"/>
  <c r="A104" i="4"/>
  <c r="B104" i="4"/>
  <c r="C104" i="4"/>
  <c r="D104" i="4"/>
  <c r="A105" i="4"/>
  <c r="B105" i="4"/>
  <c r="C105" i="4"/>
  <c r="D105" i="4"/>
  <c r="A106" i="4"/>
  <c r="B106" i="4"/>
  <c r="C106" i="4"/>
  <c r="D106" i="4"/>
  <c r="A107" i="4"/>
  <c r="B107" i="4"/>
  <c r="C107" i="4"/>
  <c r="D107" i="4"/>
  <c r="A108" i="4"/>
  <c r="B108" i="4"/>
  <c r="C108" i="4"/>
  <c r="D108" i="4"/>
  <c r="A109" i="4"/>
  <c r="B109" i="4"/>
  <c r="C109" i="4"/>
  <c r="D109" i="4"/>
  <c r="A110" i="4"/>
  <c r="B110" i="4"/>
  <c r="C110" i="4"/>
  <c r="D110" i="4"/>
  <c r="A111" i="4"/>
  <c r="B111" i="4"/>
  <c r="C111" i="4"/>
  <c r="D111" i="4"/>
  <c r="A112" i="4"/>
  <c r="B112" i="4"/>
  <c r="C112" i="4"/>
  <c r="D112" i="4"/>
  <c r="A113" i="4"/>
  <c r="B113" i="4"/>
  <c r="C113" i="4"/>
  <c r="D113" i="4"/>
  <c r="A114" i="4"/>
  <c r="B114" i="4"/>
  <c r="C114" i="4"/>
  <c r="D114" i="4"/>
  <c r="A115" i="4"/>
  <c r="B115" i="4"/>
  <c r="C115" i="4"/>
  <c r="D115" i="4"/>
  <c r="A116" i="4"/>
  <c r="B116" i="4"/>
  <c r="C116" i="4"/>
  <c r="D116" i="4"/>
  <c r="A117" i="4"/>
  <c r="B117" i="4"/>
  <c r="C117" i="4"/>
  <c r="D117" i="4"/>
  <c r="A118" i="4"/>
  <c r="B118" i="4"/>
  <c r="C118" i="4"/>
  <c r="D118" i="4"/>
  <c r="A119" i="4"/>
  <c r="B119" i="4"/>
  <c r="C119" i="4"/>
  <c r="D119" i="4"/>
  <c r="A120" i="4"/>
  <c r="B120" i="4"/>
  <c r="C120" i="4"/>
  <c r="D120" i="4"/>
  <c r="A121" i="4"/>
  <c r="B121" i="4"/>
  <c r="C121" i="4"/>
  <c r="D121" i="4"/>
  <c r="A122" i="4"/>
  <c r="B122" i="4"/>
  <c r="C122" i="4"/>
  <c r="D122" i="4"/>
  <c r="A123" i="4"/>
  <c r="B123" i="4"/>
  <c r="C123" i="4"/>
  <c r="D123" i="4"/>
  <c r="A124" i="4"/>
  <c r="B124" i="4"/>
  <c r="C124" i="4"/>
  <c r="D124" i="4"/>
  <c r="A125" i="4"/>
  <c r="B125" i="4"/>
  <c r="C125" i="4"/>
  <c r="D125" i="4"/>
  <c r="A126" i="4"/>
  <c r="B126" i="4"/>
  <c r="C126" i="4"/>
  <c r="D126" i="4"/>
  <c r="A127" i="4"/>
  <c r="B127" i="4"/>
  <c r="C127" i="4"/>
  <c r="D127" i="4"/>
  <c r="A128" i="4"/>
  <c r="B128" i="4"/>
  <c r="C128" i="4"/>
  <c r="D128" i="4"/>
  <c r="A129" i="4"/>
  <c r="B129" i="4"/>
  <c r="C129" i="4"/>
  <c r="D129" i="4"/>
  <c r="A130" i="4"/>
  <c r="B130" i="4"/>
  <c r="C130" i="4"/>
  <c r="D130" i="4"/>
  <c r="A131" i="4"/>
  <c r="B131" i="4"/>
  <c r="C131" i="4"/>
  <c r="D131" i="4"/>
  <c r="A132" i="4"/>
  <c r="B132" i="4"/>
  <c r="C132" i="4"/>
  <c r="D132" i="4"/>
  <c r="A133" i="4"/>
  <c r="B133" i="4"/>
  <c r="C133" i="4"/>
  <c r="D133" i="4"/>
  <c r="A51" i="4"/>
  <c r="B51" i="4"/>
  <c r="C51" i="4"/>
  <c r="D51" i="4"/>
  <c r="A52" i="4"/>
  <c r="B52" i="4"/>
  <c r="C52" i="4"/>
  <c r="D52" i="4"/>
  <c r="A53" i="4"/>
  <c r="B53" i="4"/>
  <c r="C53" i="4"/>
  <c r="D53" i="4"/>
  <c r="A54" i="4"/>
  <c r="B54" i="4"/>
  <c r="C54" i="4"/>
  <c r="D54" i="4"/>
  <c r="A55" i="4"/>
  <c r="B55" i="4"/>
  <c r="C55" i="4"/>
  <c r="D55" i="4"/>
  <c r="A56" i="4"/>
  <c r="B56" i="4"/>
  <c r="C56" i="4"/>
  <c r="D56" i="4"/>
  <c r="A57" i="4"/>
  <c r="B57" i="4"/>
  <c r="C57" i="4"/>
  <c r="D57" i="4"/>
  <c r="A58" i="4"/>
  <c r="B58" i="4"/>
  <c r="C58" i="4"/>
  <c r="D58" i="4"/>
  <c r="A59" i="4"/>
  <c r="B59" i="4"/>
  <c r="C59" i="4"/>
  <c r="D59" i="4"/>
  <c r="A60" i="4"/>
  <c r="B60" i="4"/>
  <c r="C60" i="4"/>
  <c r="D60" i="4"/>
  <c r="A61" i="4"/>
  <c r="B61" i="4"/>
  <c r="C61" i="4"/>
  <c r="D61" i="4"/>
  <c r="A62" i="4"/>
  <c r="B62" i="4"/>
  <c r="C62" i="4"/>
  <c r="D62" i="4"/>
  <c r="A63" i="4"/>
  <c r="B63" i="4"/>
  <c r="C63" i="4"/>
  <c r="D63" i="4"/>
  <c r="A64" i="4"/>
  <c r="B64" i="4"/>
  <c r="C64" i="4"/>
  <c r="D64" i="4"/>
  <c r="A65" i="4"/>
  <c r="B65" i="4"/>
  <c r="C65" i="4"/>
  <c r="D65" i="4"/>
  <c r="A66" i="4"/>
  <c r="B66" i="4"/>
  <c r="C66" i="4"/>
  <c r="D66" i="4"/>
  <c r="A67" i="4"/>
  <c r="B67" i="4"/>
  <c r="C67" i="4"/>
  <c r="D67" i="4"/>
  <c r="A68" i="4"/>
  <c r="B68" i="4"/>
  <c r="C68" i="4"/>
  <c r="D68" i="4"/>
  <c r="A69" i="4"/>
  <c r="B69" i="4"/>
  <c r="C69" i="4"/>
  <c r="D69" i="4"/>
  <c r="A70" i="4"/>
  <c r="B70" i="4"/>
  <c r="C70" i="4"/>
  <c r="D70" i="4"/>
  <c r="A71" i="4"/>
  <c r="B71" i="4"/>
  <c r="C71" i="4"/>
  <c r="D71" i="4"/>
  <c r="A72" i="4"/>
  <c r="B72" i="4"/>
  <c r="C72" i="4"/>
  <c r="D72" i="4"/>
  <c r="A73" i="4"/>
  <c r="B73" i="4"/>
  <c r="C73" i="4"/>
  <c r="D73" i="4"/>
  <c r="A74" i="4"/>
  <c r="B74" i="4"/>
  <c r="C74" i="4"/>
  <c r="D74" i="4"/>
  <c r="A75" i="4"/>
  <c r="B75" i="4"/>
  <c r="C75" i="4"/>
  <c r="D75" i="4"/>
  <c r="A76" i="4"/>
  <c r="B76" i="4"/>
  <c r="C76" i="4"/>
  <c r="D76" i="4"/>
  <c r="A77" i="4"/>
  <c r="B77" i="4"/>
  <c r="C77" i="4"/>
  <c r="D77" i="4"/>
  <c r="A78" i="4"/>
  <c r="B78" i="4"/>
  <c r="C78" i="4"/>
  <c r="D78" i="4"/>
  <c r="A79" i="4"/>
  <c r="B79" i="4"/>
  <c r="C79" i="4"/>
  <c r="D79" i="4"/>
  <c r="A80" i="4"/>
  <c r="B80" i="4"/>
  <c r="C80" i="4"/>
  <c r="D80" i="4"/>
  <c r="A81" i="4"/>
  <c r="B81" i="4"/>
  <c r="C81" i="4"/>
  <c r="D81" i="4"/>
  <c r="A82" i="4"/>
  <c r="B82" i="4"/>
  <c r="C82" i="4"/>
  <c r="D82" i="4"/>
  <c r="A83" i="4"/>
  <c r="B83" i="4"/>
  <c r="C83" i="4"/>
  <c r="D83" i="4"/>
  <c r="A84" i="4"/>
  <c r="B84" i="4"/>
  <c r="C84" i="4"/>
  <c r="D84" i="4"/>
  <c r="A85" i="4"/>
  <c r="B85" i="4"/>
  <c r="C85" i="4"/>
  <c r="D85" i="4"/>
  <c r="A86" i="4"/>
  <c r="B86" i="4"/>
  <c r="C86" i="4"/>
  <c r="D86" i="4"/>
  <c r="A87" i="4"/>
  <c r="B87" i="4"/>
  <c r="C87" i="4"/>
  <c r="D87" i="4"/>
  <c r="A88" i="4"/>
  <c r="B88" i="4"/>
  <c r="C88" i="4"/>
  <c r="D88" i="4"/>
  <c r="A89" i="4"/>
  <c r="B89" i="4"/>
  <c r="C89" i="4"/>
  <c r="D89" i="4"/>
  <c r="A90" i="4"/>
  <c r="B90" i="4"/>
  <c r="C90" i="4"/>
  <c r="D90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33" i="4"/>
  <c r="B33" i="4"/>
  <c r="C33" i="4"/>
  <c r="D33" i="4"/>
  <c r="A34" i="4"/>
  <c r="B34" i="4"/>
  <c r="C34" i="4"/>
  <c r="D34" i="4"/>
  <c r="A35" i="4"/>
  <c r="B35" i="4"/>
  <c r="C35" i="4"/>
  <c r="D35" i="4"/>
  <c r="A36" i="4"/>
  <c r="B36" i="4"/>
  <c r="C36" i="4"/>
  <c r="D36" i="4"/>
  <c r="A37" i="4"/>
  <c r="B37" i="4"/>
  <c r="C37" i="4"/>
  <c r="D37" i="4"/>
  <c r="A38" i="4"/>
  <c r="B38" i="4"/>
  <c r="C38" i="4"/>
  <c r="D38" i="4"/>
  <c r="A39" i="4"/>
  <c r="B39" i="4"/>
  <c r="C39" i="4"/>
  <c r="D39" i="4"/>
  <c r="A40" i="4"/>
  <c r="B40" i="4"/>
  <c r="C40" i="4"/>
  <c r="D40" i="4"/>
  <c r="A41" i="4"/>
  <c r="B41" i="4"/>
  <c r="C41" i="4"/>
  <c r="D41" i="4"/>
  <c r="A42" i="4"/>
  <c r="B42" i="4"/>
  <c r="C42" i="4"/>
  <c r="D42" i="4"/>
  <c r="A43" i="4"/>
  <c r="B43" i="4"/>
  <c r="C43" i="4"/>
  <c r="D43" i="4"/>
  <c r="A44" i="4"/>
  <c r="B44" i="4"/>
  <c r="C44" i="4"/>
  <c r="D44" i="4"/>
  <c r="A45" i="4"/>
  <c r="B45" i="4"/>
  <c r="C45" i="4"/>
  <c r="D45" i="4"/>
  <c r="A46" i="4"/>
  <c r="B46" i="4"/>
  <c r="C46" i="4"/>
  <c r="D46" i="4"/>
  <c r="A47" i="4"/>
  <c r="B47" i="4"/>
  <c r="C47" i="4"/>
  <c r="D47" i="4"/>
  <c r="A48" i="4"/>
  <c r="B48" i="4"/>
  <c r="C48" i="4"/>
  <c r="D48" i="4"/>
  <c r="A49" i="4"/>
  <c r="B49" i="4"/>
  <c r="C49" i="4"/>
  <c r="D49" i="4"/>
  <c r="A50" i="4"/>
  <c r="B50" i="4"/>
  <c r="C50" i="4"/>
  <c r="D50" i="4"/>
  <c r="A3" i="4"/>
  <c r="B3" i="4"/>
  <c r="C3" i="4"/>
  <c r="D3" i="4"/>
  <c r="A4" i="4"/>
  <c r="B4" i="4"/>
  <c r="C4" i="4"/>
  <c r="D4" i="4"/>
  <c r="A5" i="4"/>
  <c r="B5" i="4"/>
  <c r="C5" i="4"/>
  <c r="D5" i="4"/>
  <c r="A6" i="4"/>
  <c r="B6" i="4"/>
  <c r="C6" i="4"/>
  <c r="D6" i="4"/>
  <c r="A7" i="4"/>
  <c r="B7" i="4"/>
  <c r="C7" i="4"/>
  <c r="D7" i="4"/>
  <c r="A8" i="4"/>
  <c r="B8" i="4"/>
  <c r="C8" i="4"/>
  <c r="D8" i="4"/>
  <c r="A9" i="4"/>
  <c r="B9" i="4"/>
  <c r="C9" i="4"/>
  <c r="D9" i="4"/>
  <c r="A10" i="4"/>
  <c r="B10" i="4"/>
  <c r="C10" i="4"/>
  <c r="D10" i="4"/>
  <c r="A11" i="4"/>
  <c r="B11" i="4"/>
  <c r="C11" i="4"/>
  <c r="D11" i="4"/>
  <c r="A12" i="4"/>
  <c r="B12" i="4"/>
  <c r="C12" i="4"/>
  <c r="D12" i="4"/>
  <c r="A13" i="4"/>
  <c r="B13" i="4"/>
  <c r="C13" i="4"/>
  <c r="D13" i="4"/>
  <c r="A14" i="4"/>
  <c r="B14" i="4"/>
  <c r="C14" i="4"/>
  <c r="D14" i="4"/>
  <c r="A15" i="4"/>
  <c r="B15" i="4"/>
  <c r="C15" i="4"/>
  <c r="D15" i="4"/>
  <c r="A16" i="4"/>
  <c r="B16" i="4"/>
  <c r="C16" i="4"/>
  <c r="D16" i="4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2" i="2"/>
  <c r="D2" i="4"/>
  <c r="C2" i="4"/>
  <c r="B2" i="4"/>
  <c r="A2" i="4"/>
  <c r="D2" i="6" l="1"/>
</calcChain>
</file>

<file path=xl/sharedStrings.xml><?xml version="1.0" encoding="utf-8"?>
<sst xmlns="http://schemas.openxmlformats.org/spreadsheetml/2006/main" count="1540" uniqueCount="133">
  <si>
    <t>ISTASYON (ILCE)</t>
  </si>
  <si>
    <t>IL</t>
  </si>
  <si>
    <t>HAVZA</t>
  </si>
  <si>
    <t>AK</t>
  </si>
  <si>
    <t>MERKEZ</t>
  </si>
  <si>
    <t>YIL</t>
  </si>
  <si>
    <t>A.S %21</t>
  </si>
  <si>
    <t>A.N %26</t>
  </si>
  <si>
    <t>A.N %33</t>
  </si>
  <si>
    <t>ÜRE</t>
  </si>
  <si>
    <t>TSP</t>
  </si>
  <si>
    <t>NSP</t>
  </si>
  <si>
    <t>DAP</t>
  </si>
  <si>
    <t>20.20.0</t>
  </si>
  <si>
    <t>20.20.0 Zn</t>
  </si>
  <si>
    <t>15.15.15</t>
  </si>
  <si>
    <t>15.15.15 Zn</t>
  </si>
  <si>
    <t>25.5.10</t>
  </si>
  <si>
    <t>10.25.20 Pt. Sul</t>
  </si>
  <si>
    <t>12.30.12</t>
  </si>
  <si>
    <t>K2SO4 %50</t>
  </si>
  <si>
    <t>KNO3 13.0.46</t>
  </si>
  <si>
    <t>MAP</t>
  </si>
  <si>
    <t>CaNO3 15,5+26,5</t>
  </si>
  <si>
    <t>10.25.5</t>
  </si>
  <si>
    <t>%21 CAN</t>
  </si>
  <si>
    <t>13.25.5 10 (SO3)</t>
  </si>
  <si>
    <t>%33 Azot</t>
  </si>
  <si>
    <t>BAYAT</t>
  </si>
  <si>
    <t>BOLVADIN</t>
  </si>
  <si>
    <t>CAY</t>
  </si>
  <si>
    <t>COBANLAR</t>
  </si>
  <si>
    <t>IHSANIYE</t>
  </si>
  <si>
    <t>ISCEHISAR</t>
  </si>
  <si>
    <t>SINANPASA</t>
  </si>
  <si>
    <t>SULTANDAGI</t>
  </si>
  <si>
    <t>SUHUT</t>
  </si>
  <si>
    <t>Amonyum Sülfat % 21</t>
  </si>
  <si>
    <t>K.Amonyum Nitrat % 26</t>
  </si>
  <si>
    <t>Amonyum Nitrat % 33</t>
  </si>
  <si>
    <t>Üre %46</t>
  </si>
  <si>
    <t>TSP (%42-44 P2O5)</t>
  </si>
  <si>
    <t>DAP 18.0.46</t>
  </si>
  <si>
    <t>Kompoze 20.20.0</t>
  </si>
  <si>
    <t>Kompoze 20.20.0 süper</t>
  </si>
  <si>
    <t>Kompoze 15.15.15 süper</t>
  </si>
  <si>
    <t>Kompoze 10.25.5</t>
  </si>
  <si>
    <t>Kompoze 12.30.12</t>
  </si>
  <si>
    <t>Kompoze 10.25.20 Pt.Sül.</t>
  </si>
  <si>
    <t>Potasyum Nitrat 13.0.46</t>
  </si>
  <si>
    <t>Potasyum  Sülfat % 50</t>
  </si>
  <si>
    <t>Kalsiyum Nitrat 15,5+26,5</t>
  </si>
  <si>
    <t>13.24.12</t>
  </si>
  <si>
    <t>10.20.20</t>
  </si>
  <si>
    <t>8.24.8</t>
  </si>
  <si>
    <t>KCl %50</t>
  </si>
  <si>
    <t>AFYONKARAHISAR</t>
  </si>
  <si>
    <t>Gübre Çeşidi</t>
  </si>
  <si>
    <t>N(%)</t>
  </si>
  <si>
    <t>P(%)</t>
  </si>
  <si>
    <t>K(%)</t>
  </si>
  <si>
    <t xml:space="preserve">Kompoze 15.15.15 </t>
  </si>
  <si>
    <t>Kompoze 25.5.10</t>
  </si>
  <si>
    <t>Kompoze 13.25.5 10 (SO3)</t>
  </si>
  <si>
    <t>18.24.12</t>
  </si>
  <si>
    <t>KONYA</t>
  </si>
  <si>
    <t>TUZLUKCU</t>
  </si>
  <si>
    <t>AKSEHIR</t>
  </si>
  <si>
    <t>12.20.12</t>
  </si>
  <si>
    <t>20.10.10</t>
  </si>
  <si>
    <t>20.32.0</t>
  </si>
  <si>
    <t>16.20.0</t>
  </si>
  <si>
    <t>15.25.15</t>
  </si>
  <si>
    <t>26.13.0</t>
  </si>
  <si>
    <t>BA</t>
  </si>
  <si>
    <t>ANTALYA</t>
  </si>
  <si>
    <t>KEMER</t>
  </si>
  <si>
    <t>13.24.13</t>
  </si>
  <si>
    <t>KUMLUCA</t>
  </si>
  <si>
    <t>KAS</t>
  </si>
  <si>
    <t>FINIKE</t>
  </si>
  <si>
    <t>DEMRE</t>
  </si>
  <si>
    <t>KORKUTELI</t>
  </si>
  <si>
    <t>ELMALI</t>
  </si>
  <si>
    <t>16.16.16</t>
  </si>
  <si>
    <t>20.32.0+15</t>
  </si>
  <si>
    <t>Nitro Power 33</t>
  </si>
  <si>
    <t>BURDUR</t>
  </si>
  <si>
    <t>YESILOVA</t>
  </si>
  <si>
    <t>TEFENNI</t>
  </si>
  <si>
    <t>CAVDIR</t>
  </si>
  <si>
    <t>20.20.20 ME</t>
  </si>
  <si>
    <t>18.18.18 ME</t>
  </si>
  <si>
    <t>15.15.15 ME</t>
  </si>
  <si>
    <t>MUGLA</t>
  </si>
  <si>
    <t>MILAS</t>
  </si>
  <si>
    <t>FETHIYE</t>
  </si>
  <si>
    <t>DALAMAN</t>
  </si>
  <si>
    <t>ORTACA</t>
  </si>
  <si>
    <t>KOYCEGIZ</t>
  </si>
  <si>
    <t>DATCA</t>
  </si>
  <si>
    <t>ULA</t>
  </si>
  <si>
    <t>BODRUM</t>
  </si>
  <si>
    <t>MENTESE</t>
  </si>
  <si>
    <t>MARMARIS</t>
  </si>
  <si>
    <t>SEYDIKEMER</t>
  </si>
  <si>
    <t>10.20.20 +6S+1ZN</t>
  </si>
  <si>
    <t>MKP</t>
  </si>
  <si>
    <t>MAG. NIT.</t>
  </si>
  <si>
    <t>%21 A. Nitrat</t>
  </si>
  <si>
    <t>NA</t>
  </si>
  <si>
    <t>YI</t>
  </si>
  <si>
    <t>ERZINCAN</t>
  </si>
  <si>
    <t>REFAHIYE</t>
  </si>
  <si>
    <t>ALMUS</t>
  </si>
  <si>
    <t>ARTOVA</t>
  </si>
  <si>
    <t>ERBAA</t>
  </si>
  <si>
    <t>PAZAR</t>
  </si>
  <si>
    <t>SULUSARAY</t>
  </si>
  <si>
    <t>TURHAL</t>
  </si>
  <si>
    <t>BASCIFTLIK</t>
  </si>
  <si>
    <t>NIKSAR</t>
  </si>
  <si>
    <t>RESADIYE</t>
  </si>
  <si>
    <t>YESILYURT</t>
  </si>
  <si>
    <t>ZILE</t>
  </si>
  <si>
    <t>TOKAT</t>
  </si>
  <si>
    <t>KOD</t>
  </si>
  <si>
    <t>Mono Potasyum Fosfat</t>
  </si>
  <si>
    <t>Magnezyum Nitrat</t>
  </si>
  <si>
    <t>TOPLAM</t>
  </si>
  <si>
    <t>ILCE</t>
  </si>
  <si>
    <t>NITROGEN AVERAGE (LONG.TERM)</t>
  </si>
  <si>
    <t>PHOSPORUS AVG (L.TERM)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</si>
</sst>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0"/>
      <name val="Arial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numRef>
              <c:f>'Oluşan N'!$D$3:$D$113</c:f>
              <c:numCache>
                <c:formatCode>General</c:formatCode>
                <c:ptCount val="2"/>
                <c:pt idx="0">
                  <c:v>2017</c:v>
                </c:pt>
                <c:pt idx="1">
                  <c:v>2017</c:v>
                </c:pt>
              </c:numCache>
            </c:numRef>
          </c:cat>
          <c:val>
            <c:numRef>
              <c:f>'Oluşan N'!$AW$3:$AW$113</c:f>
              <c:numCache>
                <c:formatCode>General</c:formatCode>
                <c:ptCount val="2"/>
                <c:pt idx="0">
                  <c:v>1603.1349499999999</c:v>
                </c:pt>
                <c:pt idx="1">
                  <c:v>89.027999999999992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4-4FEC-98E2-51917C78A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158576"/>
        <c:axId val="438245632"/>
      </c:barChart>
      <c:catAx>
        <c:axId val="43915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45632"/>
        <c:crosses val="autoZero"/>
        <c:auto val="1"/>
        <c:lblAlgn val="ctr"/>
        <c:lblOffset val="100"/>
        <c:noMultiLvlLbl val="0"/>
      </c:catAx>
      <c:valAx>
        <c:axId val="43824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207817</xdr:colOff>
      <xdr:row>416</xdr:row>
      <xdr:rowOff>143740</xdr:rowOff>
    </xdr:from>
    <xdr:to>
      <xdr:col>34</xdr:col>
      <xdr:colOff>415636</xdr:colOff>
      <xdr:row>460</xdr:row>
      <xdr:rowOff>173182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414"/>
  <sheetViews>
    <sheetView zoomScale="55" zoomScaleNormal="55" workbookViewId="0">
      <pane ySplit="1" topLeftCell="A2" activePane="bottomLeft" state="frozen"/>
      <selection pane="bottomLeft" activeCell="U27" sqref="U27"/>
    </sheetView>
  </sheetViews>
  <sheetFormatPr defaultRowHeight="15" x14ac:dyDescent="0.25"/>
  <cols>
    <col min="3" max="3" width="15.28515625" bestFit="1" customWidth="1"/>
  </cols>
  <sheetData>
    <row r="1" spans="1:48" x14ac:dyDescent="0.25">
      <c r="A1" t="s">
        <v>2</v>
      </c>
      <c r="B1" t="s">
        <v>1</v>
      </c>
      <c r="C1" t="s">
        <v>0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20</v>
      </c>
      <c r="P1" t="s">
        <v>21</v>
      </c>
      <c r="Q1" t="s">
        <v>19</v>
      </c>
      <c r="R1" t="s">
        <v>11</v>
      </c>
      <c r="S1" t="s">
        <v>23</v>
      </c>
      <c r="T1" t="s">
        <v>26</v>
      </c>
      <c r="U1" t="s">
        <v>17</v>
      </c>
      <c r="V1" t="s">
        <v>24</v>
      </c>
      <c r="W1" t="s">
        <v>64</v>
      </c>
      <c r="X1" t="s">
        <v>53</v>
      </c>
      <c r="Y1" t="s">
        <v>93</v>
      </c>
      <c r="Z1" t="s">
        <v>106</v>
      </c>
      <c r="AA1" t="s">
        <v>52</v>
      </c>
      <c r="AB1" t="s">
        <v>22</v>
      </c>
      <c r="AC1" t="s">
        <v>107</v>
      </c>
      <c r="AD1" t="s">
        <v>108</v>
      </c>
      <c r="AE1" t="s">
        <v>18</v>
      </c>
      <c r="AF1" t="s">
        <v>86</v>
      </c>
      <c r="AG1" t="s">
        <v>109</v>
      </c>
      <c r="AH1" t="s">
        <v>70</v>
      </c>
      <c r="AI1" t="s">
        <v>69</v>
      </c>
      <c r="AJ1" t="s">
        <v>72</v>
      </c>
      <c r="AK1" t="s">
        <v>85</v>
      </c>
      <c r="AL1" t="s">
        <v>68</v>
      </c>
      <c r="AM1" t="s">
        <v>71</v>
      </c>
      <c r="AN1" t="s">
        <v>73</v>
      </c>
      <c r="AO1" t="s">
        <v>25</v>
      </c>
      <c r="AP1" t="s">
        <v>27</v>
      </c>
      <c r="AQ1" t="s">
        <v>54</v>
      </c>
      <c r="AR1" t="s">
        <v>55</v>
      </c>
      <c r="AS1" t="s">
        <v>77</v>
      </c>
      <c r="AT1" t="s">
        <v>84</v>
      </c>
      <c r="AU1" t="s">
        <v>91</v>
      </c>
      <c r="AV1" t="s">
        <v>92</v>
      </c>
    </row>
    <row r="2" spans="1:48" x14ac:dyDescent="0.25">
      <c r="A2" t="s">
        <v>3</v>
      </c>
      <c r="B2" t="s">
        <v>56</v>
      </c>
      <c r="C2" t="s">
        <v>4</v>
      </c>
      <c r="D2">
        <v>2008</v>
      </c>
      <c r="E2">
        <v>149.25</v>
      </c>
      <c r="F2">
        <v>1002.95</v>
      </c>
      <c r="G2">
        <v>1102.0599999999997</v>
      </c>
      <c r="H2">
        <v>767.94999999999993</v>
      </c>
      <c r="I2">
        <v>43.5</v>
      </c>
      <c r="J2">
        <v>603.78</v>
      </c>
      <c r="K2">
        <v>1845.34</v>
      </c>
      <c r="L2">
        <v>509.9</v>
      </c>
      <c r="M2">
        <v>386.65000000000003</v>
      </c>
      <c r="N2">
        <v>249.65</v>
      </c>
      <c r="O2">
        <v>9.8000000000000007</v>
      </c>
      <c r="P2">
        <v>6.45</v>
      </c>
      <c r="Q2">
        <v>367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</row>
    <row r="3" spans="1:48" x14ac:dyDescent="0.25">
      <c r="A3" t="s">
        <v>3</v>
      </c>
      <c r="B3" t="s">
        <v>56</v>
      </c>
      <c r="C3" t="s">
        <v>28</v>
      </c>
      <c r="D3">
        <v>2008</v>
      </c>
      <c r="E3">
        <v>17.399999999999999</v>
      </c>
      <c r="F3">
        <v>38.549999999999997</v>
      </c>
      <c r="G3">
        <v>63.45</v>
      </c>
      <c r="H3">
        <v>0</v>
      </c>
      <c r="I3">
        <v>23.65</v>
      </c>
      <c r="J3">
        <v>0</v>
      </c>
      <c r="K3">
        <v>39</v>
      </c>
      <c r="L3">
        <v>29.8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</row>
    <row r="4" spans="1:48" x14ac:dyDescent="0.25">
      <c r="A4" t="s">
        <v>3</v>
      </c>
      <c r="B4" t="s">
        <v>56</v>
      </c>
      <c r="C4" t="s">
        <v>29</v>
      </c>
      <c r="D4">
        <v>2008</v>
      </c>
      <c r="E4">
        <v>161.99999999999997</v>
      </c>
      <c r="F4">
        <v>260.89999999999998</v>
      </c>
      <c r="G4">
        <v>506.2000000000001</v>
      </c>
      <c r="H4">
        <v>312.39999999999998</v>
      </c>
      <c r="I4">
        <v>56.449999999999996</v>
      </c>
      <c r="J4">
        <v>417.20000000000005</v>
      </c>
      <c r="K4">
        <v>0</v>
      </c>
      <c r="L4">
        <v>480.35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1:48" x14ac:dyDescent="0.25">
      <c r="A5" t="s">
        <v>3</v>
      </c>
      <c r="B5" t="s">
        <v>56</v>
      </c>
      <c r="C5" t="s">
        <v>30</v>
      </c>
      <c r="D5">
        <v>2008</v>
      </c>
      <c r="E5">
        <v>242.1</v>
      </c>
      <c r="F5">
        <v>415.8</v>
      </c>
      <c r="G5">
        <v>794.4</v>
      </c>
      <c r="H5">
        <v>170.4</v>
      </c>
      <c r="I5">
        <v>169.60000000000002</v>
      </c>
      <c r="J5">
        <v>240.05</v>
      </c>
      <c r="K5">
        <v>201.85</v>
      </c>
      <c r="L5">
        <v>495.95</v>
      </c>
      <c r="M5">
        <v>91.2</v>
      </c>
      <c r="N5">
        <v>114.4</v>
      </c>
      <c r="O5">
        <v>0</v>
      </c>
      <c r="P5">
        <v>0</v>
      </c>
      <c r="Q5">
        <v>6.25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1:48" x14ac:dyDescent="0.25">
      <c r="A6" t="s">
        <v>3</v>
      </c>
      <c r="B6" t="s">
        <v>56</v>
      </c>
      <c r="C6" t="s">
        <v>31</v>
      </c>
      <c r="D6">
        <v>2008</v>
      </c>
      <c r="E6">
        <v>38.800000000000004</v>
      </c>
      <c r="F6">
        <v>64.3</v>
      </c>
      <c r="G6">
        <v>85.65000000000002</v>
      </c>
      <c r="H6">
        <v>106.89999999999998</v>
      </c>
      <c r="I6">
        <v>24.35</v>
      </c>
      <c r="J6">
        <v>274.5</v>
      </c>
      <c r="K6">
        <v>58.650000000000006</v>
      </c>
      <c r="L6">
        <v>185.65</v>
      </c>
      <c r="M6">
        <v>7.55</v>
      </c>
      <c r="N6">
        <v>58.449999999999996</v>
      </c>
      <c r="O6">
        <v>2.83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1:48" x14ac:dyDescent="0.25">
      <c r="A7" t="s">
        <v>3</v>
      </c>
      <c r="B7" t="s">
        <v>56</v>
      </c>
      <c r="C7" t="s">
        <v>32</v>
      </c>
      <c r="D7">
        <v>2008</v>
      </c>
      <c r="E7">
        <v>0</v>
      </c>
      <c r="F7">
        <v>231</v>
      </c>
      <c r="G7">
        <v>132.94999999999999</v>
      </c>
      <c r="H7">
        <v>194</v>
      </c>
      <c r="I7">
        <v>0</v>
      </c>
      <c r="J7">
        <v>230.35000000000002</v>
      </c>
      <c r="K7">
        <v>888.15</v>
      </c>
      <c r="L7">
        <v>2.5</v>
      </c>
      <c r="M7">
        <v>0</v>
      </c>
      <c r="N7">
        <v>0.7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 x14ac:dyDescent="0.25">
      <c r="A8" t="s">
        <v>3</v>
      </c>
      <c r="B8" t="s">
        <v>56</v>
      </c>
      <c r="C8" t="s">
        <v>33</v>
      </c>
      <c r="D8">
        <v>2008</v>
      </c>
      <c r="E8">
        <v>0</v>
      </c>
      <c r="F8">
        <v>185</v>
      </c>
      <c r="G8">
        <v>0</v>
      </c>
      <c r="H8">
        <v>0</v>
      </c>
      <c r="I8">
        <v>0</v>
      </c>
      <c r="J8">
        <v>138.55000000000001</v>
      </c>
      <c r="K8">
        <v>6</v>
      </c>
      <c r="L8">
        <v>73.099999999999994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1:48" x14ac:dyDescent="0.25">
      <c r="A9" t="s">
        <v>3</v>
      </c>
      <c r="B9" t="s">
        <v>56</v>
      </c>
      <c r="C9" t="s">
        <v>34</v>
      </c>
      <c r="D9">
        <v>2008</v>
      </c>
      <c r="E9">
        <v>0</v>
      </c>
      <c r="F9">
        <v>1144.45</v>
      </c>
      <c r="G9">
        <v>687.75</v>
      </c>
      <c r="H9">
        <v>383.75</v>
      </c>
      <c r="I9">
        <v>0</v>
      </c>
      <c r="J9">
        <v>265.05</v>
      </c>
      <c r="K9">
        <v>543.65</v>
      </c>
      <c r="L9">
        <v>675.24999999999989</v>
      </c>
      <c r="M9">
        <v>52</v>
      </c>
      <c r="N9">
        <v>0</v>
      </c>
      <c r="O9">
        <v>0</v>
      </c>
      <c r="P9">
        <v>0</v>
      </c>
      <c r="Q9">
        <v>204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1:48" x14ac:dyDescent="0.25">
      <c r="A10" t="s">
        <v>3</v>
      </c>
      <c r="B10" t="s">
        <v>56</v>
      </c>
      <c r="C10" t="s">
        <v>35</v>
      </c>
      <c r="D10">
        <v>2008</v>
      </c>
      <c r="E10">
        <v>281.8</v>
      </c>
      <c r="F10">
        <v>117.45</v>
      </c>
      <c r="G10">
        <v>150.6</v>
      </c>
      <c r="H10">
        <v>40.350000000000009</v>
      </c>
      <c r="I10">
        <v>61.849999999999994</v>
      </c>
      <c r="J10">
        <v>146.85</v>
      </c>
      <c r="K10">
        <v>1.05</v>
      </c>
      <c r="L10">
        <v>46.15</v>
      </c>
      <c r="M10">
        <v>22.05</v>
      </c>
      <c r="N10">
        <v>115.55000000000001</v>
      </c>
      <c r="O10">
        <v>27.425000000000001</v>
      </c>
      <c r="P10">
        <v>5.375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1:48" x14ac:dyDescent="0.25">
      <c r="A11" t="s">
        <v>3</v>
      </c>
      <c r="B11" t="s">
        <v>56</v>
      </c>
      <c r="C11" t="s">
        <v>36</v>
      </c>
      <c r="D11">
        <v>2008</v>
      </c>
      <c r="E11">
        <v>1753.0000000000002</v>
      </c>
      <c r="F11">
        <v>276.95000000000005</v>
      </c>
      <c r="G11">
        <v>1887.5999999999997</v>
      </c>
      <c r="H11">
        <v>1269.4000000000001</v>
      </c>
      <c r="I11">
        <v>40.25</v>
      </c>
      <c r="J11">
        <v>542</v>
      </c>
      <c r="K11">
        <v>64.95</v>
      </c>
      <c r="L11">
        <v>382.84999999999997</v>
      </c>
      <c r="M11">
        <v>988.25</v>
      </c>
      <c r="N11">
        <v>1161.6999999999998</v>
      </c>
      <c r="O11">
        <v>86.42</v>
      </c>
      <c r="P11">
        <v>65.97</v>
      </c>
      <c r="Q11">
        <v>551.29999999999995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1:48" x14ac:dyDescent="0.25">
      <c r="A12" t="s">
        <v>3</v>
      </c>
      <c r="B12" t="s">
        <v>56</v>
      </c>
      <c r="C12" t="s">
        <v>4</v>
      </c>
      <c r="D12">
        <v>2006</v>
      </c>
      <c r="E12">
        <v>295.05</v>
      </c>
      <c r="F12">
        <v>2314.8500000000004</v>
      </c>
      <c r="G12">
        <v>1151.25</v>
      </c>
      <c r="H12">
        <v>1769.1499999999999</v>
      </c>
      <c r="I12">
        <v>10.4</v>
      </c>
      <c r="J12">
        <v>3713.46</v>
      </c>
      <c r="K12">
        <v>2261.6</v>
      </c>
      <c r="L12">
        <v>488.65</v>
      </c>
      <c r="M12">
        <v>217.05</v>
      </c>
      <c r="N12">
        <v>503.2</v>
      </c>
      <c r="O12">
        <v>0</v>
      </c>
      <c r="P12">
        <v>0</v>
      </c>
      <c r="Q12">
        <v>325.95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</row>
    <row r="13" spans="1:48" x14ac:dyDescent="0.25">
      <c r="A13" t="s">
        <v>3</v>
      </c>
      <c r="B13" t="s">
        <v>56</v>
      </c>
      <c r="C13" t="s">
        <v>28</v>
      </c>
      <c r="D13">
        <v>2006</v>
      </c>
      <c r="E13">
        <v>10.4</v>
      </c>
      <c r="F13">
        <v>107.95</v>
      </c>
      <c r="G13">
        <v>0</v>
      </c>
      <c r="H13">
        <v>0</v>
      </c>
      <c r="I13">
        <v>20</v>
      </c>
      <c r="J13">
        <v>53.35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1:48" x14ac:dyDescent="0.25">
      <c r="A14" t="s">
        <v>3</v>
      </c>
      <c r="B14" t="s">
        <v>56</v>
      </c>
      <c r="C14" t="s">
        <v>29</v>
      </c>
      <c r="D14">
        <v>2006</v>
      </c>
      <c r="E14">
        <v>113.39999999999999</v>
      </c>
      <c r="F14">
        <v>459.05</v>
      </c>
      <c r="G14">
        <v>456.75000000000006</v>
      </c>
      <c r="H14">
        <v>591.15000000000009</v>
      </c>
      <c r="I14">
        <v>214.6</v>
      </c>
      <c r="J14">
        <v>1201.1000000000001</v>
      </c>
      <c r="K14">
        <v>84</v>
      </c>
      <c r="L14">
        <v>368.5</v>
      </c>
      <c r="M14">
        <v>11.25</v>
      </c>
      <c r="N14">
        <v>69.3</v>
      </c>
      <c r="O14">
        <v>8.65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1:48" x14ac:dyDescent="0.25">
      <c r="A15" t="s">
        <v>3</v>
      </c>
      <c r="B15" t="s">
        <v>56</v>
      </c>
      <c r="C15" t="s">
        <v>30</v>
      </c>
      <c r="D15">
        <v>2006</v>
      </c>
      <c r="E15">
        <v>225.29999999999995</v>
      </c>
      <c r="F15">
        <v>581.15</v>
      </c>
      <c r="G15">
        <v>610</v>
      </c>
      <c r="H15">
        <v>486.8</v>
      </c>
      <c r="I15">
        <v>319.8</v>
      </c>
      <c r="J15">
        <v>605.55000000000007</v>
      </c>
      <c r="K15">
        <v>146.5</v>
      </c>
      <c r="L15">
        <v>681.6</v>
      </c>
      <c r="M15">
        <v>21.549999999999997</v>
      </c>
      <c r="N15">
        <v>106.55000000000001</v>
      </c>
      <c r="O15">
        <v>21.150000000000002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</row>
    <row r="16" spans="1:48" x14ac:dyDescent="0.25">
      <c r="A16" t="s">
        <v>3</v>
      </c>
      <c r="B16" t="s">
        <v>56</v>
      </c>
      <c r="C16" t="s">
        <v>31</v>
      </c>
      <c r="D16">
        <v>2006</v>
      </c>
      <c r="E16">
        <v>15.05</v>
      </c>
      <c r="F16">
        <v>102.89999999999999</v>
      </c>
      <c r="G16">
        <v>90.65</v>
      </c>
      <c r="H16">
        <v>274.05</v>
      </c>
      <c r="I16">
        <v>43</v>
      </c>
      <c r="J16">
        <v>525.20000000000005</v>
      </c>
      <c r="K16">
        <v>94.35</v>
      </c>
      <c r="L16">
        <v>220.35000000000002</v>
      </c>
      <c r="M16">
        <v>0.25</v>
      </c>
      <c r="N16">
        <v>31.05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</row>
    <row r="17" spans="1:48" x14ac:dyDescent="0.25">
      <c r="A17" t="s">
        <v>3</v>
      </c>
      <c r="B17" t="s">
        <v>56</v>
      </c>
      <c r="C17" t="s">
        <v>32</v>
      </c>
      <c r="D17">
        <v>2006</v>
      </c>
      <c r="E17">
        <v>1163.0999999999999</v>
      </c>
      <c r="F17">
        <v>47.3</v>
      </c>
      <c r="G17">
        <v>0</v>
      </c>
      <c r="H17">
        <v>7.9</v>
      </c>
      <c r="I17">
        <v>0</v>
      </c>
      <c r="J17">
        <v>392.5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510.40000000000003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 x14ac:dyDescent="0.25">
      <c r="A18" t="s">
        <v>3</v>
      </c>
      <c r="B18" t="s">
        <v>56</v>
      </c>
      <c r="C18" t="s">
        <v>33</v>
      </c>
      <c r="D18">
        <v>2006</v>
      </c>
      <c r="E18">
        <v>0</v>
      </c>
      <c r="F18">
        <v>195.2</v>
      </c>
      <c r="G18">
        <v>0</v>
      </c>
      <c r="H18">
        <v>0</v>
      </c>
      <c r="I18">
        <v>0</v>
      </c>
      <c r="J18">
        <v>303.05</v>
      </c>
      <c r="K18">
        <v>0</v>
      </c>
      <c r="L18">
        <v>85.75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1:48" x14ac:dyDescent="0.25">
      <c r="A19" t="s">
        <v>3</v>
      </c>
      <c r="B19" t="s">
        <v>56</v>
      </c>
      <c r="C19" t="s">
        <v>34</v>
      </c>
      <c r="D19">
        <v>2006</v>
      </c>
      <c r="E19">
        <v>0</v>
      </c>
      <c r="F19">
        <v>1348.8999999999999</v>
      </c>
      <c r="G19">
        <v>599.29999999999995</v>
      </c>
      <c r="H19">
        <v>285.95</v>
      </c>
      <c r="I19">
        <v>0</v>
      </c>
      <c r="J19">
        <v>1188.75</v>
      </c>
      <c r="K19">
        <v>552.95000000000005</v>
      </c>
      <c r="L19">
        <v>655</v>
      </c>
      <c r="M19">
        <v>33</v>
      </c>
      <c r="N19">
        <v>49.999999999999993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1:48" x14ac:dyDescent="0.25">
      <c r="A20" t="s">
        <v>3</v>
      </c>
      <c r="B20" t="s">
        <v>56</v>
      </c>
      <c r="C20" t="s">
        <v>35</v>
      </c>
      <c r="D20">
        <v>2006</v>
      </c>
      <c r="E20">
        <v>562.94999999999993</v>
      </c>
      <c r="F20">
        <v>183.75</v>
      </c>
      <c r="G20">
        <v>201.60000000000002</v>
      </c>
      <c r="H20">
        <v>65.75</v>
      </c>
      <c r="I20">
        <v>201.2</v>
      </c>
      <c r="J20">
        <v>512.25</v>
      </c>
      <c r="K20">
        <v>47.499999999999993</v>
      </c>
      <c r="L20">
        <v>209.75</v>
      </c>
      <c r="M20">
        <v>18</v>
      </c>
      <c r="N20">
        <v>241.9</v>
      </c>
      <c r="O20">
        <v>75.900000000000006</v>
      </c>
      <c r="P20">
        <v>4.8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1:48" x14ac:dyDescent="0.25">
      <c r="A21" t="s">
        <v>3</v>
      </c>
      <c r="B21" t="s">
        <v>56</v>
      </c>
      <c r="C21" t="s">
        <v>36</v>
      </c>
      <c r="D21">
        <v>2006</v>
      </c>
      <c r="E21">
        <v>1644.2499999999998</v>
      </c>
      <c r="F21">
        <v>452</v>
      </c>
      <c r="G21">
        <v>1450.4</v>
      </c>
      <c r="H21">
        <v>1497.7499999999998</v>
      </c>
      <c r="I21">
        <v>23.45</v>
      </c>
      <c r="J21">
        <v>1452.55</v>
      </c>
      <c r="K21">
        <v>53.7</v>
      </c>
      <c r="L21">
        <v>364.55</v>
      </c>
      <c r="M21">
        <v>151.85000000000002</v>
      </c>
      <c r="N21">
        <v>993.55</v>
      </c>
      <c r="O21">
        <v>0.5</v>
      </c>
      <c r="P21">
        <v>93.85</v>
      </c>
      <c r="Q21">
        <v>600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</row>
    <row r="22" spans="1:48" x14ac:dyDescent="0.25">
      <c r="A22" t="s">
        <v>3</v>
      </c>
      <c r="B22" t="s">
        <v>56</v>
      </c>
      <c r="C22" t="s">
        <v>4</v>
      </c>
      <c r="D22">
        <v>2007</v>
      </c>
      <c r="E22">
        <v>361.5</v>
      </c>
      <c r="F22">
        <v>1391.7500000000002</v>
      </c>
      <c r="G22">
        <v>1246.4500000000003</v>
      </c>
      <c r="H22">
        <v>801.44999999999993</v>
      </c>
      <c r="I22">
        <v>93.5</v>
      </c>
      <c r="J22">
        <v>2927.45</v>
      </c>
      <c r="K22">
        <v>2343.0500000000002</v>
      </c>
      <c r="L22">
        <v>332.95</v>
      </c>
      <c r="M22">
        <v>125.89999999999998</v>
      </c>
      <c r="N22">
        <v>544.04999999999995</v>
      </c>
      <c r="O22">
        <v>326.39999999999998</v>
      </c>
      <c r="P22">
        <v>8</v>
      </c>
      <c r="Q22">
        <v>352.5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1:48" x14ac:dyDescent="0.25">
      <c r="A23" t="s">
        <v>3</v>
      </c>
      <c r="B23" t="s">
        <v>56</v>
      </c>
      <c r="C23" t="s">
        <v>28</v>
      </c>
      <c r="D23">
        <v>2007</v>
      </c>
      <c r="E23">
        <v>18.399999999999999</v>
      </c>
      <c r="F23">
        <v>39.5</v>
      </c>
      <c r="G23">
        <v>50.2</v>
      </c>
      <c r="H23">
        <v>0</v>
      </c>
      <c r="I23">
        <v>0</v>
      </c>
      <c r="J23">
        <v>0.5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</row>
    <row r="24" spans="1:48" x14ac:dyDescent="0.25">
      <c r="A24" t="s">
        <v>3</v>
      </c>
      <c r="B24" t="s">
        <v>56</v>
      </c>
      <c r="C24" t="s">
        <v>29</v>
      </c>
      <c r="D24">
        <v>2007</v>
      </c>
      <c r="E24">
        <v>127</v>
      </c>
      <c r="F24">
        <v>473.44999999999993</v>
      </c>
      <c r="G24">
        <v>990.95</v>
      </c>
      <c r="H24">
        <v>896.55</v>
      </c>
      <c r="I24">
        <v>109</v>
      </c>
      <c r="J24">
        <v>716</v>
      </c>
      <c r="K24">
        <v>58</v>
      </c>
      <c r="L24">
        <v>467.3</v>
      </c>
      <c r="M24">
        <v>0</v>
      </c>
      <c r="N24">
        <v>11.4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:48" x14ac:dyDescent="0.25">
      <c r="A25" t="s">
        <v>3</v>
      </c>
      <c r="B25" t="s">
        <v>56</v>
      </c>
      <c r="C25" t="s">
        <v>30</v>
      </c>
      <c r="D25">
        <v>2007</v>
      </c>
      <c r="E25">
        <v>448.85</v>
      </c>
      <c r="F25">
        <v>358.95000000000005</v>
      </c>
      <c r="G25">
        <v>1008</v>
      </c>
      <c r="H25">
        <v>410.65000000000009</v>
      </c>
      <c r="I25">
        <v>223.95000000000002</v>
      </c>
      <c r="J25">
        <v>378.7</v>
      </c>
      <c r="K25">
        <v>263</v>
      </c>
      <c r="L25">
        <v>600.85</v>
      </c>
      <c r="M25">
        <v>67.499999999999986</v>
      </c>
      <c r="N25">
        <v>260.95000000000005</v>
      </c>
      <c r="O25">
        <v>26.299999999999997</v>
      </c>
      <c r="P25">
        <v>0</v>
      </c>
      <c r="Q25">
        <v>21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:48" x14ac:dyDescent="0.25">
      <c r="A26" t="s">
        <v>3</v>
      </c>
      <c r="B26" t="s">
        <v>56</v>
      </c>
      <c r="C26" t="s">
        <v>31</v>
      </c>
      <c r="D26">
        <v>2007</v>
      </c>
      <c r="E26">
        <v>40.5</v>
      </c>
      <c r="F26">
        <v>68.25</v>
      </c>
      <c r="G26">
        <v>130.19999999999999</v>
      </c>
      <c r="H26">
        <v>126.60000000000001</v>
      </c>
      <c r="I26">
        <v>14.549999999999999</v>
      </c>
      <c r="J26">
        <v>466.84999999999997</v>
      </c>
      <c r="K26">
        <v>127.35</v>
      </c>
      <c r="L26">
        <v>101.1</v>
      </c>
      <c r="M26">
        <v>0</v>
      </c>
      <c r="N26">
        <v>55.8</v>
      </c>
      <c r="O26">
        <v>2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 x14ac:dyDescent="0.25">
      <c r="A27" t="s">
        <v>3</v>
      </c>
      <c r="B27" t="s">
        <v>56</v>
      </c>
      <c r="C27" t="s">
        <v>32</v>
      </c>
      <c r="D27">
        <v>2007</v>
      </c>
      <c r="E27">
        <v>0</v>
      </c>
      <c r="F27">
        <v>210.65</v>
      </c>
      <c r="G27">
        <v>0</v>
      </c>
      <c r="H27">
        <v>251.3</v>
      </c>
      <c r="I27">
        <v>0</v>
      </c>
      <c r="J27">
        <v>96.85</v>
      </c>
      <c r="K27">
        <v>386.35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 x14ac:dyDescent="0.25">
      <c r="A28" t="s">
        <v>3</v>
      </c>
      <c r="B28" t="s">
        <v>56</v>
      </c>
      <c r="C28" t="s">
        <v>33</v>
      </c>
      <c r="D28">
        <v>2007</v>
      </c>
      <c r="E28">
        <v>16.05</v>
      </c>
      <c r="F28">
        <v>184.89999999999998</v>
      </c>
      <c r="G28">
        <v>0</v>
      </c>
      <c r="H28">
        <v>0</v>
      </c>
      <c r="I28">
        <v>0</v>
      </c>
      <c r="J28">
        <v>271.2</v>
      </c>
      <c r="K28">
        <v>12.249999999999998</v>
      </c>
      <c r="L28">
        <v>46.15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:48" x14ac:dyDescent="0.25">
      <c r="A29" t="s">
        <v>3</v>
      </c>
      <c r="B29" t="s">
        <v>56</v>
      </c>
      <c r="C29" t="s">
        <v>34</v>
      </c>
      <c r="D29">
        <v>2007</v>
      </c>
      <c r="E29">
        <v>0</v>
      </c>
      <c r="F29">
        <v>1237</v>
      </c>
      <c r="G29">
        <v>902.95</v>
      </c>
      <c r="H29">
        <v>232.54999999999995</v>
      </c>
      <c r="I29">
        <v>40</v>
      </c>
      <c r="J29">
        <v>681.69999999999993</v>
      </c>
      <c r="K29">
        <v>525.90000000000009</v>
      </c>
      <c r="L29">
        <v>744.19999999999993</v>
      </c>
      <c r="M29">
        <v>19.5</v>
      </c>
      <c r="N29">
        <v>12.05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1:48" x14ac:dyDescent="0.25">
      <c r="A30" t="s">
        <v>3</v>
      </c>
      <c r="B30" t="s">
        <v>56</v>
      </c>
      <c r="C30" t="s">
        <v>35</v>
      </c>
      <c r="D30">
        <v>2007</v>
      </c>
      <c r="E30">
        <v>514.9</v>
      </c>
      <c r="F30">
        <v>151.25</v>
      </c>
      <c r="G30">
        <v>272.15000000000003</v>
      </c>
      <c r="H30">
        <v>68.8</v>
      </c>
      <c r="I30">
        <v>79.149999999999991</v>
      </c>
      <c r="J30">
        <v>193.70000000000002</v>
      </c>
      <c r="K30">
        <v>5.75</v>
      </c>
      <c r="L30">
        <v>162</v>
      </c>
      <c r="M30">
        <v>8</v>
      </c>
      <c r="N30">
        <v>214.5</v>
      </c>
      <c r="O30">
        <v>39.550000000000004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1:48" x14ac:dyDescent="0.25">
      <c r="A31" t="s">
        <v>3</v>
      </c>
      <c r="B31" t="s">
        <v>56</v>
      </c>
      <c r="C31" t="s">
        <v>36</v>
      </c>
      <c r="D31">
        <v>2007</v>
      </c>
      <c r="E31">
        <v>1709.55</v>
      </c>
      <c r="F31">
        <v>436.2</v>
      </c>
      <c r="G31">
        <v>1723.6999999999998</v>
      </c>
      <c r="H31">
        <v>1210.1499999999999</v>
      </c>
      <c r="I31">
        <v>192.4</v>
      </c>
      <c r="J31">
        <v>1282.6000000000001</v>
      </c>
      <c r="K31">
        <v>253.99999999999997</v>
      </c>
      <c r="L31">
        <v>432.90000000000003</v>
      </c>
      <c r="M31">
        <v>346.25</v>
      </c>
      <c r="N31">
        <v>1004.6</v>
      </c>
      <c r="O31">
        <v>86.72</v>
      </c>
      <c r="P31">
        <v>121.78999999999999</v>
      </c>
      <c r="Q31">
        <v>657.95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</row>
    <row r="32" spans="1:48" x14ac:dyDescent="0.25">
      <c r="A32" t="s">
        <v>3</v>
      </c>
      <c r="B32" t="s">
        <v>56</v>
      </c>
      <c r="C32" t="s">
        <v>4</v>
      </c>
      <c r="D32">
        <v>2009</v>
      </c>
      <c r="E32">
        <v>153.30000000000001</v>
      </c>
      <c r="F32">
        <v>1038.55</v>
      </c>
      <c r="G32">
        <v>1442</v>
      </c>
      <c r="H32">
        <v>866.5</v>
      </c>
      <c r="I32">
        <v>24.4</v>
      </c>
      <c r="J32">
        <v>1463</v>
      </c>
      <c r="K32">
        <v>1387.5</v>
      </c>
      <c r="L32">
        <v>605.85</v>
      </c>
      <c r="M32">
        <v>157</v>
      </c>
      <c r="N32">
        <v>237.35</v>
      </c>
      <c r="O32">
        <v>3.2</v>
      </c>
      <c r="P32">
        <v>8.48</v>
      </c>
      <c r="Q32">
        <v>346</v>
      </c>
      <c r="R32">
        <v>43.5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</row>
    <row r="33" spans="1:48" x14ac:dyDescent="0.25">
      <c r="A33" t="s">
        <v>3</v>
      </c>
      <c r="B33" t="s">
        <v>56</v>
      </c>
      <c r="C33" t="s">
        <v>28</v>
      </c>
      <c r="D33">
        <v>2009</v>
      </c>
      <c r="E33">
        <v>1.75</v>
      </c>
      <c r="F33">
        <v>123.85</v>
      </c>
      <c r="G33">
        <v>0</v>
      </c>
      <c r="H33">
        <v>0</v>
      </c>
      <c r="I33">
        <v>0</v>
      </c>
      <c r="J33">
        <v>66</v>
      </c>
      <c r="K33">
        <v>54</v>
      </c>
      <c r="L33">
        <v>35.6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</row>
    <row r="34" spans="1:48" x14ac:dyDescent="0.25">
      <c r="A34" t="s">
        <v>3</v>
      </c>
      <c r="B34" t="s">
        <v>56</v>
      </c>
      <c r="C34" t="s">
        <v>29</v>
      </c>
      <c r="D34">
        <v>2009</v>
      </c>
      <c r="E34">
        <v>48.15</v>
      </c>
      <c r="F34">
        <v>187</v>
      </c>
      <c r="G34">
        <v>536.45000000000005</v>
      </c>
      <c r="H34">
        <v>185.85</v>
      </c>
      <c r="I34">
        <v>8.75</v>
      </c>
      <c r="J34">
        <v>1067.2</v>
      </c>
      <c r="K34">
        <v>36</v>
      </c>
      <c r="L34">
        <v>204.8</v>
      </c>
      <c r="M34">
        <v>0</v>
      </c>
      <c r="N34">
        <v>0</v>
      </c>
      <c r="O34">
        <v>0</v>
      </c>
      <c r="P34">
        <v>9.98</v>
      </c>
      <c r="Q34">
        <v>0</v>
      </c>
      <c r="R34">
        <v>0</v>
      </c>
      <c r="S34">
        <v>0</v>
      </c>
      <c r="T34">
        <v>0</v>
      </c>
      <c r="U34">
        <v>0</v>
      </c>
      <c r="V34">
        <v>5.35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</row>
    <row r="35" spans="1:48" x14ac:dyDescent="0.25">
      <c r="A35" t="s">
        <v>3</v>
      </c>
      <c r="B35" t="s">
        <v>56</v>
      </c>
      <c r="C35" t="s">
        <v>30</v>
      </c>
      <c r="D35">
        <v>2009</v>
      </c>
      <c r="E35">
        <v>371.65</v>
      </c>
      <c r="F35">
        <v>313.25</v>
      </c>
      <c r="G35">
        <v>947.35</v>
      </c>
      <c r="H35">
        <v>243</v>
      </c>
      <c r="I35">
        <v>129.1</v>
      </c>
      <c r="J35">
        <v>786.6</v>
      </c>
      <c r="K35">
        <v>76.150000000000006</v>
      </c>
      <c r="L35">
        <v>525.95000000000005</v>
      </c>
      <c r="M35">
        <v>45.1</v>
      </c>
      <c r="N35">
        <v>106.25</v>
      </c>
      <c r="O35">
        <v>5.75</v>
      </c>
      <c r="P35">
        <v>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16.05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</row>
    <row r="36" spans="1:48" x14ac:dyDescent="0.25">
      <c r="A36" t="s">
        <v>3</v>
      </c>
      <c r="B36" t="s">
        <v>56</v>
      </c>
      <c r="C36" t="s">
        <v>31</v>
      </c>
      <c r="D36">
        <v>2009</v>
      </c>
      <c r="E36">
        <v>71.55</v>
      </c>
      <c r="F36">
        <v>19.95</v>
      </c>
      <c r="G36">
        <v>150.19999999999999</v>
      </c>
      <c r="H36">
        <v>209.3</v>
      </c>
      <c r="I36">
        <v>25</v>
      </c>
      <c r="J36">
        <v>734</v>
      </c>
      <c r="K36">
        <v>0</v>
      </c>
      <c r="L36">
        <v>261.60000000000002</v>
      </c>
      <c r="M36">
        <v>0</v>
      </c>
      <c r="N36">
        <v>15.45</v>
      </c>
      <c r="O36">
        <v>3.03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</row>
    <row r="37" spans="1:48" x14ac:dyDescent="0.25">
      <c r="A37" t="s">
        <v>3</v>
      </c>
      <c r="B37" t="s">
        <v>56</v>
      </c>
      <c r="C37" t="s">
        <v>32</v>
      </c>
      <c r="D37">
        <v>2009</v>
      </c>
      <c r="E37">
        <v>0.75</v>
      </c>
      <c r="F37">
        <v>358.6</v>
      </c>
      <c r="G37">
        <v>491.3</v>
      </c>
      <c r="H37">
        <v>368.8</v>
      </c>
      <c r="I37">
        <v>0</v>
      </c>
      <c r="J37">
        <v>409.8</v>
      </c>
      <c r="K37">
        <v>946.6</v>
      </c>
      <c r="L37">
        <v>0.6</v>
      </c>
      <c r="M37">
        <v>0</v>
      </c>
      <c r="N37">
        <v>0.95</v>
      </c>
      <c r="O37">
        <v>0</v>
      </c>
      <c r="P37">
        <v>0</v>
      </c>
      <c r="Q37">
        <v>57.3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</row>
    <row r="38" spans="1:48" x14ac:dyDescent="0.25">
      <c r="A38" t="s">
        <v>3</v>
      </c>
      <c r="B38" t="s">
        <v>56</v>
      </c>
      <c r="C38" t="s">
        <v>33</v>
      </c>
      <c r="D38">
        <v>2009</v>
      </c>
      <c r="E38">
        <v>0</v>
      </c>
      <c r="F38">
        <v>143.69999999999999</v>
      </c>
      <c r="G38">
        <v>0</v>
      </c>
      <c r="H38">
        <v>0</v>
      </c>
      <c r="I38">
        <v>0</v>
      </c>
      <c r="J38">
        <v>160</v>
      </c>
      <c r="K38">
        <v>19.600000000000001</v>
      </c>
      <c r="L38">
        <v>115.8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</row>
    <row r="39" spans="1:48" x14ac:dyDescent="0.25">
      <c r="A39" t="s">
        <v>3</v>
      </c>
      <c r="B39" t="s">
        <v>56</v>
      </c>
      <c r="C39" t="s">
        <v>34</v>
      </c>
      <c r="D39">
        <v>2009</v>
      </c>
      <c r="E39">
        <v>2.95</v>
      </c>
      <c r="F39">
        <v>953.15</v>
      </c>
      <c r="G39">
        <v>882.5</v>
      </c>
      <c r="H39">
        <v>141.05000000000001</v>
      </c>
      <c r="I39">
        <v>0</v>
      </c>
      <c r="J39">
        <v>822</v>
      </c>
      <c r="K39">
        <v>453.45</v>
      </c>
      <c r="L39">
        <v>833.7</v>
      </c>
      <c r="M39">
        <v>3</v>
      </c>
      <c r="N39">
        <v>0</v>
      </c>
      <c r="O39">
        <v>0</v>
      </c>
      <c r="P39">
        <v>0.55000000000000004</v>
      </c>
      <c r="Q39">
        <v>18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</row>
    <row r="40" spans="1:48" x14ac:dyDescent="0.25">
      <c r="A40" t="s">
        <v>3</v>
      </c>
      <c r="B40" t="s">
        <v>56</v>
      </c>
      <c r="C40" t="s">
        <v>35</v>
      </c>
      <c r="D40">
        <v>2009</v>
      </c>
      <c r="E40">
        <v>292.39999999999998</v>
      </c>
      <c r="F40">
        <v>66.75</v>
      </c>
      <c r="G40">
        <v>77.7</v>
      </c>
      <c r="H40">
        <v>30.5</v>
      </c>
      <c r="I40">
        <v>84.25</v>
      </c>
      <c r="J40">
        <v>346.25</v>
      </c>
      <c r="K40">
        <v>0</v>
      </c>
      <c r="L40">
        <v>112.35</v>
      </c>
      <c r="M40">
        <v>7.2</v>
      </c>
      <c r="N40">
        <v>22</v>
      </c>
      <c r="O40">
        <v>5.73</v>
      </c>
      <c r="P40">
        <v>3.73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16.45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</row>
    <row r="41" spans="1:48" x14ac:dyDescent="0.25">
      <c r="A41" t="s">
        <v>3</v>
      </c>
      <c r="B41" t="s">
        <v>56</v>
      </c>
      <c r="C41" t="s">
        <v>36</v>
      </c>
      <c r="D41">
        <v>2009</v>
      </c>
      <c r="E41">
        <v>1629.1</v>
      </c>
      <c r="F41">
        <v>133.1</v>
      </c>
      <c r="G41">
        <v>1821</v>
      </c>
      <c r="H41">
        <v>1371.4</v>
      </c>
      <c r="I41">
        <v>52.75</v>
      </c>
      <c r="J41">
        <v>1685.5</v>
      </c>
      <c r="K41">
        <v>45.2</v>
      </c>
      <c r="L41">
        <v>335.75</v>
      </c>
      <c r="M41">
        <v>66.7</v>
      </c>
      <c r="N41">
        <v>841.4</v>
      </c>
      <c r="O41">
        <v>41.25</v>
      </c>
      <c r="P41">
        <v>81.430000000000007</v>
      </c>
      <c r="Q41">
        <v>149.9</v>
      </c>
      <c r="R41">
        <v>74.599999999999994</v>
      </c>
      <c r="S41">
        <v>20.03</v>
      </c>
      <c r="T41">
        <v>0</v>
      </c>
      <c r="U41">
        <v>0</v>
      </c>
      <c r="V41">
        <v>0</v>
      </c>
      <c r="W41">
        <v>0</v>
      </c>
      <c r="X41">
        <v>38.1</v>
      </c>
      <c r="Y41">
        <v>0</v>
      </c>
      <c r="Z41">
        <v>0</v>
      </c>
      <c r="AA41">
        <v>123.6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</row>
    <row r="42" spans="1:48" x14ac:dyDescent="0.25">
      <c r="A42" t="s">
        <v>3</v>
      </c>
      <c r="B42" t="s">
        <v>56</v>
      </c>
      <c r="C42" t="s">
        <v>4</v>
      </c>
      <c r="D42">
        <v>2010</v>
      </c>
      <c r="E42">
        <v>253.35</v>
      </c>
      <c r="F42">
        <v>962.7</v>
      </c>
      <c r="G42">
        <v>1139.9000000000001</v>
      </c>
      <c r="H42">
        <v>964.45</v>
      </c>
      <c r="I42">
        <v>6.7</v>
      </c>
      <c r="J42">
        <v>1519.25</v>
      </c>
      <c r="K42">
        <v>2376.5500000000002</v>
      </c>
      <c r="L42">
        <v>482.75</v>
      </c>
      <c r="M42">
        <v>273.55</v>
      </c>
      <c r="N42">
        <v>493.55</v>
      </c>
      <c r="O42">
        <v>0</v>
      </c>
      <c r="P42">
        <v>12.25</v>
      </c>
      <c r="Q42">
        <v>370.5</v>
      </c>
      <c r="R42">
        <v>49.5</v>
      </c>
      <c r="S42">
        <v>0.13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</row>
    <row r="43" spans="1:48" x14ac:dyDescent="0.25">
      <c r="A43" t="s">
        <v>3</v>
      </c>
      <c r="B43" t="s">
        <v>56</v>
      </c>
      <c r="C43" t="s">
        <v>28</v>
      </c>
      <c r="D43">
        <v>2010</v>
      </c>
      <c r="E43">
        <v>0</v>
      </c>
      <c r="F43">
        <v>152.25</v>
      </c>
      <c r="G43">
        <v>4.5999999999999996</v>
      </c>
      <c r="H43">
        <v>0</v>
      </c>
      <c r="I43">
        <v>1.3</v>
      </c>
      <c r="J43">
        <v>79.25</v>
      </c>
      <c r="K43">
        <v>0</v>
      </c>
      <c r="L43">
        <v>89.9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</row>
    <row r="44" spans="1:48" x14ac:dyDescent="0.25">
      <c r="A44" t="s">
        <v>3</v>
      </c>
      <c r="B44" t="s">
        <v>56</v>
      </c>
      <c r="C44" t="s">
        <v>29</v>
      </c>
      <c r="D44">
        <v>2010</v>
      </c>
      <c r="E44">
        <v>114.15</v>
      </c>
      <c r="F44">
        <v>149.25</v>
      </c>
      <c r="G44">
        <v>737.15</v>
      </c>
      <c r="H44">
        <v>489.4</v>
      </c>
      <c r="I44">
        <v>30.4</v>
      </c>
      <c r="J44">
        <v>1002.6</v>
      </c>
      <c r="K44">
        <v>82</v>
      </c>
      <c r="L44">
        <v>406.3</v>
      </c>
      <c r="M44">
        <v>31</v>
      </c>
      <c r="N44">
        <v>25</v>
      </c>
      <c r="O44">
        <v>0</v>
      </c>
      <c r="P44">
        <v>1.73</v>
      </c>
      <c r="Q44">
        <v>0</v>
      </c>
      <c r="R44">
        <v>0</v>
      </c>
      <c r="S44">
        <v>0</v>
      </c>
      <c r="T44">
        <v>0</v>
      </c>
      <c r="U44">
        <v>0</v>
      </c>
      <c r="V44">
        <v>5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</row>
    <row r="45" spans="1:48" x14ac:dyDescent="0.25">
      <c r="A45" t="s">
        <v>3</v>
      </c>
      <c r="B45" t="s">
        <v>56</v>
      </c>
      <c r="C45" t="s">
        <v>30</v>
      </c>
      <c r="D45">
        <v>2010</v>
      </c>
      <c r="E45">
        <v>457.5</v>
      </c>
      <c r="F45">
        <v>442.75</v>
      </c>
      <c r="G45">
        <v>865.4</v>
      </c>
      <c r="H45">
        <v>327.55</v>
      </c>
      <c r="I45">
        <v>147.80000000000001</v>
      </c>
      <c r="J45">
        <v>612.9</v>
      </c>
      <c r="K45">
        <v>85.5</v>
      </c>
      <c r="L45">
        <v>646.20000000000005</v>
      </c>
      <c r="M45">
        <v>108.25</v>
      </c>
      <c r="N45">
        <v>180.85</v>
      </c>
      <c r="O45">
        <v>20.2</v>
      </c>
      <c r="P45">
        <v>1.35</v>
      </c>
      <c r="Q45">
        <v>0</v>
      </c>
      <c r="R45">
        <v>0</v>
      </c>
      <c r="S45">
        <v>0</v>
      </c>
      <c r="T45">
        <v>0</v>
      </c>
      <c r="U45">
        <v>0</v>
      </c>
      <c r="V45">
        <v>20</v>
      </c>
      <c r="W45">
        <v>0</v>
      </c>
      <c r="X45">
        <v>0</v>
      </c>
      <c r="Y45">
        <v>0</v>
      </c>
      <c r="Z45">
        <v>0</v>
      </c>
      <c r="AA45">
        <v>7.8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</row>
    <row r="46" spans="1:48" x14ac:dyDescent="0.25">
      <c r="A46" t="s">
        <v>3</v>
      </c>
      <c r="B46" t="s">
        <v>56</v>
      </c>
      <c r="C46" t="s">
        <v>31</v>
      </c>
      <c r="D46">
        <v>2010</v>
      </c>
      <c r="E46">
        <v>107.45</v>
      </c>
      <c r="F46">
        <v>41.5</v>
      </c>
      <c r="G46">
        <v>141.85</v>
      </c>
      <c r="H46">
        <v>264.89999999999998</v>
      </c>
      <c r="I46">
        <v>36.4</v>
      </c>
      <c r="J46">
        <v>505.05</v>
      </c>
      <c r="K46">
        <v>56</v>
      </c>
      <c r="L46">
        <v>224</v>
      </c>
      <c r="M46">
        <v>40</v>
      </c>
      <c r="N46">
        <v>63.8</v>
      </c>
      <c r="O46">
        <v>3.8</v>
      </c>
      <c r="P46">
        <v>2.63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</row>
    <row r="47" spans="1:48" x14ac:dyDescent="0.25">
      <c r="A47" t="s">
        <v>3</v>
      </c>
      <c r="B47" t="s">
        <v>56</v>
      </c>
      <c r="C47" t="s">
        <v>32</v>
      </c>
      <c r="D47">
        <v>2010</v>
      </c>
      <c r="E47">
        <v>17.75</v>
      </c>
      <c r="F47">
        <v>260.39999999999998</v>
      </c>
      <c r="G47">
        <v>288.35000000000002</v>
      </c>
      <c r="H47">
        <v>391.15</v>
      </c>
      <c r="I47">
        <v>0</v>
      </c>
      <c r="J47">
        <v>483.25</v>
      </c>
      <c r="K47">
        <v>1171.3499999999999</v>
      </c>
      <c r="L47">
        <v>20</v>
      </c>
      <c r="M47">
        <v>0</v>
      </c>
      <c r="N47">
        <v>4</v>
      </c>
      <c r="O47">
        <v>0</v>
      </c>
      <c r="P47">
        <v>0</v>
      </c>
      <c r="Q47">
        <v>68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</row>
    <row r="48" spans="1:48" x14ac:dyDescent="0.25">
      <c r="A48" t="s">
        <v>3</v>
      </c>
      <c r="B48" t="s">
        <v>56</v>
      </c>
      <c r="C48" t="s">
        <v>33</v>
      </c>
      <c r="D48">
        <v>2010</v>
      </c>
      <c r="E48">
        <v>0</v>
      </c>
      <c r="F48">
        <v>167.5</v>
      </c>
      <c r="G48">
        <v>0</v>
      </c>
      <c r="H48">
        <v>0</v>
      </c>
      <c r="I48">
        <v>0</v>
      </c>
      <c r="J48">
        <v>188.55</v>
      </c>
      <c r="K48">
        <v>0.4</v>
      </c>
      <c r="L48">
        <v>123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</row>
    <row r="49" spans="1:48" x14ac:dyDescent="0.25">
      <c r="A49" t="s">
        <v>3</v>
      </c>
      <c r="B49" t="s">
        <v>56</v>
      </c>
      <c r="C49" t="s">
        <v>34</v>
      </c>
      <c r="D49">
        <v>2010</v>
      </c>
      <c r="E49">
        <v>0</v>
      </c>
      <c r="F49">
        <v>1431.15</v>
      </c>
      <c r="G49">
        <v>688.95</v>
      </c>
      <c r="H49">
        <v>133.44999999999999</v>
      </c>
      <c r="I49">
        <v>0</v>
      </c>
      <c r="J49">
        <v>734.85</v>
      </c>
      <c r="K49">
        <v>505.1</v>
      </c>
      <c r="L49">
        <v>895.35</v>
      </c>
      <c r="M49">
        <v>31</v>
      </c>
      <c r="N49">
        <v>37.65</v>
      </c>
      <c r="O49">
        <v>0</v>
      </c>
      <c r="P49">
        <v>0</v>
      </c>
      <c r="Q49">
        <v>24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27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</row>
    <row r="50" spans="1:48" x14ac:dyDescent="0.25">
      <c r="A50" t="s">
        <v>3</v>
      </c>
      <c r="B50" t="s">
        <v>56</v>
      </c>
      <c r="C50" t="s">
        <v>35</v>
      </c>
      <c r="D50">
        <v>2010</v>
      </c>
      <c r="E50">
        <v>325.95</v>
      </c>
      <c r="F50">
        <v>194.25</v>
      </c>
      <c r="G50">
        <v>237.5</v>
      </c>
      <c r="H50">
        <v>37.299999999999997</v>
      </c>
      <c r="I50">
        <v>60.25</v>
      </c>
      <c r="J50">
        <v>271.7</v>
      </c>
      <c r="K50">
        <v>20</v>
      </c>
      <c r="L50">
        <v>243.8</v>
      </c>
      <c r="M50">
        <v>8</v>
      </c>
      <c r="N50">
        <v>82.45</v>
      </c>
      <c r="O50">
        <v>9.66</v>
      </c>
      <c r="P50">
        <v>6.2</v>
      </c>
      <c r="Q50">
        <v>0</v>
      </c>
      <c r="R50">
        <v>0</v>
      </c>
      <c r="S50">
        <v>0</v>
      </c>
      <c r="T50">
        <v>0</v>
      </c>
      <c r="U50">
        <v>0</v>
      </c>
      <c r="V50">
        <v>60</v>
      </c>
      <c r="W50">
        <v>0</v>
      </c>
      <c r="X50">
        <v>0</v>
      </c>
      <c r="Y50">
        <v>0</v>
      </c>
      <c r="Z50">
        <v>0</v>
      </c>
      <c r="AA50">
        <v>67.95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</row>
    <row r="51" spans="1:48" x14ac:dyDescent="0.25">
      <c r="A51" t="s">
        <v>3</v>
      </c>
      <c r="B51" t="s">
        <v>56</v>
      </c>
      <c r="C51" t="s">
        <v>36</v>
      </c>
      <c r="D51">
        <v>2010</v>
      </c>
      <c r="E51">
        <v>1649.4</v>
      </c>
      <c r="F51">
        <v>316.45</v>
      </c>
      <c r="G51">
        <v>1472.9</v>
      </c>
      <c r="H51">
        <v>1187.55</v>
      </c>
      <c r="I51">
        <v>63.1</v>
      </c>
      <c r="J51">
        <v>1177.75</v>
      </c>
      <c r="K51">
        <v>38.049999999999997</v>
      </c>
      <c r="L51">
        <v>346.45</v>
      </c>
      <c r="M51">
        <v>13.95</v>
      </c>
      <c r="N51">
        <v>1105</v>
      </c>
      <c r="O51">
        <v>14.35</v>
      </c>
      <c r="P51">
        <v>75.84</v>
      </c>
      <c r="Q51">
        <v>530</v>
      </c>
      <c r="R51">
        <v>31.1</v>
      </c>
      <c r="S51">
        <v>0</v>
      </c>
      <c r="T51">
        <v>0</v>
      </c>
      <c r="U51">
        <v>0</v>
      </c>
      <c r="V51">
        <v>0</v>
      </c>
      <c r="W51">
        <v>0</v>
      </c>
      <c r="X51">
        <v>49.25</v>
      </c>
      <c r="Y51">
        <v>0</v>
      </c>
      <c r="Z51">
        <v>0</v>
      </c>
      <c r="AA51">
        <v>209.8</v>
      </c>
      <c r="AB51">
        <v>0</v>
      </c>
      <c r="AC51">
        <v>0</v>
      </c>
      <c r="AD51">
        <v>0</v>
      </c>
      <c r="AE51">
        <v>3.8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</row>
    <row r="52" spans="1:48" x14ac:dyDescent="0.25">
      <c r="A52" t="s">
        <v>3</v>
      </c>
      <c r="B52" t="s">
        <v>56</v>
      </c>
      <c r="C52" t="s">
        <v>4</v>
      </c>
      <c r="D52">
        <v>2011</v>
      </c>
      <c r="E52">
        <v>221.45</v>
      </c>
      <c r="F52">
        <v>797.75</v>
      </c>
      <c r="G52">
        <v>1385.35</v>
      </c>
      <c r="H52">
        <v>638.4</v>
      </c>
      <c r="I52">
        <v>0</v>
      </c>
      <c r="J52">
        <v>712.35</v>
      </c>
      <c r="K52">
        <v>1681.15</v>
      </c>
      <c r="L52">
        <v>431.75</v>
      </c>
      <c r="M52">
        <v>306.3</v>
      </c>
      <c r="N52">
        <v>356.95</v>
      </c>
      <c r="O52">
        <v>3.7</v>
      </c>
      <c r="P52">
        <v>38.130000000000003</v>
      </c>
      <c r="Q52">
        <v>0</v>
      </c>
      <c r="R52">
        <v>0</v>
      </c>
      <c r="S52">
        <v>0</v>
      </c>
      <c r="T52">
        <v>25.65</v>
      </c>
      <c r="U52">
        <v>0</v>
      </c>
      <c r="V52">
        <v>40</v>
      </c>
      <c r="W52">
        <v>0</v>
      </c>
      <c r="X52">
        <v>0</v>
      </c>
      <c r="Y52">
        <v>0</v>
      </c>
      <c r="Z52">
        <v>0</v>
      </c>
      <c r="AA52">
        <v>383.85</v>
      </c>
      <c r="AB52">
        <v>0</v>
      </c>
      <c r="AC52">
        <v>0</v>
      </c>
      <c r="AD52">
        <v>0</v>
      </c>
      <c r="AE52">
        <v>71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</row>
    <row r="53" spans="1:48" x14ac:dyDescent="0.25">
      <c r="A53" t="s">
        <v>3</v>
      </c>
      <c r="B53" t="s">
        <v>56</v>
      </c>
      <c r="C53" t="s">
        <v>28</v>
      </c>
      <c r="D53">
        <v>2011</v>
      </c>
      <c r="E53">
        <v>43.65</v>
      </c>
      <c r="F53">
        <v>24.6</v>
      </c>
      <c r="G53">
        <v>125.25</v>
      </c>
      <c r="H53">
        <v>0</v>
      </c>
      <c r="I53">
        <v>0.45</v>
      </c>
      <c r="J53">
        <v>54</v>
      </c>
      <c r="K53">
        <v>0</v>
      </c>
      <c r="L53">
        <v>68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0.75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</row>
    <row r="54" spans="1:48" x14ac:dyDescent="0.25">
      <c r="A54" t="s">
        <v>3</v>
      </c>
      <c r="B54" t="s">
        <v>56</v>
      </c>
      <c r="C54" t="s">
        <v>29</v>
      </c>
      <c r="D54">
        <v>2011</v>
      </c>
      <c r="E54">
        <v>93.5</v>
      </c>
      <c r="F54">
        <v>163.75</v>
      </c>
      <c r="G54">
        <v>978.6</v>
      </c>
      <c r="H54">
        <v>303.35000000000002</v>
      </c>
      <c r="I54">
        <v>37.4</v>
      </c>
      <c r="J54">
        <v>713.7</v>
      </c>
      <c r="K54">
        <v>25</v>
      </c>
      <c r="L54">
        <v>281.2</v>
      </c>
      <c r="M54">
        <v>0</v>
      </c>
      <c r="N54">
        <v>27</v>
      </c>
      <c r="O54">
        <v>18.899999999999999</v>
      </c>
      <c r="P54">
        <v>2.63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17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</row>
    <row r="55" spans="1:48" x14ac:dyDescent="0.25">
      <c r="A55" t="s">
        <v>3</v>
      </c>
      <c r="B55" t="s">
        <v>56</v>
      </c>
      <c r="C55" t="s">
        <v>30</v>
      </c>
      <c r="D55">
        <v>2011</v>
      </c>
      <c r="E55">
        <v>331.1</v>
      </c>
      <c r="F55">
        <v>392.25</v>
      </c>
      <c r="G55">
        <v>1032</v>
      </c>
      <c r="H55">
        <v>211.75</v>
      </c>
      <c r="I55">
        <v>130.69999999999999</v>
      </c>
      <c r="J55">
        <v>522.85</v>
      </c>
      <c r="K55">
        <v>55.25</v>
      </c>
      <c r="L55">
        <v>688.3</v>
      </c>
      <c r="M55">
        <v>100.45</v>
      </c>
      <c r="N55">
        <v>161.25</v>
      </c>
      <c r="O55">
        <v>23.85</v>
      </c>
      <c r="P55">
        <v>1.41</v>
      </c>
      <c r="Q55">
        <v>0</v>
      </c>
      <c r="R55">
        <v>0</v>
      </c>
      <c r="S55">
        <v>0</v>
      </c>
      <c r="T55">
        <v>0</v>
      </c>
      <c r="U55">
        <v>0</v>
      </c>
      <c r="V55">
        <v>0.25</v>
      </c>
      <c r="W55">
        <v>0</v>
      </c>
      <c r="X55">
        <v>0</v>
      </c>
      <c r="Y55">
        <v>0</v>
      </c>
      <c r="Z55">
        <v>0</v>
      </c>
      <c r="AA55">
        <v>33.700000000000003</v>
      </c>
      <c r="AB55">
        <v>0</v>
      </c>
      <c r="AC55">
        <v>0</v>
      </c>
      <c r="AD55">
        <v>0</v>
      </c>
      <c r="AE55">
        <v>71.45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</row>
    <row r="56" spans="1:48" x14ac:dyDescent="0.25">
      <c r="A56" t="s">
        <v>3</v>
      </c>
      <c r="B56" t="s">
        <v>56</v>
      </c>
      <c r="C56" t="s">
        <v>31</v>
      </c>
      <c r="D56">
        <v>2011</v>
      </c>
      <c r="E56">
        <v>93.1</v>
      </c>
      <c r="F56">
        <v>20.5</v>
      </c>
      <c r="G56">
        <v>189.6</v>
      </c>
      <c r="H56">
        <v>220.95</v>
      </c>
      <c r="I56">
        <v>50.95</v>
      </c>
      <c r="J56">
        <v>394.3</v>
      </c>
      <c r="K56">
        <v>0</v>
      </c>
      <c r="L56">
        <v>360.2</v>
      </c>
      <c r="M56">
        <v>23.4</v>
      </c>
      <c r="N56">
        <v>47.5</v>
      </c>
      <c r="O56">
        <v>4.51</v>
      </c>
      <c r="P56">
        <v>2.41</v>
      </c>
      <c r="Q56">
        <v>0</v>
      </c>
      <c r="R56">
        <v>0</v>
      </c>
      <c r="S56">
        <v>0</v>
      </c>
      <c r="T56">
        <v>45.95</v>
      </c>
      <c r="U56">
        <v>0</v>
      </c>
      <c r="V56">
        <v>22.75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</row>
    <row r="57" spans="1:48" x14ac:dyDescent="0.25">
      <c r="A57" t="s">
        <v>3</v>
      </c>
      <c r="B57" t="s">
        <v>56</v>
      </c>
      <c r="C57" t="s">
        <v>32</v>
      </c>
      <c r="D57">
        <v>2011</v>
      </c>
      <c r="E57">
        <v>23.5</v>
      </c>
      <c r="F57">
        <v>285.2</v>
      </c>
      <c r="G57">
        <v>532</v>
      </c>
      <c r="H57">
        <v>373.65</v>
      </c>
      <c r="I57">
        <v>0</v>
      </c>
      <c r="J57">
        <v>288.60000000000002</v>
      </c>
      <c r="K57">
        <v>1091</v>
      </c>
      <c r="L57">
        <v>17.600000000000001</v>
      </c>
      <c r="M57">
        <v>1.6</v>
      </c>
      <c r="N57">
        <v>20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20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87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</row>
    <row r="58" spans="1:48" x14ac:dyDescent="0.25">
      <c r="A58" t="s">
        <v>3</v>
      </c>
      <c r="B58" t="s">
        <v>56</v>
      </c>
      <c r="C58" t="s">
        <v>33</v>
      </c>
      <c r="D58">
        <v>2011</v>
      </c>
      <c r="E58">
        <v>0</v>
      </c>
      <c r="F58">
        <v>205.7</v>
      </c>
      <c r="G58">
        <v>0</v>
      </c>
      <c r="H58">
        <v>0</v>
      </c>
      <c r="I58">
        <v>0</v>
      </c>
      <c r="J58">
        <v>177.06</v>
      </c>
      <c r="K58">
        <v>0</v>
      </c>
      <c r="L58">
        <v>123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</row>
    <row r="59" spans="1:48" x14ac:dyDescent="0.25">
      <c r="A59" t="s">
        <v>3</v>
      </c>
      <c r="B59" t="s">
        <v>56</v>
      </c>
      <c r="C59" t="s">
        <v>34</v>
      </c>
      <c r="D59">
        <v>2011</v>
      </c>
      <c r="E59">
        <v>5</v>
      </c>
      <c r="F59">
        <v>1594.85</v>
      </c>
      <c r="G59">
        <v>654.9</v>
      </c>
      <c r="H59">
        <v>131</v>
      </c>
      <c r="I59">
        <v>0</v>
      </c>
      <c r="J59">
        <v>457.05</v>
      </c>
      <c r="K59">
        <v>437.65</v>
      </c>
      <c r="L59">
        <v>734.1</v>
      </c>
      <c r="M59">
        <v>18</v>
      </c>
      <c r="N59">
        <v>43.35</v>
      </c>
      <c r="O59">
        <v>0</v>
      </c>
      <c r="P59">
        <v>0.25</v>
      </c>
      <c r="Q59">
        <v>18</v>
      </c>
      <c r="R59">
        <v>0</v>
      </c>
      <c r="S59">
        <v>0.25</v>
      </c>
      <c r="T59">
        <v>0</v>
      </c>
      <c r="U59">
        <v>0</v>
      </c>
      <c r="V59">
        <v>55.5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55.5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</row>
    <row r="60" spans="1:48" x14ac:dyDescent="0.25">
      <c r="A60" t="s">
        <v>3</v>
      </c>
      <c r="B60" t="s">
        <v>56</v>
      </c>
      <c r="C60" t="s">
        <v>35</v>
      </c>
      <c r="D60">
        <v>2011</v>
      </c>
      <c r="E60">
        <v>326.8</v>
      </c>
      <c r="F60">
        <v>163</v>
      </c>
      <c r="G60">
        <v>246.6</v>
      </c>
      <c r="H60">
        <v>45.65</v>
      </c>
      <c r="I60">
        <v>48.3</v>
      </c>
      <c r="J60">
        <v>223.45</v>
      </c>
      <c r="K60">
        <v>19.3</v>
      </c>
      <c r="L60">
        <v>193.5</v>
      </c>
      <c r="M60">
        <v>8</v>
      </c>
      <c r="N60">
        <v>110.8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4.8499999999999996</v>
      </c>
      <c r="W60">
        <v>0</v>
      </c>
      <c r="X60">
        <v>0</v>
      </c>
      <c r="Y60">
        <v>0</v>
      </c>
      <c r="Z60">
        <v>0</v>
      </c>
      <c r="AA60">
        <v>114.5</v>
      </c>
      <c r="AB60">
        <v>0</v>
      </c>
      <c r="AC60">
        <v>0</v>
      </c>
      <c r="AD60">
        <v>0</v>
      </c>
      <c r="AE60">
        <v>14.85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</row>
    <row r="61" spans="1:48" x14ac:dyDescent="0.25">
      <c r="A61" t="s">
        <v>3</v>
      </c>
      <c r="B61" t="s">
        <v>56</v>
      </c>
      <c r="C61" t="s">
        <v>36</v>
      </c>
      <c r="D61">
        <v>2011</v>
      </c>
      <c r="E61">
        <v>2179.3000000000002</v>
      </c>
      <c r="F61">
        <v>453.1</v>
      </c>
      <c r="G61">
        <v>1611.35</v>
      </c>
      <c r="H61">
        <v>1096.3</v>
      </c>
      <c r="I61">
        <v>13.74</v>
      </c>
      <c r="J61">
        <v>740.65</v>
      </c>
      <c r="K61">
        <v>132.15</v>
      </c>
      <c r="L61">
        <v>298.55</v>
      </c>
      <c r="M61">
        <v>351.4</v>
      </c>
      <c r="N61">
        <v>636.54999999999995</v>
      </c>
      <c r="O61">
        <v>21.45</v>
      </c>
      <c r="P61">
        <v>123.92</v>
      </c>
      <c r="Q61">
        <v>0</v>
      </c>
      <c r="R61">
        <v>19.850000000000001</v>
      </c>
      <c r="S61">
        <v>64.37</v>
      </c>
      <c r="T61">
        <v>0</v>
      </c>
      <c r="U61">
        <v>0</v>
      </c>
      <c r="V61">
        <v>0</v>
      </c>
      <c r="W61">
        <v>0</v>
      </c>
      <c r="X61">
        <v>75.55</v>
      </c>
      <c r="Y61">
        <v>0</v>
      </c>
      <c r="Z61">
        <v>0</v>
      </c>
      <c r="AA61">
        <v>581.25</v>
      </c>
      <c r="AB61">
        <v>0</v>
      </c>
      <c r="AC61">
        <v>0</v>
      </c>
      <c r="AD61">
        <v>0</v>
      </c>
      <c r="AE61">
        <v>64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</row>
    <row r="62" spans="1:48" x14ac:dyDescent="0.25">
      <c r="A62" t="s">
        <v>3</v>
      </c>
      <c r="B62" t="s">
        <v>56</v>
      </c>
      <c r="C62" t="s">
        <v>4</v>
      </c>
      <c r="D62">
        <v>2012</v>
      </c>
      <c r="E62">
        <v>270.5</v>
      </c>
      <c r="F62">
        <v>510.4</v>
      </c>
      <c r="G62">
        <v>1238.55</v>
      </c>
      <c r="H62">
        <v>946.45</v>
      </c>
      <c r="I62">
        <v>0</v>
      </c>
      <c r="J62">
        <v>830.55</v>
      </c>
      <c r="K62">
        <v>1446.82</v>
      </c>
      <c r="L62">
        <v>505.75</v>
      </c>
      <c r="M62">
        <v>138.77000000000001</v>
      </c>
      <c r="N62">
        <v>480.85</v>
      </c>
      <c r="O62">
        <v>0</v>
      </c>
      <c r="P62">
        <v>22.18</v>
      </c>
      <c r="Q62">
        <v>520.54999999999995</v>
      </c>
      <c r="R62">
        <v>0</v>
      </c>
      <c r="S62">
        <v>0</v>
      </c>
      <c r="T62">
        <v>0</v>
      </c>
      <c r="U62">
        <v>0</v>
      </c>
      <c r="V62">
        <v>82.1</v>
      </c>
      <c r="W62">
        <v>0</v>
      </c>
      <c r="X62">
        <v>0.75</v>
      </c>
      <c r="Y62">
        <v>0</v>
      </c>
      <c r="Z62">
        <v>0</v>
      </c>
      <c r="AA62">
        <v>12.1</v>
      </c>
      <c r="AB62">
        <v>0</v>
      </c>
      <c r="AC62">
        <v>0</v>
      </c>
      <c r="AD62">
        <v>0</v>
      </c>
      <c r="AE62">
        <v>82.1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</row>
    <row r="63" spans="1:48" x14ac:dyDescent="0.25">
      <c r="A63" t="s">
        <v>3</v>
      </c>
      <c r="B63" t="s">
        <v>56</v>
      </c>
      <c r="C63" t="s">
        <v>28</v>
      </c>
      <c r="D63">
        <v>2012</v>
      </c>
      <c r="E63">
        <v>57</v>
      </c>
      <c r="F63">
        <v>1.3</v>
      </c>
      <c r="G63">
        <v>130.5</v>
      </c>
      <c r="H63">
        <v>0</v>
      </c>
      <c r="I63">
        <v>0</v>
      </c>
      <c r="J63">
        <v>78</v>
      </c>
      <c r="K63">
        <v>0</v>
      </c>
      <c r="L63">
        <v>78</v>
      </c>
      <c r="M63">
        <v>0</v>
      </c>
      <c r="N63">
        <v>25.1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</row>
    <row r="64" spans="1:48" x14ac:dyDescent="0.25">
      <c r="A64" t="s">
        <v>3</v>
      </c>
      <c r="B64" t="s">
        <v>56</v>
      </c>
      <c r="C64" t="s">
        <v>29</v>
      </c>
      <c r="D64">
        <v>2012</v>
      </c>
      <c r="E64">
        <v>42</v>
      </c>
      <c r="F64">
        <v>128</v>
      </c>
      <c r="G64">
        <v>950.3</v>
      </c>
      <c r="H64">
        <v>193.3</v>
      </c>
      <c r="I64">
        <v>20</v>
      </c>
      <c r="J64">
        <v>971.45</v>
      </c>
      <c r="K64">
        <v>0</v>
      </c>
      <c r="L64">
        <v>258.5</v>
      </c>
      <c r="M64">
        <v>0</v>
      </c>
      <c r="N64">
        <v>20.85</v>
      </c>
      <c r="O64">
        <v>29.1</v>
      </c>
      <c r="P64">
        <v>3.78</v>
      </c>
      <c r="Q64">
        <v>0</v>
      </c>
      <c r="R64">
        <v>0</v>
      </c>
      <c r="S64">
        <v>0</v>
      </c>
      <c r="T64">
        <v>125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</row>
    <row r="65" spans="1:48" x14ac:dyDescent="0.25">
      <c r="A65" t="s">
        <v>3</v>
      </c>
      <c r="B65" t="s">
        <v>56</v>
      </c>
      <c r="C65" t="s">
        <v>30</v>
      </c>
      <c r="D65">
        <v>2012</v>
      </c>
      <c r="E65">
        <v>213.2</v>
      </c>
      <c r="F65">
        <v>289.14999999999998</v>
      </c>
      <c r="G65">
        <v>1033.9000000000001</v>
      </c>
      <c r="H65">
        <v>690.55</v>
      </c>
      <c r="I65">
        <v>65.75</v>
      </c>
      <c r="J65">
        <v>583.15</v>
      </c>
      <c r="K65">
        <v>38</v>
      </c>
      <c r="L65">
        <v>729.85</v>
      </c>
      <c r="M65">
        <v>132</v>
      </c>
      <c r="N65">
        <v>142.15</v>
      </c>
      <c r="O65">
        <v>7.25</v>
      </c>
      <c r="P65">
        <v>4.5</v>
      </c>
      <c r="Q65">
        <v>633.35</v>
      </c>
      <c r="R65">
        <v>0</v>
      </c>
      <c r="S65">
        <v>0</v>
      </c>
      <c r="T65">
        <v>0</v>
      </c>
      <c r="U65">
        <v>0</v>
      </c>
      <c r="V65">
        <v>0.25</v>
      </c>
      <c r="W65">
        <v>0</v>
      </c>
      <c r="X65">
        <v>0</v>
      </c>
      <c r="Y65">
        <v>0</v>
      </c>
      <c r="Z65">
        <v>0</v>
      </c>
      <c r="AA65">
        <v>119.85</v>
      </c>
      <c r="AB65">
        <v>0</v>
      </c>
      <c r="AC65">
        <v>0</v>
      </c>
      <c r="AD65">
        <v>0</v>
      </c>
      <c r="AE65">
        <v>42.05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</row>
    <row r="66" spans="1:48" x14ac:dyDescent="0.25">
      <c r="A66" t="s">
        <v>3</v>
      </c>
      <c r="B66" t="s">
        <v>56</v>
      </c>
      <c r="C66" t="s">
        <v>31</v>
      </c>
      <c r="D66">
        <v>2012</v>
      </c>
      <c r="E66">
        <v>88.2</v>
      </c>
      <c r="F66">
        <v>27</v>
      </c>
      <c r="G66">
        <v>320.5</v>
      </c>
      <c r="H66">
        <v>174.9</v>
      </c>
      <c r="I66">
        <v>32.049999999999997</v>
      </c>
      <c r="J66">
        <v>645.20000000000005</v>
      </c>
      <c r="K66">
        <v>0</v>
      </c>
      <c r="L66">
        <v>318.35000000000002</v>
      </c>
      <c r="M66">
        <v>17.3</v>
      </c>
      <c r="N66">
        <v>80.5</v>
      </c>
      <c r="O66">
        <v>1.73</v>
      </c>
      <c r="P66">
        <v>0.13</v>
      </c>
      <c r="Q66">
        <v>0</v>
      </c>
      <c r="R66">
        <v>0</v>
      </c>
      <c r="S66">
        <v>0</v>
      </c>
      <c r="T66">
        <v>90.35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45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</row>
    <row r="67" spans="1:48" x14ac:dyDescent="0.25">
      <c r="A67" t="s">
        <v>3</v>
      </c>
      <c r="B67" t="s">
        <v>56</v>
      </c>
      <c r="C67" t="s">
        <v>32</v>
      </c>
      <c r="D67">
        <v>2012</v>
      </c>
      <c r="E67">
        <v>31.5</v>
      </c>
      <c r="F67">
        <v>217.95</v>
      </c>
      <c r="G67">
        <v>516.9</v>
      </c>
      <c r="H67">
        <v>316.3</v>
      </c>
      <c r="I67">
        <v>0</v>
      </c>
      <c r="J67">
        <v>372.7</v>
      </c>
      <c r="K67">
        <v>1006.05</v>
      </c>
      <c r="L67">
        <v>171</v>
      </c>
      <c r="M67">
        <v>19.899999999999999</v>
      </c>
      <c r="N67">
        <v>20</v>
      </c>
      <c r="O67">
        <v>0</v>
      </c>
      <c r="P67">
        <v>0</v>
      </c>
      <c r="Q67">
        <v>83</v>
      </c>
      <c r="R67">
        <v>0</v>
      </c>
      <c r="S67">
        <v>0</v>
      </c>
      <c r="T67">
        <v>56</v>
      </c>
      <c r="U67">
        <v>0</v>
      </c>
      <c r="V67">
        <v>28.45</v>
      </c>
      <c r="W67">
        <v>0</v>
      </c>
      <c r="X67">
        <v>1.25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</row>
    <row r="68" spans="1:48" x14ac:dyDescent="0.25">
      <c r="A68" t="s">
        <v>3</v>
      </c>
      <c r="B68" t="s">
        <v>56</v>
      </c>
      <c r="C68" t="s">
        <v>33</v>
      </c>
      <c r="D68">
        <v>2012</v>
      </c>
      <c r="E68">
        <v>0</v>
      </c>
      <c r="F68">
        <v>194.3</v>
      </c>
      <c r="G68">
        <v>0</v>
      </c>
      <c r="H68">
        <v>0</v>
      </c>
      <c r="I68">
        <v>0</v>
      </c>
      <c r="J68">
        <v>185.31</v>
      </c>
      <c r="K68">
        <v>0</v>
      </c>
      <c r="L68">
        <v>137.69999999999999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27.05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</row>
    <row r="69" spans="1:48" x14ac:dyDescent="0.25">
      <c r="A69" t="s">
        <v>3</v>
      </c>
      <c r="B69" t="s">
        <v>56</v>
      </c>
      <c r="C69" t="s">
        <v>34</v>
      </c>
      <c r="D69">
        <v>2012</v>
      </c>
      <c r="E69">
        <v>0</v>
      </c>
      <c r="F69">
        <v>1245.8</v>
      </c>
      <c r="G69">
        <v>640.6</v>
      </c>
      <c r="H69">
        <v>0</v>
      </c>
      <c r="I69">
        <v>0</v>
      </c>
      <c r="J69">
        <v>466.25</v>
      </c>
      <c r="K69">
        <v>341.85</v>
      </c>
      <c r="L69">
        <v>703</v>
      </c>
      <c r="M69">
        <v>0</v>
      </c>
      <c r="N69">
        <v>26</v>
      </c>
      <c r="O69">
        <v>0</v>
      </c>
      <c r="P69">
        <v>0.25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442.8</v>
      </c>
      <c r="AB69">
        <v>0</v>
      </c>
      <c r="AC69">
        <v>0</v>
      </c>
      <c r="AD69">
        <v>0</v>
      </c>
      <c r="AE69">
        <v>14.1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</row>
    <row r="70" spans="1:48" x14ac:dyDescent="0.25">
      <c r="A70" t="s">
        <v>3</v>
      </c>
      <c r="B70" t="s">
        <v>56</v>
      </c>
      <c r="C70" t="s">
        <v>35</v>
      </c>
      <c r="D70">
        <v>2012</v>
      </c>
      <c r="E70">
        <v>251.25</v>
      </c>
      <c r="F70">
        <v>178.5</v>
      </c>
      <c r="G70">
        <v>279.3</v>
      </c>
      <c r="H70">
        <v>35.33</v>
      </c>
      <c r="I70">
        <v>33.950000000000003</v>
      </c>
      <c r="J70">
        <v>297.10000000000002</v>
      </c>
      <c r="K70">
        <v>0</v>
      </c>
      <c r="L70">
        <v>98.45</v>
      </c>
      <c r="M70">
        <v>10.199999999999999</v>
      </c>
      <c r="N70">
        <v>112.1</v>
      </c>
      <c r="O70">
        <v>30.98</v>
      </c>
      <c r="P70">
        <v>9.3800000000000008</v>
      </c>
      <c r="Q70">
        <v>0</v>
      </c>
      <c r="R70">
        <v>0</v>
      </c>
      <c r="S70">
        <v>0</v>
      </c>
      <c r="T70">
        <v>129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79.599999999999994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</row>
    <row r="71" spans="1:48" x14ac:dyDescent="0.25">
      <c r="A71" t="s">
        <v>3</v>
      </c>
      <c r="B71" t="s">
        <v>56</v>
      </c>
      <c r="C71" t="s">
        <v>36</v>
      </c>
      <c r="D71">
        <v>2012</v>
      </c>
      <c r="E71">
        <v>1614.95</v>
      </c>
      <c r="F71">
        <v>466.05</v>
      </c>
      <c r="G71">
        <v>1202.8</v>
      </c>
      <c r="H71">
        <v>805.05</v>
      </c>
      <c r="I71">
        <v>45</v>
      </c>
      <c r="J71">
        <v>770</v>
      </c>
      <c r="K71">
        <v>30.95</v>
      </c>
      <c r="L71">
        <v>305.25</v>
      </c>
      <c r="M71">
        <v>580</v>
      </c>
      <c r="N71">
        <v>530.85</v>
      </c>
      <c r="O71">
        <v>20</v>
      </c>
      <c r="P71">
        <v>25.4</v>
      </c>
      <c r="Q71">
        <v>1006</v>
      </c>
      <c r="R71">
        <v>5.75</v>
      </c>
      <c r="S71">
        <v>35.299999999999997</v>
      </c>
      <c r="T71">
        <v>0</v>
      </c>
      <c r="U71">
        <v>0</v>
      </c>
      <c r="V71">
        <v>0</v>
      </c>
      <c r="W71">
        <v>0</v>
      </c>
      <c r="X71">
        <v>409.35</v>
      </c>
      <c r="Y71">
        <v>0</v>
      </c>
      <c r="Z71">
        <v>0</v>
      </c>
      <c r="AA71">
        <v>77</v>
      </c>
      <c r="AB71">
        <v>0</v>
      </c>
      <c r="AC71">
        <v>0</v>
      </c>
      <c r="AD71">
        <v>0</v>
      </c>
      <c r="AE71">
        <v>11.75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</row>
    <row r="72" spans="1:48" x14ac:dyDescent="0.25">
      <c r="A72" t="s">
        <v>3</v>
      </c>
      <c r="B72" t="s">
        <v>56</v>
      </c>
      <c r="C72" t="s">
        <v>4</v>
      </c>
      <c r="D72">
        <v>2013</v>
      </c>
      <c r="E72">
        <v>275.60000000000002</v>
      </c>
      <c r="F72">
        <v>467.8</v>
      </c>
      <c r="G72">
        <v>1248.4000000000001</v>
      </c>
      <c r="H72">
        <v>730.95</v>
      </c>
      <c r="I72">
        <v>0</v>
      </c>
      <c r="J72">
        <v>725.5</v>
      </c>
      <c r="K72">
        <v>1147.8</v>
      </c>
      <c r="L72">
        <v>494.55</v>
      </c>
      <c r="M72">
        <v>209.3</v>
      </c>
      <c r="N72">
        <v>479.25</v>
      </c>
      <c r="O72">
        <v>0</v>
      </c>
      <c r="P72">
        <v>13.3</v>
      </c>
      <c r="Q72">
        <v>0</v>
      </c>
      <c r="R72">
        <v>17.23</v>
      </c>
      <c r="S72">
        <v>0</v>
      </c>
      <c r="T72">
        <v>346.05</v>
      </c>
      <c r="U72">
        <v>0</v>
      </c>
      <c r="V72">
        <v>34</v>
      </c>
      <c r="W72">
        <v>0</v>
      </c>
      <c r="X72">
        <v>0</v>
      </c>
      <c r="Y72">
        <v>0</v>
      </c>
      <c r="Z72">
        <v>0</v>
      </c>
      <c r="AA72">
        <v>23.9</v>
      </c>
      <c r="AB72">
        <v>0</v>
      </c>
      <c r="AC72">
        <v>0</v>
      </c>
      <c r="AD72">
        <v>0</v>
      </c>
      <c r="AE72">
        <v>46.45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</row>
    <row r="73" spans="1:48" x14ac:dyDescent="0.25">
      <c r="A73" t="s">
        <v>3</v>
      </c>
      <c r="B73" t="s">
        <v>56</v>
      </c>
      <c r="C73" t="s">
        <v>28</v>
      </c>
      <c r="D73">
        <v>2013</v>
      </c>
      <c r="E73">
        <v>46</v>
      </c>
      <c r="F73">
        <v>0</v>
      </c>
      <c r="G73">
        <v>120</v>
      </c>
      <c r="H73">
        <v>0</v>
      </c>
      <c r="I73">
        <v>0</v>
      </c>
      <c r="J73">
        <v>65</v>
      </c>
      <c r="K73">
        <v>0</v>
      </c>
      <c r="L73">
        <v>74.7</v>
      </c>
      <c r="M73">
        <v>0</v>
      </c>
      <c r="N73">
        <v>2.1</v>
      </c>
      <c r="O73">
        <v>0.3</v>
      </c>
      <c r="P73">
        <v>0.03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4.9000000000000004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</row>
    <row r="74" spans="1:48" x14ac:dyDescent="0.25">
      <c r="A74" t="s">
        <v>3</v>
      </c>
      <c r="B74" t="s">
        <v>56</v>
      </c>
      <c r="C74" t="s">
        <v>29</v>
      </c>
      <c r="D74">
        <v>2013</v>
      </c>
      <c r="E74">
        <v>74.900000000000006</v>
      </c>
      <c r="F74">
        <v>105.65</v>
      </c>
      <c r="G74">
        <v>843.15</v>
      </c>
      <c r="H74">
        <v>297.35000000000002</v>
      </c>
      <c r="I74">
        <v>15</v>
      </c>
      <c r="J74">
        <v>932.7</v>
      </c>
      <c r="K74">
        <v>21</v>
      </c>
      <c r="L74">
        <v>304.5</v>
      </c>
      <c r="M74">
        <v>0</v>
      </c>
      <c r="N74">
        <v>14.7</v>
      </c>
      <c r="O74">
        <v>0</v>
      </c>
      <c r="P74">
        <v>0.7</v>
      </c>
      <c r="Q74">
        <v>0</v>
      </c>
      <c r="R74">
        <v>0</v>
      </c>
      <c r="S74">
        <v>0</v>
      </c>
      <c r="T74">
        <v>208.6</v>
      </c>
      <c r="U74">
        <v>0</v>
      </c>
      <c r="V74">
        <v>18.8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</row>
    <row r="75" spans="1:48" x14ac:dyDescent="0.25">
      <c r="A75" t="s">
        <v>3</v>
      </c>
      <c r="B75" t="s">
        <v>56</v>
      </c>
      <c r="C75" t="s">
        <v>30</v>
      </c>
      <c r="D75">
        <v>2013</v>
      </c>
      <c r="E75">
        <v>378.15</v>
      </c>
      <c r="F75">
        <v>379.5</v>
      </c>
      <c r="G75">
        <v>1016.3</v>
      </c>
      <c r="H75">
        <v>725.65</v>
      </c>
      <c r="I75">
        <v>189.35</v>
      </c>
      <c r="J75">
        <v>704.1</v>
      </c>
      <c r="K75">
        <v>89.95</v>
      </c>
      <c r="L75">
        <v>585.6</v>
      </c>
      <c r="M75">
        <v>34</v>
      </c>
      <c r="N75">
        <v>131.1</v>
      </c>
      <c r="O75">
        <v>27.25</v>
      </c>
      <c r="P75">
        <v>5.58</v>
      </c>
      <c r="Q75">
        <v>750</v>
      </c>
      <c r="R75">
        <v>0</v>
      </c>
      <c r="S75">
        <v>0</v>
      </c>
      <c r="T75">
        <v>124.75</v>
      </c>
      <c r="U75">
        <v>0</v>
      </c>
      <c r="V75">
        <v>0</v>
      </c>
      <c r="W75">
        <v>0</v>
      </c>
      <c r="X75">
        <v>7</v>
      </c>
      <c r="Y75">
        <v>0</v>
      </c>
      <c r="Z75">
        <v>0</v>
      </c>
      <c r="AA75">
        <v>112.9</v>
      </c>
      <c r="AB75">
        <v>0</v>
      </c>
      <c r="AC75">
        <v>0</v>
      </c>
      <c r="AD75">
        <v>0</v>
      </c>
      <c r="AE75">
        <v>120.6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</row>
    <row r="76" spans="1:48" x14ac:dyDescent="0.25">
      <c r="A76" t="s">
        <v>3</v>
      </c>
      <c r="B76" t="s">
        <v>56</v>
      </c>
      <c r="C76" t="s">
        <v>31</v>
      </c>
      <c r="D76">
        <v>2013</v>
      </c>
      <c r="E76">
        <v>88.9</v>
      </c>
      <c r="F76">
        <v>59</v>
      </c>
      <c r="G76">
        <v>158.9</v>
      </c>
      <c r="H76">
        <v>375.1</v>
      </c>
      <c r="I76">
        <v>0</v>
      </c>
      <c r="J76">
        <v>672</v>
      </c>
      <c r="K76">
        <v>0</v>
      </c>
      <c r="L76">
        <v>247.9</v>
      </c>
      <c r="M76">
        <v>12.3</v>
      </c>
      <c r="N76">
        <v>82</v>
      </c>
      <c r="O76">
        <v>0.5</v>
      </c>
      <c r="P76">
        <v>2.2999999999999998</v>
      </c>
      <c r="Q76">
        <v>0</v>
      </c>
      <c r="R76">
        <v>0</v>
      </c>
      <c r="S76">
        <v>0</v>
      </c>
      <c r="T76">
        <v>85.8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43.2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</row>
    <row r="77" spans="1:48" x14ac:dyDescent="0.25">
      <c r="A77" t="s">
        <v>3</v>
      </c>
      <c r="B77" t="s">
        <v>56</v>
      </c>
      <c r="C77" t="s">
        <v>32</v>
      </c>
      <c r="D77">
        <v>2013</v>
      </c>
      <c r="E77">
        <v>80</v>
      </c>
      <c r="F77">
        <v>190.1</v>
      </c>
      <c r="G77">
        <v>474.75</v>
      </c>
      <c r="H77">
        <v>614.70000000000005</v>
      </c>
      <c r="I77">
        <v>0</v>
      </c>
      <c r="J77">
        <v>398</v>
      </c>
      <c r="K77">
        <v>805.8</v>
      </c>
      <c r="L77">
        <v>270.45</v>
      </c>
      <c r="M77">
        <v>0</v>
      </c>
      <c r="N77">
        <v>9.75</v>
      </c>
      <c r="O77">
        <v>0</v>
      </c>
      <c r="P77">
        <v>0</v>
      </c>
      <c r="Q77">
        <v>78.400000000000006</v>
      </c>
      <c r="R77">
        <v>0</v>
      </c>
      <c r="S77">
        <v>0</v>
      </c>
      <c r="T77">
        <v>122.8</v>
      </c>
      <c r="U77">
        <v>0</v>
      </c>
      <c r="V77">
        <v>28.4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</row>
    <row r="78" spans="1:48" x14ac:dyDescent="0.25">
      <c r="A78" t="s">
        <v>3</v>
      </c>
      <c r="B78" t="s">
        <v>56</v>
      </c>
      <c r="C78" t="s">
        <v>33</v>
      </c>
      <c r="D78">
        <v>2013</v>
      </c>
      <c r="E78">
        <v>0.3</v>
      </c>
      <c r="F78">
        <v>213.65</v>
      </c>
      <c r="G78">
        <v>3.5</v>
      </c>
      <c r="H78">
        <v>0</v>
      </c>
      <c r="I78">
        <v>0</v>
      </c>
      <c r="J78">
        <v>180.7</v>
      </c>
      <c r="K78">
        <v>0</v>
      </c>
      <c r="L78">
        <v>140.69999999999999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31.2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</row>
    <row r="79" spans="1:48" x14ac:dyDescent="0.25">
      <c r="A79" t="s">
        <v>3</v>
      </c>
      <c r="B79" t="s">
        <v>56</v>
      </c>
      <c r="C79" t="s">
        <v>34</v>
      </c>
      <c r="D79">
        <v>2013</v>
      </c>
      <c r="E79">
        <v>46.1</v>
      </c>
      <c r="F79">
        <v>1515.6</v>
      </c>
      <c r="G79">
        <v>478.75</v>
      </c>
      <c r="H79">
        <v>260.05</v>
      </c>
      <c r="I79">
        <v>0</v>
      </c>
      <c r="J79">
        <v>628</v>
      </c>
      <c r="K79">
        <v>138.85</v>
      </c>
      <c r="L79">
        <v>903.25</v>
      </c>
      <c r="M79">
        <v>31</v>
      </c>
      <c r="N79">
        <v>25.65</v>
      </c>
      <c r="O79">
        <v>0.26</v>
      </c>
      <c r="P79">
        <v>0.63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608.6</v>
      </c>
      <c r="AB79">
        <v>0</v>
      </c>
      <c r="AC79">
        <v>0</v>
      </c>
      <c r="AD79">
        <v>0</v>
      </c>
      <c r="AE79">
        <v>12.9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</row>
    <row r="80" spans="1:48" x14ac:dyDescent="0.25">
      <c r="A80" t="s">
        <v>3</v>
      </c>
      <c r="B80" t="s">
        <v>56</v>
      </c>
      <c r="C80" t="s">
        <v>35</v>
      </c>
      <c r="D80">
        <v>2013</v>
      </c>
      <c r="E80">
        <v>280.5</v>
      </c>
      <c r="F80">
        <v>184.5</v>
      </c>
      <c r="G80">
        <v>182.35</v>
      </c>
      <c r="H80">
        <v>59.1</v>
      </c>
      <c r="I80">
        <v>49</v>
      </c>
      <c r="J80">
        <v>373.35</v>
      </c>
      <c r="K80">
        <v>0</v>
      </c>
      <c r="L80">
        <v>282.10000000000002</v>
      </c>
      <c r="M80">
        <v>14.8</v>
      </c>
      <c r="N80">
        <v>113.4</v>
      </c>
      <c r="O80">
        <v>0.73</v>
      </c>
      <c r="P80">
        <v>9.8800000000000008</v>
      </c>
      <c r="Q80">
        <v>0</v>
      </c>
      <c r="R80">
        <v>0</v>
      </c>
      <c r="S80">
        <v>0</v>
      </c>
      <c r="T80">
        <v>109.75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201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</row>
    <row r="81" spans="1:48" x14ac:dyDescent="0.25">
      <c r="A81" t="s">
        <v>3</v>
      </c>
      <c r="B81" t="s">
        <v>56</v>
      </c>
      <c r="C81" t="s">
        <v>36</v>
      </c>
      <c r="D81">
        <v>2013</v>
      </c>
      <c r="E81">
        <v>1001.15</v>
      </c>
      <c r="F81">
        <v>432.35</v>
      </c>
      <c r="G81">
        <v>1283.7</v>
      </c>
      <c r="H81">
        <v>1175.25</v>
      </c>
      <c r="I81">
        <v>24.4</v>
      </c>
      <c r="J81">
        <v>819.6</v>
      </c>
      <c r="K81">
        <v>74.150000000000006</v>
      </c>
      <c r="L81">
        <v>90</v>
      </c>
      <c r="M81">
        <v>352.95</v>
      </c>
      <c r="N81">
        <v>220.15</v>
      </c>
      <c r="O81">
        <v>1.63</v>
      </c>
      <c r="P81">
        <v>18.55</v>
      </c>
      <c r="Q81">
        <v>630</v>
      </c>
      <c r="R81">
        <v>5</v>
      </c>
      <c r="S81">
        <v>21.18</v>
      </c>
      <c r="T81">
        <v>174.4</v>
      </c>
      <c r="U81">
        <v>0</v>
      </c>
      <c r="V81">
        <v>0</v>
      </c>
      <c r="W81">
        <v>0</v>
      </c>
      <c r="X81">
        <v>362.9</v>
      </c>
      <c r="Y81">
        <v>0</v>
      </c>
      <c r="Z81">
        <v>0</v>
      </c>
      <c r="AA81">
        <v>74.45</v>
      </c>
      <c r="AB81">
        <v>0</v>
      </c>
      <c r="AC81">
        <v>0</v>
      </c>
      <c r="AD81">
        <v>0</v>
      </c>
      <c r="AE81">
        <v>274.85000000000002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</row>
    <row r="82" spans="1:48" x14ac:dyDescent="0.25">
      <c r="A82" t="s">
        <v>3</v>
      </c>
      <c r="B82" t="s">
        <v>56</v>
      </c>
      <c r="C82" t="s">
        <v>4</v>
      </c>
      <c r="D82">
        <v>2014</v>
      </c>
      <c r="E82">
        <v>164.85</v>
      </c>
      <c r="F82">
        <v>552.65</v>
      </c>
      <c r="G82">
        <v>1304</v>
      </c>
      <c r="H82">
        <v>681.85</v>
      </c>
      <c r="I82">
        <v>5</v>
      </c>
      <c r="J82">
        <v>717.14</v>
      </c>
      <c r="K82">
        <v>1655.35</v>
      </c>
      <c r="L82">
        <v>485.75</v>
      </c>
      <c r="M82">
        <v>123.7</v>
      </c>
      <c r="N82">
        <v>567.25</v>
      </c>
      <c r="O82">
        <v>0</v>
      </c>
      <c r="P82">
        <v>39.6</v>
      </c>
      <c r="Q82">
        <v>502</v>
      </c>
      <c r="R82">
        <v>0</v>
      </c>
      <c r="S82">
        <v>0.9</v>
      </c>
      <c r="T82">
        <v>515.04999999999995</v>
      </c>
      <c r="U82">
        <v>0</v>
      </c>
      <c r="V82">
        <v>39.25</v>
      </c>
      <c r="W82">
        <v>0</v>
      </c>
      <c r="X82">
        <v>0</v>
      </c>
      <c r="Y82">
        <v>0</v>
      </c>
      <c r="Z82">
        <v>0</v>
      </c>
      <c r="AA82">
        <v>0</v>
      </c>
      <c r="AB82">
        <v>2.25</v>
      </c>
      <c r="AC82">
        <v>0</v>
      </c>
      <c r="AD82">
        <v>0</v>
      </c>
      <c r="AE82">
        <v>34.549999999999997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</row>
    <row r="83" spans="1:48" x14ac:dyDescent="0.25">
      <c r="A83" t="s">
        <v>3</v>
      </c>
      <c r="B83" t="s">
        <v>56</v>
      </c>
      <c r="C83" t="s">
        <v>28</v>
      </c>
      <c r="D83">
        <v>2014</v>
      </c>
      <c r="E83">
        <v>45</v>
      </c>
      <c r="F83">
        <v>0</v>
      </c>
      <c r="G83">
        <v>143</v>
      </c>
      <c r="H83">
        <v>0</v>
      </c>
      <c r="I83">
        <v>0</v>
      </c>
      <c r="J83">
        <v>50</v>
      </c>
      <c r="K83">
        <v>0</v>
      </c>
      <c r="L83">
        <v>80.75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54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</row>
    <row r="84" spans="1:48" x14ac:dyDescent="0.25">
      <c r="A84" t="s">
        <v>3</v>
      </c>
      <c r="B84" t="s">
        <v>56</v>
      </c>
      <c r="C84" t="s">
        <v>29</v>
      </c>
      <c r="D84">
        <v>2014</v>
      </c>
      <c r="E84">
        <v>77.95</v>
      </c>
      <c r="F84">
        <v>34.1</v>
      </c>
      <c r="G84">
        <v>882.65</v>
      </c>
      <c r="H84">
        <v>284.85000000000002</v>
      </c>
      <c r="I84">
        <v>0</v>
      </c>
      <c r="J84">
        <v>721.5</v>
      </c>
      <c r="K84">
        <v>0</v>
      </c>
      <c r="L84">
        <v>277.64999999999998</v>
      </c>
      <c r="M84">
        <v>0</v>
      </c>
      <c r="N84">
        <v>0</v>
      </c>
      <c r="O84">
        <v>0</v>
      </c>
      <c r="P84">
        <v>2.1</v>
      </c>
      <c r="Q84">
        <v>0</v>
      </c>
      <c r="R84">
        <v>0</v>
      </c>
      <c r="S84">
        <v>0</v>
      </c>
      <c r="T84">
        <v>394.95</v>
      </c>
      <c r="U84">
        <v>0</v>
      </c>
      <c r="V84">
        <v>37.200000000000003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</row>
    <row r="85" spans="1:48" x14ac:dyDescent="0.25">
      <c r="A85" t="s">
        <v>3</v>
      </c>
      <c r="B85" t="s">
        <v>56</v>
      </c>
      <c r="C85" t="s">
        <v>30</v>
      </c>
      <c r="D85">
        <v>2014</v>
      </c>
      <c r="E85">
        <v>372.55</v>
      </c>
      <c r="F85">
        <v>266</v>
      </c>
      <c r="G85">
        <v>1205.8499999999999</v>
      </c>
      <c r="H85">
        <v>339.25</v>
      </c>
      <c r="I85">
        <v>130</v>
      </c>
      <c r="J85">
        <v>556.70000000000005</v>
      </c>
      <c r="K85">
        <v>1.9</v>
      </c>
      <c r="L85">
        <v>743.85</v>
      </c>
      <c r="M85">
        <v>35.5</v>
      </c>
      <c r="N85">
        <v>147.69999999999999</v>
      </c>
      <c r="O85">
        <v>9</v>
      </c>
      <c r="P85">
        <v>9.4499999999999993</v>
      </c>
      <c r="Q85">
        <v>0.65</v>
      </c>
      <c r="R85">
        <v>0</v>
      </c>
      <c r="S85">
        <v>0</v>
      </c>
      <c r="T85">
        <v>241.35</v>
      </c>
      <c r="U85">
        <v>0</v>
      </c>
      <c r="V85">
        <v>0</v>
      </c>
      <c r="W85">
        <v>0</v>
      </c>
      <c r="X85">
        <v>3</v>
      </c>
      <c r="Y85">
        <v>0</v>
      </c>
      <c r="Z85">
        <v>0</v>
      </c>
      <c r="AA85">
        <v>0</v>
      </c>
      <c r="AB85">
        <v>0.57999999999999996</v>
      </c>
      <c r="AC85">
        <v>0</v>
      </c>
      <c r="AD85">
        <v>0</v>
      </c>
      <c r="AE85">
        <v>47.9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</row>
    <row r="86" spans="1:48" x14ac:dyDescent="0.25">
      <c r="A86" t="s">
        <v>3</v>
      </c>
      <c r="B86" t="s">
        <v>56</v>
      </c>
      <c r="C86" t="s">
        <v>31</v>
      </c>
      <c r="D86">
        <v>2014</v>
      </c>
      <c r="E86">
        <v>68.75</v>
      </c>
      <c r="F86">
        <v>33.950000000000003</v>
      </c>
      <c r="G86">
        <v>283.14999999999998</v>
      </c>
      <c r="H86">
        <v>249.95</v>
      </c>
      <c r="I86">
        <v>0</v>
      </c>
      <c r="J86">
        <v>532</v>
      </c>
      <c r="K86">
        <v>22</v>
      </c>
      <c r="L86">
        <v>212.05</v>
      </c>
      <c r="M86">
        <v>0</v>
      </c>
      <c r="N86">
        <v>144</v>
      </c>
      <c r="O86">
        <v>12.03</v>
      </c>
      <c r="P86">
        <v>2.97</v>
      </c>
      <c r="Q86">
        <v>0</v>
      </c>
      <c r="R86">
        <v>0</v>
      </c>
      <c r="S86">
        <v>0</v>
      </c>
      <c r="T86">
        <v>132.80000000000001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31.8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</row>
    <row r="87" spans="1:48" x14ac:dyDescent="0.25">
      <c r="A87" t="s">
        <v>3</v>
      </c>
      <c r="B87" t="s">
        <v>56</v>
      </c>
      <c r="C87" t="s">
        <v>32</v>
      </c>
      <c r="D87">
        <v>2014</v>
      </c>
      <c r="E87">
        <v>58.3</v>
      </c>
      <c r="F87">
        <v>155.6</v>
      </c>
      <c r="G87">
        <v>531.5</v>
      </c>
      <c r="H87">
        <v>487.3</v>
      </c>
      <c r="I87">
        <v>0</v>
      </c>
      <c r="J87">
        <v>304</v>
      </c>
      <c r="K87">
        <v>583.70000000000005</v>
      </c>
      <c r="L87">
        <v>419</v>
      </c>
      <c r="M87">
        <v>10</v>
      </c>
      <c r="N87">
        <v>13.9</v>
      </c>
      <c r="O87">
        <v>0</v>
      </c>
      <c r="P87">
        <v>0</v>
      </c>
      <c r="Q87">
        <v>80</v>
      </c>
      <c r="R87">
        <v>0</v>
      </c>
      <c r="S87">
        <v>0</v>
      </c>
      <c r="T87">
        <v>342.35</v>
      </c>
      <c r="U87">
        <v>0</v>
      </c>
      <c r="V87">
        <v>80.150000000000006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</row>
    <row r="88" spans="1:48" x14ac:dyDescent="0.25">
      <c r="A88" t="s">
        <v>3</v>
      </c>
      <c r="B88" t="s">
        <v>56</v>
      </c>
      <c r="C88" t="s">
        <v>33</v>
      </c>
      <c r="D88">
        <v>2014</v>
      </c>
      <c r="E88">
        <v>2.1</v>
      </c>
      <c r="F88">
        <v>195.75</v>
      </c>
      <c r="G88">
        <v>0</v>
      </c>
      <c r="H88">
        <v>0</v>
      </c>
      <c r="I88">
        <v>0</v>
      </c>
      <c r="J88">
        <v>83.5</v>
      </c>
      <c r="K88">
        <v>0</v>
      </c>
      <c r="L88">
        <v>84.15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162.05000000000001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</row>
    <row r="89" spans="1:48" x14ac:dyDescent="0.25">
      <c r="A89" t="s">
        <v>3</v>
      </c>
      <c r="B89" t="s">
        <v>56</v>
      </c>
      <c r="C89" t="s">
        <v>34</v>
      </c>
      <c r="D89">
        <v>2014</v>
      </c>
      <c r="E89">
        <v>111.5</v>
      </c>
      <c r="F89">
        <v>1261.8499999999999</v>
      </c>
      <c r="G89">
        <v>982.1</v>
      </c>
      <c r="H89">
        <v>235</v>
      </c>
      <c r="I89">
        <v>0</v>
      </c>
      <c r="J89">
        <v>487.5</v>
      </c>
      <c r="K89">
        <v>250.2</v>
      </c>
      <c r="L89">
        <v>615.85</v>
      </c>
      <c r="M89">
        <v>10</v>
      </c>
      <c r="N89">
        <v>55.2</v>
      </c>
      <c r="O89">
        <v>0.25</v>
      </c>
      <c r="P89">
        <v>0.36</v>
      </c>
      <c r="Q89">
        <v>0</v>
      </c>
      <c r="R89">
        <v>0</v>
      </c>
      <c r="S89">
        <v>0</v>
      </c>
      <c r="T89">
        <v>407.4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0.56000000000000005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</row>
    <row r="90" spans="1:48" x14ac:dyDescent="0.25">
      <c r="A90" t="s">
        <v>3</v>
      </c>
      <c r="B90" t="s">
        <v>56</v>
      </c>
      <c r="C90" t="s">
        <v>35</v>
      </c>
      <c r="D90">
        <v>2014</v>
      </c>
      <c r="E90">
        <v>234.65</v>
      </c>
      <c r="F90">
        <v>156.55000000000001</v>
      </c>
      <c r="G90">
        <v>224.45</v>
      </c>
      <c r="H90">
        <v>30.3</v>
      </c>
      <c r="I90">
        <v>32.700000000000003</v>
      </c>
      <c r="J90">
        <v>299.7</v>
      </c>
      <c r="K90">
        <v>0</v>
      </c>
      <c r="L90">
        <v>154.25</v>
      </c>
      <c r="M90">
        <v>0</v>
      </c>
      <c r="N90">
        <v>52.15</v>
      </c>
      <c r="O90">
        <v>26.05</v>
      </c>
      <c r="P90">
        <v>15.72</v>
      </c>
      <c r="Q90">
        <v>0</v>
      </c>
      <c r="R90">
        <v>0</v>
      </c>
      <c r="S90">
        <v>0</v>
      </c>
      <c r="T90">
        <v>35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12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</row>
    <row r="91" spans="1:48" x14ac:dyDescent="0.25">
      <c r="A91" t="s">
        <v>3</v>
      </c>
      <c r="B91" t="s">
        <v>56</v>
      </c>
      <c r="C91" t="s">
        <v>36</v>
      </c>
      <c r="D91">
        <v>2014</v>
      </c>
      <c r="E91">
        <v>1427.55</v>
      </c>
      <c r="F91">
        <v>348.4</v>
      </c>
      <c r="G91">
        <v>1491.45</v>
      </c>
      <c r="H91">
        <v>1253.6500000000001</v>
      </c>
      <c r="I91">
        <v>48</v>
      </c>
      <c r="J91">
        <v>873.1</v>
      </c>
      <c r="K91">
        <v>195.9</v>
      </c>
      <c r="L91">
        <v>366.35</v>
      </c>
      <c r="M91">
        <v>723.1</v>
      </c>
      <c r="N91">
        <v>413.1</v>
      </c>
      <c r="O91">
        <v>6.5</v>
      </c>
      <c r="P91">
        <v>15.7</v>
      </c>
      <c r="Q91">
        <v>606</v>
      </c>
      <c r="R91">
        <v>0</v>
      </c>
      <c r="S91">
        <v>29.5</v>
      </c>
      <c r="T91">
        <v>246</v>
      </c>
      <c r="U91">
        <v>0</v>
      </c>
      <c r="V91">
        <v>0</v>
      </c>
      <c r="W91">
        <v>0</v>
      </c>
      <c r="X91">
        <v>329.6</v>
      </c>
      <c r="Y91">
        <v>0</v>
      </c>
      <c r="Z91">
        <v>0</v>
      </c>
      <c r="AA91">
        <v>0</v>
      </c>
      <c r="AB91">
        <v>0.6</v>
      </c>
      <c r="AC91">
        <v>0</v>
      </c>
      <c r="AD91">
        <v>0</v>
      </c>
      <c r="AE91">
        <v>369.1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</row>
    <row r="92" spans="1:48" x14ac:dyDescent="0.25">
      <c r="A92" t="s">
        <v>3</v>
      </c>
      <c r="B92" t="s">
        <v>56</v>
      </c>
      <c r="C92" t="s">
        <v>4</v>
      </c>
      <c r="D92">
        <v>2015</v>
      </c>
      <c r="E92">
        <v>225</v>
      </c>
      <c r="F92">
        <v>502</v>
      </c>
      <c r="G92">
        <v>1397</v>
      </c>
      <c r="H92">
        <v>841</v>
      </c>
      <c r="I92">
        <v>389</v>
      </c>
      <c r="J92">
        <v>416</v>
      </c>
      <c r="K92">
        <v>1242</v>
      </c>
      <c r="L92">
        <v>375</v>
      </c>
      <c r="M92">
        <v>151</v>
      </c>
      <c r="N92">
        <v>889</v>
      </c>
      <c r="O92">
        <v>0</v>
      </c>
      <c r="P92">
        <v>58</v>
      </c>
      <c r="Q92">
        <v>0</v>
      </c>
      <c r="R92">
        <v>0</v>
      </c>
      <c r="S92">
        <v>0</v>
      </c>
      <c r="T92">
        <v>647</v>
      </c>
      <c r="U92">
        <v>0</v>
      </c>
      <c r="V92">
        <v>11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21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</row>
    <row r="93" spans="1:48" x14ac:dyDescent="0.25">
      <c r="A93" t="s">
        <v>3</v>
      </c>
      <c r="B93" t="s">
        <v>56</v>
      </c>
      <c r="C93" t="s">
        <v>28</v>
      </c>
      <c r="D93">
        <v>2015</v>
      </c>
      <c r="E93">
        <v>51.2</v>
      </c>
      <c r="F93">
        <v>0</v>
      </c>
      <c r="G93">
        <v>140.30000000000001</v>
      </c>
      <c r="H93">
        <v>0</v>
      </c>
      <c r="I93">
        <v>0</v>
      </c>
      <c r="J93">
        <v>60</v>
      </c>
      <c r="K93">
        <v>0</v>
      </c>
      <c r="L93">
        <v>105</v>
      </c>
      <c r="M93">
        <v>0</v>
      </c>
      <c r="N93">
        <v>1.5</v>
      </c>
      <c r="O93">
        <v>0</v>
      </c>
      <c r="P93">
        <v>0</v>
      </c>
      <c r="Q93">
        <v>0</v>
      </c>
      <c r="R93">
        <v>0</v>
      </c>
      <c r="S93">
        <v>0</v>
      </c>
      <c r="T93">
        <v>27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</row>
    <row r="94" spans="1:48" x14ac:dyDescent="0.25">
      <c r="A94" t="s">
        <v>3</v>
      </c>
      <c r="B94" t="s">
        <v>56</v>
      </c>
      <c r="C94" t="s">
        <v>29</v>
      </c>
      <c r="D94">
        <v>2015</v>
      </c>
      <c r="E94">
        <v>108.44999999999999</v>
      </c>
      <c r="F94">
        <v>60.45</v>
      </c>
      <c r="G94">
        <v>940.60000000000014</v>
      </c>
      <c r="H94">
        <v>390.15000000000003</v>
      </c>
      <c r="I94">
        <v>0</v>
      </c>
      <c r="J94">
        <v>516.5</v>
      </c>
      <c r="K94">
        <v>0</v>
      </c>
      <c r="L94">
        <v>214.35</v>
      </c>
      <c r="M94">
        <v>0</v>
      </c>
      <c r="N94">
        <v>11.4</v>
      </c>
      <c r="O94">
        <v>0</v>
      </c>
      <c r="P94">
        <v>27.625</v>
      </c>
      <c r="Q94">
        <v>0</v>
      </c>
      <c r="R94">
        <v>0</v>
      </c>
      <c r="S94">
        <v>0</v>
      </c>
      <c r="T94">
        <v>466.55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80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</row>
    <row r="95" spans="1:48" x14ac:dyDescent="0.25">
      <c r="A95" t="s">
        <v>3</v>
      </c>
      <c r="B95" t="s">
        <v>56</v>
      </c>
      <c r="C95" t="s">
        <v>30</v>
      </c>
      <c r="D95">
        <v>2015</v>
      </c>
      <c r="E95">
        <v>239.75000000000003</v>
      </c>
      <c r="F95">
        <v>191.25000000000003</v>
      </c>
      <c r="G95">
        <v>1191.5000000000002</v>
      </c>
      <c r="H95">
        <v>1091.0499999999997</v>
      </c>
      <c r="I95">
        <v>83.699999999999989</v>
      </c>
      <c r="J95">
        <v>416.2</v>
      </c>
      <c r="K95">
        <v>81.45</v>
      </c>
      <c r="L95">
        <v>746.6</v>
      </c>
      <c r="M95">
        <v>6.3</v>
      </c>
      <c r="N95">
        <v>206.55000000000004</v>
      </c>
      <c r="O95">
        <v>0.8</v>
      </c>
      <c r="P95">
        <v>5.4749999999999996</v>
      </c>
      <c r="Q95">
        <v>756</v>
      </c>
      <c r="R95">
        <v>0</v>
      </c>
      <c r="S95">
        <v>0</v>
      </c>
      <c r="T95">
        <v>366.59999999999997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1.2250000000000001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</row>
    <row r="96" spans="1:48" x14ac:dyDescent="0.25">
      <c r="A96" t="s">
        <v>3</v>
      </c>
      <c r="B96" t="s">
        <v>56</v>
      </c>
      <c r="C96" t="s">
        <v>31</v>
      </c>
      <c r="D96">
        <v>2015</v>
      </c>
      <c r="E96">
        <v>74.899999999999991</v>
      </c>
      <c r="F96">
        <v>20.05</v>
      </c>
      <c r="G96">
        <v>262.7</v>
      </c>
      <c r="H96">
        <v>272.25000000000006</v>
      </c>
      <c r="I96">
        <v>0</v>
      </c>
      <c r="J96">
        <v>440.5</v>
      </c>
      <c r="K96">
        <v>0</v>
      </c>
      <c r="L96">
        <v>349.15</v>
      </c>
      <c r="M96">
        <v>126.09999999999998</v>
      </c>
      <c r="N96">
        <v>0</v>
      </c>
      <c r="O96">
        <v>1.25</v>
      </c>
      <c r="P96">
        <v>4.5749999999999993</v>
      </c>
      <c r="Q96">
        <v>0</v>
      </c>
      <c r="R96">
        <v>0</v>
      </c>
      <c r="S96">
        <v>0</v>
      </c>
      <c r="T96">
        <v>178.1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</row>
    <row r="97" spans="1:48" x14ac:dyDescent="0.25">
      <c r="A97" t="s">
        <v>3</v>
      </c>
      <c r="B97" t="s">
        <v>56</v>
      </c>
      <c r="C97" t="s">
        <v>32</v>
      </c>
      <c r="D97">
        <v>2015</v>
      </c>
      <c r="E97">
        <v>78</v>
      </c>
      <c r="F97">
        <v>120.64999999999999</v>
      </c>
      <c r="G97">
        <v>500.5499999999999</v>
      </c>
      <c r="H97">
        <v>648.15</v>
      </c>
      <c r="I97">
        <v>0</v>
      </c>
      <c r="J97">
        <v>296.05</v>
      </c>
      <c r="K97">
        <v>456.4</v>
      </c>
      <c r="L97">
        <v>515.25</v>
      </c>
      <c r="M97">
        <v>0</v>
      </c>
      <c r="N97">
        <v>77.000000000000014</v>
      </c>
      <c r="O97">
        <v>0</v>
      </c>
      <c r="P97">
        <v>0</v>
      </c>
      <c r="Q97">
        <v>0</v>
      </c>
      <c r="R97">
        <v>0</v>
      </c>
      <c r="S97">
        <v>0</v>
      </c>
      <c r="T97">
        <v>463</v>
      </c>
      <c r="U97">
        <v>0</v>
      </c>
      <c r="V97">
        <v>99.75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</row>
    <row r="98" spans="1:48" x14ac:dyDescent="0.25">
      <c r="A98" t="s">
        <v>3</v>
      </c>
      <c r="B98" t="s">
        <v>56</v>
      </c>
      <c r="C98" t="s">
        <v>33</v>
      </c>
      <c r="D98">
        <v>2015</v>
      </c>
      <c r="E98">
        <v>1.1000000000000001</v>
      </c>
      <c r="F98">
        <v>191.45000000000002</v>
      </c>
      <c r="G98">
        <v>0</v>
      </c>
      <c r="H98">
        <v>0</v>
      </c>
      <c r="I98">
        <v>0</v>
      </c>
      <c r="J98">
        <v>77.900000000000006</v>
      </c>
      <c r="K98">
        <v>0</v>
      </c>
      <c r="L98">
        <v>27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221.64999999999998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</row>
    <row r="99" spans="1:48" x14ac:dyDescent="0.25">
      <c r="A99" t="s">
        <v>3</v>
      </c>
      <c r="B99" t="s">
        <v>56</v>
      </c>
      <c r="C99" t="s">
        <v>34</v>
      </c>
      <c r="D99">
        <v>2015</v>
      </c>
      <c r="E99">
        <v>178.15000000000003</v>
      </c>
      <c r="F99">
        <v>1202.95</v>
      </c>
      <c r="G99">
        <v>1407.7500000000002</v>
      </c>
      <c r="H99">
        <v>263.39999999999992</v>
      </c>
      <c r="I99">
        <v>0</v>
      </c>
      <c r="J99">
        <v>494.2</v>
      </c>
      <c r="K99">
        <v>219.6</v>
      </c>
      <c r="L99">
        <v>812.05</v>
      </c>
      <c r="M99">
        <v>20</v>
      </c>
      <c r="N99">
        <v>52.05</v>
      </c>
      <c r="O99">
        <v>0</v>
      </c>
      <c r="P99">
        <v>0.6</v>
      </c>
      <c r="Q99">
        <v>0</v>
      </c>
      <c r="R99">
        <v>0</v>
      </c>
      <c r="S99">
        <v>58.849999999999994</v>
      </c>
      <c r="T99">
        <v>781.40000000000009</v>
      </c>
      <c r="U99">
        <v>0</v>
      </c>
      <c r="V99">
        <v>71.099999999999994</v>
      </c>
      <c r="W99">
        <v>0</v>
      </c>
      <c r="X99">
        <v>0</v>
      </c>
      <c r="Y99">
        <v>0</v>
      </c>
      <c r="Z99">
        <v>0</v>
      </c>
      <c r="AA99">
        <v>0</v>
      </c>
      <c r="AB99">
        <v>0.92500000000000004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</row>
    <row r="100" spans="1:48" x14ac:dyDescent="0.25">
      <c r="A100" t="s">
        <v>3</v>
      </c>
      <c r="B100" t="s">
        <v>56</v>
      </c>
      <c r="C100" t="s">
        <v>35</v>
      </c>
      <c r="D100">
        <v>2015</v>
      </c>
      <c r="E100">
        <v>62.2</v>
      </c>
      <c r="F100">
        <v>141.75</v>
      </c>
      <c r="G100">
        <v>182.4</v>
      </c>
      <c r="H100">
        <v>33.4</v>
      </c>
      <c r="I100">
        <v>27.5</v>
      </c>
      <c r="J100">
        <v>29.75</v>
      </c>
      <c r="K100">
        <v>0</v>
      </c>
      <c r="L100">
        <v>4.1500000000000004</v>
      </c>
      <c r="M100">
        <v>0</v>
      </c>
      <c r="N100">
        <v>64.150000000000006</v>
      </c>
      <c r="O100">
        <v>0</v>
      </c>
      <c r="P100">
        <v>0.32500000000000001</v>
      </c>
      <c r="Q100">
        <v>0</v>
      </c>
      <c r="R100">
        <v>0</v>
      </c>
      <c r="S100">
        <v>0</v>
      </c>
      <c r="T100">
        <v>30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3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</row>
    <row r="101" spans="1:48" x14ac:dyDescent="0.25">
      <c r="A101" t="s">
        <v>3</v>
      </c>
      <c r="B101" t="s">
        <v>56</v>
      </c>
      <c r="C101" t="s">
        <v>36</v>
      </c>
      <c r="D101">
        <v>2015</v>
      </c>
      <c r="E101">
        <v>1813.25</v>
      </c>
      <c r="F101">
        <v>368.85</v>
      </c>
      <c r="G101">
        <v>1657.7599999999998</v>
      </c>
      <c r="H101">
        <v>1396.25</v>
      </c>
      <c r="I101">
        <v>21.95</v>
      </c>
      <c r="J101">
        <v>1292.5</v>
      </c>
      <c r="K101">
        <v>192.24999999999997</v>
      </c>
      <c r="L101">
        <v>379.78000000000003</v>
      </c>
      <c r="M101">
        <v>1143.5499999999997</v>
      </c>
      <c r="N101">
        <v>500.70000000000005</v>
      </c>
      <c r="O101">
        <v>5.9999999999999991</v>
      </c>
      <c r="P101">
        <v>36.004999999999995</v>
      </c>
      <c r="Q101">
        <v>0</v>
      </c>
      <c r="R101">
        <v>0</v>
      </c>
      <c r="S101">
        <v>40.5</v>
      </c>
      <c r="T101">
        <v>212.5</v>
      </c>
      <c r="U101">
        <v>0</v>
      </c>
      <c r="V101">
        <v>0</v>
      </c>
      <c r="W101">
        <v>0</v>
      </c>
      <c r="X101">
        <v>68.100000000000009</v>
      </c>
      <c r="Y101">
        <v>0</v>
      </c>
      <c r="Z101">
        <v>0</v>
      </c>
      <c r="AA101">
        <v>0</v>
      </c>
      <c r="AB101">
        <v>0.69500000000000006</v>
      </c>
      <c r="AC101">
        <v>0</v>
      </c>
      <c r="AD101">
        <v>0</v>
      </c>
      <c r="AE101">
        <v>388.09999999999997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</row>
    <row r="102" spans="1:48" x14ac:dyDescent="0.25">
      <c r="A102" t="s">
        <v>3</v>
      </c>
      <c r="B102" t="s">
        <v>56</v>
      </c>
      <c r="C102" t="s">
        <v>4</v>
      </c>
      <c r="D102">
        <v>2016</v>
      </c>
      <c r="E102">
        <v>375.45</v>
      </c>
      <c r="F102">
        <v>543.62000000000012</v>
      </c>
      <c r="G102">
        <v>1465.1</v>
      </c>
      <c r="H102">
        <v>1338.3</v>
      </c>
      <c r="I102">
        <v>0</v>
      </c>
      <c r="J102">
        <v>1262.3000000000002</v>
      </c>
      <c r="K102">
        <v>1458.8</v>
      </c>
      <c r="L102">
        <v>715.7</v>
      </c>
      <c r="M102">
        <v>271.79999999999995</v>
      </c>
      <c r="N102">
        <v>1342.1</v>
      </c>
      <c r="O102">
        <v>2.5999999999999996</v>
      </c>
      <c r="P102">
        <v>18.029999999999998</v>
      </c>
      <c r="Q102">
        <v>228</v>
      </c>
      <c r="R102">
        <v>0</v>
      </c>
      <c r="S102">
        <v>0</v>
      </c>
      <c r="T102">
        <v>275.39999999999998</v>
      </c>
      <c r="U102">
        <v>0</v>
      </c>
      <c r="V102">
        <v>267.04999999999995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0.95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</row>
    <row r="103" spans="1:48" x14ac:dyDescent="0.25">
      <c r="A103" t="s">
        <v>3</v>
      </c>
      <c r="B103" t="s">
        <v>56</v>
      </c>
      <c r="C103" t="s">
        <v>28</v>
      </c>
      <c r="D103">
        <v>2016</v>
      </c>
      <c r="E103">
        <v>60.05</v>
      </c>
      <c r="F103">
        <v>0</v>
      </c>
      <c r="G103">
        <v>155.30000000000001</v>
      </c>
      <c r="H103">
        <v>1</v>
      </c>
      <c r="I103">
        <v>0</v>
      </c>
      <c r="J103">
        <v>61</v>
      </c>
      <c r="K103">
        <v>0</v>
      </c>
      <c r="L103">
        <v>99.75</v>
      </c>
      <c r="M103">
        <v>0</v>
      </c>
      <c r="N103">
        <v>2.75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40.5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</row>
    <row r="104" spans="1:48" x14ac:dyDescent="0.25">
      <c r="A104" t="s">
        <v>3</v>
      </c>
      <c r="B104" t="s">
        <v>56</v>
      </c>
      <c r="C104" t="s">
        <v>29</v>
      </c>
      <c r="D104">
        <v>2016</v>
      </c>
      <c r="E104">
        <v>199.75000000000003</v>
      </c>
      <c r="F104">
        <v>19.799999999999997</v>
      </c>
      <c r="G104">
        <v>970.80000000000007</v>
      </c>
      <c r="H104">
        <v>448.35</v>
      </c>
      <c r="I104">
        <v>0</v>
      </c>
      <c r="J104">
        <v>1176.6499999999999</v>
      </c>
      <c r="K104">
        <v>0</v>
      </c>
      <c r="L104">
        <v>241.7</v>
      </c>
      <c r="M104">
        <v>0</v>
      </c>
      <c r="N104">
        <v>73.800000000000011</v>
      </c>
      <c r="O104">
        <v>0</v>
      </c>
      <c r="P104">
        <v>0.33</v>
      </c>
      <c r="Q104">
        <v>0</v>
      </c>
      <c r="R104">
        <v>0</v>
      </c>
      <c r="S104">
        <v>0</v>
      </c>
      <c r="T104">
        <v>152.45000000000002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76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</row>
    <row r="105" spans="1:48" x14ac:dyDescent="0.25">
      <c r="A105" t="s">
        <v>3</v>
      </c>
      <c r="B105" t="s">
        <v>56</v>
      </c>
      <c r="C105" t="s">
        <v>30</v>
      </c>
      <c r="D105">
        <v>2016</v>
      </c>
      <c r="E105">
        <v>279.65000000000003</v>
      </c>
      <c r="F105">
        <v>159.75</v>
      </c>
      <c r="G105">
        <v>1676.8000000000002</v>
      </c>
      <c r="H105">
        <v>795.34999999999991</v>
      </c>
      <c r="I105">
        <v>39.15</v>
      </c>
      <c r="J105">
        <v>1237.3499999999999</v>
      </c>
      <c r="K105">
        <v>80.550000000000011</v>
      </c>
      <c r="L105">
        <v>612.39999999999986</v>
      </c>
      <c r="M105">
        <v>238.14999999999998</v>
      </c>
      <c r="N105">
        <v>422.5</v>
      </c>
      <c r="O105">
        <v>2.9</v>
      </c>
      <c r="P105">
        <v>8.8250000000000011</v>
      </c>
      <c r="Q105">
        <v>0</v>
      </c>
      <c r="R105">
        <v>0</v>
      </c>
      <c r="S105">
        <v>0.42499999999999999</v>
      </c>
      <c r="T105">
        <v>373.55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5.2750000000000004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</row>
    <row r="106" spans="1:48" x14ac:dyDescent="0.25">
      <c r="A106" t="s">
        <v>3</v>
      </c>
      <c r="B106" t="s">
        <v>56</v>
      </c>
      <c r="C106" t="s">
        <v>31</v>
      </c>
      <c r="D106">
        <v>2016</v>
      </c>
      <c r="E106">
        <v>62</v>
      </c>
      <c r="F106">
        <v>19</v>
      </c>
      <c r="G106">
        <v>367.65000000000003</v>
      </c>
      <c r="H106">
        <v>320.60000000000002</v>
      </c>
      <c r="I106">
        <v>0</v>
      </c>
      <c r="J106">
        <v>737.65000000000009</v>
      </c>
      <c r="K106">
        <v>69</v>
      </c>
      <c r="L106">
        <v>283.45</v>
      </c>
      <c r="M106">
        <v>0</v>
      </c>
      <c r="N106">
        <v>179.55000000000004</v>
      </c>
      <c r="O106">
        <v>1.8499999999999999</v>
      </c>
      <c r="P106">
        <v>1.5999999999999999</v>
      </c>
      <c r="Q106">
        <v>0</v>
      </c>
      <c r="R106">
        <v>0</v>
      </c>
      <c r="S106">
        <v>0</v>
      </c>
      <c r="T106">
        <v>140.4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</row>
    <row r="107" spans="1:48" x14ac:dyDescent="0.25">
      <c r="A107" t="s">
        <v>3</v>
      </c>
      <c r="B107" t="s">
        <v>56</v>
      </c>
      <c r="C107" t="s">
        <v>32</v>
      </c>
      <c r="D107">
        <v>2016</v>
      </c>
      <c r="E107">
        <v>87.25</v>
      </c>
      <c r="F107">
        <v>25</v>
      </c>
      <c r="G107">
        <v>549.5</v>
      </c>
      <c r="H107">
        <v>876</v>
      </c>
      <c r="I107">
        <v>0</v>
      </c>
      <c r="J107">
        <v>726.55</v>
      </c>
      <c r="K107">
        <v>431</v>
      </c>
      <c r="L107">
        <v>402.15000000000003</v>
      </c>
      <c r="M107">
        <v>0</v>
      </c>
      <c r="N107">
        <v>130</v>
      </c>
      <c r="O107">
        <v>0</v>
      </c>
      <c r="P107">
        <v>0</v>
      </c>
      <c r="Q107">
        <v>74.25</v>
      </c>
      <c r="R107">
        <v>0</v>
      </c>
      <c r="S107">
        <v>0</v>
      </c>
      <c r="T107">
        <v>402.35</v>
      </c>
      <c r="U107">
        <v>0</v>
      </c>
      <c r="V107">
        <v>1.4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</row>
    <row r="108" spans="1:48" x14ac:dyDescent="0.25">
      <c r="A108" t="s">
        <v>3</v>
      </c>
      <c r="B108" t="s">
        <v>56</v>
      </c>
      <c r="C108" t="s">
        <v>33</v>
      </c>
      <c r="D108">
        <v>2016</v>
      </c>
      <c r="E108">
        <v>0</v>
      </c>
      <c r="F108">
        <v>192.30000000000004</v>
      </c>
      <c r="G108">
        <v>0</v>
      </c>
      <c r="H108">
        <v>2.15</v>
      </c>
      <c r="I108">
        <v>0</v>
      </c>
      <c r="J108">
        <v>120</v>
      </c>
      <c r="K108">
        <v>0</v>
      </c>
      <c r="L108">
        <v>41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206.6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</row>
    <row r="109" spans="1:48" x14ac:dyDescent="0.25">
      <c r="A109" t="s">
        <v>3</v>
      </c>
      <c r="B109" t="s">
        <v>56</v>
      </c>
      <c r="C109" t="s">
        <v>34</v>
      </c>
      <c r="D109">
        <v>2016</v>
      </c>
      <c r="E109">
        <v>119.64999999999998</v>
      </c>
      <c r="F109">
        <v>1400.7</v>
      </c>
      <c r="G109">
        <v>1106.6500000000001</v>
      </c>
      <c r="H109">
        <v>336.4</v>
      </c>
      <c r="I109">
        <v>0</v>
      </c>
      <c r="J109">
        <v>1299.6999999999998</v>
      </c>
      <c r="K109">
        <v>212.54999999999995</v>
      </c>
      <c r="L109">
        <v>579.01</v>
      </c>
      <c r="M109">
        <v>52</v>
      </c>
      <c r="N109">
        <v>191.4</v>
      </c>
      <c r="O109">
        <v>0</v>
      </c>
      <c r="P109">
        <v>0</v>
      </c>
      <c r="Q109">
        <v>9</v>
      </c>
      <c r="R109">
        <v>0</v>
      </c>
      <c r="S109">
        <v>0</v>
      </c>
      <c r="T109">
        <v>392.2</v>
      </c>
      <c r="U109">
        <v>0</v>
      </c>
      <c r="V109">
        <v>43.949999999999996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0.125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</row>
    <row r="110" spans="1:48" x14ac:dyDescent="0.25">
      <c r="A110" t="s">
        <v>3</v>
      </c>
      <c r="B110" t="s">
        <v>56</v>
      </c>
      <c r="C110" t="s">
        <v>35</v>
      </c>
      <c r="D110">
        <v>2016</v>
      </c>
      <c r="E110">
        <v>2</v>
      </c>
      <c r="F110">
        <v>98.1</v>
      </c>
      <c r="G110">
        <v>132.4</v>
      </c>
      <c r="H110">
        <v>0</v>
      </c>
      <c r="I110">
        <v>2</v>
      </c>
      <c r="J110">
        <v>0</v>
      </c>
      <c r="K110">
        <v>0</v>
      </c>
      <c r="L110">
        <v>0</v>
      </c>
      <c r="M110">
        <v>0</v>
      </c>
      <c r="N110">
        <v>5</v>
      </c>
      <c r="O110">
        <v>0</v>
      </c>
      <c r="P110">
        <v>9.3000000000000007</v>
      </c>
      <c r="Q110">
        <v>0</v>
      </c>
      <c r="R110">
        <v>0</v>
      </c>
      <c r="S110">
        <v>0</v>
      </c>
      <c r="T110">
        <v>5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</row>
    <row r="111" spans="1:48" x14ac:dyDescent="0.25">
      <c r="A111" t="s">
        <v>3</v>
      </c>
      <c r="B111" t="s">
        <v>56</v>
      </c>
      <c r="C111" t="s">
        <v>36</v>
      </c>
      <c r="D111">
        <v>2016</v>
      </c>
      <c r="E111">
        <v>1763.35</v>
      </c>
      <c r="F111">
        <v>240.6</v>
      </c>
      <c r="G111">
        <v>1466.05</v>
      </c>
      <c r="H111">
        <v>1426.7000000000003</v>
      </c>
      <c r="I111">
        <v>16.55</v>
      </c>
      <c r="J111">
        <v>1656.4500000000003</v>
      </c>
      <c r="K111">
        <v>227.89999999999998</v>
      </c>
      <c r="L111">
        <v>271.27500000000003</v>
      </c>
      <c r="M111">
        <v>540.30000000000007</v>
      </c>
      <c r="N111">
        <v>1226.8499999999999</v>
      </c>
      <c r="O111">
        <v>54.480000000000004</v>
      </c>
      <c r="P111">
        <v>2.605</v>
      </c>
      <c r="Q111">
        <v>792</v>
      </c>
      <c r="R111">
        <v>0</v>
      </c>
      <c r="S111">
        <v>31.125</v>
      </c>
      <c r="T111">
        <v>146.15</v>
      </c>
      <c r="U111">
        <v>0</v>
      </c>
      <c r="V111">
        <v>0</v>
      </c>
      <c r="W111">
        <v>0</v>
      </c>
      <c r="X111">
        <v>163.4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85.3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</row>
    <row r="112" spans="1:48" x14ac:dyDescent="0.25">
      <c r="A112" t="s">
        <v>3</v>
      </c>
      <c r="B112" t="s">
        <v>56</v>
      </c>
      <c r="C112" t="s">
        <v>4</v>
      </c>
      <c r="D112">
        <v>2017</v>
      </c>
      <c r="E112">
        <v>497.95</v>
      </c>
      <c r="F112">
        <v>7.5</v>
      </c>
      <c r="G112">
        <v>0</v>
      </c>
      <c r="H112">
        <v>1623.63</v>
      </c>
      <c r="I112">
        <v>0</v>
      </c>
      <c r="J112">
        <v>771.84999999999991</v>
      </c>
      <c r="K112">
        <v>923.24999999999989</v>
      </c>
      <c r="L112">
        <v>438.80000000000007</v>
      </c>
      <c r="M112">
        <v>228.15</v>
      </c>
      <c r="N112">
        <v>900.75</v>
      </c>
      <c r="O112">
        <v>1.2</v>
      </c>
      <c r="P112">
        <v>28.554999999999996</v>
      </c>
      <c r="Q112">
        <v>0</v>
      </c>
      <c r="R112">
        <v>0</v>
      </c>
      <c r="S112">
        <v>1.3</v>
      </c>
      <c r="T112">
        <v>273.29999999999995</v>
      </c>
      <c r="U112">
        <v>0</v>
      </c>
      <c r="V112">
        <v>251.8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316.5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</row>
    <row r="113" spans="1:48" x14ac:dyDescent="0.25">
      <c r="A113" t="s">
        <v>3</v>
      </c>
      <c r="B113" t="s">
        <v>56</v>
      </c>
      <c r="C113" t="s">
        <v>28</v>
      </c>
      <c r="D113">
        <v>2017</v>
      </c>
      <c r="E113">
        <v>54</v>
      </c>
      <c r="F113">
        <v>0</v>
      </c>
      <c r="G113">
        <v>0</v>
      </c>
      <c r="H113">
        <v>0</v>
      </c>
      <c r="I113">
        <v>0</v>
      </c>
      <c r="J113">
        <v>68.599999999999994</v>
      </c>
      <c r="K113">
        <v>0</v>
      </c>
      <c r="L113">
        <v>85.25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77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116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</row>
    <row r="114" spans="1:48" x14ac:dyDescent="0.25">
      <c r="A114" t="s">
        <v>3</v>
      </c>
      <c r="B114" t="s">
        <v>56</v>
      </c>
      <c r="C114" t="s">
        <v>29</v>
      </c>
      <c r="D114">
        <v>2017</v>
      </c>
      <c r="E114">
        <v>302.39999999999998</v>
      </c>
      <c r="F114">
        <v>86</v>
      </c>
      <c r="G114">
        <v>0</v>
      </c>
      <c r="H114">
        <v>1016.2500000000001</v>
      </c>
      <c r="I114">
        <v>0</v>
      </c>
      <c r="J114">
        <v>1139.7</v>
      </c>
      <c r="K114">
        <v>0</v>
      </c>
      <c r="L114">
        <v>70.5</v>
      </c>
      <c r="M114">
        <v>0</v>
      </c>
      <c r="N114">
        <v>111.75</v>
      </c>
      <c r="O114">
        <v>0</v>
      </c>
      <c r="P114">
        <v>9.6</v>
      </c>
      <c r="Q114">
        <v>0</v>
      </c>
      <c r="R114">
        <v>0</v>
      </c>
      <c r="S114">
        <v>0</v>
      </c>
      <c r="T114">
        <v>208.09999999999997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13.5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53.35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</row>
    <row r="115" spans="1:48" x14ac:dyDescent="0.25">
      <c r="A115" t="s">
        <v>3</v>
      </c>
      <c r="B115" t="s">
        <v>56</v>
      </c>
      <c r="C115" t="s">
        <v>30</v>
      </c>
      <c r="D115">
        <v>2017</v>
      </c>
      <c r="E115">
        <v>490.25000000000006</v>
      </c>
      <c r="F115">
        <v>56.55</v>
      </c>
      <c r="G115">
        <v>9</v>
      </c>
      <c r="H115">
        <v>1817.5249999999999</v>
      </c>
      <c r="I115">
        <v>46.75</v>
      </c>
      <c r="J115">
        <v>800.7</v>
      </c>
      <c r="K115">
        <v>0.5</v>
      </c>
      <c r="L115">
        <v>594.6</v>
      </c>
      <c r="M115">
        <v>12.5</v>
      </c>
      <c r="N115">
        <v>416.24999999999994</v>
      </c>
      <c r="O115">
        <v>0.75</v>
      </c>
      <c r="P115">
        <v>8.9600000000000009</v>
      </c>
      <c r="Q115">
        <v>0</v>
      </c>
      <c r="R115">
        <v>0</v>
      </c>
      <c r="S115">
        <v>0.78</v>
      </c>
      <c r="T115">
        <v>327.14999999999998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11.2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336.95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</row>
    <row r="116" spans="1:48" x14ac:dyDescent="0.25">
      <c r="A116" t="s">
        <v>3</v>
      </c>
      <c r="B116" t="s">
        <v>56</v>
      </c>
      <c r="C116" t="s">
        <v>31</v>
      </c>
      <c r="D116">
        <v>2017</v>
      </c>
      <c r="E116">
        <v>65.5</v>
      </c>
      <c r="F116">
        <v>0</v>
      </c>
      <c r="G116">
        <v>0</v>
      </c>
      <c r="H116">
        <v>780.3</v>
      </c>
      <c r="I116">
        <v>0</v>
      </c>
      <c r="J116">
        <v>658.00000000000011</v>
      </c>
      <c r="K116">
        <v>0</v>
      </c>
      <c r="L116">
        <v>329</v>
      </c>
      <c r="M116">
        <v>0</v>
      </c>
      <c r="N116">
        <v>191.35</v>
      </c>
      <c r="O116">
        <v>3.7749999999999999</v>
      </c>
      <c r="P116">
        <v>1.43</v>
      </c>
      <c r="Q116">
        <v>0</v>
      </c>
      <c r="R116">
        <v>0</v>
      </c>
      <c r="S116">
        <v>0</v>
      </c>
      <c r="T116">
        <v>182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</row>
    <row r="117" spans="1:48" x14ac:dyDescent="0.25">
      <c r="A117" t="s">
        <v>3</v>
      </c>
      <c r="B117" t="s">
        <v>56</v>
      </c>
      <c r="C117" t="s">
        <v>32</v>
      </c>
      <c r="D117">
        <v>2017</v>
      </c>
      <c r="E117">
        <v>100.4</v>
      </c>
      <c r="F117">
        <v>0</v>
      </c>
      <c r="G117">
        <v>0</v>
      </c>
      <c r="H117">
        <v>1147.3000000000002</v>
      </c>
      <c r="I117">
        <v>0</v>
      </c>
      <c r="J117">
        <v>527.6</v>
      </c>
      <c r="K117">
        <v>220</v>
      </c>
      <c r="L117">
        <v>518.40000000000009</v>
      </c>
      <c r="M117">
        <v>0</v>
      </c>
      <c r="N117">
        <v>158.5</v>
      </c>
      <c r="O117">
        <v>0</v>
      </c>
      <c r="P117">
        <v>0</v>
      </c>
      <c r="Q117">
        <v>72</v>
      </c>
      <c r="R117">
        <v>0</v>
      </c>
      <c r="S117">
        <v>0</v>
      </c>
      <c r="T117">
        <v>591.30000000000007</v>
      </c>
      <c r="U117">
        <v>0</v>
      </c>
      <c r="V117">
        <v>3.8000000000000003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163.15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</row>
    <row r="118" spans="1:48" x14ac:dyDescent="0.25">
      <c r="A118" t="s">
        <v>3</v>
      </c>
      <c r="B118" t="s">
        <v>56</v>
      </c>
      <c r="C118" t="s">
        <v>33</v>
      </c>
      <c r="D118">
        <v>2017</v>
      </c>
      <c r="E118">
        <v>5</v>
      </c>
      <c r="F118">
        <v>8.5</v>
      </c>
      <c r="G118">
        <v>0</v>
      </c>
      <c r="H118">
        <v>0.35</v>
      </c>
      <c r="I118">
        <v>0</v>
      </c>
      <c r="J118">
        <v>86</v>
      </c>
      <c r="K118">
        <v>0</v>
      </c>
      <c r="L118">
        <v>36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263.2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182.2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</row>
    <row r="119" spans="1:48" x14ac:dyDescent="0.25">
      <c r="A119" t="s">
        <v>3</v>
      </c>
      <c r="B119" t="s">
        <v>56</v>
      </c>
      <c r="C119" t="s">
        <v>34</v>
      </c>
      <c r="D119">
        <v>2017</v>
      </c>
      <c r="E119">
        <v>890.19999999999993</v>
      </c>
      <c r="F119">
        <v>12.299999999999999</v>
      </c>
      <c r="G119">
        <v>0</v>
      </c>
      <c r="H119">
        <v>916.90000000000009</v>
      </c>
      <c r="I119">
        <v>0</v>
      </c>
      <c r="J119">
        <v>1127.5</v>
      </c>
      <c r="K119">
        <v>328.99999999999994</v>
      </c>
      <c r="L119">
        <v>403.73499999999996</v>
      </c>
      <c r="M119">
        <v>7</v>
      </c>
      <c r="N119">
        <v>183.6</v>
      </c>
      <c r="O119">
        <v>0</v>
      </c>
      <c r="P119">
        <v>1.6500000000000004</v>
      </c>
      <c r="Q119">
        <v>90</v>
      </c>
      <c r="R119">
        <v>0</v>
      </c>
      <c r="S119">
        <v>0</v>
      </c>
      <c r="T119">
        <v>542.45000000000005</v>
      </c>
      <c r="U119">
        <v>0</v>
      </c>
      <c r="V119">
        <v>38.75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0.1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998.7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</row>
    <row r="120" spans="1:48" x14ac:dyDescent="0.25">
      <c r="A120" t="s">
        <v>3</v>
      </c>
      <c r="B120" t="s">
        <v>56</v>
      </c>
      <c r="C120" t="s">
        <v>35</v>
      </c>
      <c r="D120">
        <v>2017</v>
      </c>
      <c r="E120">
        <v>340.4</v>
      </c>
      <c r="F120">
        <v>58.9</v>
      </c>
      <c r="G120">
        <v>0</v>
      </c>
      <c r="H120">
        <v>184</v>
      </c>
      <c r="I120">
        <v>45.25</v>
      </c>
      <c r="J120">
        <v>147.5</v>
      </c>
      <c r="K120">
        <v>0</v>
      </c>
      <c r="L120">
        <v>94.5</v>
      </c>
      <c r="M120">
        <v>0</v>
      </c>
      <c r="N120">
        <v>147.55000000000001</v>
      </c>
      <c r="O120">
        <v>1.075</v>
      </c>
      <c r="P120">
        <v>2.875</v>
      </c>
      <c r="Q120">
        <v>0</v>
      </c>
      <c r="R120">
        <v>0</v>
      </c>
      <c r="S120">
        <v>0</v>
      </c>
      <c r="T120">
        <v>17.7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18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8.4499999999999993</v>
      </c>
      <c r="AP120">
        <v>88.2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</row>
    <row r="121" spans="1:48" x14ac:dyDescent="0.25">
      <c r="A121" t="s">
        <v>3</v>
      </c>
      <c r="B121" t="s">
        <v>56</v>
      </c>
      <c r="C121" t="s">
        <v>36</v>
      </c>
      <c r="D121">
        <v>2017</v>
      </c>
      <c r="E121">
        <v>1418.4749999999999</v>
      </c>
      <c r="F121">
        <v>53.749999999999993</v>
      </c>
      <c r="G121">
        <v>0</v>
      </c>
      <c r="H121">
        <v>1980.7000000000003</v>
      </c>
      <c r="I121">
        <v>15.299999999999999</v>
      </c>
      <c r="J121">
        <v>997.19999999999993</v>
      </c>
      <c r="K121">
        <v>176.55</v>
      </c>
      <c r="L121">
        <v>355.95</v>
      </c>
      <c r="M121">
        <v>693.05</v>
      </c>
      <c r="N121">
        <v>429.55</v>
      </c>
      <c r="O121">
        <v>41.07500000000001</v>
      </c>
      <c r="P121">
        <v>31.17</v>
      </c>
      <c r="Q121">
        <v>0</v>
      </c>
      <c r="R121">
        <v>0</v>
      </c>
      <c r="S121">
        <v>197.6</v>
      </c>
      <c r="T121">
        <v>220.15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326.39999999999998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</row>
    <row r="122" spans="1:48" x14ac:dyDescent="0.25">
      <c r="A122" t="s">
        <v>3</v>
      </c>
      <c r="B122" t="s">
        <v>65</v>
      </c>
      <c r="C122" t="s">
        <v>66</v>
      </c>
      <c r="D122">
        <v>2006</v>
      </c>
      <c r="E122">
        <v>52.75</v>
      </c>
      <c r="F122">
        <v>15.8</v>
      </c>
      <c r="G122">
        <v>134.35</v>
      </c>
      <c r="H122">
        <v>85.8</v>
      </c>
      <c r="I122">
        <v>72</v>
      </c>
      <c r="J122">
        <v>313.75</v>
      </c>
      <c r="K122">
        <v>70</v>
      </c>
      <c r="L122">
        <v>121.4</v>
      </c>
      <c r="M122">
        <v>0</v>
      </c>
      <c r="N122">
        <v>0.5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</row>
    <row r="123" spans="1:48" x14ac:dyDescent="0.25">
      <c r="A123" t="s">
        <v>3</v>
      </c>
      <c r="B123" t="s">
        <v>65</v>
      </c>
      <c r="C123" t="s">
        <v>67</v>
      </c>
      <c r="D123">
        <v>2006</v>
      </c>
      <c r="E123">
        <v>645.9</v>
      </c>
      <c r="F123">
        <v>2432.85</v>
      </c>
      <c r="G123">
        <v>2867.6</v>
      </c>
      <c r="H123">
        <v>2047.2</v>
      </c>
      <c r="I123">
        <v>139.65</v>
      </c>
      <c r="J123">
        <v>3102.55</v>
      </c>
      <c r="K123">
        <v>1403.15</v>
      </c>
      <c r="L123">
        <v>1260.0999999999999</v>
      </c>
      <c r="M123">
        <v>128</v>
      </c>
      <c r="N123">
        <v>182.15</v>
      </c>
      <c r="O123">
        <v>40.1</v>
      </c>
      <c r="P123">
        <v>45.55</v>
      </c>
      <c r="Q123">
        <v>835</v>
      </c>
      <c r="R123">
        <v>73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31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</row>
    <row r="124" spans="1:48" x14ac:dyDescent="0.25">
      <c r="A124" t="s">
        <v>3</v>
      </c>
      <c r="B124" t="s">
        <v>65</v>
      </c>
      <c r="C124" t="s">
        <v>67</v>
      </c>
      <c r="D124">
        <v>2007</v>
      </c>
      <c r="E124">
        <v>839.95</v>
      </c>
      <c r="F124">
        <v>3993.25</v>
      </c>
      <c r="G124">
        <v>2641.1</v>
      </c>
      <c r="H124">
        <v>1516.1</v>
      </c>
      <c r="I124">
        <v>106.4</v>
      </c>
      <c r="J124">
        <v>1489.05</v>
      </c>
      <c r="K124">
        <v>1287.3</v>
      </c>
      <c r="L124">
        <v>687.2</v>
      </c>
      <c r="M124">
        <v>74.8</v>
      </c>
      <c r="N124">
        <v>227.55</v>
      </c>
      <c r="O124">
        <v>25.55</v>
      </c>
      <c r="P124">
        <v>8.6</v>
      </c>
      <c r="Q124">
        <v>846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75</v>
      </c>
      <c r="Y124">
        <v>0</v>
      </c>
      <c r="Z124">
        <v>0</v>
      </c>
      <c r="AA124">
        <v>28.4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</row>
    <row r="125" spans="1:48" x14ac:dyDescent="0.25">
      <c r="A125" t="s">
        <v>3</v>
      </c>
      <c r="B125" t="s">
        <v>65</v>
      </c>
      <c r="C125" t="s">
        <v>66</v>
      </c>
      <c r="D125">
        <v>2007</v>
      </c>
      <c r="E125">
        <v>102.2</v>
      </c>
      <c r="F125">
        <v>257.60000000000002</v>
      </c>
      <c r="G125">
        <v>288.8</v>
      </c>
      <c r="H125">
        <v>106.4</v>
      </c>
      <c r="I125">
        <v>65.7</v>
      </c>
      <c r="J125">
        <v>132.94999999999999</v>
      </c>
      <c r="K125">
        <v>39.85</v>
      </c>
      <c r="L125">
        <v>154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49.8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</row>
    <row r="126" spans="1:48" x14ac:dyDescent="0.25">
      <c r="A126" t="s">
        <v>3</v>
      </c>
      <c r="B126" t="s">
        <v>65</v>
      </c>
      <c r="C126" t="s">
        <v>67</v>
      </c>
      <c r="D126">
        <v>2008</v>
      </c>
      <c r="E126">
        <v>310.39999999999998</v>
      </c>
      <c r="F126">
        <v>2457.5</v>
      </c>
      <c r="G126">
        <v>2338.9</v>
      </c>
      <c r="H126">
        <v>1945.65</v>
      </c>
      <c r="I126">
        <v>140.4</v>
      </c>
      <c r="J126">
        <v>874.85</v>
      </c>
      <c r="K126">
        <v>1080.0999999999999</v>
      </c>
      <c r="L126">
        <v>992.75</v>
      </c>
      <c r="M126">
        <v>121.65</v>
      </c>
      <c r="N126">
        <v>92.55</v>
      </c>
      <c r="O126">
        <v>32.6</v>
      </c>
      <c r="P126">
        <v>67.5</v>
      </c>
      <c r="Q126">
        <v>798.2</v>
      </c>
      <c r="R126">
        <v>43.45</v>
      </c>
      <c r="S126">
        <v>0</v>
      </c>
      <c r="T126">
        <v>0</v>
      </c>
      <c r="U126">
        <v>0</v>
      </c>
      <c r="V126">
        <v>52.5</v>
      </c>
      <c r="W126">
        <v>0</v>
      </c>
      <c r="X126">
        <v>0</v>
      </c>
      <c r="Y126">
        <v>0</v>
      </c>
      <c r="Z126">
        <v>0</v>
      </c>
      <c r="AA126">
        <v>126.5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</row>
    <row r="127" spans="1:48" x14ac:dyDescent="0.25">
      <c r="A127" t="s">
        <v>3</v>
      </c>
      <c r="B127" t="s">
        <v>65</v>
      </c>
      <c r="C127" t="s">
        <v>66</v>
      </c>
      <c r="D127">
        <v>2008</v>
      </c>
      <c r="E127">
        <v>46.5</v>
      </c>
      <c r="F127">
        <v>211</v>
      </c>
      <c r="G127">
        <v>198.85</v>
      </c>
      <c r="H127">
        <v>64.150000000000006</v>
      </c>
      <c r="I127">
        <v>28.05</v>
      </c>
      <c r="J127">
        <v>22.35</v>
      </c>
      <c r="K127">
        <v>53.9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2</v>
      </c>
      <c r="W127">
        <v>0</v>
      </c>
      <c r="X127">
        <v>38.799999999999997</v>
      </c>
      <c r="Y127">
        <v>0</v>
      </c>
      <c r="Z127">
        <v>0</v>
      </c>
      <c r="AA127">
        <v>2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</row>
    <row r="128" spans="1:48" x14ac:dyDescent="0.25">
      <c r="A128" t="s">
        <v>3</v>
      </c>
      <c r="B128" t="s">
        <v>65</v>
      </c>
      <c r="C128" t="s">
        <v>66</v>
      </c>
      <c r="D128">
        <v>2009</v>
      </c>
      <c r="E128">
        <v>598.54999999999995</v>
      </c>
      <c r="F128">
        <v>1570.05</v>
      </c>
      <c r="G128">
        <v>2483.5</v>
      </c>
      <c r="H128">
        <v>1905.4</v>
      </c>
      <c r="I128">
        <v>27.9</v>
      </c>
      <c r="J128">
        <v>2618.75</v>
      </c>
      <c r="K128">
        <v>680.8</v>
      </c>
      <c r="L128">
        <v>638.54999999999995</v>
      </c>
      <c r="M128">
        <v>110.05</v>
      </c>
      <c r="N128">
        <v>48.55</v>
      </c>
      <c r="O128">
        <v>12.75</v>
      </c>
      <c r="P128">
        <v>5.75</v>
      </c>
      <c r="Q128">
        <v>840</v>
      </c>
      <c r="R128">
        <v>94.4</v>
      </c>
      <c r="S128">
        <v>0</v>
      </c>
      <c r="T128">
        <v>0</v>
      </c>
      <c r="U128">
        <v>0</v>
      </c>
      <c r="V128">
        <v>35.299999999999997</v>
      </c>
      <c r="W128">
        <v>0</v>
      </c>
      <c r="X128">
        <v>0</v>
      </c>
      <c r="Y128">
        <v>0</v>
      </c>
      <c r="Z128">
        <v>0</v>
      </c>
      <c r="AA128">
        <v>34.450000000000003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</row>
    <row r="129" spans="1:48" x14ac:dyDescent="0.25">
      <c r="A129" t="s">
        <v>3</v>
      </c>
      <c r="B129" t="s">
        <v>65</v>
      </c>
      <c r="C129" t="s">
        <v>67</v>
      </c>
      <c r="D129">
        <v>2009</v>
      </c>
      <c r="E129">
        <v>80</v>
      </c>
      <c r="F129">
        <v>124.05</v>
      </c>
      <c r="G129">
        <v>176.65</v>
      </c>
      <c r="H129">
        <v>67</v>
      </c>
      <c r="I129">
        <v>13.5</v>
      </c>
      <c r="J129">
        <v>257.10000000000002</v>
      </c>
      <c r="K129">
        <v>170.65</v>
      </c>
      <c r="L129">
        <v>0</v>
      </c>
      <c r="M129">
        <v>0</v>
      </c>
      <c r="N129">
        <v>0</v>
      </c>
      <c r="O129">
        <v>21.2</v>
      </c>
      <c r="P129">
        <v>0</v>
      </c>
      <c r="Q129">
        <v>57.65</v>
      </c>
      <c r="R129">
        <v>0</v>
      </c>
      <c r="S129">
        <v>0</v>
      </c>
      <c r="T129">
        <v>0</v>
      </c>
      <c r="U129">
        <v>0</v>
      </c>
      <c r="V129">
        <v>69.8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</row>
    <row r="130" spans="1:48" x14ac:dyDescent="0.25">
      <c r="A130" t="s">
        <v>3</v>
      </c>
      <c r="B130" t="s">
        <v>65</v>
      </c>
      <c r="C130" t="s">
        <v>67</v>
      </c>
      <c r="D130">
        <v>2010</v>
      </c>
      <c r="E130">
        <v>685.8</v>
      </c>
      <c r="F130">
        <v>1397.2</v>
      </c>
      <c r="G130">
        <v>2173.25</v>
      </c>
      <c r="H130">
        <v>1872.6</v>
      </c>
      <c r="I130">
        <v>106.2</v>
      </c>
      <c r="J130">
        <v>1339.75</v>
      </c>
      <c r="K130">
        <v>1060.1500000000001</v>
      </c>
      <c r="L130">
        <v>644.4</v>
      </c>
      <c r="M130">
        <v>80.650000000000006</v>
      </c>
      <c r="N130">
        <v>20.6</v>
      </c>
      <c r="O130">
        <v>14.45</v>
      </c>
      <c r="P130">
        <v>11.35</v>
      </c>
      <c r="Q130">
        <v>756</v>
      </c>
      <c r="R130">
        <v>43.85</v>
      </c>
      <c r="S130">
        <v>0</v>
      </c>
      <c r="T130">
        <v>0</v>
      </c>
      <c r="U130">
        <v>0</v>
      </c>
      <c r="V130">
        <v>134.69999999999999</v>
      </c>
      <c r="W130">
        <v>6</v>
      </c>
      <c r="X130">
        <v>0</v>
      </c>
      <c r="Y130">
        <v>0</v>
      </c>
      <c r="Z130">
        <v>0</v>
      </c>
      <c r="AA130">
        <v>25.25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</row>
    <row r="131" spans="1:48" x14ac:dyDescent="0.25">
      <c r="A131" t="s">
        <v>3</v>
      </c>
      <c r="B131" t="s">
        <v>65</v>
      </c>
      <c r="C131" t="s">
        <v>66</v>
      </c>
      <c r="D131">
        <v>2010</v>
      </c>
      <c r="E131">
        <v>118.3</v>
      </c>
      <c r="F131">
        <v>70.3</v>
      </c>
      <c r="G131">
        <v>253.45</v>
      </c>
      <c r="H131">
        <v>131.19999999999999</v>
      </c>
      <c r="I131">
        <v>25.95</v>
      </c>
      <c r="J131">
        <v>90</v>
      </c>
      <c r="K131">
        <v>210.1</v>
      </c>
      <c r="L131">
        <v>1.5</v>
      </c>
      <c r="M131">
        <v>19.8</v>
      </c>
      <c r="N131">
        <v>115.15</v>
      </c>
      <c r="O131">
        <v>0</v>
      </c>
      <c r="P131">
        <v>0</v>
      </c>
      <c r="Q131">
        <v>92.15</v>
      </c>
      <c r="R131">
        <v>0</v>
      </c>
      <c r="S131">
        <v>0</v>
      </c>
      <c r="T131">
        <v>0</v>
      </c>
      <c r="U131">
        <v>0</v>
      </c>
      <c r="V131">
        <v>32.450000000000003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</row>
    <row r="132" spans="1:48" x14ac:dyDescent="0.25">
      <c r="A132" t="s">
        <v>3</v>
      </c>
      <c r="B132" t="s">
        <v>65</v>
      </c>
      <c r="C132" t="s">
        <v>67</v>
      </c>
      <c r="D132">
        <v>2011</v>
      </c>
      <c r="E132">
        <v>419.9</v>
      </c>
      <c r="F132">
        <v>450.75</v>
      </c>
      <c r="G132">
        <v>1520.4</v>
      </c>
      <c r="H132">
        <v>1329.3</v>
      </c>
      <c r="I132">
        <v>28.6</v>
      </c>
      <c r="J132">
        <v>1186.1500000000001</v>
      </c>
      <c r="K132">
        <v>674.15</v>
      </c>
      <c r="L132">
        <v>996.85</v>
      </c>
      <c r="M132">
        <v>226.6</v>
      </c>
      <c r="N132">
        <v>29.8</v>
      </c>
      <c r="O132">
        <v>0</v>
      </c>
      <c r="P132">
        <v>43.475000000000001</v>
      </c>
      <c r="Q132">
        <v>0</v>
      </c>
      <c r="R132">
        <v>0.45</v>
      </c>
      <c r="S132">
        <v>0</v>
      </c>
      <c r="T132">
        <v>0</v>
      </c>
      <c r="U132">
        <v>0</v>
      </c>
      <c r="V132">
        <v>126.6</v>
      </c>
      <c r="W132">
        <v>0</v>
      </c>
      <c r="X132">
        <v>0</v>
      </c>
      <c r="Y132">
        <v>0</v>
      </c>
      <c r="Z132">
        <v>0</v>
      </c>
      <c r="AA132">
        <v>60.65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</row>
    <row r="133" spans="1:48" x14ac:dyDescent="0.25">
      <c r="A133" t="s">
        <v>3</v>
      </c>
      <c r="B133" t="s">
        <v>65</v>
      </c>
      <c r="C133" t="s">
        <v>66</v>
      </c>
      <c r="D133">
        <v>2011</v>
      </c>
      <c r="E133">
        <v>88.6</v>
      </c>
      <c r="F133">
        <v>85.45</v>
      </c>
      <c r="G133">
        <v>299.3</v>
      </c>
      <c r="H133">
        <v>101.8</v>
      </c>
      <c r="I133">
        <v>0</v>
      </c>
      <c r="J133">
        <v>182.5</v>
      </c>
      <c r="K133">
        <v>0</v>
      </c>
      <c r="L133">
        <v>212.1</v>
      </c>
      <c r="M133">
        <v>39.299999999999997</v>
      </c>
      <c r="N133">
        <v>0</v>
      </c>
      <c r="O133">
        <v>11</v>
      </c>
      <c r="P133">
        <v>0</v>
      </c>
      <c r="Q133">
        <v>61.8</v>
      </c>
      <c r="R133">
        <v>0</v>
      </c>
      <c r="S133">
        <v>0</v>
      </c>
      <c r="T133">
        <v>0</v>
      </c>
      <c r="U133">
        <v>0</v>
      </c>
      <c r="V133">
        <v>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16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</row>
    <row r="134" spans="1:48" x14ac:dyDescent="0.25">
      <c r="A134" t="s">
        <v>3</v>
      </c>
      <c r="B134" t="s">
        <v>65</v>
      </c>
      <c r="C134" t="s">
        <v>67</v>
      </c>
      <c r="D134">
        <v>2012</v>
      </c>
      <c r="E134">
        <v>315.14999999999998</v>
      </c>
      <c r="F134">
        <v>779.7</v>
      </c>
      <c r="G134">
        <v>2569.9</v>
      </c>
      <c r="H134">
        <v>1919.15</v>
      </c>
      <c r="I134">
        <v>14.75</v>
      </c>
      <c r="J134">
        <v>2193.9499999999998</v>
      </c>
      <c r="K134">
        <v>671.7</v>
      </c>
      <c r="L134">
        <v>1071.95</v>
      </c>
      <c r="M134">
        <v>181</v>
      </c>
      <c r="N134">
        <v>71.25</v>
      </c>
      <c r="O134">
        <v>0</v>
      </c>
      <c r="P134">
        <v>14.625</v>
      </c>
      <c r="Q134">
        <v>0</v>
      </c>
      <c r="R134">
        <v>40</v>
      </c>
      <c r="S134">
        <v>0</v>
      </c>
      <c r="T134">
        <v>0</v>
      </c>
      <c r="U134">
        <v>0</v>
      </c>
      <c r="V134">
        <v>266.14999999999998</v>
      </c>
      <c r="W134">
        <v>0</v>
      </c>
      <c r="X134">
        <v>0</v>
      </c>
      <c r="Y134">
        <v>0</v>
      </c>
      <c r="Z134">
        <v>0</v>
      </c>
      <c r="AA134">
        <v>56.25</v>
      </c>
      <c r="AB134">
        <v>0</v>
      </c>
      <c r="AC134">
        <v>0</v>
      </c>
      <c r="AD134">
        <v>0</v>
      </c>
      <c r="AE134">
        <v>22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</row>
    <row r="135" spans="1:48" x14ac:dyDescent="0.25">
      <c r="A135" t="s">
        <v>3</v>
      </c>
      <c r="B135" t="s">
        <v>65</v>
      </c>
      <c r="C135" t="s">
        <v>66</v>
      </c>
      <c r="D135">
        <v>2012</v>
      </c>
      <c r="E135">
        <v>62.1</v>
      </c>
      <c r="F135">
        <v>107</v>
      </c>
      <c r="G135">
        <v>470.2</v>
      </c>
      <c r="H135">
        <v>233.8</v>
      </c>
      <c r="I135">
        <v>0</v>
      </c>
      <c r="J135">
        <v>117.1</v>
      </c>
      <c r="K135">
        <v>69.5</v>
      </c>
      <c r="L135">
        <v>231.35</v>
      </c>
      <c r="M135">
        <v>126.85</v>
      </c>
      <c r="N135">
        <v>0</v>
      </c>
      <c r="O135">
        <v>9.4749999999999996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31.75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2.5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</row>
    <row r="136" spans="1:48" x14ac:dyDescent="0.25">
      <c r="A136" t="s">
        <v>3</v>
      </c>
      <c r="B136" t="s">
        <v>65</v>
      </c>
      <c r="C136" t="s">
        <v>67</v>
      </c>
      <c r="D136">
        <v>2013</v>
      </c>
      <c r="E136">
        <v>485.4</v>
      </c>
      <c r="F136">
        <v>944.6</v>
      </c>
      <c r="G136">
        <v>2160.1</v>
      </c>
      <c r="H136">
        <v>2682.75</v>
      </c>
      <c r="I136">
        <v>0.2</v>
      </c>
      <c r="J136">
        <v>1394.2</v>
      </c>
      <c r="K136">
        <v>471.5</v>
      </c>
      <c r="L136">
        <v>884.95</v>
      </c>
      <c r="M136">
        <v>286.3</v>
      </c>
      <c r="N136">
        <v>223.1</v>
      </c>
      <c r="O136">
        <v>0.1</v>
      </c>
      <c r="P136">
        <v>4.8250000000000002</v>
      </c>
      <c r="Q136">
        <v>829.2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75</v>
      </c>
      <c r="AJ136">
        <v>0</v>
      </c>
      <c r="AK136">
        <v>0</v>
      </c>
      <c r="AL136">
        <v>236</v>
      </c>
      <c r="AM136">
        <v>9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</row>
    <row r="137" spans="1:48" x14ac:dyDescent="0.25">
      <c r="A137" t="s">
        <v>3</v>
      </c>
      <c r="B137" t="s">
        <v>65</v>
      </c>
      <c r="C137" t="s">
        <v>66</v>
      </c>
      <c r="D137">
        <v>2013</v>
      </c>
      <c r="E137">
        <v>90.05</v>
      </c>
      <c r="F137">
        <v>71.349999999999994</v>
      </c>
      <c r="G137">
        <v>436.9</v>
      </c>
      <c r="H137">
        <v>295.95</v>
      </c>
      <c r="I137">
        <v>0</v>
      </c>
      <c r="J137">
        <v>497.25</v>
      </c>
      <c r="K137">
        <v>26</v>
      </c>
      <c r="L137">
        <v>324.2</v>
      </c>
      <c r="M137">
        <v>78.8</v>
      </c>
      <c r="N137">
        <v>0</v>
      </c>
      <c r="O137">
        <v>10.925000000000001</v>
      </c>
      <c r="P137">
        <v>0</v>
      </c>
      <c r="Q137">
        <v>152.15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13.05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30.75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</row>
    <row r="138" spans="1:48" x14ac:dyDescent="0.25">
      <c r="A138" t="s">
        <v>3</v>
      </c>
      <c r="B138" t="s">
        <v>65</v>
      </c>
      <c r="C138" t="s">
        <v>67</v>
      </c>
      <c r="D138">
        <v>2014</v>
      </c>
      <c r="E138">
        <v>388.1</v>
      </c>
      <c r="F138">
        <v>562</v>
      </c>
      <c r="G138">
        <v>1697.7</v>
      </c>
      <c r="H138">
        <v>1543.45</v>
      </c>
      <c r="I138">
        <v>0</v>
      </c>
      <c r="J138">
        <v>1104.5999999999999</v>
      </c>
      <c r="K138">
        <v>332.65</v>
      </c>
      <c r="L138">
        <v>1033.2</v>
      </c>
      <c r="M138">
        <v>142.4</v>
      </c>
      <c r="N138">
        <v>10.4</v>
      </c>
      <c r="O138">
        <v>3.5</v>
      </c>
      <c r="P138">
        <v>7.0250000000000004</v>
      </c>
      <c r="Q138">
        <v>727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20.149999999999999</v>
      </c>
      <c r="AK138">
        <v>0</v>
      </c>
      <c r="AL138">
        <v>297</v>
      </c>
      <c r="AM138">
        <v>45.35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</row>
    <row r="139" spans="1:48" x14ac:dyDescent="0.25">
      <c r="A139" t="s">
        <v>3</v>
      </c>
      <c r="B139" t="s">
        <v>65</v>
      </c>
      <c r="C139" t="s">
        <v>66</v>
      </c>
      <c r="D139">
        <v>2014</v>
      </c>
      <c r="E139">
        <v>74.5</v>
      </c>
      <c r="F139">
        <v>28.85</v>
      </c>
      <c r="G139">
        <v>638.54999999999995</v>
      </c>
      <c r="H139">
        <v>364.35</v>
      </c>
      <c r="I139">
        <v>0</v>
      </c>
      <c r="J139">
        <v>316.95</v>
      </c>
      <c r="K139">
        <v>0</v>
      </c>
      <c r="L139">
        <v>274.39999999999998</v>
      </c>
      <c r="M139">
        <v>0</v>
      </c>
      <c r="N139">
        <v>0</v>
      </c>
      <c r="O139">
        <v>0</v>
      </c>
      <c r="P139">
        <v>0</v>
      </c>
      <c r="Q139">
        <v>210.1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27</v>
      </c>
      <c r="AK139">
        <v>0</v>
      </c>
      <c r="AL139">
        <v>190.15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</row>
    <row r="140" spans="1:48" x14ac:dyDescent="0.25">
      <c r="A140" t="s">
        <v>3</v>
      </c>
      <c r="B140" t="s">
        <v>65</v>
      </c>
      <c r="C140" t="s">
        <v>67</v>
      </c>
      <c r="D140">
        <v>2015</v>
      </c>
      <c r="E140">
        <v>488.4</v>
      </c>
      <c r="F140">
        <v>488.75</v>
      </c>
      <c r="G140">
        <v>1537.65</v>
      </c>
      <c r="H140">
        <v>2452.9499999999998</v>
      </c>
      <c r="I140">
        <v>12.1</v>
      </c>
      <c r="J140">
        <v>851.95</v>
      </c>
      <c r="K140">
        <v>219.65</v>
      </c>
      <c r="L140">
        <v>941.75</v>
      </c>
      <c r="M140">
        <v>158.44999999999999</v>
      </c>
      <c r="N140">
        <v>7.3</v>
      </c>
      <c r="O140">
        <v>0</v>
      </c>
      <c r="P140">
        <v>7.25</v>
      </c>
      <c r="Q140">
        <v>793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33.549999999999997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24.6</v>
      </c>
      <c r="AJ140">
        <v>0</v>
      </c>
      <c r="AK140">
        <v>0</v>
      </c>
      <c r="AL140">
        <v>462.8</v>
      </c>
      <c r="AM140">
        <v>96.05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</row>
    <row r="141" spans="1:48" x14ac:dyDescent="0.25">
      <c r="A141" t="s">
        <v>3</v>
      </c>
      <c r="B141" t="s">
        <v>65</v>
      </c>
      <c r="C141" t="s">
        <v>66</v>
      </c>
      <c r="D141">
        <v>2015</v>
      </c>
      <c r="E141">
        <v>100</v>
      </c>
      <c r="F141">
        <v>49.8</v>
      </c>
      <c r="G141">
        <v>620.5</v>
      </c>
      <c r="H141">
        <v>605.85</v>
      </c>
      <c r="I141">
        <v>0</v>
      </c>
      <c r="J141">
        <v>333.75</v>
      </c>
      <c r="K141">
        <v>27.6</v>
      </c>
      <c r="L141">
        <v>240.75</v>
      </c>
      <c r="M141">
        <v>0.2</v>
      </c>
      <c r="N141">
        <v>0</v>
      </c>
      <c r="O141">
        <v>4.7</v>
      </c>
      <c r="P141">
        <v>0</v>
      </c>
      <c r="Q141">
        <v>242.95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25.25</v>
      </c>
      <c r="AJ141">
        <v>0</v>
      </c>
      <c r="AK141">
        <v>0</v>
      </c>
      <c r="AL141">
        <v>210.1</v>
      </c>
      <c r="AM141">
        <v>50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</row>
    <row r="142" spans="1:48" x14ac:dyDescent="0.25">
      <c r="A142" t="s">
        <v>3</v>
      </c>
      <c r="B142" t="s">
        <v>65</v>
      </c>
      <c r="C142" t="s">
        <v>67</v>
      </c>
      <c r="D142">
        <v>2016</v>
      </c>
      <c r="E142">
        <v>511.95</v>
      </c>
      <c r="F142">
        <v>687.8</v>
      </c>
      <c r="G142">
        <v>2305.0500000000002</v>
      </c>
      <c r="H142">
        <v>2455.6</v>
      </c>
      <c r="I142">
        <v>12.95</v>
      </c>
      <c r="J142">
        <v>2184.85</v>
      </c>
      <c r="K142">
        <v>386.15</v>
      </c>
      <c r="L142">
        <v>619.5</v>
      </c>
      <c r="M142">
        <v>108.25</v>
      </c>
      <c r="N142">
        <v>223.75</v>
      </c>
      <c r="O142">
        <v>0</v>
      </c>
      <c r="P142">
        <v>2.8250000000000002</v>
      </c>
      <c r="Q142">
        <v>805.75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0.97499999999999998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230.4</v>
      </c>
      <c r="AM142">
        <v>173.6</v>
      </c>
      <c r="AN142">
        <v>0.1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</row>
    <row r="143" spans="1:48" x14ac:dyDescent="0.25">
      <c r="A143" t="s">
        <v>3</v>
      </c>
      <c r="B143" t="s">
        <v>65</v>
      </c>
      <c r="C143" t="s">
        <v>66</v>
      </c>
      <c r="D143">
        <v>2016</v>
      </c>
      <c r="E143">
        <v>26.65</v>
      </c>
      <c r="F143">
        <v>126</v>
      </c>
      <c r="G143">
        <v>673.05</v>
      </c>
      <c r="H143">
        <v>723.75</v>
      </c>
      <c r="I143">
        <v>0</v>
      </c>
      <c r="J143">
        <v>566.45000000000005</v>
      </c>
      <c r="K143">
        <v>22.95</v>
      </c>
      <c r="L143">
        <v>159.19999999999999</v>
      </c>
      <c r="M143">
        <v>37.25</v>
      </c>
      <c r="N143">
        <v>35.799999999999997</v>
      </c>
      <c r="O143">
        <v>9.1</v>
      </c>
      <c r="P143">
        <v>0.25</v>
      </c>
      <c r="Q143">
        <v>280.05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69.55</v>
      </c>
      <c r="AM143">
        <v>4.6500000000000004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</row>
    <row r="144" spans="1:48" x14ac:dyDescent="0.25">
      <c r="A144" t="s">
        <v>74</v>
      </c>
      <c r="B144" t="s">
        <v>75</v>
      </c>
      <c r="C144" t="s">
        <v>76</v>
      </c>
      <c r="D144">
        <v>2007</v>
      </c>
      <c r="E144">
        <v>11</v>
      </c>
      <c r="F144">
        <v>0</v>
      </c>
      <c r="G144">
        <v>18</v>
      </c>
      <c r="H144">
        <v>6</v>
      </c>
      <c r="I144">
        <v>0</v>
      </c>
      <c r="J144">
        <v>4</v>
      </c>
      <c r="K144">
        <v>5</v>
      </c>
      <c r="L144">
        <v>0</v>
      </c>
      <c r="M144">
        <v>4</v>
      </c>
      <c r="N144">
        <v>1</v>
      </c>
      <c r="O144">
        <v>1</v>
      </c>
      <c r="P144">
        <v>2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</row>
    <row r="145" spans="1:48" ht="15" customHeight="1" x14ac:dyDescent="0.25">
      <c r="A145" t="s">
        <v>74</v>
      </c>
      <c r="B145" t="s">
        <v>75</v>
      </c>
      <c r="C145" t="s">
        <v>78</v>
      </c>
      <c r="D145">
        <v>2007</v>
      </c>
      <c r="E145">
        <v>1114</v>
      </c>
      <c r="F145">
        <v>14</v>
      </c>
      <c r="G145">
        <v>859</v>
      </c>
      <c r="H145">
        <v>246</v>
      </c>
      <c r="I145">
        <v>40</v>
      </c>
      <c r="J145">
        <v>523</v>
      </c>
      <c r="K145">
        <v>343</v>
      </c>
      <c r="L145">
        <v>136</v>
      </c>
      <c r="M145">
        <v>1543</v>
      </c>
      <c r="N145">
        <v>158</v>
      </c>
      <c r="O145">
        <v>491</v>
      </c>
      <c r="P145">
        <v>344</v>
      </c>
      <c r="Q145">
        <v>352</v>
      </c>
      <c r="R145">
        <v>0</v>
      </c>
      <c r="S145">
        <v>90</v>
      </c>
      <c r="T145">
        <v>0</v>
      </c>
      <c r="U145">
        <v>71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155</v>
      </c>
      <c r="AT145">
        <v>0</v>
      </c>
      <c r="AU145">
        <v>0</v>
      </c>
      <c r="AV145">
        <v>0</v>
      </c>
    </row>
    <row r="146" spans="1:48" x14ac:dyDescent="0.25">
      <c r="A146" t="s">
        <v>74</v>
      </c>
      <c r="B146" t="s">
        <v>75</v>
      </c>
      <c r="C146" t="s">
        <v>80</v>
      </c>
      <c r="D146">
        <v>2007</v>
      </c>
      <c r="E146">
        <v>1060</v>
      </c>
      <c r="F146">
        <v>208</v>
      </c>
      <c r="G146">
        <v>479</v>
      </c>
      <c r="H146">
        <v>197</v>
      </c>
      <c r="I146">
        <v>74</v>
      </c>
      <c r="J146">
        <v>294</v>
      </c>
      <c r="K146">
        <v>114</v>
      </c>
      <c r="L146">
        <v>0</v>
      </c>
      <c r="M146">
        <v>359</v>
      </c>
      <c r="N146">
        <v>1180</v>
      </c>
      <c r="O146">
        <v>230</v>
      </c>
      <c r="P146">
        <v>218</v>
      </c>
      <c r="Q146">
        <v>231</v>
      </c>
      <c r="R146">
        <v>0</v>
      </c>
      <c r="S146">
        <v>42</v>
      </c>
      <c r="T146">
        <v>0</v>
      </c>
      <c r="U146">
        <v>249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29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224</v>
      </c>
      <c r="AT146">
        <v>0</v>
      </c>
      <c r="AU146">
        <v>0</v>
      </c>
      <c r="AV146">
        <v>0</v>
      </c>
    </row>
    <row r="147" spans="1:48" ht="15" customHeight="1" x14ac:dyDescent="0.25">
      <c r="A147" t="s">
        <v>74</v>
      </c>
      <c r="B147" t="s">
        <v>75</v>
      </c>
      <c r="C147" t="s">
        <v>81</v>
      </c>
      <c r="D147">
        <v>2007</v>
      </c>
      <c r="E147">
        <v>114</v>
      </c>
      <c r="F147">
        <v>20</v>
      </c>
      <c r="G147">
        <v>219</v>
      </c>
      <c r="H147">
        <v>162</v>
      </c>
      <c r="I147">
        <v>44</v>
      </c>
      <c r="J147">
        <v>84</v>
      </c>
      <c r="K147">
        <v>78</v>
      </c>
      <c r="L147">
        <v>0</v>
      </c>
      <c r="M147">
        <v>145</v>
      </c>
      <c r="N147">
        <v>75</v>
      </c>
      <c r="O147">
        <v>139</v>
      </c>
      <c r="P147">
        <v>376</v>
      </c>
      <c r="Q147">
        <v>0</v>
      </c>
      <c r="R147">
        <v>0</v>
      </c>
      <c r="S147">
        <v>37</v>
      </c>
      <c r="T147">
        <v>0</v>
      </c>
      <c r="U147">
        <v>178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132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</row>
    <row r="148" spans="1:48" x14ac:dyDescent="0.25">
      <c r="A148" t="s">
        <v>74</v>
      </c>
      <c r="B148" t="s">
        <v>75</v>
      </c>
      <c r="C148" t="s">
        <v>79</v>
      </c>
      <c r="D148">
        <v>2007</v>
      </c>
      <c r="E148">
        <v>62</v>
      </c>
      <c r="F148">
        <v>76</v>
      </c>
      <c r="G148">
        <v>299</v>
      </c>
      <c r="H148">
        <v>93</v>
      </c>
      <c r="I148">
        <v>113</v>
      </c>
      <c r="J148">
        <v>286</v>
      </c>
      <c r="K148">
        <v>124</v>
      </c>
      <c r="L148">
        <v>178</v>
      </c>
      <c r="M148">
        <v>284</v>
      </c>
      <c r="N148">
        <v>42</v>
      </c>
      <c r="O148">
        <v>283</v>
      </c>
      <c r="P148">
        <v>28</v>
      </c>
      <c r="Q148">
        <v>0</v>
      </c>
      <c r="R148">
        <v>0</v>
      </c>
      <c r="S148">
        <v>19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26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33</v>
      </c>
      <c r="AT148">
        <v>0</v>
      </c>
      <c r="AU148">
        <v>0</v>
      </c>
      <c r="AV148">
        <v>0</v>
      </c>
    </row>
    <row r="149" spans="1:48" ht="15" customHeight="1" x14ac:dyDescent="0.25">
      <c r="A149" t="s">
        <v>74</v>
      </c>
      <c r="B149" t="s">
        <v>75</v>
      </c>
      <c r="C149" t="s">
        <v>82</v>
      </c>
      <c r="D149">
        <v>2007</v>
      </c>
      <c r="E149">
        <v>908</v>
      </c>
      <c r="F149">
        <v>1442</v>
      </c>
      <c r="G149">
        <v>1955</v>
      </c>
      <c r="H149">
        <v>1156</v>
      </c>
      <c r="I149">
        <v>206</v>
      </c>
      <c r="J149">
        <v>1375</v>
      </c>
      <c r="K149">
        <v>5869</v>
      </c>
      <c r="L149">
        <v>773</v>
      </c>
      <c r="M149">
        <v>930</v>
      </c>
      <c r="N149">
        <v>402</v>
      </c>
      <c r="O149">
        <v>88</v>
      </c>
      <c r="P149">
        <v>257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</row>
    <row r="150" spans="1:48" x14ac:dyDescent="0.25">
      <c r="A150" t="s">
        <v>74</v>
      </c>
      <c r="B150" t="s">
        <v>75</v>
      </c>
      <c r="C150" t="s">
        <v>83</v>
      </c>
      <c r="D150">
        <v>2007</v>
      </c>
      <c r="E150">
        <v>839</v>
      </c>
      <c r="F150">
        <v>549</v>
      </c>
      <c r="G150">
        <v>1236</v>
      </c>
      <c r="H150">
        <v>772</v>
      </c>
      <c r="I150">
        <v>179</v>
      </c>
      <c r="J150">
        <v>599</v>
      </c>
      <c r="K150">
        <v>1064</v>
      </c>
      <c r="L150">
        <v>295</v>
      </c>
      <c r="M150">
        <v>977</v>
      </c>
      <c r="N150">
        <v>206</v>
      </c>
      <c r="O150">
        <v>323</v>
      </c>
      <c r="P150">
        <v>183</v>
      </c>
      <c r="Q150">
        <v>352</v>
      </c>
      <c r="R150">
        <v>0</v>
      </c>
      <c r="S150">
        <v>54</v>
      </c>
      <c r="T150">
        <v>0</v>
      </c>
      <c r="U150">
        <v>25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</row>
    <row r="151" spans="1:48" x14ac:dyDescent="0.25">
      <c r="A151" t="s">
        <v>74</v>
      </c>
      <c r="B151" t="s">
        <v>75</v>
      </c>
      <c r="C151" t="s">
        <v>76</v>
      </c>
      <c r="D151">
        <v>2008</v>
      </c>
      <c r="E151">
        <v>69</v>
      </c>
      <c r="F151">
        <v>19</v>
      </c>
      <c r="G151">
        <v>32</v>
      </c>
      <c r="H151">
        <v>27</v>
      </c>
      <c r="I151">
        <v>0</v>
      </c>
      <c r="J151">
        <v>7</v>
      </c>
      <c r="K151">
        <v>9</v>
      </c>
      <c r="L151">
        <v>0</v>
      </c>
      <c r="M151">
        <v>43</v>
      </c>
      <c r="N151">
        <v>98</v>
      </c>
      <c r="O151">
        <v>1</v>
      </c>
      <c r="P151">
        <v>1</v>
      </c>
      <c r="Q151">
        <v>0</v>
      </c>
      <c r="R151">
        <v>0</v>
      </c>
      <c r="S151">
        <v>1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</row>
    <row r="152" spans="1:48" x14ac:dyDescent="0.25">
      <c r="A152" t="s">
        <v>74</v>
      </c>
      <c r="B152" t="s">
        <v>75</v>
      </c>
      <c r="C152" t="s">
        <v>78</v>
      </c>
      <c r="D152">
        <v>2008</v>
      </c>
      <c r="E152">
        <v>1377</v>
      </c>
      <c r="F152">
        <v>81</v>
      </c>
      <c r="G152">
        <v>808</v>
      </c>
      <c r="H152">
        <v>292</v>
      </c>
      <c r="I152">
        <v>211</v>
      </c>
      <c r="J152">
        <v>388</v>
      </c>
      <c r="K152">
        <v>146</v>
      </c>
      <c r="L152">
        <v>198</v>
      </c>
      <c r="M152">
        <v>415</v>
      </c>
      <c r="N152">
        <v>1381</v>
      </c>
      <c r="O152">
        <v>157</v>
      </c>
      <c r="P152">
        <v>374</v>
      </c>
      <c r="Q152">
        <v>0</v>
      </c>
      <c r="R152">
        <v>0</v>
      </c>
      <c r="S152">
        <v>189</v>
      </c>
      <c r="T152">
        <v>0</v>
      </c>
      <c r="U152">
        <v>66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187</v>
      </c>
      <c r="AT152">
        <v>0</v>
      </c>
      <c r="AU152">
        <v>0</v>
      </c>
      <c r="AV152">
        <v>0</v>
      </c>
    </row>
    <row r="153" spans="1:48" x14ac:dyDescent="0.25">
      <c r="A153" t="s">
        <v>74</v>
      </c>
      <c r="B153" t="s">
        <v>75</v>
      </c>
      <c r="C153" t="s">
        <v>80</v>
      </c>
      <c r="D153">
        <v>2008</v>
      </c>
      <c r="E153">
        <v>910</v>
      </c>
      <c r="F153">
        <v>106</v>
      </c>
      <c r="G153">
        <v>479</v>
      </c>
      <c r="H153">
        <v>177</v>
      </c>
      <c r="I153">
        <v>64</v>
      </c>
      <c r="J153">
        <v>229</v>
      </c>
      <c r="K153">
        <v>104</v>
      </c>
      <c r="L153">
        <v>0</v>
      </c>
      <c r="M153">
        <v>260</v>
      </c>
      <c r="N153">
        <v>1030</v>
      </c>
      <c r="O153">
        <v>326</v>
      </c>
      <c r="P153">
        <v>148</v>
      </c>
      <c r="Q153">
        <v>0</v>
      </c>
      <c r="R153">
        <v>0</v>
      </c>
      <c r="S153">
        <v>12</v>
      </c>
      <c r="T153">
        <v>0</v>
      </c>
      <c r="U153">
        <v>219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27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650</v>
      </c>
      <c r="AT153">
        <v>0</v>
      </c>
      <c r="AU153">
        <v>0</v>
      </c>
      <c r="AV153">
        <v>0</v>
      </c>
    </row>
    <row r="154" spans="1:48" x14ac:dyDescent="0.25">
      <c r="A154" t="s">
        <v>74</v>
      </c>
      <c r="B154" t="s">
        <v>75</v>
      </c>
      <c r="C154" t="s">
        <v>81</v>
      </c>
      <c r="D154">
        <v>2008</v>
      </c>
      <c r="E154">
        <v>110</v>
      </c>
      <c r="F154">
        <v>57</v>
      </c>
      <c r="G154">
        <v>192</v>
      </c>
      <c r="H154">
        <v>76</v>
      </c>
      <c r="I154">
        <v>39</v>
      </c>
      <c r="J154">
        <v>72</v>
      </c>
      <c r="K154">
        <v>55</v>
      </c>
      <c r="L154">
        <v>0</v>
      </c>
      <c r="M154">
        <v>141</v>
      </c>
      <c r="N154">
        <v>31</v>
      </c>
      <c r="O154">
        <v>51</v>
      </c>
      <c r="P154">
        <v>273</v>
      </c>
      <c r="Q154">
        <v>0</v>
      </c>
      <c r="R154">
        <v>0</v>
      </c>
      <c r="S154">
        <v>102</v>
      </c>
      <c r="T154">
        <v>0</v>
      </c>
      <c r="U154">
        <v>12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51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5</v>
      </c>
      <c r="AT154">
        <v>0</v>
      </c>
      <c r="AU154">
        <v>0</v>
      </c>
      <c r="AV154">
        <v>0</v>
      </c>
    </row>
    <row r="155" spans="1:48" x14ac:dyDescent="0.25">
      <c r="A155" t="s">
        <v>74</v>
      </c>
      <c r="B155" t="s">
        <v>75</v>
      </c>
      <c r="C155" t="s">
        <v>79</v>
      </c>
      <c r="D155">
        <v>2008</v>
      </c>
      <c r="E155">
        <v>209</v>
      </c>
      <c r="F155">
        <v>129</v>
      </c>
      <c r="G155">
        <v>142</v>
      </c>
      <c r="H155">
        <v>122</v>
      </c>
      <c r="I155">
        <v>16</v>
      </c>
      <c r="J155">
        <v>57</v>
      </c>
      <c r="K155">
        <v>191</v>
      </c>
      <c r="L155">
        <v>4</v>
      </c>
      <c r="M155">
        <v>102</v>
      </c>
      <c r="N155">
        <v>196</v>
      </c>
      <c r="O155">
        <v>263</v>
      </c>
      <c r="P155">
        <v>163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</row>
    <row r="156" spans="1:48" x14ac:dyDescent="0.25">
      <c r="A156" t="s">
        <v>74</v>
      </c>
      <c r="B156" t="s">
        <v>75</v>
      </c>
      <c r="C156" t="s">
        <v>82</v>
      </c>
      <c r="D156">
        <v>2008</v>
      </c>
      <c r="E156">
        <v>1053</v>
      </c>
      <c r="F156">
        <v>1475</v>
      </c>
      <c r="G156">
        <v>1760</v>
      </c>
      <c r="H156">
        <v>708</v>
      </c>
      <c r="I156">
        <v>199</v>
      </c>
      <c r="J156">
        <v>645</v>
      </c>
      <c r="K156">
        <v>4316</v>
      </c>
      <c r="L156">
        <v>233</v>
      </c>
      <c r="M156">
        <v>1413</v>
      </c>
      <c r="N156">
        <v>527</v>
      </c>
      <c r="O156">
        <v>62</v>
      </c>
      <c r="P156">
        <v>115</v>
      </c>
      <c r="Q156">
        <v>0</v>
      </c>
      <c r="R156">
        <v>0</v>
      </c>
      <c r="S156">
        <v>0</v>
      </c>
      <c r="T156">
        <v>0</v>
      </c>
      <c r="U156">
        <v>32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38</v>
      </c>
      <c r="AT156">
        <v>0</v>
      </c>
      <c r="AU156">
        <v>0</v>
      </c>
      <c r="AV156">
        <v>0</v>
      </c>
    </row>
    <row r="157" spans="1:48" x14ac:dyDescent="0.25">
      <c r="A157" t="s">
        <v>74</v>
      </c>
      <c r="B157" t="s">
        <v>75</v>
      </c>
      <c r="C157" t="s">
        <v>83</v>
      </c>
      <c r="D157">
        <v>2008</v>
      </c>
      <c r="E157">
        <v>512</v>
      </c>
      <c r="F157">
        <v>442</v>
      </c>
      <c r="G157">
        <v>872</v>
      </c>
      <c r="H157">
        <v>631</v>
      </c>
      <c r="I157">
        <v>133</v>
      </c>
      <c r="J157">
        <v>231</v>
      </c>
      <c r="K157">
        <v>997</v>
      </c>
      <c r="L157">
        <v>56</v>
      </c>
      <c r="M157">
        <v>510</v>
      </c>
      <c r="N157">
        <v>283</v>
      </c>
      <c r="O157">
        <v>134</v>
      </c>
      <c r="P157">
        <v>132</v>
      </c>
      <c r="Q157">
        <v>359</v>
      </c>
      <c r="R157">
        <v>0</v>
      </c>
      <c r="S157">
        <v>12</v>
      </c>
      <c r="T157">
        <v>0</v>
      </c>
      <c r="U157">
        <v>9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5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73</v>
      </c>
      <c r="AT157">
        <v>0</v>
      </c>
      <c r="AU157">
        <v>0</v>
      </c>
      <c r="AV157">
        <v>0</v>
      </c>
    </row>
    <row r="158" spans="1:48" x14ac:dyDescent="0.25">
      <c r="A158" t="s">
        <v>74</v>
      </c>
      <c r="B158" t="s">
        <v>75</v>
      </c>
      <c r="C158" t="s">
        <v>76</v>
      </c>
      <c r="D158">
        <v>2009</v>
      </c>
      <c r="E158">
        <v>25</v>
      </c>
      <c r="F158">
        <v>0</v>
      </c>
      <c r="G158">
        <v>11</v>
      </c>
      <c r="H158">
        <v>8</v>
      </c>
      <c r="I158">
        <v>0</v>
      </c>
      <c r="J158">
        <v>2</v>
      </c>
      <c r="K158">
        <v>2</v>
      </c>
      <c r="L158">
        <v>0</v>
      </c>
      <c r="M158">
        <v>0</v>
      </c>
      <c r="N158">
        <v>45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</row>
    <row r="159" spans="1:48" x14ac:dyDescent="0.25">
      <c r="A159" t="s">
        <v>74</v>
      </c>
      <c r="B159" t="s">
        <v>75</v>
      </c>
      <c r="C159" t="s">
        <v>78</v>
      </c>
      <c r="D159">
        <v>2009</v>
      </c>
      <c r="E159">
        <v>1316</v>
      </c>
      <c r="F159">
        <v>22</v>
      </c>
      <c r="G159">
        <v>1063</v>
      </c>
      <c r="H159">
        <v>284</v>
      </c>
      <c r="I159">
        <v>96</v>
      </c>
      <c r="J159">
        <v>610</v>
      </c>
      <c r="K159">
        <v>180</v>
      </c>
      <c r="L159">
        <v>37</v>
      </c>
      <c r="M159">
        <v>445</v>
      </c>
      <c r="N159">
        <v>1222</v>
      </c>
      <c r="O159">
        <v>194</v>
      </c>
      <c r="P159">
        <v>473</v>
      </c>
      <c r="Q159">
        <v>310</v>
      </c>
      <c r="R159">
        <v>0</v>
      </c>
      <c r="S159">
        <v>75</v>
      </c>
      <c r="T159">
        <v>0</v>
      </c>
      <c r="U159">
        <v>50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31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201</v>
      </c>
      <c r="AT159">
        <v>0</v>
      </c>
      <c r="AU159">
        <v>0</v>
      </c>
      <c r="AV159">
        <v>0</v>
      </c>
    </row>
    <row r="160" spans="1:48" x14ac:dyDescent="0.25">
      <c r="A160" t="s">
        <v>74</v>
      </c>
      <c r="B160" t="s">
        <v>75</v>
      </c>
      <c r="C160" t="s">
        <v>80</v>
      </c>
      <c r="D160">
        <v>2009</v>
      </c>
      <c r="E160">
        <v>910</v>
      </c>
      <c r="F160">
        <v>125</v>
      </c>
      <c r="G160">
        <v>778</v>
      </c>
      <c r="H160">
        <v>177</v>
      </c>
      <c r="I160">
        <v>64</v>
      </c>
      <c r="J160">
        <v>229</v>
      </c>
      <c r="K160">
        <v>104</v>
      </c>
      <c r="L160">
        <v>0</v>
      </c>
      <c r="M160">
        <v>260</v>
      </c>
      <c r="N160">
        <v>1030</v>
      </c>
      <c r="O160">
        <v>326</v>
      </c>
      <c r="P160">
        <v>157</v>
      </c>
      <c r="Q160">
        <v>287</v>
      </c>
      <c r="R160">
        <v>0</v>
      </c>
      <c r="S160">
        <v>39</v>
      </c>
      <c r="T160">
        <v>0</v>
      </c>
      <c r="U160">
        <v>219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27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393</v>
      </c>
      <c r="AT160">
        <v>0</v>
      </c>
      <c r="AU160">
        <v>0</v>
      </c>
      <c r="AV160">
        <v>0</v>
      </c>
    </row>
    <row r="161" spans="1:48" x14ac:dyDescent="0.25">
      <c r="A161" t="s">
        <v>74</v>
      </c>
      <c r="B161" t="s">
        <v>75</v>
      </c>
      <c r="C161" t="s">
        <v>81</v>
      </c>
      <c r="D161">
        <v>2009</v>
      </c>
      <c r="E161">
        <v>233</v>
      </c>
      <c r="F161">
        <v>33</v>
      </c>
      <c r="G161">
        <v>272</v>
      </c>
      <c r="H161">
        <v>106</v>
      </c>
      <c r="I161">
        <v>7</v>
      </c>
      <c r="J161">
        <v>144</v>
      </c>
      <c r="K161">
        <v>48</v>
      </c>
      <c r="L161">
        <v>0</v>
      </c>
      <c r="M161">
        <v>29</v>
      </c>
      <c r="N161">
        <v>97</v>
      </c>
      <c r="O161">
        <v>54</v>
      </c>
      <c r="P161">
        <v>179</v>
      </c>
      <c r="Q161">
        <v>0</v>
      </c>
      <c r="R161">
        <v>0</v>
      </c>
      <c r="S161">
        <v>120</v>
      </c>
      <c r="T161">
        <v>0</v>
      </c>
      <c r="U161">
        <v>29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73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</row>
    <row r="162" spans="1:48" x14ac:dyDescent="0.25">
      <c r="A162" t="s">
        <v>74</v>
      </c>
      <c r="B162" t="s">
        <v>75</v>
      </c>
      <c r="C162" t="s">
        <v>79</v>
      </c>
      <c r="D162">
        <v>2009</v>
      </c>
      <c r="E162">
        <v>318</v>
      </c>
      <c r="F162">
        <v>230</v>
      </c>
      <c r="G162">
        <v>219</v>
      </c>
      <c r="H162">
        <v>123</v>
      </c>
      <c r="I162">
        <v>2</v>
      </c>
      <c r="J162">
        <v>47</v>
      </c>
      <c r="K162">
        <v>94</v>
      </c>
      <c r="L162">
        <v>4</v>
      </c>
      <c r="M162">
        <v>57</v>
      </c>
      <c r="N162">
        <v>297</v>
      </c>
      <c r="O162">
        <v>103</v>
      </c>
      <c r="P162">
        <v>159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</row>
    <row r="163" spans="1:48" x14ac:dyDescent="0.25">
      <c r="A163" t="s">
        <v>74</v>
      </c>
      <c r="B163" t="s">
        <v>75</v>
      </c>
      <c r="C163" t="s">
        <v>82</v>
      </c>
      <c r="D163">
        <v>2009</v>
      </c>
      <c r="E163">
        <v>1372</v>
      </c>
      <c r="F163">
        <v>1986</v>
      </c>
      <c r="G163">
        <v>2356</v>
      </c>
      <c r="H163">
        <v>996</v>
      </c>
      <c r="I163">
        <v>131</v>
      </c>
      <c r="J163">
        <v>1373</v>
      </c>
      <c r="K163">
        <v>4132</v>
      </c>
      <c r="L163">
        <v>221</v>
      </c>
      <c r="M163">
        <v>1245</v>
      </c>
      <c r="N163">
        <v>269</v>
      </c>
      <c r="O163">
        <v>15</v>
      </c>
      <c r="P163">
        <v>54</v>
      </c>
      <c r="Q163">
        <v>0</v>
      </c>
      <c r="R163">
        <v>0</v>
      </c>
      <c r="S163">
        <v>2</v>
      </c>
      <c r="T163">
        <v>0</v>
      </c>
      <c r="U163">
        <v>11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5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</row>
    <row r="164" spans="1:48" x14ac:dyDescent="0.25">
      <c r="A164" t="s">
        <v>74</v>
      </c>
      <c r="B164" t="s">
        <v>75</v>
      </c>
      <c r="C164" t="s">
        <v>83</v>
      </c>
      <c r="D164">
        <v>2009</v>
      </c>
      <c r="E164">
        <v>824</v>
      </c>
      <c r="F164">
        <v>402</v>
      </c>
      <c r="G164">
        <v>918</v>
      </c>
      <c r="H164">
        <v>910</v>
      </c>
      <c r="I164">
        <v>86</v>
      </c>
      <c r="J164">
        <v>556</v>
      </c>
      <c r="K164">
        <v>1199</v>
      </c>
      <c r="L164">
        <v>17</v>
      </c>
      <c r="M164">
        <v>776</v>
      </c>
      <c r="N164">
        <v>74</v>
      </c>
      <c r="O164">
        <v>46</v>
      </c>
      <c r="P164">
        <v>94</v>
      </c>
      <c r="Q164">
        <v>17</v>
      </c>
      <c r="R164">
        <v>0</v>
      </c>
      <c r="S164">
        <v>9</v>
      </c>
      <c r="T164">
        <v>0</v>
      </c>
      <c r="U164">
        <v>10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</row>
    <row r="165" spans="1:48" x14ac:dyDescent="0.25">
      <c r="A165" t="s">
        <v>74</v>
      </c>
      <c r="B165" t="s">
        <v>75</v>
      </c>
      <c r="C165" t="s">
        <v>76</v>
      </c>
      <c r="D165">
        <v>2010</v>
      </c>
      <c r="E165">
        <v>56</v>
      </c>
      <c r="F165">
        <v>0</v>
      </c>
      <c r="G165">
        <v>24</v>
      </c>
      <c r="H165">
        <v>14</v>
      </c>
      <c r="I165">
        <v>2</v>
      </c>
      <c r="J165">
        <v>3</v>
      </c>
      <c r="K165">
        <v>2</v>
      </c>
      <c r="L165">
        <v>0</v>
      </c>
      <c r="M165">
        <v>49</v>
      </c>
      <c r="N165">
        <v>35</v>
      </c>
      <c r="O165">
        <v>0</v>
      </c>
      <c r="P165">
        <v>3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</row>
    <row r="166" spans="1:48" x14ac:dyDescent="0.25">
      <c r="A166" t="s">
        <v>74</v>
      </c>
      <c r="B166" t="s">
        <v>75</v>
      </c>
      <c r="C166" t="s">
        <v>78</v>
      </c>
      <c r="D166">
        <v>2010</v>
      </c>
      <c r="E166">
        <v>1114</v>
      </c>
      <c r="F166">
        <v>2</v>
      </c>
      <c r="G166">
        <v>792</v>
      </c>
      <c r="H166">
        <v>377</v>
      </c>
      <c r="I166">
        <v>128</v>
      </c>
      <c r="J166">
        <v>403</v>
      </c>
      <c r="K166">
        <v>126</v>
      </c>
      <c r="L166">
        <v>55</v>
      </c>
      <c r="M166">
        <v>160</v>
      </c>
      <c r="N166">
        <v>981</v>
      </c>
      <c r="O166">
        <v>285</v>
      </c>
      <c r="P166">
        <v>540</v>
      </c>
      <c r="Q166">
        <v>663</v>
      </c>
      <c r="R166">
        <v>0</v>
      </c>
      <c r="S166">
        <v>189</v>
      </c>
      <c r="T166">
        <v>0</v>
      </c>
      <c r="U166">
        <v>96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494</v>
      </c>
      <c r="AT166">
        <v>0</v>
      </c>
      <c r="AU166">
        <v>0</v>
      </c>
      <c r="AV166">
        <v>0</v>
      </c>
    </row>
    <row r="167" spans="1:48" x14ac:dyDescent="0.25">
      <c r="A167" t="s">
        <v>74</v>
      </c>
      <c r="B167" t="s">
        <v>75</v>
      </c>
      <c r="C167" t="s">
        <v>80</v>
      </c>
      <c r="D167">
        <v>2010</v>
      </c>
      <c r="E167">
        <v>730</v>
      </c>
      <c r="F167">
        <v>47</v>
      </c>
      <c r="G167">
        <v>684</v>
      </c>
      <c r="H167">
        <v>187</v>
      </c>
      <c r="I167">
        <v>64</v>
      </c>
      <c r="J167">
        <v>229</v>
      </c>
      <c r="K167">
        <v>104</v>
      </c>
      <c r="L167">
        <v>0</v>
      </c>
      <c r="M167">
        <v>260</v>
      </c>
      <c r="N167">
        <v>1030</v>
      </c>
      <c r="O167">
        <v>326</v>
      </c>
      <c r="P167">
        <v>224</v>
      </c>
      <c r="Q167">
        <v>354</v>
      </c>
      <c r="R167">
        <v>0</v>
      </c>
      <c r="S167">
        <v>12</v>
      </c>
      <c r="T167">
        <v>0</v>
      </c>
      <c r="U167">
        <v>219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27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353</v>
      </c>
      <c r="AT167">
        <v>0</v>
      </c>
      <c r="AU167">
        <v>0</v>
      </c>
      <c r="AV167">
        <v>0</v>
      </c>
    </row>
    <row r="168" spans="1:48" x14ac:dyDescent="0.25">
      <c r="A168" t="s">
        <v>74</v>
      </c>
      <c r="B168" t="s">
        <v>75</v>
      </c>
      <c r="C168" t="s">
        <v>81</v>
      </c>
      <c r="D168">
        <v>2010</v>
      </c>
      <c r="E168">
        <v>184</v>
      </c>
      <c r="F168">
        <v>45</v>
      </c>
      <c r="G168">
        <v>185</v>
      </c>
      <c r="H168">
        <v>104</v>
      </c>
      <c r="I168">
        <v>6</v>
      </c>
      <c r="J168">
        <v>103</v>
      </c>
      <c r="K168">
        <v>50</v>
      </c>
      <c r="L168">
        <v>0</v>
      </c>
      <c r="M168">
        <v>57</v>
      </c>
      <c r="N168">
        <v>112</v>
      </c>
      <c r="O168">
        <v>19</v>
      </c>
      <c r="P168">
        <v>219</v>
      </c>
      <c r="Q168">
        <v>0</v>
      </c>
      <c r="R168">
        <v>0</v>
      </c>
      <c r="S168">
        <v>46</v>
      </c>
      <c r="T168">
        <v>0</v>
      </c>
      <c r="U168">
        <v>38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50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27</v>
      </c>
      <c r="AT168">
        <v>0</v>
      </c>
      <c r="AU168">
        <v>0</v>
      </c>
      <c r="AV168">
        <v>0</v>
      </c>
    </row>
    <row r="169" spans="1:48" x14ac:dyDescent="0.25">
      <c r="A169" t="s">
        <v>74</v>
      </c>
      <c r="B169" t="s">
        <v>75</v>
      </c>
      <c r="C169" t="s">
        <v>79</v>
      </c>
      <c r="D169">
        <v>2010</v>
      </c>
      <c r="E169">
        <v>324</v>
      </c>
      <c r="F169">
        <v>256</v>
      </c>
      <c r="G169">
        <v>633</v>
      </c>
      <c r="H169">
        <v>240</v>
      </c>
      <c r="I169">
        <v>2</v>
      </c>
      <c r="J169">
        <v>104</v>
      </c>
      <c r="K169">
        <v>124</v>
      </c>
      <c r="L169">
        <v>0</v>
      </c>
      <c r="M169">
        <v>183</v>
      </c>
      <c r="N169">
        <v>270</v>
      </c>
      <c r="O169">
        <v>79</v>
      </c>
      <c r="P169">
        <v>65</v>
      </c>
      <c r="Q169">
        <v>0</v>
      </c>
      <c r="R169">
        <v>0</v>
      </c>
      <c r="S169">
        <v>61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</row>
    <row r="170" spans="1:48" x14ac:dyDescent="0.25">
      <c r="A170" t="s">
        <v>74</v>
      </c>
      <c r="B170" t="s">
        <v>75</v>
      </c>
      <c r="C170" t="s">
        <v>82</v>
      </c>
      <c r="D170">
        <v>2010</v>
      </c>
      <c r="E170">
        <v>1275</v>
      </c>
      <c r="F170">
        <v>1824</v>
      </c>
      <c r="G170">
        <v>1890</v>
      </c>
      <c r="H170">
        <v>958</v>
      </c>
      <c r="I170">
        <v>241</v>
      </c>
      <c r="J170">
        <v>1424</v>
      </c>
      <c r="K170">
        <v>4932</v>
      </c>
      <c r="L170">
        <v>155</v>
      </c>
      <c r="M170">
        <v>1886</v>
      </c>
      <c r="N170">
        <v>984</v>
      </c>
      <c r="O170">
        <v>23</v>
      </c>
      <c r="P170">
        <v>75</v>
      </c>
      <c r="Q170">
        <v>35</v>
      </c>
      <c r="R170">
        <v>0</v>
      </c>
      <c r="S170">
        <v>4</v>
      </c>
      <c r="T170">
        <v>0</v>
      </c>
      <c r="U170">
        <v>48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19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99</v>
      </c>
      <c r="AT170">
        <v>0</v>
      </c>
      <c r="AU170">
        <v>0</v>
      </c>
      <c r="AV170">
        <v>0</v>
      </c>
    </row>
    <row r="171" spans="1:48" x14ac:dyDescent="0.25">
      <c r="A171" t="s">
        <v>74</v>
      </c>
      <c r="B171" t="s">
        <v>75</v>
      </c>
      <c r="C171" t="s">
        <v>83</v>
      </c>
      <c r="D171">
        <v>2010</v>
      </c>
      <c r="E171">
        <v>801</v>
      </c>
      <c r="F171">
        <v>569</v>
      </c>
      <c r="G171">
        <v>1109</v>
      </c>
      <c r="H171">
        <v>1017</v>
      </c>
      <c r="I171">
        <v>127</v>
      </c>
      <c r="J171">
        <v>499</v>
      </c>
      <c r="K171">
        <v>1129</v>
      </c>
      <c r="L171">
        <v>82</v>
      </c>
      <c r="M171">
        <v>776</v>
      </c>
      <c r="N171">
        <v>140</v>
      </c>
      <c r="O171">
        <v>100</v>
      </c>
      <c r="P171">
        <v>130</v>
      </c>
      <c r="Q171">
        <v>296</v>
      </c>
      <c r="R171">
        <v>0</v>
      </c>
      <c r="S171">
        <v>5</v>
      </c>
      <c r="T171">
        <v>0</v>
      </c>
      <c r="U171">
        <v>2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</row>
    <row r="172" spans="1:48" x14ac:dyDescent="0.25">
      <c r="A172" t="s">
        <v>74</v>
      </c>
      <c r="B172" t="s">
        <v>75</v>
      </c>
      <c r="C172" t="s">
        <v>76</v>
      </c>
      <c r="D172">
        <v>2011</v>
      </c>
      <c r="E172">
        <v>37</v>
      </c>
      <c r="F172">
        <v>0</v>
      </c>
      <c r="G172">
        <v>19</v>
      </c>
      <c r="H172">
        <v>8</v>
      </c>
      <c r="I172">
        <v>0</v>
      </c>
      <c r="J172">
        <v>4</v>
      </c>
      <c r="K172">
        <v>2</v>
      </c>
      <c r="L172">
        <v>0</v>
      </c>
      <c r="M172">
        <v>31</v>
      </c>
      <c r="N172">
        <v>26</v>
      </c>
      <c r="O172">
        <v>0</v>
      </c>
      <c r="P172">
        <v>2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</row>
    <row r="173" spans="1:48" x14ac:dyDescent="0.25">
      <c r="A173" t="s">
        <v>74</v>
      </c>
      <c r="B173" t="s">
        <v>75</v>
      </c>
      <c r="C173" t="s">
        <v>78</v>
      </c>
      <c r="D173">
        <v>2011</v>
      </c>
      <c r="E173">
        <v>1528</v>
      </c>
      <c r="F173">
        <v>17</v>
      </c>
      <c r="G173">
        <v>1050</v>
      </c>
      <c r="H173">
        <v>365</v>
      </c>
      <c r="I173">
        <v>23</v>
      </c>
      <c r="J173">
        <v>645</v>
      </c>
      <c r="K173">
        <v>190</v>
      </c>
      <c r="L173">
        <v>50</v>
      </c>
      <c r="M173">
        <v>244</v>
      </c>
      <c r="N173">
        <v>1361</v>
      </c>
      <c r="O173">
        <v>208</v>
      </c>
      <c r="P173">
        <v>396</v>
      </c>
      <c r="Q173">
        <v>0</v>
      </c>
      <c r="R173">
        <v>0</v>
      </c>
      <c r="S173">
        <v>174</v>
      </c>
      <c r="T173">
        <v>0</v>
      </c>
      <c r="U173">
        <v>54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</row>
    <row r="174" spans="1:48" x14ac:dyDescent="0.25">
      <c r="A174" t="s">
        <v>74</v>
      </c>
      <c r="B174" t="s">
        <v>75</v>
      </c>
      <c r="C174" t="s">
        <v>80</v>
      </c>
      <c r="D174">
        <v>2011</v>
      </c>
      <c r="E174">
        <v>580</v>
      </c>
      <c r="F174">
        <v>63</v>
      </c>
      <c r="G174">
        <v>656</v>
      </c>
      <c r="H174">
        <v>154</v>
      </c>
      <c r="I174">
        <v>48</v>
      </c>
      <c r="J174">
        <v>188</v>
      </c>
      <c r="K174">
        <v>88</v>
      </c>
      <c r="L174">
        <v>0</v>
      </c>
      <c r="M174">
        <v>200</v>
      </c>
      <c r="N174">
        <v>960</v>
      </c>
      <c r="O174">
        <v>116</v>
      </c>
      <c r="P174">
        <v>183</v>
      </c>
      <c r="Q174">
        <v>164</v>
      </c>
      <c r="R174">
        <v>0</v>
      </c>
      <c r="S174">
        <v>24</v>
      </c>
      <c r="T174">
        <v>0</v>
      </c>
      <c r="U174">
        <v>198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223</v>
      </c>
      <c r="AT174">
        <v>0</v>
      </c>
      <c r="AU174">
        <v>0</v>
      </c>
      <c r="AV174">
        <v>0</v>
      </c>
    </row>
    <row r="175" spans="1:48" x14ac:dyDescent="0.25">
      <c r="A175" t="s">
        <v>74</v>
      </c>
      <c r="B175" t="s">
        <v>75</v>
      </c>
      <c r="C175" t="s">
        <v>81</v>
      </c>
      <c r="D175">
        <v>2011</v>
      </c>
      <c r="E175">
        <v>201</v>
      </c>
      <c r="F175">
        <v>137</v>
      </c>
      <c r="G175">
        <v>277</v>
      </c>
      <c r="H175">
        <v>114</v>
      </c>
      <c r="I175">
        <v>15</v>
      </c>
      <c r="J175">
        <v>114</v>
      </c>
      <c r="K175">
        <v>73</v>
      </c>
      <c r="L175">
        <v>0</v>
      </c>
      <c r="M175">
        <v>6</v>
      </c>
      <c r="N175">
        <v>96</v>
      </c>
      <c r="O175">
        <v>76</v>
      </c>
      <c r="P175">
        <v>368</v>
      </c>
      <c r="Q175">
        <v>0</v>
      </c>
      <c r="R175">
        <v>0</v>
      </c>
      <c r="S175">
        <v>140</v>
      </c>
      <c r="T175">
        <v>0</v>
      </c>
      <c r="U175">
        <v>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111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1</v>
      </c>
      <c r="AT175">
        <v>0</v>
      </c>
      <c r="AU175">
        <v>0</v>
      </c>
      <c r="AV175">
        <v>0</v>
      </c>
    </row>
    <row r="176" spans="1:48" x14ac:dyDescent="0.25">
      <c r="A176" t="s">
        <v>74</v>
      </c>
      <c r="B176" t="s">
        <v>75</v>
      </c>
      <c r="C176" t="s">
        <v>79</v>
      </c>
      <c r="D176">
        <v>2011</v>
      </c>
      <c r="E176">
        <v>338</v>
      </c>
      <c r="F176">
        <v>258</v>
      </c>
      <c r="G176">
        <v>243</v>
      </c>
      <c r="H176">
        <v>253</v>
      </c>
      <c r="I176">
        <v>2</v>
      </c>
      <c r="J176">
        <v>107</v>
      </c>
      <c r="K176">
        <v>86</v>
      </c>
      <c r="L176">
        <v>0</v>
      </c>
      <c r="M176">
        <v>160</v>
      </c>
      <c r="N176">
        <v>295</v>
      </c>
      <c r="O176">
        <v>88</v>
      </c>
      <c r="P176">
        <v>138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</row>
    <row r="177" spans="1:48" x14ac:dyDescent="0.25">
      <c r="A177" t="s">
        <v>74</v>
      </c>
      <c r="B177" t="s">
        <v>75</v>
      </c>
      <c r="C177" t="s">
        <v>82</v>
      </c>
      <c r="D177">
        <v>2011</v>
      </c>
      <c r="E177">
        <v>1992</v>
      </c>
      <c r="F177">
        <v>1986</v>
      </c>
      <c r="G177">
        <v>1902</v>
      </c>
      <c r="H177">
        <v>1069</v>
      </c>
      <c r="I177">
        <v>186</v>
      </c>
      <c r="J177">
        <v>1665</v>
      </c>
      <c r="K177">
        <v>4589</v>
      </c>
      <c r="L177">
        <v>509</v>
      </c>
      <c r="M177">
        <v>1633</v>
      </c>
      <c r="N177">
        <v>1076</v>
      </c>
      <c r="O177">
        <v>78</v>
      </c>
      <c r="P177">
        <v>52</v>
      </c>
      <c r="Q177">
        <v>0</v>
      </c>
      <c r="R177">
        <v>0</v>
      </c>
      <c r="S177">
        <v>6</v>
      </c>
      <c r="T177">
        <v>0</v>
      </c>
      <c r="U177">
        <v>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74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6</v>
      </c>
      <c r="AT177">
        <v>0</v>
      </c>
      <c r="AU177">
        <v>0</v>
      </c>
      <c r="AV177">
        <v>0</v>
      </c>
    </row>
    <row r="178" spans="1:48" x14ac:dyDescent="0.25">
      <c r="A178" t="s">
        <v>74</v>
      </c>
      <c r="B178" t="s">
        <v>75</v>
      </c>
      <c r="C178" t="s">
        <v>83</v>
      </c>
      <c r="D178">
        <v>2011</v>
      </c>
      <c r="E178">
        <v>630</v>
      </c>
      <c r="F178">
        <v>549</v>
      </c>
      <c r="G178">
        <v>1088</v>
      </c>
      <c r="H178">
        <v>874</v>
      </c>
      <c r="I178">
        <v>101</v>
      </c>
      <c r="J178">
        <v>402</v>
      </c>
      <c r="K178">
        <v>1237</v>
      </c>
      <c r="L178">
        <v>108</v>
      </c>
      <c r="M178">
        <v>850</v>
      </c>
      <c r="N178">
        <v>117</v>
      </c>
      <c r="O178">
        <v>75</v>
      </c>
      <c r="P178">
        <v>142</v>
      </c>
      <c r="Q178">
        <v>358</v>
      </c>
      <c r="R178">
        <v>0</v>
      </c>
      <c r="S178">
        <v>29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5</v>
      </c>
      <c r="AT178">
        <v>0</v>
      </c>
      <c r="AU178">
        <v>0</v>
      </c>
      <c r="AV178">
        <v>0</v>
      </c>
    </row>
    <row r="179" spans="1:48" x14ac:dyDescent="0.25">
      <c r="A179" t="s">
        <v>74</v>
      </c>
      <c r="B179" t="s">
        <v>75</v>
      </c>
      <c r="C179" t="s">
        <v>76</v>
      </c>
      <c r="D179">
        <v>2012</v>
      </c>
      <c r="E179">
        <v>21</v>
      </c>
      <c r="F179">
        <v>0</v>
      </c>
      <c r="G179">
        <v>2</v>
      </c>
      <c r="H179">
        <v>3</v>
      </c>
      <c r="I179">
        <v>1</v>
      </c>
      <c r="J179">
        <v>6</v>
      </c>
      <c r="K179">
        <v>5</v>
      </c>
      <c r="L179">
        <v>0</v>
      </c>
      <c r="M179">
        <v>0</v>
      </c>
      <c r="N179">
        <v>10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</row>
    <row r="180" spans="1:48" x14ac:dyDescent="0.25">
      <c r="A180" t="s">
        <v>74</v>
      </c>
      <c r="B180" t="s">
        <v>75</v>
      </c>
      <c r="C180" t="s">
        <v>78</v>
      </c>
      <c r="D180">
        <v>2012</v>
      </c>
      <c r="E180">
        <v>1518</v>
      </c>
      <c r="F180">
        <v>128</v>
      </c>
      <c r="G180">
        <v>1165</v>
      </c>
      <c r="H180">
        <v>270</v>
      </c>
      <c r="I180">
        <v>73</v>
      </c>
      <c r="J180">
        <v>640</v>
      </c>
      <c r="K180">
        <v>404</v>
      </c>
      <c r="L180">
        <v>0</v>
      </c>
      <c r="M180">
        <v>401</v>
      </c>
      <c r="N180">
        <v>3121</v>
      </c>
      <c r="O180">
        <v>311</v>
      </c>
      <c r="P180">
        <v>222</v>
      </c>
      <c r="Q180">
        <v>114</v>
      </c>
      <c r="R180">
        <v>0</v>
      </c>
      <c r="S180">
        <v>252</v>
      </c>
      <c r="T180">
        <v>0</v>
      </c>
      <c r="U180">
        <v>152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96</v>
      </c>
      <c r="AT180">
        <v>0</v>
      </c>
      <c r="AU180">
        <v>0</v>
      </c>
      <c r="AV180">
        <v>0</v>
      </c>
    </row>
    <row r="181" spans="1:48" x14ac:dyDescent="0.25">
      <c r="A181" t="s">
        <v>74</v>
      </c>
      <c r="B181" t="s">
        <v>75</v>
      </c>
      <c r="C181" t="s">
        <v>80</v>
      </c>
      <c r="D181">
        <v>2012</v>
      </c>
      <c r="E181">
        <v>221</v>
      </c>
      <c r="F181">
        <v>10</v>
      </c>
      <c r="G181">
        <v>142</v>
      </c>
      <c r="H181">
        <v>110</v>
      </c>
      <c r="I181">
        <v>7</v>
      </c>
      <c r="J181">
        <v>20</v>
      </c>
      <c r="K181">
        <v>12</v>
      </c>
      <c r="L181">
        <v>0</v>
      </c>
      <c r="M181">
        <v>58</v>
      </c>
      <c r="N181">
        <v>41</v>
      </c>
      <c r="O181">
        <v>0</v>
      </c>
      <c r="P181">
        <v>9</v>
      </c>
      <c r="Q181">
        <v>60</v>
      </c>
      <c r="R181">
        <v>0</v>
      </c>
      <c r="S181">
        <v>23</v>
      </c>
      <c r="T181">
        <v>0</v>
      </c>
      <c r="U181">
        <v>78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15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47</v>
      </c>
      <c r="AT181">
        <v>0</v>
      </c>
      <c r="AU181">
        <v>0</v>
      </c>
      <c r="AV181">
        <v>0</v>
      </c>
    </row>
    <row r="182" spans="1:48" x14ac:dyDescent="0.25">
      <c r="A182" t="s">
        <v>74</v>
      </c>
      <c r="B182" t="s">
        <v>75</v>
      </c>
      <c r="C182" t="s">
        <v>81</v>
      </c>
      <c r="D182">
        <v>2012</v>
      </c>
      <c r="E182">
        <v>200</v>
      </c>
      <c r="F182">
        <v>77</v>
      </c>
      <c r="G182">
        <v>153</v>
      </c>
      <c r="H182">
        <v>71</v>
      </c>
      <c r="I182">
        <v>5</v>
      </c>
      <c r="J182">
        <v>134</v>
      </c>
      <c r="K182">
        <v>70</v>
      </c>
      <c r="L182">
        <v>4</v>
      </c>
      <c r="M182">
        <v>19</v>
      </c>
      <c r="N182">
        <v>102</v>
      </c>
      <c r="O182">
        <v>60</v>
      </c>
      <c r="P182">
        <v>214</v>
      </c>
      <c r="Q182">
        <v>0</v>
      </c>
      <c r="R182">
        <v>0</v>
      </c>
      <c r="S182">
        <v>121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95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</row>
    <row r="183" spans="1:48" x14ac:dyDescent="0.25">
      <c r="A183" t="s">
        <v>74</v>
      </c>
      <c r="B183" t="s">
        <v>75</v>
      </c>
      <c r="C183" t="s">
        <v>79</v>
      </c>
      <c r="D183">
        <v>2012</v>
      </c>
      <c r="E183">
        <v>206</v>
      </c>
      <c r="F183">
        <v>185</v>
      </c>
      <c r="G183">
        <v>384</v>
      </c>
      <c r="H183">
        <v>200</v>
      </c>
      <c r="I183">
        <v>80</v>
      </c>
      <c r="J183">
        <v>246</v>
      </c>
      <c r="K183">
        <v>132</v>
      </c>
      <c r="L183">
        <v>180</v>
      </c>
      <c r="M183">
        <v>328</v>
      </c>
      <c r="N183">
        <v>180</v>
      </c>
      <c r="O183">
        <v>80</v>
      </c>
      <c r="P183">
        <v>238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</row>
    <row r="184" spans="1:48" x14ac:dyDescent="0.25">
      <c r="A184" t="s">
        <v>74</v>
      </c>
      <c r="B184" t="s">
        <v>75</v>
      </c>
      <c r="C184" t="s">
        <v>82</v>
      </c>
      <c r="D184">
        <v>2012</v>
      </c>
      <c r="E184">
        <v>1105</v>
      </c>
      <c r="F184">
        <v>1872</v>
      </c>
      <c r="G184">
        <v>2091</v>
      </c>
      <c r="H184">
        <v>997</v>
      </c>
      <c r="I184">
        <v>81</v>
      </c>
      <c r="J184">
        <v>1142</v>
      </c>
      <c r="K184">
        <v>6620</v>
      </c>
      <c r="L184">
        <v>421</v>
      </c>
      <c r="M184">
        <v>2150</v>
      </c>
      <c r="N184">
        <v>715</v>
      </c>
      <c r="O184">
        <v>26</v>
      </c>
      <c r="P184">
        <v>91</v>
      </c>
      <c r="Q184">
        <v>0</v>
      </c>
      <c r="R184">
        <v>0</v>
      </c>
      <c r="S184">
        <v>4</v>
      </c>
      <c r="T184">
        <v>0</v>
      </c>
      <c r="U184">
        <v>3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59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5</v>
      </c>
      <c r="AT184">
        <v>0</v>
      </c>
      <c r="AU184">
        <v>0</v>
      </c>
      <c r="AV184">
        <v>0</v>
      </c>
    </row>
    <row r="185" spans="1:48" x14ac:dyDescent="0.25">
      <c r="A185" t="s">
        <v>74</v>
      </c>
      <c r="B185" t="s">
        <v>75</v>
      </c>
      <c r="C185" t="s">
        <v>83</v>
      </c>
      <c r="D185">
        <v>2012</v>
      </c>
      <c r="E185">
        <v>684</v>
      </c>
      <c r="F185">
        <v>466</v>
      </c>
      <c r="G185">
        <v>940</v>
      </c>
      <c r="H185">
        <v>945</v>
      </c>
      <c r="I185">
        <v>175</v>
      </c>
      <c r="J185">
        <v>397</v>
      </c>
      <c r="K185">
        <v>1172</v>
      </c>
      <c r="L185">
        <v>55</v>
      </c>
      <c r="M185">
        <v>641</v>
      </c>
      <c r="N185">
        <v>169</v>
      </c>
      <c r="O185">
        <v>84</v>
      </c>
      <c r="P185">
        <v>70</v>
      </c>
      <c r="Q185">
        <v>536</v>
      </c>
      <c r="R185">
        <v>0</v>
      </c>
      <c r="S185">
        <v>21</v>
      </c>
      <c r="T185">
        <v>0</v>
      </c>
      <c r="U185">
        <v>20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1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</row>
    <row r="186" spans="1:48" x14ac:dyDescent="0.25">
      <c r="A186" t="s">
        <v>74</v>
      </c>
      <c r="B186" t="s">
        <v>75</v>
      </c>
      <c r="C186" t="s">
        <v>76</v>
      </c>
      <c r="D186">
        <v>2013</v>
      </c>
      <c r="E186">
        <v>75</v>
      </c>
      <c r="F186">
        <v>0</v>
      </c>
      <c r="G186">
        <v>9</v>
      </c>
      <c r="H186">
        <v>10</v>
      </c>
      <c r="I186">
        <v>1</v>
      </c>
      <c r="J186">
        <v>7</v>
      </c>
      <c r="K186">
        <v>7</v>
      </c>
      <c r="L186">
        <v>0</v>
      </c>
      <c r="M186">
        <v>172</v>
      </c>
      <c r="N186">
        <v>3</v>
      </c>
      <c r="O186">
        <v>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</row>
    <row r="187" spans="1:48" x14ac:dyDescent="0.25">
      <c r="A187" t="s">
        <v>74</v>
      </c>
      <c r="B187" t="s">
        <v>75</v>
      </c>
      <c r="C187" t="s">
        <v>78</v>
      </c>
      <c r="D187">
        <v>2013</v>
      </c>
      <c r="E187">
        <v>2320</v>
      </c>
      <c r="F187">
        <v>29</v>
      </c>
      <c r="G187">
        <v>1336</v>
      </c>
      <c r="H187">
        <v>487</v>
      </c>
      <c r="I187">
        <v>78</v>
      </c>
      <c r="J187">
        <v>350</v>
      </c>
      <c r="K187">
        <v>199</v>
      </c>
      <c r="L187">
        <v>1</v>
      </c>
      <c r="M187">
        <v>77</v>
      </c>
      <c r="N187">
        <v>2670</v>
      </c>
      <c r="O187">
        <v>304</v>
      </c>
      <c r="P187">
        <v>444</v>
      </c>
      <c r="Q187">
        <v>0</v>
      </c>
      <c r="R187">
        <v>0</v>
      </c>
      <c r="S187">
        <v>94</v>
      </c>
      <c r="T187">
        <v>0</v>
      </c>
      <c r="U187">
        <v>69</v>
      </c>
      <c r="V187">
        <v>0</v>
      </c>
      <c r="W187">
        <v>0</v>
      </c>
      <c r="X187">
        <v>140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</row>
    <row r="188" spans="1:48" x14ac:dyDescent="0.25">
      <c r="A188" t="s">
        <v>74</v>
      </c>
      <c r="B188" t="s">
        <v>75</v>
      </c>
      <c r="C188" t="s">
        <v>80</v>
      </c>
      <c r="D188">
        <v>2013</v>
      </c>
      <c r="E188">
        <v>2291</v>
      </c>
      <c r="F188">
        <v>27</v>
      </c>
      <c r="G188">
        <v>616</v>
      </c>
      <c r="H188">
        <v>226</v>
      </c>
      <c r="I188">
        <v>0</v>
      </c>
      <c r="J188">
        <v>38</v>
      </c>
      <c r="K188">
        <v>32</v>
      </c>
      <c r="L188">
        <v>0</v>
      </c>
      <c r="M188">
        <v>296</v>
      </c>
      <c r="N188">
        <v>631</v>
      </c>
      <c r="O188">
        <v>0</v>
      </c>
      <c r="P188">
        <v>117</v>
      </c>
      <c r="Q188">
        <v>0</v>
      </c>
      <c r="R188">
        <v>0</v>
      </c>
      <c r="S188">
        <v>27</v>
      </c>
      <c r="T188">
        <v>0</v>
      </c>
      <c r="U188">
        <v>23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</row>
    <row r="189" spans="1:48" x14ac:dyDescent="0.25">
      <c r="A189" t="s">
        <v>74</v>
      </c>
      <c r="B189" t="s">
        <v>75</v>
      </c>
      <c r="C189" t="s">
        <v>81</v>
      </c>
      <c r="D189">
        <v>2013</v>
      </c>
      <c r="E189">
        <v>207</v>
      </c>
      <c r="F189">
        <v>84</v>
      </c>
      <c r="G189">
        <v>125</v>
      </c>
      <c r="H189">
        <v>105</v>
      </c>
      <c r="I189">
        <v>13</v>
      </c>
      <c r="J189">
        <v>129</v>
      </c>
      <c r="K189">
        <v>72</v>
      </c>
      <c r="L189">
        <v>1</v>
      </c>
      <c r="M189">
        <v>37</v>
      </c>
      <c r="N189">
        <v>70</v>
      </c>
      <c r="O189">
        <v>75</v>
      </c>
      <c r="P189">
        <v>149</v>
      </c>
      <c r="Q189">
        <v>0</v>
      </c>
      <c r="R189">
        <v>0</v>
      </c>
      <c r="S189">
        <v>106</v>
      </c>
      <c r="T189">
        <v>0</v>
      </c>
      <c r="U189">
        <v>57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74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</row>
    <row r="190" spans="1:48" x14ac:dyDescent="0.25">
      <c r="A190" t="s">
        <v>74</v>
      </c>
      <c r="B190" t="s">
        <v>75</v>
      </c>
      <c r="C190" t="s">
        <v>79</v>
      </c>
      <c r="D190">
        <v>2013</v>
      </c>
      <c r="E190">
        <v>36</v>
      </c>
      <c r="F190">
        <v>227</v>
      </c>
      <c r="G190">
        <v>306</v>
      </c>
      <c r="H190">
        <v>66</v>
      </c>
      <c r="I190">
        <v>69</v>
      </c>
      <c r="J190">
        <v>211</v>
      </c>
      <c r="K190">
        <v>101</v>
      </c>
      <c r="L190">
        <v>161</v>
      </c>
      <c r="M190">
        <v>257</v>
      </c>
      <c r="N190">
        <v>50</v>
      </c>
      <c r="O190">
        <v>19</v>
      </c>
      <c r="P190">
        <v>418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</row>
    <row r="191" spans="1:48" x14ac:dyDescent="0.25">
      <c r="A191" t="s">
        <v>74</v>
      </c>
      <c r="B191" t="s">
        <v>75</v>
      </c>
      <c r="C191" t="s">
        <v>82</v>
      </c>
      <c r="D191">
        <v>2013</v>
      </c>
      <c r="E191">
        <v>1179</v>
      </c>
      <c r="F191">
        <v>2333</v>
      </c>
      <c r="G191">
        <v>3070</v>
      </c>
      <c r="H191">
        <v>833</v>
      </c>
      <c r="I191">
        <v>122</v>
      </c>
      <c r="J191">
        <v>1266</v>
      </c>
      <c r="K191">
        <v>6287</v>
      </c>
      <c r="L191">
        <v>408</v>
      </c>
      <c r="M191">
        <v>1494</v>
      </c>
      <c r="N191">
        <v>853</v>
      </c>
      <c r="O191">
        <v>74</v>
      </c>
      <c r="P191">
        <v>86</v>
      </c>
      <c r="Q191">
        <v>209</v>
      </c>
      <c r="R191">
        <v>0</v>
      </c>
      <c r="S191">
        <v>7</v>
      </c>
      <c r="T191">
        <v>0</v>
      </c>
      <c r="U191">
        <v>153</v>
      </c>
      <c r="V191">
        <v>0</v>
      </c>
      <c r="W191">
        <v>0</v>
      </c>
      <c r="X191">
        <v>38</v>
      </c>
      <c r="Y191">
        <v>0</v>
      </c>
      <c r="Z191">
        <v>0</v>
      </c>
      <c r="AA191">
        <v>0</v>
      </c>
      <c r="AB191">
        <v>14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114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104</v>
      </c>
      <c r="AT191">
        <v>0</v>
      </c>
      <c r="AU191">
        <v>0</v>
      </c>
      <c r="AV191">
        <v>0</v>
      </c>
    </row>
    <row r="192" spans="1:48" x14ac:dyDescent="0.25">
      <c r="A192" t="s">
        <v>74</v>
      </c>
      <c r="B192" t="s">
        <v>75</v>
      </c>
      <c r="C192" t="s">
        <v>83</v>
      </c>
      <c r="D192">
        <v>2013</v>
      </c>
      <c r="E192">
        <v>625</v>
      </c>
      <c r="F192">
        <v>494</v>
      </c>
      <c r="G192">
        <v>967</v>
      </c>
      <c r="H192">
        <v>1190</v>
      </c>
      <c r="I192">
        <v>82</v>
      </c>
      <c r="J192">
        <v>553</v>
      </c>
      <c r="K192">
        <v>1253</v>
      </c>
      <c r="L192">
        <v>61</v>
      </c>
      <c r="M192">
        <v>394</v>
      </c>
      <c r="N192">
        <v>417</v>
      </c>
      <c r="O192">
        <v>320</v>
      </c>
      <c r="P192">
        <v>140</v>
      </c>
      <c r="Q192">
        <v>615</v>
      </c>
      <c r="R192">
        <v>0</v>
      </c>
      <c r="S192">
        <v>20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</row>
    <row r="193" spans="1:48" x14ac:dyDescent="0.25">
      <c r="A193" t="s">
        <v>74</v>
      </c>
      <c r="B193" t="s">
        <v>75</v>
      </c>
      <c r="C193" t="s">
        <v>76</v>
      </c>
      <c r="D193">
        <v>2014</v>
      </c>
      <c r="E193">
        <v>31</v>
      </c>
      <c r="F193">
        <v>0</v>
      </c>
      <c r="G193">
        <v>30</v>
      </c>
      <c r="H193">
        <v>25</v>
      </c>
      <c r="I193">
        <v>2</v>
      </c>
      <c r="J193">
        <v>17</v>
      </c>
      <c r="K193">
        <v>4</v>
      </c>
      <c r="L193">
        <v>0</v>
      </c>
      <c r="M193">
        <v>26</v>
      </c>
      <c r="N193">
        <v>192</v>
      </c>
      <c r="O193">
        <v>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</row>
    <row r="194" spans="1:48" x14ac:dyDescent="0.25">
      <c r="A194" t="s">
        <v>74</v>
      </c>
      <c r="B194" t="s">
        <v>75</v>
      </c>
      <c r="C194" t="s">
        <v>78</v>
      </c>
      <c r="D194">
        <v>2014</v>
      </c>
      <c r="E194">
        <v>1331</v>
      </c>
      <c r="F194">
        <v>23</v>
      </c>
      <c r="G194">
        <v>549</v>
      </c>
      <c r="H194">
        <v>255</v>
      </c>
      <c r="I194">
        <v>39</v>
      </c>
      <c r="J194">
        <v>423</v>
      </c>
      <c r="K194">
        <v>112</v>
      </c>
      <c r="L194">
        <v>96</v>
      </c>
      <c r="M194">
        <v>328</v>
      </c>
      <c r="N194">
        <v>1501</v>
      </c>
      <c r="O194">
        <v>59</v>
      </c>
      <c r="P194">
        <v>241</v>
      </c>
      <c r="Q194">
        <v>0</v>
      </c>
      <c r="R194">
        <v>0</v>
      </c>
      <c r="S194">
        <v>69</v>
      </c>
      <c r="T194">
        <v>0</v>
      </c>
      <c r="U194">
        <v>58</v>
      </c>
      <c r="V194">
        <v>0</v>
      </c>
      <c r="W194">
        <v>0</v>
      </c>
      <c r="X194">
        <v>50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</row>
    <row r="195" spans="1:48" x14ac:dyDescent="0.25">
      <c r="A195" t="s">
        <v>74</v>
      </c>
      <c r="B195" t="s">
        <v>75</v>
      </c>
      <c r="C195" t="s">
        <v>80</v>
      </c>
      <c r="D195">
        <v>2014</v>
      </c>
      <c r="E195">
        <v>1377</v>
      </c>
      <c r="F195">
        <v>66</v>
      </c>
      <c r="G195">
        <v>574</v>
      </c>
      <c r="H195">
        <v>178</v>
      </c>
      <c r="I195">
        <v>17</v>
      </c>
      <c r="J195">
        <v>102</v>
      </c>
      <c r="K195">
        <v>58</v>
      </c>
      <c r="L195">
        <v>0</v>
      </c>
      <c r="M195">
        <v>730</v>
      </c>
      <c r="N195">
        <v>459</v>
      </c>
      <c r="O195">
        <v>44</v>
      </c>
      <c r="P195">
        <v>103</v>
      </c>
      <c r="Q195">
        <v>146</v>
      </c>
      <c r="R195">
        <v>0</v>
      </c>
      <c r="S195">
        <v>57</v>
      </c>
      <c r="T195">
        <v>0</v>
      </c>
      <c r="U195">
        <v>43</v>
      </c>
      <c r="V195">
        <v>0</v>
      </c>
      <c r="W195">
        <v>0</v>
      </c>
      <c r="X195">
        <v>187</v>
      </c>
      <c r="Y195">
        <v>0</v>
      </c>
      <c r="Z195">
        <v>0</v>
      </c>
      <c r="AA195">
        <v>0</v>
      </c>
      <c r="AB195">
        <v>49</v>
      </c>
      <c r="AC195">
        <v>0</v>
      </c>
      <c r="AD195">
        <v>0</v>
      </c>
      <c r="AE195">
        <v>65</v>
      </c>
      <c r="AF195">
        <v>0</v>
      </c>
      <c r="AG195">
        <v>0</v>
      </c>
      <c r="AH195">
        <v>112</v>
      </c>
      <c r="AI195">
        <v>0</v>
      </c>
      <c r="AJ195">
        <v>0</v>
      </c>
      <c r="AK195">
        <v>68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190</v>
      </c>
      <c r="AT195">
        <v>69</v>
      </c>
      <c r="AU195">
        <v>0</v>
      </c>
      <c r="AV195">
        <v>0</v>
      </c>
    </row>
    <row r="196" spans="1:48" x14ac:dyDescent="0.25">
      <c r="A196" t="s">
        <v>74</v>
      </c>
      <c r="B196" t="s">
        <v>75</v>
      </c>
      <c r="C196" t="s">
        <v>81</v>
      </c>
      <c r="D196">
        <v>2014</v>
      </c>
      <c r="E196">
        <v>105</v>
      </c>
      <c r="F196">
        <v>44</v>
      </c>
      <c r="G196">
        <v>136</v>
      </c>
      <c r="H196">
        <v>43</v>
      </c>
      <c r="I196">
        <v>5</v>
      </c>
      <c r="J196">
        <v>39</v>
      </c>
      <c r="K196">
        <v>24</v>
      </c>
      <c r="L196">
        <v>0</v>
      </c>
      <c r="M196">
        <v>0</v>
      </c>
      <c r="N196">
        <v>91</v>
      </c>
      <c r="O196">
        <v>20</v>
      </c>
      <c r="P196">
        <v>89</v>
      </c>
      <c r="Q196">
        <v>0</v>
      </c>
      <c r="R196">
        <v>0</v>
      </c>
      <c r="S196">
        <v>26</v>
      </c>
      <c r="T196">
        <v>0</v>
      </c>
      <c r="U196">
        <v>24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28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</row>
    <row r="197" spans="1:48" x14ac:dyDescent="0.25">
      <c r="A197" t="s">
        <v>74</v>
      </c>
      <c r="B197" t="s">
        <v>75</v>
      </c>
      <c r="C197" t="s">
        <v>79</v>
      </c>
      <c r="D197">
        <v>2014</v>
      </c>
      <c r="E197">
        <v>150</v>
      </c>
      <c r="F197">
        <v>273</v>
      </c>
      <c r="G197">
        <v>170</v>
      </c>
      <c r="H197">
        <v>210</v>
      </c>
      <c r="I197">
        <v>25</v>
      </c>
      <c r="J197">
        <v>69</v>
      </c>
      <c r="K197">
        <v>38</v>
      </c>
      <c r="L197">
        <v>64</v>
      </c>
      <c r="M197">
        <v>90</v>
      </c>
      <c r="N197">
        <v>81</v>
      </c>
      <c r="O197">
        <v>66</v>
      </c>
      <c r="P197">
        <v>280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</row>
    <row r="198" spans="1:48" x14ac:dyDescent="0.25">
      <c r="A198" t="s">
        <v>74</v>
      </c>
      <c r="B198" t="s">
        <v>75</v>
      </c>
      <c r="C198" t="s">
        <v>82</v>
      </c>
      <c r="D198">
        <v>2014</v>
      </c>
      <c r="E198">
        <v>1225</v>
      </c>
      <c r="F198">
        <v>1365</v>
      </c>
      <c r="G198">
        <v>2363</v>
      </c>
      <c r="H198">
        <v>885</v>
      </c>
      <c r="I198">
        <v>88</v>
      </c>
      <c r="J198">
        <v>1256</v>
      </c>
      <c r="K198">
        <v>7219</v>
      </c>
      <c r="L198">
        <v>422</v>
      </c>
      <c r="M198">
        <v>1018</v>
      </c>
      <c r="N198">
        <v>609</v>
      </c>
      <c r="O198">
        <v>9</v>
      </c>
      <c r="P198">
        <v>148</v>
      </c>
      <c r="Q198">
        <v>52</v>
      </c>
      <c r="R198">
        <v>0</v>
      </c>
      <c r="S198">
        <v>14</v>
      </c>
      <c r="T198">
        <v>0</v>
      </c>
      <c r="U198">
        <v>138</v>
      </c>
      <c r="V198">
        <v>0</v>
      </c>
      <c r="W198">
        <v>0</v>
      </c>
      <c r="X198">
        <v>19</v>
      </c>
      <c r="Y198">
        <v>0</v>
      </c>
      <c r="Z198">
        <v>0</v>
      </c>
      <c r="AA198">
        <v>0</v>
      </c>
      <c r="AB198">
        <v>28</v>
      </c>
      <c r="AC198">
        <v>0</v>
      </c>
      <c r="AD198">
        <v>0</v>
      </c>
      <c r="AE198">
        <v>2</v>
      </c>
      <c r="AF198">
        <v>0</v>
      </c>
      <c r="AG198">
        <v>0</v>
      </c>
      <c r="AH198">
        <v>98</v>
      </c>
      <c r="AI198">
        <v>0</v>
      </c>
      <c r="AJ198">
        <v>0</v>
      </c>
      <c r="AK198">
        <v>276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207</v>
      </c>
      <c r="AT198">
        <v>143</v>
      </c>
      <c r="AU198">
        <v>0</v>
      </c>
      <c r="AV198">
        <v>0</v>
      </c>
    </row>
    <row r="199" spans="1:48" x14ac:dyDescent="0.25">
      <c r="A199" t="s">
        <v>74</v>
      </c>
      <c r="B199" t="s">
        <v>75</v>
      </c>
      <c r="C199" t="s">
        <v>83</v>
      </c>
      <c r="D199">
        <v>2014</v>
      </c>
      <c r="E199">
        <v>659</v>
      </c>
      <c r="F199">
        <v>388</v>
      </c>
      <c r="G199">
        <v>1032</v>
      </c>
      <c r="H199">
        <v>1131</v>
      </c>
      <c r="I199">
        <v>118</v>
      </c>
      <c r="J199">
        <v>587</v>
      </c>
      <c r="K199">
        <v>1136</v>
      </c>
      <c r="L199">
        <v>158</v>
      </c>
      <c r="M199">
        <v>435</v>
      </c>
      <c r="N199">
        <v>475</v>
      </c>
      <c r="O199">
        <v>72</v>
      </c>
      <c r="P199">
        <v>110</v>
      </c>
      <c r="Q199">
        <v>43</v>
      </c>
      <c r="R199">
        <v>0</v>
      </c>
      <c r="S199">
        <v>17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</row>
    <row r="200" spans="1:48" x14ac:dyDescent="0.25">
      <c r="A200" t="s">
        <v>74</v>
      </c>
      <c r="B200" t="s">
        <v>75</v>
      </c>
      <c r="C200" t="s">
        <v>76</v>
      </c>
      <c r="D200">
        <v>2015</v>
      </c>
      <c r="E200">
        <v>72</v>
      </c>
      <c r="F200">
        <v>0</v>
      </c>
      <c r="G200">
        <v>39</v>
      </c>
      <c r="H200">
        <v>18</v>
      </c>
      <c r="I200">
        <v>2</v>
      </c>
      <c r="J200">
        <v>8</v>
      </c>
      <c r="K200">
        <v>8</v>
      </c>
      <c r="L200">
        <v>0</v>
      </c>
      <c r="M200">
        <v>1</v>
      </c>
      <c r="N200">
        <v>82</v>
      </c>
      <c r="O200">
        <v>1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</row>
    <row r="201" spans="1:48" x14ac:dyDescent="0.25">
      <c r="A201" t="s">
        <v>74</v>
      </c>
      <c r="B201" t="s">
        <v>75</v>
      </c>
      <c r="C201" t="s">
        <v>78</v>
      </c>
      <c r="D201">
        <v>2015</v>
      </c>
      <c r="E201">
        <v>1351</v>
      </c>
      <c r="F201">
        <v>0</v>
      </c>
      <c r="G201">
        <v>862</v>
      </c>
      <c r="H201">
        <v>496</v>
      </c>
      <c r="I201">
        <v>0</v>
      </c>
      <c r="J201">
        <v>240</v>
      </c>
      <c r="K201">
        <v>197</v>
      </c>
      <c r="L201">
        <v>75</v>
      </c>
      <c r="M201">
        <v>436</v>
      </c>
      <c r="N201">
        <v>1311</v>
      </c>
      <c r="O201">
        <v>19</v>
      </c>
      <c r="P201">
        <v>217</v>
      </c>
      <c r="Q201">
        <v>0</v>
      </c>
      <c r="R201">
        <v>0</v>
      </c>
      <c r="S201">
        <v>12</v>
      </c>
      <c r="T201">
        <v>0</v>
      </c>
      <c r="U201">
        <v>87</v>
      </c>
      <c r="V201">
        <v>0</v>
      </c>
      <c r="W201">
        <v>0</v>
      </c>
      <c r="X201">
        <v>20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</row>
    <row r="202" spans="1:48" x14ac:dyDescent="0.25">
      <c r="A202" t="s">
        <v>74</v>
      </c>
      <c r="B202" t="s">
        <v>75</v>
      </c>
      <c r="C202" t="s">
        <v>80</v>
      </c>
      <c r="D202">
        <v>2015</v>
      </c>
      <c r="E202">
        <v>1120</v>
      </c>
      <c r="F202">
        <v>41</v>
      </c>
      <c r="G202">
        <v>638</v>
      </c>
      <c r="H202">
        <v>255</v>
      </c>
      <c r="I202">
        <v>27</v>
      </c>
      <c r="J202">
        <v>109</v>
      </c>
      <c r="K202">
        <v>31</v>
      </c>
      <c r="L202">
        <v>0</v>
      </c>
      <c r="M202">
        <v>630</v>
      </c>
      <c r="N202">
        <v>462</v>
      </c>
      <c r="O202">
        <v>72</v>
      </c>
      <c r="P202">
        <v>130</v>
      </c>
      <c r="Q202">
        <v>248</v>
      </c>
      <c r="R202">
        <v>0</v>
      </c>
      <c r="S202">
        <v>62</v>
      </c>
      <c r="T202">
        <v>0</v>
      </c>
      <c r="U202">
        <v>52</v>
      </c>
      <c r="V202">
        <v>0</v>
      </c>
      <c r="W202">
        <v>0</v>
      </c>
      <c r="X202">
        <v>283</v>
      </c>
      <c r="Y202">
        <v>0</v>
      </c>
      <c r="Z202">
        <v>0</v>
      </c>
      <c r="AA202">
        <v>0</v>
      </c>
      <c r="AB202">
        <v>54</v>
      </c>
      <c r="AC202">
        <v>0</v>
      </c>
      <c r="AD202">
        <v>0</v>
      </c>
      <c r="AE202">
        <v>76</v>
      </c>
      <c r="AF202">
        <v>0</v>
      </c>
      <c r="AG202">
        <v>0</v>
      </c>
      <c r="AH202">
        <v>87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213</v>
      </c>
      <c r="AT202">
        <v>204</v>
      </c>
      <c r="AU202">
        <v>0</v>
      </c>
      <c r="AV202">
        <v>0</v>
      </c>
    </row>
    <row r="203" spans="1:48" x14ac:dyDescent="0.25">
      <c r="A203" t="s">
        <v>74</v>
      </c>
      <c r="B203" t="s">
        <v>75</v>
      </c>
      <c r="C203" t="s">
        <v>81</v>
      </c>
      <c r="D203">
        <v>2015</v>
      </c>
      <c r="E203">
        <v>266</v>
      </c>
      <c r="F203">
        <v>142</v>
      </c>
      <c r="G203">
        <v>248</v>
      </c>
      <c r="H203">
        <v>74</v>
      </c>
      <c r="I203">
        <v>2</v>
      </c>
      <c r="J203">
        <v>22</v>
      </c>
      <c r="K203">
        <v>5</v>
      </c>
      <c r="L203">
        <v>0</v>
      </c>
      <c r="M203">
        <v>7</v>
      </c>
      <c r="N203">
        <v>64</v>
      </c>
      <c r="O203">
        <v>17</v>
      </c>
      <c r="P203">
        <v>98</v>
      </c>
      <c r="Q203">
        <v>0</v>
      </c>
      <c r="R203">
        <v>0</v>
      </c>
      <c r="S203">
        <v>34</v>
      </c>
      <c r="T203">
        <v>0</v>
      </c>
      <c r="U203">
        <v>1</v>
      </c>
      <c r="V203">
        <v>0</v>
      </c>
      <c r="W203">
        <v>0</v>
      </c>
      <c r="X203">
        <v>15</v>
      </c>
      <c r="Y203">
        <v>0</v>
      </c>
      <c r="Z203">
        <v>0</v>
      </c>
      <c r="AA203">
        <v>0</v>
      </c>
      <c r="AB203">
        <v>72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</row>
    <row r="204" spans="1:48" x14ac:dyDescent="0.25">
      <c r="A204" t="s">
        <v>74</v>
      </c>
      <c r="B204" t="s">
        <v>75</v>
      </c>
      <c r="C204" t="s">
        <v>79</v>
      </c>
      <c r="D204">
        <v>2015</v>
      </c>
      <c r="E204">
        <v>139</v>
      </c>
      <c r="F204">
        <v>298</v>
      </c>
      <c r="G204">
        <v>269</v>
      </c>
      <c r="H204">
        <v>127</v>
      </c>
      <c r="I204">
        <v>28</v>
      </c>
      <c r="J204">
        <v>83</v>
      </c>
      <c r="K204">
        <v>32</v>
      </c>
      <c r="L204">
        <v>93</v>
      </c>
      <c r="M204">
        <v>73</v>
      </c>
      <c r="N204">
        <v>120</v>
      </c>
      <c r="O204">
        <v>69</v>
      </c>
      <c r="P204">
        <v>116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</row>
    <row r="205" spans="1:48" x14ac:dyDescent="0.25">
      <c r="A205" t="s">
        <v>74</v>
      </c>
      <c r="B205" t="s">
        <v>75</v>
      </c>
      <c r="C205" t="s">
        <v>82</v>
      </c>
      <c r="D205">
        <v>2015</v>
      </c>
      <c r="E205">
        <v>1895</v>
      </c>
      <c r="F205">
        <v>1281</v>
      </c>
      <c r="G205">
        <v>2363</v>
      </c>
      <c r="H205">
        <v>1259</v>
      </c>
      <c r="I205">
        <v>69</v>
      </c>
      <c r="J205">
        <v>810</v>
      </c>
      <c r="K205">
        <v>5152</v>
      </c>
      <c r="L205">
        <v>333</v>
      </c>
      <c r="M205">
        <v>1277</v>
      </c>
      <c r="N205">
        <v>675</v>
      </c>
      <c r="O205">
        <v>22</v>
      </c>
      <c r="P205">
        <v>76</v>
      </c>
      <c r="Q205">
        <v>148</v>
      </c>
      <c r="R205">
        <v>0</v>
      </c>
      <c r="S205">
        <v>12</v>
      </c>
      <c r="T205">
        <v>0</v>
      </c>
      <c r="U205">
        <v>185</v>
      </c>
      <c r="V205">
        <v>0</v>
      </c>
      <c r="W205">
        <v>0</v>
      </c>
      <c r="X205">
        <v>157</v>
      </c>
      <c r="Y205">
        <v>0</v>
      </c>
      <c r="Z205">
        <v>0</v>
      </c>
      <c r="AA205">
        <v>0</v>
      </c>
      <c r="AB205">
        <v>29</v>
      </c>
      <c r="AC205">
        <v>0</v>
      </c>
      <c r="AD205">
        <v>0</v>
      </c>
      <c r="AE205">
        <v>130</v>
      </c>
      <c r="AF205">
        <v>0</v>
      </c>
      <c r="AG205">
        <v>0</v>
      </c>
      <c r="AH205">
        <v>272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54</v>
      </c>
      <c r="AT205">
        <v>193</v>
      </c>
      <c r="AU205">
        <v>0</v>
      </c>
      <c r="AV205">
        <v>0</v>
      </c>
    </row>
    <row r="206" spans="1:48" x14ac:dyDescent="0.25">
      <c r="A206" t="s">
        <v>74</v>
      </c>
      <c r="B206" t="s">
        <v>75</v>
      </c>
      <c r="C206" t="s">
        <v>83</v>
      </c>
      <c r="D206">
        <v>2015</v>
      </c>
      <c r="E206">
        <v>699</v>
      </c>
      <c r="F206">
        <v>254</v>
      </c>
      <c r="G206">
        <v>1043</v>
      </c>
      <c r="H206">
        <v>1209</v>
      </c>
      <c r="I206">
        <v>87</v>
      </c>
      <c r="J206">
        <v>307</v>
      </c>
      <c r="K206">
        <v>794</v>
      </c>
      <c r="L206">
        <v>47</v>
      </c>
      <c r="M206">
        <v>342</v>
      </c>
      <c r="N206">
        <v>371</v>
      </c>
      <c r="O206">
        <v>71</v>
      </c>
      <c r="P206">
        <v>97</v>
      </c>
      <c r="Q206">
        <v>600</v>
      </c>
      <c r="R206">
        <v>0</v>
      </c>
      <c r="S206">
        <v>18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25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</row>
    <row r="207" spans="1:48" x14ac:dyDescent="0.25">
      <c r="A207" t="s">
        <v>74</v>
      </c>
      <c r="B207" t="s">
        <v>75</v>
      </c>
      <c r="C207" t="s">
        <v>76</v>
      </c>
      <c r="D207">
        <v>2016</v>
      </c>
      <c r="E207">
        <v>84</v>
      </c>
      <c r="F207">
        <v>0</v>
      </c>
      <c r="G207">
        <v>24</v>
      </c>
      <c r="H207">
        <v>33</v>
      </c>
      <c r="I207">
        <v>0</v>
      </c>
      <c r="J207">
        <v>7</v>
      </c>
      <c r="K207">
        <v>12</v>
      </c>
      <c r="L207">
        <v>0</v>
      </c>
      <c r="M207">
        <v>1</v>
      </c>
      <c r="N207">
        <v>92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</row>
    <row r="208" spans="1:48" x14ac:dyDescent="0.25">
      <c r="A208" t="s">
        <v>74</v>
      </c>
      <c r="B208" t="s">
        <v>75</v>
      </c>
      <c r="C208" t="s">
        <v>78</v>
      </c>
      <c r="D208">
        <v>2016</v>
      </c>
      <c r="E208">
        <v>1687</v>
      </c>
      <c r="F208">
        <v>0</v>
      </c>
      <c r="G208">
        <v>409</v>
      </c>
      <c r="H208">
        <v>579</v>
      </c>
      <c r="I208">
        <v>3</v>
      </c>
      <c r="J208">
        <v>240</v>
      </c>
      <c r="K208">
        <v>77</v>
      </c>
      <c r="L208">
        <v>0</v>
      </c>
      <c r="M208">
        <v>1356</v>
      </c>
      <c r="N208">
        <v>429</v>
      </c>
      <c r="O208">
        <v>187</v>
      </c>
      <c r="P208">
        <v>117</v>
      </c>
      <c r="Q208">
        <v>626</v>
      </c>
      <c r="R208">
        <v>0</v>
      </c>
      <c r="S208">
        <v>450</v>
      </c>
      <c r="T208">
        <v>0</v>
      </c>
      <c r="U208">
        <v>802</v>
      </c>
      <c r="V208">
        <v>0</v>
      </c>
      <c r="W208">
        <v>0</v>
      </c>
      <c r="X208">
        <v>713</v>
      </c>
      <c r="Y208">
        <v>0</v>
      </c>
      <c r="Z208">
        <v>0</v>
      </c>
      <c r="AA208">
        <v>0</v>
      </c>
      <c r="AB208">
        <v>256</v>
      </c>
      <c r="AC208">
        <v>0</v>
      </c>
      <c r="AD208">
        <v>0</v>
      </c>
      <c r="AE208">
        <v>124</v>
      </c>
      <c r="AF208">
        <v>0</v>
      </c>
      <c r="AG208">
        <v>0</v>
      </c>
      <c r="AH208">
        <v>126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844</v>
      </c>
      <c r="AT208">
        <v>1073</v>
      </c>
      <c r="AU208">
        <v>0</v>
      </c>
      <c r="AV208">
        <v>0</v>
      </c>
    </row>
    <row r="209" spans="1:48" x14ac:dyDescent="0.25">
      <c r="A209" t="s">
        <v>74</v>
      </c>
      <c r="B209" t="s">
        <v>75</v>
      </c>
      <c r="C209" t="s">
        <v>80</v>
      </c>
      <c r="D209">
        <v>2016</v>
      </c>
      <c r="E209">
        <v>965</v>
      </c>
      <c r="F209">
        <v>47</v>
      </c>
      <c r="G209">
        <v>395</v>
      </c>
      <c r="H209">
        <v>694</v>
      </c>
      <c r="I209">
        <v>27</v>
      </c>
      <c r="J209">
        <v>128</v>
      </c>
      <c r="K209">
        <v>98</v>
      </c>
      <c r="L209">
        <v>0</v>
      </c>
      <c r="M209">
        <v>388</v>
      </c>
      <c r="N209">
        <v>638</v>
      </c>
      <c r="O209">
        <v>122</v>
      </c>
      <c r="P209">
        <v>86</v>
      </c>
      <c r="Q209">
        <v>262</v>
      </c>
      <c r="R209">
        <v>0</v>
      </c>
      <c r="S209">
        <v>58</v>
      </c>
      <c r="T209">
        <v>0</v>
      </c>
      <c r="U209">
        <v>135</v>
      </c>
      <c r="V209">
        <v>0</v>
      </c>
      <c r="W209">
        <v>0</v>
      </c>
      <c r="X209">
        <v>121</v>
      </c>
      <c r="Y209">
        <v>0</v>
      </c>
      <c r="Z209">
        <v>0</v>
      </c>
      <c r="AA209">
        <v>0</v>
      </c>
      <c r="AB209">
        <v>73</v>
      </c>
      <c r="AC209">
        <v>0</v>
      </c>
      <c r="AD209">
        <v>0</v>
      </c>
      <c r="AE209">
        <v>212</v>
      </c>
      <c r="AF209">
        <v>0</v>
      </c>
      <c r="AG209">
        <v>0</v>
      </c>
      <c r="AH209">
        <v>227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456</v>
      </c>
      <c r="AT209">
        <v>60</v>
      </c>
      <c r="AU209">
        <v>0</v>
      </c>
      <c r="AV209">
        <v>0</v>
      </c>
    </row>
    <row r="210" spans="1:48" x14ac:dyDescent="0.25">
      <c r="A210" t="s">
        <v>74</v>
      </c>
      <c r="B210" t="s">
        <v>75</v>
      </c>
      <c r="C210" t="s">
        <v>81</v>
      </c>
      <c r="D210">
        <v>2016</v>
      </c>
      <c r="E210">
        <v>241</v>
      </c>
      <c r="F210">
        <v>26</v>
      </c>
      <c r="G210">
        <v>100</v>
      </c>
      <c r="H210">
        <v>127</v>
      </c>
      <c r="I210">
        <v>1</v>
      </c>
      <c r="J210">
        <v>91</v>
      </c>
      <c r="K210">
        <v>62</v>
      </c>
      <c r="L210">
        <v>0</v>
      </c>
      <c r="M210">
        <v>28</v>
      </c>
      <c r="N210">
        <v>95</v>
      </c>
      <c r="O210">
        <v>16</v>
      </c>
      <c r="P210">
        <v>52</v>
      </c>
      <c r="Q210">
        <v>0</v>
      </c>
      <c r="R210">
        <v>0</v>
      </c>
      <c r="S210">
        <v>49</v>
      </c>
      <c r="T210">
        <v>0</v>
      </c>
      <c r="U210">
        <v>11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</row>
    <row r="211" spans="1:48" x14ac:dyDescent="0.25">
      <c r="A211" t="s">
        <v>74</v>
      </c>
      <c r="B211" t="s">
        <v>75</v>
      </c>
      <c r="C211" t="s">
        <v>79</v>
      </c>
      <c r="D211">
        <v>2016</v>
      </c>
      <c r="E211">
        <v>99</v>
      </c>
      <c r="F211">
        <v>29</v>
      </c>
      <c r="G211">
        <v>130</v>
      </c>
      <c r="H211">
        <v>15</v>
      </c>
      <c r="I211">
        <v>0</v>
      </c>
      <c r="J211">
        <v>10</v>
      </c>
      <c r="K211">
        <v>10</v>
      </c>
      <c r="L211">
        <v>0</v>
      </c>
      <c r="M211">
        <v>15</v>
      </c>
      <c r="N211">
        <v>46</v>
      </c>
      <c r="O211">
        <v>37</v>
      </c>
      <c r="P211">
        <v>99</v>
      </c>
      <c r="Q211">
        <v>0</v>
      </c>
      <c r="R211">
        <v>0</v>
      </c>
      <c r="S211">
        <v>37</v>
      </c>
      <c r="T211">
        <v>0</v>
      </c>
      <c r="U211">
        <v>82</v>
      </c>
      <c r="V211">
        <v>0</v>
      </c>
      <c r="W211">
        <v>0</v>
      </c>
      <c r="X211">
        <v>35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34</v>
      </c>
      <c r="AT211">
        <v>3</v>
      </c>
      <c r="AU211">
        <v>0</v>
      </c>
      <c r="AV211">
        <v>0</v>
      </c>
    </row>
    <row r="212" spans="1:48" x14ac:dyDescent="0.25">
      <c r="A212" t="s">
        <v>74</v>
      </c>
      <c r="B212" t="s">
        <v>75</v>
      </c>
      <c r="C212" t="s">
        <v>82</v>
      </c>
      <c r="D212">
        <v>2016</v>
      </c>
      <c r="E212">
        <v>1168</v>
      </c>
      <c r="F212">
        <v>817</v>
      </c>
      <c r="G212">
        <v>1785</v>
      </c>
      <c r="H212">
        <v>957</v>
      </c>
      <c r="I212">
        <v>29</v>
      </c>
      <c r="J212">
        <v>817</v>
      </c>
      <c r="K212">
        <v>5189</v>
      </c>
      <c r="L212">
        <v>198</v>
      </c>
      <c r="M212">
        <v>645</v>
      </c>
      <c r="N212">
        <v>822</v>
      </c>
      <c r="O212">
        <v>50</v>
      </c>
      <c r="P212">
        <v>46</v>
      </c>
      <c r="Q212">
        <v>0</v>
      </c>
      <c r="R212">
        <v>0</v>
      </c>
      <c r="S212">
        <v>101</v>
      </c>
      <c r="T212">
        <v>0</v>
      </c>
      <c r="U212">
        <v>414</v>
      </c>
      <c r="V212">
        <v>0</v>
      </c>
      <c r="W212">
        <v>0</v>
      </c>
      <c r="X212">
        <v>32</v>
      </c>
      <c r="Y212">
        <v>0</v>
      </c>
      <c r="Z212">
        <v>0</v>
      </c>
      <c r="AA212">
        <v>0</v>
      </c>
      <c r="AB212">
        <v>27</v>
      </c>
      <c r="AC212">
        <v>0</v>
      </c>
      <c r="AD212">
        <v>0</v>
      </c>
      <c r="AE212">
        <v>28</v>
      </c>
      <c r="AF212">
        <v>0</v>
      </c>
      <c r="AG212">
        <v>0</v>
      </c>
      <c r="AH212">
        <v>637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166</v>
      </c>
      <c r="AT212">
        <v>56</v>
      </c>
      <c r="AU212">
        <v>0</v>
      </c>
      <c r="AV212">
        <v>0</v>
      </c>
    </row>
    <row r="213" spans="1:48" x14ac:dyDescent="0.25">
      <c r="A213" t="s">
        <v>74</v>
      </c>
      <c r="B213" t="s">
        <v>75</v>
      </c>
      <c r="C213" t="s">
        <v>83</v>
      </c>
      <c r="D213">
        <v>2016</v>
      </c>
      <c r="E213">
        <v>772</v>
      </c>
      <c r="F213">
        <v>316</v>
      </c>
      <c r="G213">
        <v>1186</v>
      </c>
      <c r="H213">
        <v>1606</v>
      </c>
      <c r="I213">
        <v>65</v>
      </c>
      <c r="J213">
        <v>91</v>
      </c>
      <c r="K213">
        <v>1240</v>
      </c>
      <c r="L213">
        <v>158</v>
      </c>
      <c r="M213">
        <v>711</v>
      </c>
      <c r="N213">
        <v>671</v>
      </c>
      <c r="O213">
        <v>54</v>
      </c>
      <c r="P213">
        <v>96</v>
      </c>
      <c r="Q213">
        <v>712</v>
      </c>
      <c r="R213">
        <v>0</v>
      </c>
      <c r="S213">
        <v>59</v>
      </c>
      <c r="T213">
        <v>0</v>
      </c>
      <c r="U213">
        <v>22</v>
      </c>
      <c r="V213">
        <v>0</v>
      </c>
      <c r="W213">
        <v>0</v>
      </c>
      <c r="X213">
        <v>84</v>
      </c>
      <c r="Y213">
        <v>0</v>
      </c>
      <c r="Z213">
        <v>0</v>
      </c>
      <c r="AA213">
        <v>0</v>
      </c>
      <c r="AB213">
        <v>64</v>
      </c>
      <c r="AC213">
        <v>0</v>
      </c>
      <c r="AD213">
        <v>0</v>
      </c>
      <c r="AE213">
        <v>16</v>
      </c>
      <c r="AF213">
        <v>0</v>
      </c>
      <c r="AG213">
        <v>0</v>
      </c>
      <c r="AH213">
        <v>15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149</v>
      </c>
      <c r="AT213">
        <v>0</v>
      </c>
      <c r="AU213">
        <v>0</v>
      </c>
      <c r="AV213">
        <v>0</v>
      </c>
    </row>
    <row r="214" spans="1:48" x14ac:dyDescent="0.25">
      <c r="A214" t="s">
        <v>74</v>
      </c>
      <c r="B214" t="s">
        <v>75</v>
      </c>
      <c r="C214" t="s">
        <v>76</v>
      </c>
      <c r="D214">
        <v>2017</v>
      </c>
      <c r="E214">
        <v>69</v>
      </c>
      <c r="F214">
        <v>0</v>
      </c>
      <c r="G214">
        <v>0</v>
      </c>
      <c r="H214">
        <v>36</v>
      </c>
      <c r="I214">
        <v>0</v>
      </c>
      <c r="J214">
        <v>16</v>
      </c>
      <c r="K214">
        <v>33</v>
      </c>
      <c r="L214">
        <v>0</v>
      </c>
      <c r="M214">
        <v>0</v>
      </c>
      <c r="N214">
        <v>114</v>
      </c>
      <c r="O214">
        <v>2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</row>
    <row r="215" spans="1:48" x14ac:dyDescent="0.25">
      <c r="A215" t="s">
        <v>74</v>
      </c>
      <c r="B215" t="s">
        <v>75</v>
      </c>
      <c r="C215" t="s">
        <v>78</v>
      </c>
      <c r="D215">
        <v>2017</v>
      </c>
      <c r="E215">
        <v>1748</v>
      </c>
      <c r="F215">
        <v>28</v>
      </c>
      <c r="G215">
        <v>28</v>
      </c>
      <c r="H215">
        <v>570</v>
      </c>
      <c r="I215">
        <v>0</v>
      </c>
      <c r="J215">
        <v>417</v>
      </c>
      <c r="K215">
        <v>153</v>
      </c>
      <c r="L215">
        <v>0</v>
      </c>
      <c r="M215">
        <v>1877</v>
      </c>
      <c r="N215">
        <v>317</v>
      </c>
      <c r="O215">
        <v>186</v>
      </c>
      <c r="P215">
        <v>122</v>
      </c>
      <c r="Q215">
        <v>217</v>
      </c>
      <c r="R215">
        <v>0</v>
      </c>
      <c r="S215">
        <v>360</v>
      </c>
      <c r="T215">
        <v>0</v>
      </c>
      <c r="U215">
        <v>1271</v>
      </c>
      <c r="V215">
        <v>0</v>
      </c>
      <c r="W215">
        <v>265</v>
      </c>
      <c r="X215">
        <v>0</v>
      </c>
      <c r="Y215">
        <v>0</v>
      </c>
      <c r="Z215">
        <v>0</v>
      </c>
      <c r="AA215">
        <v>0</v>
      </c>
      <c r="AB215">
        <v>218</v>
      </c>
      <c r="AC215">
        <v>0</v>
      </c>
      <c r="AD215">
        <v>0</v>
      </c>
      <c r="AE215">
        <v>36</v>
      </c>
      <c r="AF215">
        <v>0</v>
      </c>
      <c r="AG215">
        <v>0</v>
      </c>
      <c r="AH215">
        <v>228</v>
      </c>
      <c r="AI215">
        <v>824</v>
      </c>
      <c r="AJ215">
        <v>93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</row>
    <row r="216" spans="1:48" x14ac:dyDescent="0.25">
      <c r="A216" t="s">
        <v>74</v>
      </c>
      <c r="B216" t="s">
        <v>75</v>
      </c>
      <c r="C216" t="s">
        <v>80</v>
      </c>
      <c r="D216">
        <v>2017</v>
      </c>
      <c r="E216">
        <v>434</v>
      </c>
      <c r="F216">
        <v>34</v>
      </c>
      <c r="G216">
        <v>0</v>
      </c>
      <c r="H216">
        <v>217</v>
      </c>
      <c r="I216">
        <v>66</v>
      </c>
      <c r="J216">
        <v>110</v>
      </c>
      <c r="K216">
        <v>51</v>
      </c>
      <c r="L216">
        <v>0</v>
      </c>
      <c r="M216">
        <v>190</v>
      </c>
      <c r="N216">
        <v>506</v>
      </c>
      <c r="O216">
        <v>166</v>
      </c>
      <c r="P216">
        <v>68</v>
      </c>
      <c r="Q216">
        <v>162</v>
      </c>
      <c r="R216">
        <v>0</v>
      </c>
      <c r="S216">
        <v>49</v>
      </c>
      <c r="T216">
        <v>0</v>
      </c>
      <c r="U216">
        <v>402</v>
      </c>
      <c r="V216">
        <v>0</v>
      </c>
      <c r="W216">
        <v>418</v>
      </c>
      <c r="X216">
        <v>0</v>
      </c>
      <c r="Y216">
        <v>0</v>
      </c>
      <c r="Z216">
        <v>0</v>
      </c>
      <c r="AA216">
        <v>0</v>
      </c>
      <c r="AB216">
        <v>62</v>
      </c>
      <c r="AC216">
        <v>0</v>
      </c>
      <c r="AD216">
        <v>0</v>
      </c>
      <c r="AE216">
        <v>135</v>
      </c>
      <c r="AF216">
        <v>0</v>
      </c>
      <c r="AG216">
        <v>0</v>
      </c>
      <c r="AH216">
        <v>22</v>
      </c>
      <c r="AI216">
        <v>258</v>
      </c>
      <c r="AJ216">
        <v>7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</row>
    <row r="217" spans="1:48" x14ac:dyDescent="0.25">
      <c r="A217" t="s">
        <v>74</v>
      </c>
      <c r="B217" t="s">
        <v>75</v>
      </c>
      <c r="C217" t="s">
        <v>81</v>
      </c>
      <c r="D217">
        <v>2017</v>
      </c>
      <c r="E217">
        <v>270</v>
      </c>
      <c r="F217">
        <v>30</v>
      </c>
      <c r="G217">
        <v>7</v>
      </c>
      <c r="H217">
        <v>164</v>
      </c>
      <c r="I217">
        <v>0</v>
      </c>
      <c r="J217">
        <v>114</v>
      </c>
      <c r="K217">
        <v>0</v>
      </c>
      <c r="L217">
        <v>0</v>
      </c>
      <c r="M217">
        <v>0</v>
      </c>
      <c r="N217">
        <v>136</v>
      </c>
      <c r="O217">
        <v>16</v>
      </c>
      <c r="P217">
        <v>17</v>
      </c>
      <c r="Q217">
        <v>0</v>
      </c>
      <c r="R217">
        <v>0</v>
      </c>
      <c r="S217">
        <v>53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</row>
    <row r="218" spans="1:48" x14ac:dyDescent="0.25">
      <c r="A218" t="s">
        <v>74</v>
      </c>
      <c r="B218" t="s">
        <v>75</v>
      </c>
      <c r="C218" t="s">
        <v>79</v>
      </c>
      <c r="D218">
        <v>2017</v>
      </c>
      <c r="E218">
        <v>51</v>
      </c>
      <c r="F218">
        <v>38</v>
      </c>
      <c r="G218">
        <v>12</v>
      </c>
      <c r="H218">
        <v>108</v>
      </c>
      <c r="I218">
        <v>0</v>
      </c>
      <c r="J218">
        <v>93</v>
      </c>
      <c r="K218">
        <v>36</v>
      </c>
      <c r="L218">
        <v>0</v>
      </c>
      <c r="M218">
        <v>81</v>
      </c>
      <c r="N218">
        <v>43</v>
      </c>
      <c r="O218">
        <v>62</v>
      </c>
      <c r="P218">
        <v>121</v>
      </c>
      <c r="Q218">
        <v>150</v>
      </c>
      <c r="R218">
        <v>0</v>
      </c>
      <c r="S218">
        <v>67</v>
      </c>
      <c r="T218">
        <v>0</v>
      </c>
      <c r="U218">
        <v>303</v>
      </c>
      <c r="V218">
        <v>0</v>
      </c>
      <c r="W218">
        <v>111</v>
      </c>
      <c r="X218">
        <v>0</v>
      </c>
      <c r="Y218">
        <v>0</v>
      </c>
      <c r="Z218">
        <v>0</v>
      </c>
      <c r="AA218">
        <v>0</v>
      </c>
      <c r="AB218">
        <v>37</v>
      </c>
      <c r="AC218">
        <v>0</v>
      </c>
      <c r="AD218">
        <v>0</v>
      </c>
      <c r="AE218">
        <v>70</v>
      </c>
      <c r="AF218">
        <v>0</v>
      </c>
      <c r="AG218">
        <v>0</v>
      </c>
      <c r="AH218">
        <v>24</v>
      </c>
      <c r="AI218">
        <v>147</v>
      </c>
      <c r="AJ218">
        <v>43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</row>
    <row r="219" spans="1:48" x14ac:dyDescent="0.25">
      <c r="A219" t="s">
        <v>74</v>
      </c>
      <c r="B219" t="s">
        <v>75</v>
      </c>
      <c r="C219" t="s">
        <v>82</v>
      </c>
      <c r="D219">
        <v>2017</v>
      </c>
      <c r="E219">
        <v>2003</v>
      </c>
      <c r="F219">
        <v>436</v>
      </c>
      <c r="G219">
        <v>14</v>
      </c>
      <c r="H219">
        <v>1726</v>
      </c>
      <c r="I219">
        <v>107</v>
      </c>
      <c r="J219">
        <v>1440</v>
      </c>
      <c r="K219">
        <v>7007</v>
      </c>
      <c r="L219">
        <v>213</v>
      </c>
      <c r="M219">
        <v>1194</v>
      </c>
      <c r="N219">
        <v>839</v>
      </c>
      <c r="O219">
        <v>9</v>
      </c>
      <c r="P219">
        <v>136</v>
      </c>
      <c r="Q219">
        <v>0</v>
      </c>
      <c r="R219">
        <v>0</v>
      </c>
      <c r="S219">
        <v>14</v>
      </c>
      <c r="T219">
        <v>0</v>
      </c>
      <c r="U219">
        <v>393</v>
      </c>
      <c r="V219">
        <v>0</v>
      </c>
      <c r="W219">
        <v>368</v>
      </c>
      <c r="X219">
        <v>0</v>
      </c>
      <c r="Y219">
        <v>0</v>
      </c>
      <c r="Z219">
        <v>0</v>
      </c>
      <c r="AA219">
        <v>0</v>
      </c>
      <c r="AB219">
        <v>27</v>
      </c>
      <c r="AC219">
        <v>0</v>
      </c>
      <c r="AD219">
        <v>0</v>
      </c>
      <c r="AE219">
        <v>90</v>
      </c>
      <c r="AF219">
        <v>40</v>
      </c>
      <c r="AG219">
        <v>0</v>
      </c>
      <c r="AH219">
        <v>281</v>
      </c>
      <c r="AI219">
        <v>196</v>
      </c>
      <c r="AJ219">
        <v>79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</row>
    <row r="220" spans="1:48" x14ac:dyDescent="0.25">
      <c r="A220" t="s">
        <v>74</v>
      </c>
      <c r="B220" t="s">
        <v>75</v>
      </c>
      <c r="C220" t="s">
        <v>83</v>
      </c>
      <c r="D220">
        <v>2017</v>
      </c>
      <c r="E220">
        <v>886</v>
      </c>
      <c r="F220">
        <v>238</v>
      </c>
      <c r="G220">
        <v>7</v>
      </c>
      <c r="H220">
        <v>1989</v>
      </c>
      <c r="I220">
        <v>114</v>
      </c>
      <c r="J220">
        <v>587</v>
      </c>
      <c r="K220">
        <v>1371</v>
      </c>
      <c r="L220">
        <v>198</v>
      </c>
      <c r="M220">
        <v>385</v>
      </c>
      <c r="N220">
        <v>998</v>
      </c>
      <c r="O220">
        <v>85</v>
      </c>
      <c r="P220">
        <v>69</v>
      </c>
      <c r="Q220">
        <v>142</v>
      </c>
      <c r="R220">
        <v>0</v>
      </c>
      <c r="S220">
        <v>94</v>
      </c>
      <c r="T220">
        <v>0</v>
      </c>
      <c r="U220">
        <v>254</v>
      </c>
      <c r="V220">
        <v>0</v>
      </c>
      <c r="W220">
        <v>212</v>
      </c>
      <c r="X220">
        <v>0</v>
      </c>
      <c r="Y220">
        <v>0</v>
      </c>
      <c r="Z220">
        <v>0</v>
      </c>
      <c r="AA220">
        <v>0</v>
      </c>
      <c r="AB220">
        <v>144</v>
      </c>
      <c r="AC220">
        <v>0</v>
      </c>
      <c r="AD220">
        <v>0</v>
      </c>
      <c r="AE220">
        <v>80</v>
      </c>
      <c r="AF220">
        <v>11</v>
      </c>
      <c r="AG220">
        <v>0</v>
      </c>
      <c r="AH220">
        <v>103</v>
      </c>
      <c r="AI220">
        <v>117</v>
      </c>
      <c r="AJ220">
        <v>33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</row>
    <row r="221" spans="1:48" x14ac:dyDescent="0.25">
      <c r="A221" t="s">
        <v>74</v>
      </c>
      <c r="B221" t="s">
        <v>87</v>
      </c>
      <c r="C221" t="s">
        <v>88</v>
      </c>
      <c r="D221">
        <v>2005</v>
      </c>
      <c r="E221">
        <v>7.4</v>
      </c>
      <c r="F221">
        <v>10.6</v>
      </c>
      <c r="G221">
        <v>240.6</v>
      </c>
      <c r="H221">
        <v>940.6</v>
      </c>
      <c r="I221">
        <v>0</v>
      </c>
      <c r="J221">
        <v>20.6</v>
      </c>
      <c r="K221">
        <v>427.6</v>
      </c>
      <c r="L221">
        <v>77.599999999999994</v>
      </c>
      <c r="M221">
        <v>7.6</v>
      </c>
      <c r="N221">
        <v>5.6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</row>
    <row r="222" spans="1:48" x14ac:dyDescent="0.25">
      <c r="A222" t="s">
        <v>74</v>
      </c>
      <c r="B222" t="s">
        <v>87</v>
      </c>
      <c r="C222" t="s">
        <v>88</v>
      </c>
      <c r="D222">
        <v>2006</v>
      </c>
      <c r="E222">
        <v>8.6</v>
      </c>
      <c r="F222">
        <v>10.4</v>
      </c>
      <c r="G222">
        <v>2245.6</v>
      </c>
      <c r="H222">
        <v>941.6</v>
      </c>
      <c r="I222">
        <v>0</v>
      </c>
      <c r="J222">
        <v>22.4</v>
      </c>
      <c r="K222">
        <v>428.6</v>
      </c>
      <c r="L222">
        <v>769.6</v>
      </c>
      <c r="M222">
        <v>8.6</v>
      </c>
      <c r="N222">
        <v>5.7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</row>
    <row r="223" spans="1:48" x14ac:dyDescent="0.25">
      <c r="A223" t="s">
        <v>74</v>
      </c>
      <c r="B223" t="s">
        <v>87</v>
      </c>
      <c r="C223" t="s">
        <v>88</v>
      </c>
      <c r="D223">
        <v>2007</v>
      </c>
      <c r="E223">
        <v>7.5</v>
      </c>
      <c r="F223">
        <v>10.199999999999999</v>
      </c>
      <c r="G223">
        <v>243.4</v>
      </c>
      <c r="H223">
        <v>942.6</v>
      </c>
      <c r="I223">
        <v>0</v>
      </c>
      <c r="J223">
        <v>20.3</v>
      </c>
      <c r="K223">
        <v>426.6</v>
      </c>
      <c r="L223">
        <v>769.4</v>
      </c>
      <c r="M223">
        <v>6.6</v>
      </c>
      <c r="N223">
        <v>5.8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</row>
    <row r="224" spans="1:48" x14ac:dyDescent="0.25">
      <c r="A224" t="s">
        <v>74</v>
      </c>
      <c r="B224" t="s">
        <v>87</v>
      </c>
      <c r="C224" t="s">
        <v>88</v>
      </c>
      <c r="D224">
        <v>2008</v>
      </c>
      <c r="E224">
        <v>8.1999999999999993</v>
      </c>
      <c r="F224">
        <v>10.199999999999999</v>
      </c>
      <c r="G224">
        <v>242.6</v>
      </c>
      <c r="H224">
        <v>942.6</v>
      </c>
      <c r="I224">
        <v>0</v>
      </c>
      <c r="J224">
        <v>19.899999999999999</v>
      </c>
      <c r="K224">
        <v>426.9</v>
      </c>
      <c r="L224">
        <v>769.4</v>
      </c>
      <c r="M224">
        <v>6.9</v>
      </c>
      <c r="N224">
        <v>4.9000000000000004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</row>
    <row r="225" spans="1:48" x14ac:dyDescent="0.25">
      <c r="A225" t="s">
        <v>74</v>
      </c>
      <c r="B225" t="s">
        <v>87</v>
      </c>
      <c r="C225" t="s">
        <v>88</v>
      </c>
      <c r="D225">
        <v>2009</v>
      </c>
      <c r="E225">
        <v>7.1</v>
      </c>
      <c r="F225">
        <v>9.9</v>
      </c>
      <c r="G225">
        <v>241.6</v>
      </c>
      <c r="H225">
        <v>940.4</v>
      </c>
      <c r="I225">
        <v>0</v>
      </c>
      <c r="J225">
        <v>18.899999999999999</v>
      </c>
      <c r="K225">
        <v>426.2</v>
      </c>
      <c r="L225">
        <v>459.9</v>
      </c>
      <c r="M225">
        <v>6.2</v>
      </c>
      <c r="N225">
        <v>4.7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</row>
    <row r="226" spans="1:48" x14ac:dyDescent="0.25">
      <c r="A226" t="s">
        <v>74</v>
      </c>
      <c r="B226" t="s">
        <v>87</v>
      </c>
      <c r="C226" t="s">
        <v>88</v>
      </c>
      <c r="D226">
        <v>2010</v>
      </c>
      <c r="E226">
        <v>7.4</v>
      </c>
      <c r="F226">
        <v>7.9</v>
      </c>
      <c r="G226">
        <v>240.6</v>
      </c>
      <c r="H226">
        <v>945.1</v>
      </c>
      <c r="I226">
        <v>0</v>
      </c>
      <c r="J226">
        <v>20.399999999999999</v>
      </c>
      <c r="K226">
        <v>425.9</v>
      </c>
      <c r="L226">
        <v>765.9</v>
      </c>
      <c r="M226">
        <v>6.2</v>
      </c>
      <c r="N226">
        <v>4.8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</row>
    <row r="227" spans="1:48" x14ac:dyDescent="0.25">
      <c r="A227" t="s">
        <v>74</v>
      </c>
      <c r="B227" t="s">
        <v>87</v>
      </c>
      <c r="C227" t="s">
        <v>88</v>
      </c>
      <c r="D227">
        <v>2011</v>
      </c>
      <c r="E227">
        <v>7.6</v>
      </c>
      <c r="F227">
        <v>8.6</v>
      </c>
      <c r="G227">
        <v>231.4</v>
      </c>
      <c r="H227">
        <v>942.4</v>
      </c>
      <c r="I227">
        <v>0</v>
      </c>
      <c r="J227">
        <v>19.399999999999999</v>
      </c>
      <c r="K227">
        <v>427.6</v>
      </c>
      <c r="L227">
        <v>764.9</v>
      </c>
      <c r="M227">
        <v>7.6</v>
      </c>
      <c r="N227">
        <v>5.4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</row>
    <row r="228" spans="1:48" x14ac:dyDescent="0.25">
      <c r="A228" t="s">
        <v>74</v>
      </c>
      <c r="B228" t="s">
        <v>87</v>
      </c>
      <c r="C228" t="s">
        <v>88</v>
      </c>
      <c r="D228">
        <v>2012</v>
      </c>
      <c r="E228">
        <v>6.7</v>
      </c>
      <c r="F228">
        <v>8.6999999999999993</v>
      </c>
      <c r="G228">
        <v>234.6</v>
      </c>
      <c r="H228">
        <v>935.6</v>
      </c>
      <c r="I228">
        <v>0</v>
      </c>
      <c r="J228">
        <v>19.8</v>
      </c>
      <c r="K228">
        <v>427.6</v>
      </c>
      <c r="L228">
        <v>759.2</v>
      </c>
      <c r="M228">
        <v>7.6</v>
      </c>
      <c r="N228">
        <v>5.6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</row>
    <row r="229" spans="1:48" x14ac:dyDescent="0.25">
      <c r="A229" t="s">
        <v>74</v>
      </c>
      <c r="B229" t="s">
        <v>87</v>
      </c>
      <c r="C229" t="s">
        <v>88</v>
      </c>
      <c r="D229">
        <v>2013</v>
      </c>
      <c r="E229">
        <v>6.4</v>
      </c>
      <c r="F229">
        <v>8.9</v>
      </c>
      <c r="G229">
        <v>233.6</v>
      </c>
      <c r="H229">
        <v>927.4</v>
      </c>
      <c r="I229">
        <v>0</v>
      </c>
      <c r="J229">
        <v>18.600000000000001</v>
      </c>
      <c r="K229">
        <v>427.6</v>
      </c>
      <c r="L229">
        <v>757.4</v>
      </c>
      <c r="M229">
        <v>7.6</v>
      </c>
      <c r="N229">
        <v>4.9000000000000004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</row>
    <row r="230" spans="1:48" x14ac:dyDescent="0.25">
      <c r="A230" t="s">
        <v>74</v>
      </c>
      <c r="B230" t="s">
        <v>87</v>
      </c>
      <c r="C230" t="s">
        <v>88</v>
      </c>
      <c r="D230">
        <v>2014</v>
      </c>
      <c r="E230">
        <v>6.3</v>
      </c>
      <c r="F230">
        <v>9.1</v>
      </c>
      <c r="G230">
        <v>235.2</v>
      </c>
      <c r="H230">
        <v>926.4</v>
      </c>
      <c r="I230">
        <v>0</v>
      </c>
      <c r="J230">
        <v>18.899999999999999</v>
      </c>
      <c r="K230">
        <v>428.2</v>
      </c>
      <c r="L230">
        <v>755.4</v>
      </c>
      <c r="M230">
        <v>8.1999999999999993</v>
      </c>
      <c r="N230">
        <v>4.7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</row>
    <row r="231" spans="1:48" x14ac:dyDescent="0.25">
      <c r="A231" t="s">
        <v>74</v>
      </c>
      <c r="B231" t="s">
        <v>87</v>
      </c>
      <c r="C231" t="s">
        <v>88</v>
      </c>
      <c r="D231">
        <v>2015</v>
      </c>
      <c r="E231">
        <v>6.8</v>
      </c>
      <c r="F231">
        <v>8.9</v>
      </c>
      <c r="G231">
        <v>234.6</v>
      </c>
      <c r="H231">
        <v>924.4</v>
      </c>
      <c r="I231">
        <v>0</v>
      </c>
      <c r="J231">
        <v>18.7</v>
      </c>
      <c r="K231">
        <v>429.6</v>
      </c>
      <c r="L231">
        <v>752.4</v>
      </c>
      <c r="M231">
        <v>9.6</v>
      </c>
      <c r="N231">
        <v>4.5999999999999996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</row>
    <row r="232" spans="1:48" x14ac:dyDescent="0.25">
      <c r="A232" t="s">
        <v>74</v>
      </c>
      <c r="B232" t="s">
        <v>87</v>
      </c>
      <c r="C232" t="s">
        <v>88</v>
      </c>
      <c r="D232">
        <v>2016</v>
      </c>
      <c r="E232">
        <v>0</v>
      </c>
      <c r="F232">
        <v>9.1999999999999993</v>
      </c>
      <c r="G232">
        <v>233.7</v>
      </c>
      <c r="H232">
        <v>922.6</v>
      </c>
      <c r="I232">
        <v>0</v>
      </c>
      <c r="J232">
        <v>18.600000000000001</v>
      </c>
      <c r="K232">
        <v>428.6</v>
      </c>
      <c r="L232">
        <v>751.4</v>
      </c>
      <c r="M232">
        <v>8.6</v>
      </c>
      <c r="N232">
        <v>4.7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</row>
    <row r="233" spans="1:48" x14ac:dyDescent="0.25">
      <c r="A233" t="s">
        <v>74</v>
      </c>
      <c r="B233" t="s">
        <v>87</v>
      </c>
      <c r="C233" t="s">
        <v>88</v>
      </c>
      <c r="D233">
        <v>2017</v>
      </c>
      <c r="E233">
        <v>6.4</v>
      </c>
      <c r="F233">
        <v>9.1999999999999993</v>
      </c>
      <c r="G233">
        <v>0</v>
      </c>
      <c r="H233">
        <v>925.6</v>
      </c>
      <c r="I233">
        <v>0</v>
      </c>
      <c r="J233">
        <v>18.899999999999999</v>
      </c>
      <c r="K233">
        <v>427.6</v>
      </c>
      <c r="L233">
        <v>754.6</v>
      </c>
      <c r="M233">
        <v>7.6</v>
      </c>
      <c r="N233">
        <v>4.8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</row>
    <row r="234" spans="1:48" x14ac:dyDescent="0.25">
      <c r="A234" t="s">
        <v>74</v>
      </c>
      <c r="B234" t="s">
        <v>87</v>
      </c>
      <c r="C234" t="s">
        <v>89</v>
      </c>
      <c r="D234">
        <v>2014</v>
      </c>
      <c r="E234">
        <v>6.3</v>
      </c>
      <c r="F234">
        <v>9.1</v>
      </c>
      <c r="G234">
        <v>153</v>
      </c>
      <c r="H234">
        <v>480.5</v>
      </c>
      <c r="I234">
        <v>0</v>
      </c>
      <c r="J234">
        <v>21</v>
      </c>
      <c r="K234">
        <v>325.10000000000002</v>
      </c>
      <c r="L234">
        <v>542</v>
      </c>
      <c r="M234">
        <v>8.1999999999999993</v>
      </c>
      <c r="N234">
        <v>4.7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</row>
    <row r="235" spans="1:48" x14ac:dyDescent="0.25">
      <c r="A235" t="s">
        <v>74</v>
      </c>
      <c r="B235" t="s">
        <v>87</v>
      </c>
      <c r="C235" t="s">
        <v>89</v>
      </c>
      <c r="D235">
        <v>2015</v>
      </c>
      <c r="E235">
        <v>6.8</v>
      </c>
      <c r="F235">
        <v>8.9</v>
      </c>
      <c r="G235">
        <v>140.5</v>
      </c>
      <c r="H235">
        <v>499.8</v>
      </c>
      <c r="I235">
        <v>0</v>
      </c>
      <c r="J235">
        <v>17</v>
      </c>
      <c r="K235">
        <v>332.6</v>
      </c>
      <c r="L235">
        <v>556</v>
      </c>
      <c r="M235">
        <v>9.6</v>
      </c>
      <c r="N235">
        <v>4.5999999999999996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</row>
    <row r="236" spans="1:48" x14ac:dyDescent="0.25">
      <c r="A236" t="s">
        <v>74</v>
      </c>
      <c r="B236" t="s">
        <v>87</v>
      </c>
      <c r="C236" t="s">
        <v>89</v>
      </c>
      <c r="D236">
        <v>2016</v>
      </c>
      <c r="E236">
        <v>0</v>
      </c>
      <c r="F236">
        <v>9.1999999999999993</v>
      </c>
      <c r="G236">
        <v>146.30000000000001</v>
      </c>
      <c r="H236">
        <v>534.20000000000005</v>
      </c>
      <c r="I236">
        <v>0</v>
      </c>
      <c r="J236">
        <v>16.5</v>
      </c>
      <c r="K236">
        <v>289.10000000000002</v>
      </c>
      <c r="L236">
        <v>489</v>
      </c>
      <c r="M236">
        <v>8.6</v>
      </c>
      <c r="N236">
        <v>4.7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</row>
    <row r="237" spans="1:48" x14ac:dyDescent="0.25">
      <c r="A237" t="s">
        <v>74</v>
      </c>
      <c r="B237" t="s">
        <v>87</v>
      </c>
      <c r="C237" t="s">
        <v>89</v>
      </c>
      <c r="D237">
        <v>2017</v>
      </c>
      <c r="E237">
        <v>5.4</v>
      </c>
      <c r="F237">
        <v>22.1</v>
      </c>
      <c r="G237">
        <v>0</v>
      </c>
      <c r="H237">
        <v>501.4</v>
      </c>
      <c r="I237">
        <v>0</v>
      </c>
      <c r="J237">
        <v>17.600000000000001</v>
      </c>
      <c r="K237">
        <v>345.8</v>
      </c>
      <c r="L237">
        <v>586</v>
      </c>
      <c r="M237">
        <v>7.6</v>
      </c>
      <c r="N237">
        <v>4.8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</row>
    <row r="238" spans="1:48" x14ac:dyDescent="0.25">
      <c r="A238" t="s">
        <v>74</v>
      </c>
      <c r="B238" t="s">
        <v>87</v>
      </c>
      <c r="C238" t="s">
        <v>90</v>
      </c>
      <c r="D238">
        <v>2011</v>
      </c>
      <c r="E238">
        <v>202.05</v>
      </c>
      <c r="F238">
        <v>76.349999999999994</v>
      </c>
      <c r="G238">
        <v>636.29999999999995</v>
      </c>
      <c r="H238">
        <v>176</v>
      </c>
      <c r="I238">
        <v>10.45</v>
      </c>
      <c r="J238">
        <v>90.9</v>
      </c>
      <c r="K238">
        <v>340.05</v>
      </c>
      <c r="L238">
        <v>93.8</v>
      </c>
      <c r="M238">
        <v>69</v>
      </c>
      <c r="N238">
        <v>418.85</v>
      </c>
      <c r="O238">
        <v>3.25</v>
      </c>
      <c r="P238">
        <v>14.3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</row>
    <row r="239" spans="1:48" x14ac:dyDescent="0.25">
      <c r="A239" t="s">
        <v>74</v>
      </c>
      <c r="B239" t="s">
        <v>87</v>
      </c>
      <c r="C239" t="s">
        <v>90</v>
      </c>
      <c r="D239">
        <v>2012</v>
      </c>
      <c r="E239">
        <v>64.3</v>
      </c>
      <c r="F239">
        <v>81.650000000000006</v>
      </c>
      <c r="G239">
        <v>383.85</v>
      </c>
      <c r="H239">
        <v>103.55</v>
      </c>
      <c r="I239">
        <v>13.4</v>
      </c>
      <c r="J239">
        <v>39.75</v>
      </c>
      <c r="K239">
        <v>73.099999999999994</v>
      </c>
      <c r="L239">
        <v>11.05</v>
      </c>
      <c r="M239">
        <v>33</v>
      </c>
      <c r="N239">
        <v>200.25</v>
      </c>
      <c r="O239">
        <v>0.25</v>
      </c>
      <c r="P239">
        <v>5.75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</row>
    <row r="240" spans="1:48" x14ac:dyDescent="0.25">
      <c r="A240" t="s">
        <v>74</v>
      </c>
      <c r="B240" t="s">
        <v>87</v>
      </c>
      <c r="C240" t="s">
        <v>90</v>
      </c>
      <c r="D240">
        <v>2013</v>
      </c>
      <c r="E240">
        <v>159.6</v>
      </c>
      <c r="F240">
        <v>101.2</v>
      </c>
      <c r="G240">
        <v>539.70000000000005</v>
      </c>
      <c r="H240">
        <v>189.7</v>
      </c>
      <c r="I240">
        <v>18.25</v>
      </c>
      <c r="J240">
        <v>147.19999999999999</v>
      </c>
      <c r="K240">
        <v>209.65</v>
      </c>
      <c r="L240">
        <v>37.299999999999997</v>
      </c>
      <c r="M240">
        <v>46.65</v>
      </c>
      <c r="N240">
        <v>260.7</v>
      </c>
      <c r="O240">
        <v>2.5</v>
      </c>
      <c r="P240">
        <v>8.5749999999999993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</row>
    <row r="241" spans="1:48" x14ac:dyDescent="0.25">
      <c r="A241" t="s">
        <v>74</v>
      </c>
      <c r="B241" t="s">
        <v>87</v>
      </c>
      <c r="C241" t="s">
        <v>90</v>
      </c>
      <c r="D241">
        <v>2014</v>
      </c>
      <c r="E241">
        <v>182.65</v>
      </c>
      <c r="F241">
        <v>87.5</v>
      </c>
      <c r="G241">
        <v>515.4</v>
      </c>
      <c r="H241">
        <v>206.8</v>
      </c>
      <c r="I241">
        <v>22.4</v>
      </c>
      <c r="J241">
        <v>169</v>
      </c>
      <c r="K241">
        <v>210.25</v>
      </c>
      <c r="L241">
        <v>46.2</v>
      </c>
      <c r="M241">
        <v>36.6</v>
      </c>
      <c r="N241">
        <v>249.05</v>
      </c>
      <c r="O241">
        <v>0</v>
      </c>
      <c r="P241">
        <v>9.5589999999999993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</row>
    <row r="242" spans="1:48" x14ac:dyDescent="0.25">
      <c r="A242" t="s">
        <v>74</v>
      </c>
      <c r="B242" t="s">
        <v>87</v>
      </c>
      <c r="C242" t="s">
        <v>90</v>
      </c>
      <c r="D242">
        <v>2015</v>
      </c>
      <c r="E242">
        <v>205.8</v>
      </c>
      <c r="F242">
        <v>120.1</v>
      </c>
      <c r="G242">
        <v>738.7</v>
      </c>
      <c r="H242">
        <v>289.05</v>
      </c>
      <c r="I242">
        <v>33.5</v>
      </c>
      <c r="J242">
        <v>112.2</v>
      </c>
      <c r="K242">
        <v>215.85</v>
      </c>
      <c r="L242">
        <v>11.4</v>
      </c>
      <c r="M242">
        <v>25.3</v>
      </c>
      <c r="N242">
        <v>326.39999999999998</v>
      </c>
      <c r="O242">
        <v>0.77500000000000002</v>
      </c>
      <c r="P242">
        <v>23.25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</row>
    <row r="243" spans="1:48" x14ac:dyDescent="0.25">
      <c r="A243" t="s">
        <v>74</v>
      </c>
      <c r="B243" t="s">
        <v>87</v>
      </c>
      <c r="C243" t="s">
        <v>90</v>
      </c>
      <c r="D243">
        <v>2016</v>
      </c>
      <c r="E243">
        <v>384.45</v>
      </c>
      <c r="F243">
        <v>57.2</v>
      </c>
      <c r="G243">
        <v>529.02499999999998</v>
      </c>
      <c r="H243">
        <v>409.35</v>
      </c>
      <c r="I243">
        <v>16.95</v>
      </c>
      <c r="J243">
        <v>128.65</v>
      </c>
      <c r="K243">
        <v>197.75</v>
      </c>
      <c r="L243">
        <v>23</v>
      </c>
      <c r="M243">
        <v>19.7</v>
      </c>
      <c r="N243">
        <v>379.4</v>
      </c>
      <c r="O243">
        <v>0.75</v>
      </c>
      <c r="P243">
        <v>15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</row>
    <row r="244" spans="1:48" x14ac:dyDescent="0.25">
      <c r="A244" t="s">
        <v>74</v>
      </c>
      <c r="B244" t="s">
        <v>87</v>
      </c>
      <c r="C244" t="s">
        <v>90</v>
      </c>
      <c r="D244">
        <v>2017</v>
      </c>
      <c r="E244">
        <v>264.89999999999998</v>
      </c>
      <c r="F244">
        <v>13.7</v>
      </c>
      <c r="G244">
        <v>6.15</v>
      </c>
      <c r="H244">
        <v>601.1</v>
      </c>
      <c r="I244">
        <v>22.65</v>
      </c>
      <c r="J244">
        <v>112.5</v>
      </c>
      <c r="K244">
        <v>108.8</v>
      </c>
      <c r="L244">
        <v>7.9</v>
      </c>
      <c r="M244">
        <v>66.75</v>
      </c>
      <c r="N244">
        <v>257.64999999999998</v>
      </c>
      <c r="O244">
        <v>3.2749999999999999</v>
      </c>
      <c r="P244">
        <v>53.05</v>
      </c>
      <c r="Q244">
        <v>0</v>
      </c>
      <c r="R244">
        <v>0</v>
      </c>
      <c r="S244">
        <v>12.5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7.1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23.25</v>
      </c>
      <c r="AG244">
        <v>8.5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2.4</v>
      </c>
      <c r="AV244">
        <v>5.5</v>
      </c>
    </row>
    <row r="245" spans="1:48" x14ac:dyDescent="0.25">
      <c r="A245" t="s">
        <v>74</v>
      </c>
      <c r="B245" t="s">
        <v>94</v>
      </c>
      <c r="C245" t="s">
        <v>95</v>
      </c>
      <c r="D245">
        <v>2017</v>
      </c>
      <c r="E245">
        <v>900.95</v>
      </c>
      <c r="F245">
        <v>81.05</v>
      </c>
      <c r="G245">
        <v>0</v>
      </c>
      <c r="H245">
        <v>2073.1999999999998</v>
      </c>
      <c r="I245">
        <v>0</v>
      </c>
      <c r="J245">
        <v>300.2</v>
      </c>
      <c r="K245">
        <v>1282</v>
      </c>
      <c r="L245">
        <v>57.7</v>
      </c>
      <c r="M245">
        <v>1919.65</v>
      </c>
      <c r="N245">
        <v>276.55</v>
      </c>
      <c r="O245">
        <v>3.7250000000000001</v>
      </c>
      <c r="P245">
        <v>2.625</v>
      </c>
      <c r="Q245">
        <v>0</v>
      </c>
      <c r="R245">
        <v>0</v>
      </c>
      <c r="S245">
        <v>1.2250000000000001</v>
      </c>
      <c r="T245">
        <v>5</v>
      </c>
      <c r="U245">
        <v>0</v>
      </c>
      <c r="V245">
        <v>0</v>
      </c>
      <c r="W245">
        <v>0</v>
      </c>
      <c r="X245">
        <v>0.3</v>
      </c>
      <c r="Y245">
        <v>0.2</v>
      </c>
      <c r="Z245">
        <v>0</v>
      </c>
      <c r="AA245">
        <v>367.05</v>
      </c>
      <c r="AB245">
        <v>7.4999999999999997E-2</v>
      </c>
      <c r="AC245">
        <v>0</v>
      </c>
      <c r="AD245">
        <v>0</v>
      </c>
      <c r="AE245">
        <v>0</v>
      </c>
      <c r="AF245">
        <v>927.7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</row>
    <row r="246" spans="1:48" x14ac:dyDescent="0.25">
      <c r="A246" t="s">
        <v>74</v>
      </c>
      <c r="B246" t="s">
        <v>94</v>
      </c>
      <c r="C246" t="s">
        <v>96</v>
      </c>
      <c r="D246">
        <v>2017</v>
      </c>
      <c r="E246">
        <v>617.54999999999995</v>
      </c>
      <c r="F246">
        <v>72.3</v>
      </c>
      <c r="G246">
        <v>43.35</v>
      </c>
      <c r="H246">
        <v>414.8</v>
      </c>
      <c r="I246">
        <v>26.3</v>
      </c>
      <c r="J246">
        <v>109.15</v>
      </c>
      <c r="K246">
        <v>92.2</v>
      </c>
      <c r="L246">
        <v>22.35</v>
      </c>
      <c r="M246">
        <v>42.95</v>
      </c>
      <c r="N246">
        <v>600.1</v>
      </c>
      <c r="O246">
        <v>70.5</v>
      </c>
      <c r="P246">
        <v>90.8</v>
      </c>
      <c r="Q246">
        <v>0</v>
      </c>
      <c r="R246">
        <v>0</v>
      </c>
      <c r="S246">
        <v>8.0250000000000004</v>
      </c>
      <c r="T246">
        <v>18.7</v>
      </c>
      <c r="U246">
        <v>0</v>
      </c>
      <c r="V246">
        <v>0</v>
      </c>
      <c r="W246">
        <v>0</v>
      </c>
      <c r="X246">
        <v>0</v>
      </c>
      <c r="Y246">
        <v>6.9</v>
      </c>
      <c r="Z246">
        <v>0</v>
      </c>
      <c r="AA246">
        <v>25.05</v>
      </c>
      <c r="AB246">
        <v>9.375</v>
      </c>
      <c r="AC246">
        <v>5.5250000000000004</v>
      </c>
      <c r="AD246">
        <v>3.6749999999999998</v>
      </c>
      <c r="AE246">
        <v>29.35</v>
      </c>
      <c r="AF246">
        <v>3.3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</row>
    <row r="247" spans="1:48" x14ac:dyDescent="0.25">
      <c r="A247" t="s">
        <v>74</v>
      </c>
      <c r="B247" t="s">
        <v>94</v>
      </c>
      <c r="C247" t="s">
        <v>97</v>
      </c>
      <c r="D247">
        <v>2017</v>
      </c>
      <c r="E247">
        <v>591.25</v>
      </c>
      <c r="F247">
        <v>308.5</v>
      </c>
      <c r="G247">
        <v>0</v>
      </c>
      <c r="H247">
        <v>847.95</v>
      </c>
      <c r="I247">
        <v>8.1</v>
      </c>
      <c r="J247">
        <v>127.7</v>
      </c>
      <c r="K247">
        <v>266.95</v>
      </c>
      <c r="L247">
        <v>0</v>
      </c>
      <c r="M247">
        <v>174.45</v>
      </c>
      <c r="N247">
        <v>579.85</v>
      </c>
      <c r="O247">
        <v>14.2</v>
      </c>
      <c r="P247">
        <v>25.25</v>
      </c>
      <c r="Q247">
        <v>0</v>
      </c>
      <c r="R247">
        <v>0</v>
      </c>
      <c r="S247">
        <v>0.6</v>
      </c>
      <c r="T247">
        <v>0</v>
      </c>
      <c r="U247">
        <v>0</v>
      </c>
      <c r="V247">
        <v>0</v>
      </c>
      <c r="W247">
        <v>0</v>
      </c>
      <c r="X247">
        <v>11.1</v>
      </c>
      <c r="Y247">
        <v>3.35</v>
      </c>
      <c r="Z247">
        <v>0</v>
      </c>
      <c r="AA247">
        <v>78</v>
      </c>
      <c r="AB247">
        <v>2.875</v>
      </c>
      <c r="AC247">
        <v>0</v>
      </c>
      <c r="AD247">
        <v>0.4</v>
      </c>
      <c r="AE247">
        <v>3</v>
      </c>
      <c r="AF247">
        <v>3.8</v>
      </c>
      <c r="AG247">
        <v>15.1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</row>
    <row r="248" spans="1:48" x14ac:dyDescent="0.25">
      <c r="A248" t="s">
        <v>74</v>
      </c>
      <c r="B248" t="s">
        <v>94</v>
      </c>
      <c r="C248" t="s">
        <v>98</v>
      </c>
      <c r="D248">
        <v>2017</v>
      </c>
      <c r="E248">
        <v>1308.5</v>
      </c>
      <c r="F248">
        <v>357.55</v>
      </c>
      <c r="G248">
        <v>71.900000000000006</v>
      </c>
      <c r="H248">
        <v>1210</v>
      </c>
      <c r="I248">
        <v>16.25</v>
      </c>
      <c r="J248">
        <v>197.55</v>
      </c>
      <c r="K248">
        <v>120.1</v>
      </c>
      <c r="L248">
        <v>0</v>
      </c>
      <c r="M248">
        <v>215.45</v>
      </c>
      <c r="N248">
        <v>1672.65</v>
      </c>
      <c r="O248">
        <v>89.05</v>
      </c>
      <c r="P248">
        <v>34.774999999999999</v>
      </c>
      <c r="Q248">
        <v>0</v>
      </c>
      <c r="R248">
        <v>0</v>
      </c>
      <c r="S248">
        <v>45.3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47</v>
      </c>
      <c r="Z248">
        <v>0</v>
      </c>
      <c r="AA248">
        <v>0</v>
      </c>
      <c r="AB248">
        <v>13.225</v>
      </c>
      <c r="AC248">
        <v>5.125</v>
      </c>
      <c r="AD248">
        <v>7.25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</row>
    <row r="249" spans="1:48" x14ac:dyDescent="0.25">
      <c r="A249" t="s">
        <v>74</v>
      </c>
      <c r="B249" t="s">
        <v>94</v>
      </c>
      <c r="C249" t="s">
        <v>99</v>
      </c>
      <c r="D249">
        <v>2017</v>
      </c>
      <c r="E249">
        <v>1569.1</v>
      </c>
      <c r="F249">
        <v>57.6</v>
      </c>
      <c r="G249">
        <v>14.1</v>
      </c>
      <c r="H249">
        <v>968.95</v>
      </c>
      <c r="I249">
        <v>12.85</v>
      </c>
      <c r="J249">
        <v>124.25</v>
      </c>
      <c r="K249">
        <v>355.7</v>
      </c>
      <c r="L249">
        <v>10</v>
      </c>
      <c r="M249">
        <v>130.55000000000001</v>
      </c>
      <c r="N249">
        <v>1521.4</v>
      </c>
      <c r="O249">
        <v>148.94999999999999</v>
      </c>
      <c r="P249">
        <v>14.3</v>
      </c>
      <c r="Q249">
        <v>0</v>
      </c>
      <c r="R249">
        <v>0</v>
      </c>
      <c r="S249">
        <v>31.925000000000001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6.9</v>
      </c>
      <c r="AA249">
        <v>4.05</v>
      </c>
      <c r="AB249">
        <v>4.3499999999999996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</row>
    <row r="250" spans="1:48" x14ac:dyDescent="0.25">
      <c r="A250" t="s">
        <v>74</v>
      </c>
      <c r="B250" t="s">
        <v>94</v>
      </c>
      <c r="C250" t="s">
        <v>100</v>
      </c>
      <c r="D250">
        <v>2017</v>
      </c>
      <c r="E250">
        <v>26.8</v>
      </c>
      <c r="F250">
        <v>0</v>
      </c>
      <c r="G250">
        <v>0</v>
      </c>
      <c r="H250">
        <v>80.25</v>
      </c>
      <c r="I250">
        <v>0</v>
      </c>
      <c r="J250">
        <v>32</v>
      </c>
      <c r="K250">
        <v>11.5</v>
      </c>
      <c r="L250">
        <v>0</v>
      </c>
      <c r="M250">
        <v>0</v>
      </c>
      <c r="N250">
        <v>35</v>
      </c>
      <c r="O250">
        <v>0</v>
      </c>
      <c r="P250">
        <v>4.4749999999999996</v>
      </c>
      <c r="Q250">
        <v>0</v>
      </c>
      <c r="R250">
        <v>0</v>
      </c>
      <c r="S250">
        <v>0.05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107.35</v>
      </c>
      <c r="Z250">
        <v>0</v>
      </c>
      <c r="AA250">
        <v>90.55</v>
      </c>
      <c r="AB250">
        <v>0.22500000000000001</v>
      </c>
      <c r="AC250">
        <v>0</v>
      </c>
      <c r="AD250">
        <v>0</v>
      </c>
      <c r="AE250">
        <v>0</v>
      </c>
      <c r="AF250">
        <v>105.65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</row>
    <row r="251" spans="1:48" x14ac:dyDescent="0.25">
      <c r="A251" t="s">
        <v>74</v>
      </c>
      <c r="B251" t="s">
        <v>94</v>
      </c>
      <c r="C251" t="s">
        <v>101</v>
      </c>
      <c r="D251">
        <v>2017</v>
      </c>
      <c r="E251">
        <v>220.7</v>
      </c>
      <c r="F251">
        <v>0</v>
      </c>
      <c r="G251">
        <v>0</v>
      </c>
      <c r="H251">
        <v>575.35</v>
      </c>
      <c r="I251">
        <v>5.25</v>
      </c>
      <c r="J251">
        <v>13.8</v>
      </c>
      <c r="K251">
        <v>34.5</v>
      </c>
      <c r="L251">
        <v>143.65</v>
      </c>
      <c r="M251">
        <v>6.55</v>
      </c>
      <c r="N251">
        <v>256.75</v>
      </c>
      <c r="O251">
        <v>17.850000000000001</v>
      </c>
      <c r="P251">
        <v>3.8250000000000002</v>
      </c>
      <c r="Q251">
        <v>0</v>
      </c>
      <c r="R251">
        <v>0</v>
      </c>
      <c r="S251">
        <v>1.2250000000000001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0.3</v>
      </c>
      <c r="AB251">
        <v>0.4</v>
      </c>
      <c r="AC251">
        <v>2.5000000000000001E-2</v>
      </c>
      <c r="AD251">
        <v>0.22500000000000001</v>
      </c>
      <c r="AE251">
        <v>0</v>
      </c>
      <c r="AF251">
        <v>186.85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</row>
    <row r="252" spans="1:48" x14ac:dyDescent="0.25">
      <c r="A252" t="s">
        <v>74</v>
      </c>
      <c r="B252" t="s">
        <v>94</v>
      </c>
      <c r="C252" t="s">
        <v>102</v>
      </c>
      <c r="D252">
        <v>2017</v>
      </c>
      <c r="E252">
        <v>46.8</v>
      </c>
      <c r="F252">
        <v>0</v>
      </c>
      <c r="G252">
        <v>0</v>
      </c>
      <c r="H252">
        <v>357.3</v>
      </c>
      <c r="I252">
        <v>0</v>
      </c>
      <c r="J252">
        <v>9.75</v>
      </c>
      <c r="K252">
        <v>237.3</v>
      </c>
      <c r="L252">
        <v>0.5</v>
      </c>
      <c r="M252">
        <v>183.25</v>
      </c>
      <c r="N252">
        <v>27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0.1</v>
      </c>
      <c r="AC252">
        <v>0</v>
      </c>
      <c r="AD252">
        <v>0</v>
      </c>
      <c r="AE252">
        <v>0</v>
      </c>
      <c r="AF252">
        <v>107.3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</row>
    <row r="253" spans="1:48" x14ac:dyDescent="0.25">
      <c r="A253" t="s">
        <v>74</v>
      </c>
      <c r="B253" t="s">
        <v>94</v>
      </c>
      <c r="C253" t="s">
        <v>103</v>
      </c>
      <c r="D253">
        <v>2017</v>
      </c>
      <c r="E253">
        <v>175.75</v>
      </c>
      <c r="F253">
        <v>37.35</v>
      </c>
      <c r="G253">
        <v>0</v>
      </c>
      <c r="H253">
        <v>1372.1</v>
      </c>
      <c r="I253">
        <v>0.9</v>
      </c>
      <c r="J253">
        <v>342.5</v>
      </c>
      <c r="K253">
        <v>434.45</v>
      </c>
      <c r="L253">
        <v>33.5</v>
      </c>
      <c r="M253">
        <v>182.25</v>
      </c>
      <c r="N253">
        <v>195.65</v>
      </c>
      <c r="O253">
        <v>9.2249999999999996</v>
      </c>
      <c r="P253">
        <v>2.9</v>
      </c>
      <c r="Q253">
        <v>0</v>
      </c>
      <c r="R253">
        <v>0</v>
      </c>
      <c r="S253">
        <v>0.1</v>
      </c>
      <c r="T253">
        <v>31.4</v>
      </c>
      <c r="U253">
        <v>0</v>
      </c>
      <c r="V253">
        <v>15.05</v>
      </c>
      <c r="W253">
        <v>0</v>
      </c>
      <c r="X253">
        <v>0</v>
      </c>
      <c r="Y253">
        <v>174.3</v>
      </c>
      <c r="Z253">
        <v>0</v>
      </c>
      <c r="AA253">
        <v>128.65</v>
      </c>
      <c r="AB253">
        <v>1.6</v>
      </c>
      <c r="AC253">
        <v>0</v>
      </c>
      <c r="AD253">
        <v>0</v>
      </c>
      <c r="AE253">
        <v>0</v>
      </c>
      <c r="AF253">
        <v>339.9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</row>
    <row r="254" spans="1:48" x14ac:dyDescent="0.25">
      <c r="A254" t="s">
        <v>74</v>
      </c>
      <c r="B254" t="s">
        <v>94</v>
      </c>
      <c r="C254" t="s">
        <v>104</v>
      </c>
      <c r="D254">
        <v>2017</v>
      </c>
      <c r="E254" t="s">
        <v>110</v>
      </c>
      <c r="F254" t="s">
        <v>110</v>
      </c>
      <c r="G254" t="s">
        <v>110</v>
      </c>
      <c r="H254" t="s">
        <v>110</v>
      </c>
      <c r="I254" t="s">
        <v>110</v>
      </c>
      <c r="J254" t="s">
        <v>110</v>
      </c>
      <c r="K254" t="s">
        <v>110</v>
      </c>
      <c r="L254" t="s">
        <v>110</v>
      </c>
      <c r="M254" t="s">
        <v>110</v>
      </c>
      <c r="N254" t="s">
        <v>110</v>
      </c>
      <c r="O254" t="s">
        <v>110</v>
      </c>
      <c r="P254" t="s">
        <v>110</v>
      </c>
      <c r="Q254">
        <v>0</v>
      </c>
      <c r="R254" t="s">
        <v>110</v>
      </c>
      <c r="S254" t="s">
        <v>110</v>
      </c>
      <c r="T254" t="s">
        <v>110</v>
      </c>
      <c r="U254" t="s">
        <v>110</v>
      </c>
      <c r="V254" t="s">
        <v>110</v>
      </c>
      <c r="W254" t="s">
        <v>110</v>
      </c>
      <c r="X254" t="s">
        <v>110</v>
      </c>
      <c r="Y254" t="s">
        <v>110</v>
      </c>
      <c r="Z254" t="s">
        <v>110</v>
      </c>
      <c r="AA254" t="s">
        <v>110</v>
      </c>
      <c r="AB254" t="s">
        <v>110</v>
      </c>
      <c r="AC254" t="s">
        <v>110</v>
      </c>
      <c r="AD254" t="s">
        <v>110</v>
      </c>
      <c r="AE254" t="s">
        <v>110</v>
      </c>
      <c r="AF254" t="s">
        <v>110</v>
      </c>
      <c r="AG254" t="s">
        <v>110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</row>
    <row r="255" spans="1:48" x14ac:dyDescent="0.25">
      <c r="A255" t="s">
        <v>74</v>
      </c>
      <c r="B255" t="s">
        <v>94</v>
      </c>
      <c r="C255" t="s">
        <v>105</v>
      </c>
      <c r="D255">
        <v>2017</v>
      </c>
      <c r="E255">
        <v>1329.25</v>
      </c>
      <c r="F255">
        <v>947.1</v>
      </c>
      <c r="G255">
        <v>27.05</v>
      </c>
      <c r="H255">
        <v>3206.75</v>
      </c>
      <c r="I255">
        <v>26.8</v>
      </c>
      <c r="J255">
        <v>739</v>
      </c>
      <c r="K255">
        <v>1965.3</v>
      </c>
      <c r="L255">
        <v>217.35</v>
      </c>
      <c r="M255">
        <v>157.25</v>
      </c>
      <c r="N255">
        <v>1320.4</v>
      </c>
      <c r="O255">
        <v>157.5</v>
      </c>
      <c r="P255">
        <v>216.52500000000001</v>
      </c>
      <c r="Q255">
        <v>0</v>
      </c>
      <c r="R255">
        <v>0</v>
      </c>
      <c r="S255">
        <v>119.02500000000001</v>
      </c>
      <c r="T255">
        <v>74.55</v>
      </c>
      <c r="U255">
        <v>108.15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184.6</v>
      </c>
      <c r="AB255">
        <v>41.95</v>
      </c>
      <c r="AC255">
        <v>40.325000000000003</v>
      </c>
      <c r="AD255">
        <v>50.75</v>
      </c>
      <c r="AE255">
        <v>66.8</v>
      </c>
      <c r="AF255">
        <v>298.39999999999998</v>
      </c>
      <c r="AG255">
        <v>10.3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</row>
    <row r="256" spans="1:48" x14ac:dyDescent="0.25">
      <c r="A256" t="s">
        <v>111</v>
      </c>
      <c r="B256" t="s">
        <v>112</v>
      </c>
      <c r="C256" t="s">
        <v>113</v>
      </c>
      <c r="D256">
        <v>2015</v>
      </c>
      <c r="E256">
        <v>0</v>
      </c>
      <c r="F256">
        <v>0</v>
      </c>
      <c r="G256">
        <v>0.6</v>
      </c>
      <c r="H256">
        <v>0.05</v>
      </c>
      <c r="I256">
        <v>0</v>
      </c>
      <c r="J256">
        <v>45.65</v>
      </c>
      <c r="K256">
        <v>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25.25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</row>
    <row r="257" spans="1:48" x14ac:dyDescent="0.25">
      <c r="A257" t="s">
        <v>111</v>
      </c>
      <c r="B257" t="s">
        <v>112</v>
      </c>
      <c r="C257" t="s">
        <v>113</v>
      </c>
      <c r="D257">
        <v>2016</v>
      </c>
      <c r="E257">
        <v>0.25</v>
      </c>
      <c r="F257">
        <v>0</v>
      </c>
      <c r="G257">
        <v>16.75</v>
      </c>
      <c r="H257">
        <v>35.549999999999997</v>
      </c>
      <c r="I257">
        <v>0</v>
      </c>
      <c r="J257">
        <v>13.25</v>
      </c>
      <c r="K257">
        <v>4.3</v>
      </c>
      <c r="L257">
        <v>0</v>
      </c>
      <c r="M257">
        <v>9.6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</row>
    <row r="258" spans="1:48" x14ac:dyDescent="0.25">
      <c r="A258" t="s">
        <v>111</v>
      </c>
      <c r="B258" t="s">
        <v>112</v>
      </c>
      <c r="C258" t="s">
        <v>113</v>
      </c>
      <c r="D258">
        <v>2017</v>
      </c>
      <c r="E258">
        <v>0</v>
      </c>
      <c r="F258">
        <v>0</v>
      </c>
      <c r="G258">
        <v>0</v>
      </c>
      <c r="H258">
        <v>29.4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2.5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</row>
    <row r="259" spans="1:48" x14ac:dyDescent="0.25">
      <c r="A259" t="s">
        <v>111</v>
      </c>
      <c r="B259" t="s">
        <v>125</v>
      </c>
      <c r="C259" t="s">
        <v>4</v>
      </c>
      <c r="D259">
        <v>2005</v>
      </c>
      <c r="E259">
        <v>160.65</v>
      </c>
      <c r="F259">
        <v>1294.8499999999999</v>
      </c>
      <c r="G259">
        <v>1793.85</v>
      </c>
      <c r="H259">
        <v>804.15</v>
      </c>
      <c r="I259">
        <v>198.1</v>
      </c>
      <c r="J259">
        <v>1098.95</v>
      </c>
      <c r="K259">
        <v>390.35</v>
      </c>
      <c r="L259">
        <v>252.3</v>
      </c>
      <c r="M259">
        <v>227.35</v>
      </c>
      <c r="N259">
        <v>105.8</v>
      </c>
      <c r="O259">
        <v>1043</v>
      </c>
      <c r="P259">
        <v>0</v>
      </c>
      <c r="Q259">
        <v>380</v>
      </c>
      <c r="R259">
        <v>48.25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</row>
    <row r="260" spans="1:48" x14ac:dyDescent="0.25">
      <c r="A260" t="s">
        <v>111</v>
      </c>
      <c r="B260" t="s">
        <v>125</v>
      </c>
      <c r="C260" t="s">
        <v>114</v>
      </c>
      <c r="D260">
        <v>2005</v>
      </c>
      <c r="E260">
        <v>2.0499999999999998</v>
      </c>
      <c r="F260">
        <v>107.8</v>
      </c>
      <c r="G260">
        <v>78.400000000000006</v>
      </c>
      <c r="H260">
        <v>146.1</v>
      </c>
      <c r="I260">
        <v>0</v>
      </c>
      <c r="J260">
        <v>277.89999999999998</v>
      </c>
      <c r="K260">
        <v>4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</row>
    <row r="261" spans="1:48" x14ac:dyDescent="0.25">
      <c r="A261" t="s">
        <v>111</v>
      </c>
      <c r="B261" t="s">
        <v>125</v>
      </c>
      <c r="C261" t="s">
        <v>115</v>
      </c>
      <c r="D261">
        <v>2005</v>
      </c>
      <c r="E261">
        <v>30.15</v>
      </c>
      <c r="F261">
        <v>554.1</v>
      </c>
      <c r="G261">
        <v>233.45</v>
      </c>
      <c r="H261">
        <v>38.200000000000003</v>
      </c>
      <c r="I261">
        <v>0</v>
      </c>
      <c r="J261">
        <v>407.35</v>
      </c>
      <c r="K261">
        <v>90.2</v>
      </c>
      <c r="L261">
        <v>0</v>
      </c>
      <c r="M261">
        <v>3.5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</row>
    <row r="262" spans="1:48" x14ac:dyDescent="0.25">
      <c r="A262" t="s">
        <v>111</v>
      </c>
      <c r="B262" t="s">
        <v>125</v>
      </c>
      <c r="C262" t="s">
        <v>120</v>
      </c>
      <c r="D262">
        <v>2005</v>
      </c>
      <c r="E262">
        <v>20</v>
      </c>
      <c r="F262">
        <v>0</v>
      </c>
      <c r="G262">
        <v>35.049999999999997</v>
      </c>
      <c r="H262">
        <v>0</v>
      </c>
      <c r="I262">
        <v>0</v>
      </c>
      <c r="J262">
        <v>21.2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</row>
    <row r="263" spans="1:48" x14ac:dyDescent="0.25">
      <c r="A263" t="s">
        <v>111</v>
      </c>
      <c r="B263" t="s">
        <v>125</v>
      </c>
      <c r="C263" t="s">
        <v>116</v>
      </c>
      <c r="D263">
        <v>2005</v>
      </c>
      <c r="E263">
        <v>1112</v>
      </c>
      <c r="F263">
        <v>1548.65</v>
      </c>
      <c r="G263">
        <v>1326.6</v>
      </c>
      <c r="H263">
        <v>1353</v>
      </c>
      <c r="I263">
        <v>0</v>
      </c>
      <c r="J263">
        <v>924.3</v>
      </c>
      <c r="K263">
        <v>979</v>
      </c>
      <c r="L263">
        <v>0</v>
      </c>
      <c r="M263">
        <v>334.35</v>
      </c>
      <c r="N263">
        <v>845.9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</row>
    <row r="264" spans="1:48" x14ac:dyDescent="0.25">
      <c r="A264" t="s">
        <v>111</v>
      </c>
      <c r="B264" t="s">
        <v>125</v>
      </c>
      <c r="C264" t="s">
        <v>121</v>
      </c>
      <c r="D264">
        <v>2005</v>
      </c>
      <c r="E264">
        <v>89.25</v>
      </c>
      <c r="F264">
        <v>55.65</v>
      </c>
      <c r="G264">
        <v>881.55</v>
      </c>
      <c r="H264">
        <v>369.95</v>
      </c>
      <c r="I264">
        <v>46</v>
      </c>
      <c r="J264">
        <v>471.1</v>
      </c>
      <c r="K264">
        <v>218.4</v>
      </c>
      <c r="L264">
        <v>0</v>
      </c>
      <c r="M264">
        <v>230.1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</row>
    <row r="265" spans="1:48" x14ac:dyDescent="0.25">
      <c r="A265" t="s">
        <v>111</v>
      </c>
      <c r="B265" t="s">
        <v>125</v>
      </c>
      <c r="C265" t="s">
        <v>117</v>
      </c>
      <c r="D265">
        <v>2005</v>
      </c>
      <c r="E265">
        <v>37.65</v>
      </c>
      <c r="F265">
        <v>62.3</v>
      </c>
      <c r="G265">
        <v>195.85</v>
      </c>
      <c r="H265">
        <v>337.4</v>
      </c>
      <c r="I265">
        <v>60.35</v>
      </c>
      <c r="J265">
        <v>270.3</v>
      </c>
      <c r="K265">
        <v>37.5</v>
      </c>
      <c r="L265">
        <v>13.15</v>
      </c>
      <c r="M265">
        <v>46.7</v>
      </c>
      <c r="N265">
        <v>88.45</v>
      </c>
      <c r="O265">
        <v>0</v>
      </c>
      <c r="P265">
        <v>0</v>
      </c>
      <c r="Q265">
        <v>0</v>
      </c>
      <c r="R265">
        <v>22.5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</row>
    <row r="266" spans="1:48" x14ac:dyDescent="0.25">
      <c r="A266" t="s">
        <v>111</v>
      </c>
      <c r="B266" t="s">
        <v>125</v>
      </c>
      <c r="C266" t="s">
        <v>122</v>
      </c>
      <c r="D266">
        <v>2005</v>
      </c>
      <c r="E266">
        <v>0</v>
      </c>
      <c r="F266">
        <v>136.55000000000001</v>
      </c>
      <c r="G266">
        <v>242.6</v>
      </c>
      <c r="H266">
        <v>131.94999999999999</v>
      </c>
      <c r="I266">
        <v>0</v>
      </c>
      <c r="J266">
        <v>271.5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</row>
    <row r="267" spans="1:48" x14ac:dyDescent="0.25">
      <c r="A267" t="s">
        <v>111</v>
      </c>
      <c r="B267" t="s">
        <v>125</v>
      </c>
      <c r="C267" t="s">
        <v>118</v>
      </c>
      <c r="D267">
        <v>2005</v>
      </c>
      <c r="E267">
        <v>0</v>
      </c>
      <c r="F267">
        <v>101.05</v>
      </c>
      <c r="G267">
        <v>79.150000000000006</v>
      </c>
      <c r="H267">
        <v>11.9</v>
      </c>
      <c r="I267">
        <v>0</v>
      </c>
      <c r="J267">
        <v>96.35</v>
      </c>
      <c r="K267">
        <v>20.05</v>
      </c>
      <c r="L267">
        <v>2.35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</row>
    <row r="268" spans="1:48" x14ac:dyDescent="0.25">
      <c r="A268" t="s">
        <v>111</v>
      </c>
      <c r="B268" t="s">
        <v>125</v>
      </c>
      <c r="C268" t="s">
        <v>119</v>
      </c>
      <c r="D268">
        <v>2005</v>
      </c>
      <c r="E268">
        <v>44.6</v>
      </c>
      <c r="F268">
        <v>650.54999999999995</v>
      </c>
      <c r="G268">
        <v>1235</v>
      </c>
      <c r="H268">
        <v>874.8</v>
      </c>
      <c r="I268">
        <v>172.25</v>
      </c>
      <c r="J268">
        <v>639.85</v>
      </c>
      <c r="K268">
        <v>78.75</v>
      </c>
      <c r="L268">
        <v>643.79999999999995</v>
      </c>
      <c r="M268">
        <v>8.1</v>
      </c>
      <c r="N268">
        <v>27.85</v>
      </c>
      <c r="O268">
        <v>0</v>
      </c>
      <c r="P268">
        <v>0.3</v>
      </c>
      <c r="Q268">
        <v>715.65</v>
      </c>
      <c r="R268">
        <v>38.299999999999997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</row>
    <row r="269" spans="1:48" x14ac:dyDescent="0.25">
      <c r="A269" t="s">
        <v>111</v>
      </c>
      <c r="B269" t="s">
        <v>125</v>
      </c>
      <c r="C269" t="s">
        <v>123</v>
      </c>
      <c r="D269">
        <v>2005</v>
      </c>
      <c r="E269">
        <v>0</v>
      </c>
      <c r="F269">
        <v>405.95</v>
      </c>
      <c r="G269">
        <v>160.4</v>
      </c>
      <c r="H269">
        <v>173</v>
      </c>
      <c r="I269">
        <v>0</v>
      </c>
      <c r="J269">
        <v>342.9</v>
      </c>
      <c r="K269">
        <v>140.4</v>
      </c>
      <c r="L269">
        <v>85.05</v>
      </c>
      <c r="M269">
        <v>0</v>
      </c>
      <c r="N269">
        <v>5.95</v>
      </c>
      <c r="O269">
        <v>0</v>
      </c>
      <c r="P269">
        <v>0</v>
      </c>
      <c r="Q269">
        <v>157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</row>
    <row r="270" spans="1:48" x14ac:dyDescent="0.25">
      <c r="A270" t="s">
        <v>111</v>
      </c>
      <c r="B270" t="s">
        <v>125</v>
      </c>
      <c r="C270" t="s">
        <v>124</v>
      </c>
      <c r="D270">
        <v>2005</v>
      </c>
      <c r="E270">
        <v>89.7</v>
      </c>
      <c r="F270">
        <v>4098.5</v>
      </c>
      <c r="G270">
        <v>3735.2</v>
      </c>
      <c r="H270">
        <v>2309.6999999999998</v>
      </c>
      <c r="I270">
        <v>20</v>
      </c>
      <c r="J270">
        <v>2316.6999999999998</v>
      </c>
      <c r="K270">
        <v>3272.05</v>
      </c>
      <c r="L270">
        <v>1839.75</v>
      </c>
      <c r="M270">
        <v>50</v>
      </c>
      <c r="N270">
        <v>0</v>
      </c>
      <c r="O270">
        <v>92</v>
      </c>
      <c r="P270">
        <v>0</v>
      </c>
      <c r="Q270">
        <v>0</v>
      </c>
      <c r="R270">
        <v>423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</row>
    <row r="271" spans="1:48" x14ac:dyDescent="0.25">
      <c r="A271" t="s">
        <v>111</v>
      </c>
      <c r="B271" t="s">
        <v>125</v>
      </c>
      <c r="C271" t="s">
        <v>4</v>
      </c>
      <c r="D271">
        <v>2006</v>
      </c>
      <c r="E271">
        <v>327.64999999999998</v>
      </c>
      <c r="F271">
        <v>1700.8</v>
      </c>
      <c r="G271">
        <v>2312.4499999999998</v>
      </c>
      <c r="H271">
        <v>2541.1999999999998</v>
      </c>
      <c r="I271">
        <v>203.65</v>
      </c>
      <c r="J271">
        <v>1831.5</v>
      </c>
      <c r="K271">
        <v>382.9</v>
      </c>
      <c r="L271">
        <v>335.79</v>
      </c>
      <c r="M271">
        <v>170.8</v>
      </c>
      <c r="N271">
        <v>280.94</v>
      </c>
      <c r="O271">
        <v>34.65</v>
      </c>
      <c r="P271">
        <v>0</v>
      </c>
      <c r="Q271">
        <v>376.85</v>
      </c>
      <c r="R271">
        <v>10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</row>
    <row r="272" spans="1:48" x14ac:dyDescent="0.25">
      <c r="A272" t="s">
        <v>111</v>
      </c>
      <c r="B272" t="s">
        <v>125</v>
      </c>
      <c r="C272" t="s">
        <v>114</v>
      </c>
      <c r="D272">
        <v>2006</v>
      </c>
      <c r="E272">
        <v>0</v>
      </c>
      <c r="F272">
        <v>66.650000000000006</v>
      </c>
      <c r="G272">
        <v>264.35000000000002</v>
      </c>
      <c r="H272">
        <v>146.19999999999999</v>
      </c>
      <c r="I272">
        <v>0</v>
      </c>
      <c r="J272">
        <v>140.80000000000001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</row>
    <row r="273" spans="1:48" x14ac:dyDescent="0.25">
      <c r="A273" t="s">
        <v>111</v>
      </c>
      <c r="B273" t="s">
        <v>125</v>
      </c>
      <c r="C273" t="s">
        <v>115</v>
      </c>
      <c r="D273">
        <v>2006</v>
      </c>
      <c r="E273">
        <v>449.9</v>
      </c>
      <c r="F273">
        <v>82</v>
      </c>
      <c r="G273">
        <v>620.83000000000004</v>
      </c>
      <c r="H273">
        <v>275.8</v>
      </c>
      <c r="I273">
        <v>0</v>
      </c>
      <c r="J273">
        <v>173.1</v>
      </c>
      <c r="K273">
        <v>135.55000000000001</v>
      </c>
      <c r="L273">
        <v>18.45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</row>
    <row r="274" spans="1:48" x14ac:dyDescent="0.25">
      <c r="A274" t="s">
        <v>111</v>
      </c>
      <c r="B274" t="s">
        <v>125</v>
      </c>
      <c r="C274" t="s">
        <v>120</v>
      </c>
      <c r="D274">
        <v>2006</v>
      </c>
      <c r="E274">
        <v>19</v>
      </c>
      <c r="F274">
        <v>0</v>
      </c>
      <c r="G274">
        <v>19.7</v>
      </c>
      <c r="H274">
        <v>0.5</v>
      </c>
      <c r="I274">
        <v>0</v>
      </c>
      <c r="J274">
        <v>7.4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</row>
    <row r="275" spans="1:48" x14ac:dyDescent="0.25">
      <c r="A275" t="s">
        <v>111</v>
      </c>
      <c r="B275" t="s">
        <v>125</v>
      </c>
      <c r="C275" t="s">
        <v>116</v>
      </c>
      <c r="D275">
        <v>2006</v>
      </c>
      <c r="E275">
        <v>81</v>
      </c>
      <c r="F275">
        <v>1578.35</v>
      </c>
      <c r="G275">
        <v>3604.45</v>
      </c>
      <c r="H275">
        <v>2261.5</v>
      </c>
      <c r="I275">
        <v>0</v>
      </c>
      <c r="J275">
        <v>917.1</v>
      </c>
      <c r="K275">
        <v>984.45</v>
      </c>
      <c r="L275">
        <v>0</v>
      </c>
      <c r="M275">
        <v>1267.45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</row>
    <row r="276" spans="1:48" x14ac:dyDescent="0.25">
      <c r="A276" t="s">
        <v>111</v>
      </c>
      <c r="B276" t="s">
        <v>125</v>
      </c>
      <c r="C276" t="s">
        <v>121</v>
      </c>
      <c r="D276">
        <v>2006</v>
      </c>
      <c r="E276">
        <v>27.6</v>
      </c>
      <c r="F276">
        <v>153.94999999999999</v>
      </c>
      <c r="G276">
        <v>673.25</v>
      </c>
      <c r="H276">
        <v>392.35</v>
      </c>
      <c r="I276">
        <v>0</v>
      </c>
      <c r="J276">
        <v>575.79999999999995</v>
      </c>
      <c r="K276">
        <v>473.7</v>
      </c>
      <c r="L276">
        <v>0</v>
      </c>
      <c r="M276">
        <v>245.15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</row>
    <row r="277" spans="1:48" x14ac:dyDescent="0.25">
      <c r="A277" t="s">
        <v>111</v>
      </c>
      <c r="B277" t="s">
        <v>125</v>
      </c>
      <c r="C277" t="s">
        <v>117</v>
      </c>
      <c r="D277">
        <v>2006</v>
      </c>
      <c r="E277">
        <v>17.25</v>
      </c>
      <c r="F277">
        <v>30.65</v>
      </c>
      <c r="G277">
        <v>301.7</v>
      </c>
      <c r="H277">
        <v>584</v>
      </c>
      <c r="I277">
        <v>52.8</v>
      </c>
      <c r="J277">
        <v>248.2</v>
      </c>
      <c r="K277">
        <v>54.2</v>
      </c>
      <c r="L277">
        <v>11.85</v>
      </c>
      <c r="M277">
        <v>21.25</v>
      </c>
      <c r="N277">
        <v>104.7</v>
      </c>
      <c r="O277">
        <v>0</v>
      </c>
      <c r="P277">
        <v>0</v>
      </c>
      <c r="Q277">
        <v>482.95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</row>
    <row r="278" spans="1:48" x14ac:dyDescent="0.25">
      <c r="A278" t="s">
        <v>111</v>
      </c>
      <c r="B278" t="s">
        <v>125</v>
      </c>
      <c r="C278" t="s">
        <v>122</v>
      </c>
      <c r="D278">
        <v>2006</v>
      </c>
      <c r="E278">
        <v>0</v>
      </c>
      <c r="F278">
        <v>142.85</v>
      </c>
      <c r="G278">
        <v>207.7</v>
      </c>
      <c r="H278">
        <v>139.85</v>
      </c>
      <c r="I278">
        <v>0</v>
      </c>
      <c r="J278">
        <v>142.69999999999999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</row>
    <row r="279" spans="1:48" x14ac:dyDescent="0.25">
      <c r="A279" t="s">
        <v>111</v>
      </c>
      <c r="B279" t="s">
        <v>125</v>
      </c>
      <c r="C279" t="s">
        <v>118</v>
      </c>
      <c r="D279">
        <v>2006</v>
      </c>
      <c r="E279">
        <v>0</v>
      </c>
      <c r="F279">
        <v>560</v>
      </c>
      <c r="G279">
        <v>281</v>
      </c>
      <c r="H279">
        <v>66.5</v>
      </c>
      <c r="I279">
        <v>0</v>
      </c>
      <c r="J279">
        <v>1190.2</v>
      </c>
      <c r="K279">
        <v>1020</v>
      </c>
      <c r="L279">
        <v>135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</row>
    <row r="280" spans="1:48" x14ac:dyDescent="0.25">
      <c r="A280" t="s">
        <v>111</v>
      </c>
      <c r="B280" t="s">
        <v>125</v>
      </c>
      <c r="C280" t="s">
        <v>119</v>
      </c>
      <c r="D280">
        <v>2006</v>
      </c>
      <c r="E280">
        <v>0</v>
      </c>
      <c r="F280">
        <v>582.20000000000005</v>
      </c>
      <c r="G280">
        <v>685.5</v>
      </c>
      <c r="H280">
        <v>921.5</v>
      </c>
      <c r="I280">
        <v>329.05</v>
      </c>
      <c r="J280">
        <v>668.9</v>
      </c>
      <c r="K280">
        <v>121.3</v>
      </c>
      <c r="L280">
        <v>399.8</v>
      </c>
      <c r="M280">
        <v>8.75</v>
      </c>
      <c r="N280">
        <v>41</v>
      </c>
      <c r="O280">
        <v>3</v>
      </c>
      <c r="P280">
        <v>5.95</v>
      </c>
      <c r="Q280">
        <v>671.8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</row>
    <row r="281" spans="1:48" x14ac:dyDescent="0.25">
      <c r="A281" t="s">
        <v>111</v>
      </c>
      <c r="B281" t="s">
        <v>125</v>
      </c>
      <c r="C281" t="s">
        <v>123</v>
      </c>
      <c r="D281">
        <v>2006</v>
      </c>
      <c r="E281">
        <v>0</v>
      </c>
      <c r="F281">
        <v>455</v>
      </c>
      <c r="G281">
        <v>144.65</v>
      </c>
      <c r="H281">
        <v>2.7</v>
      </c>
      <c r="I281">
        <v>0</v>
      </c>
      <c r="J281">
        <v>289</v>
      </c>
      <c r="K281">
        <v>228.05</v>
      </c>
      <c r="L281">
        <v>75.95</v>
      </c>
      <c r="M281">
        <v>0</v>
      </c>
      <c r="N281">
        <v>33.049999999999997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</row>
    <row r="282" spans="1:48" x14ac:dyDescent="0.25">
      <c r="A282" t="s">
        <v>111</v>
      </c>
      <c r="B282" t="s">
        <v>125</v>
      </c>
      <c r="C282" t="s">
        <v>124</v>
      </c>
      <c r="D282">
        <v>2006</v>
      </c>
      <c r="E282">
        <v>128.30000000000001</v>
      </c>
      <c r="F282">
        <v>4903.1499999999996</v>
      </c>
      <c r="G282">
        <v>2817.6</v>
      </c>
      <c r="H282">
        <v>1035.95</v>
      </c>
      <c r="I282">
        <v>0</v>
      </c>
      <c r="J282">
        <v>2395.6</v>
      </c>
      <c r="K282">
        <v>3917.4</v>
      </c>
      <c r="L282">
        <v>1727.15</v>
      </c>
      <c r="M282">
        <v>64</v>
      </c>
      <c r="N282">
        <v>0</v>
      </c>
      <c r="O282">
        <v>0</v>
      </c>
      <c r="P282">
        <v>0</v>
      </c>
      <c r="Q282">
        <v>0</v>
      </c>
      <c r="R282">
        <v>121.2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</row>
    <row r="283" spans="1:48" x14ac:dyDescent="0.25">
      <c r="A283" t="s">
        <v>111</v>
      </c>
      <c r="B283" t="s">
        <v>125</v>
      </c>
      <c r="C283" t="s">
        <v>4</v>
      </c>
      <c r="D283">
        <v>2007</v>
      </c>
      <c r="E283">
        <v>268.3</v>
      </c>
      <c r="F283">
        <v>1678</v>
      </c>
      <c r="G283">
        <v>2114.4499999999998</v>
      </c>
      <c r="H283">
        <v>942.55</v>
      </c>
      <c r="I283">
        <v>130.5</v>
      </c>
      <c r="J283">
        <v>1284.8499999999999</v>
      </c>
      <c r="K283">
        <v>513.6</v>
      </c>
      <c r="L283">
        <v>209.7</v>
      </c>
      <c r="M283">
        <v>219.7</v>
      </c>
      <c r="N283">
        <v>212.85</v>
      </c>
      <c r="O283">
        <v>5.35</v>
      </c>
      <c r="P283">
        <v>1.43</v>
      </c>
      <c r="Q283">
        <v>397.85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</row>
    <row r="284" spans="1:48" x14ac:dyDescent="0.25">
      <c r="A284" t="s">
        <v>111</v>
      </c>
      <c r="B284" t="s">
        <v>125</v>
      </c>
      <c r="C284" t="s">
        <v>114</v>
      </c>
      <c r="D284">
        <v>2007</v>
      </c>
      <c r="E284">
        <v>0</v>
      </c>
      <c r="F284">
        <v>25.35</v>
      </c>
      <c r="G284">
        <v>201.15</v>
      </c>
      <c r="H284">
        <v>105.8</v>
      </c>
      <c r="I284">
        <v>0</v>
      </c>
      <c r="J284">
        <v>26.45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</row>
    <row r="285" spans="1:48" x14ac:dyDescent="0.25">
      <c r="A285" t="s">
        <v>111</v>
      </c>
      <c r="B285" t="s">
        <v>125</v>
      </c>
      <c r="C285" t="s">
        <v>115</v>
      </c>
      <c r="D285">
        <v>2007</v>
      </c>
      <c r="E285">
        <v>0</v>
      </c>
      <c r="F285">
        <v>333.2</v>
      </c>
      <c r="G285">
        <v>72.25</v>
      </c>
      <c r="H285">
        <v>210.4</v>
      </c>
      <c r="I285">
        <v>0</v>
      </c>
      <c r="J285">
        <v>234.8</v>
      </c>
      <c r="K285">
        <v>56.6</v>
      </c>
      <c r="L285">
        <v>53.15</v>
      </c>
      <c r="M285">
        <v>0</v>
      </c>
      <c r="N285">
        <v>1.5</v>
      </c>
      <c r="O285">
        <v>0</v>
      </c>
      <c r="P285">
        <v>0</v>
      </c>
      <c r="Q285">
        <v>238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</row>
    <row r="286" spans="1:48" x14ac:dyDescent="0.25">
      <c r="A286" t="s">
        <v>111</v>
      </c>
      <c r="B286" t="s">
        <v>125</v>
      </c>
      <c r="C286" t="s">
        <v>120</v>
      </c>
      <c r="D286">
        <v>2007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</row>
    <row r="287" spans="1:48" x14ac:dyDescent="0.25">
      <c r="A287" t="s">
        <v>111</v>
      </c>
      <c r="B287" t="s">
        <v>125</v>
      </c>
      <c r="C287" t="s">
        <v>116</v>
      </c>
      <c r="D287">
        <v>2007</v>
      </c>
      <c r="E287">
        <v>0</v>
      </c>
      <c r="F287">
        <v>1232.1500000000001</v>
      </c>
      <c r="G287">
        <v>2047.4</v>
      </c>
      <c r="H287">
        <v>627.9</v>
      </c>
      <c r="I287">
        <v>75</v>
      </c>
      <c r="J287">
        <v>1193.3</v>
      </c>
      <c r="K287">
        <v>1510.4</v>
      </c>
      <c r="L287">
        <v>0</v>
      </c>
      <c r="M287">
        <v>2029.15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</row>
    <row r="288" spans="1:48" x14ac:dyDescent="0.25">
      <c r="A288" t="s">
        <v>111</v>
      </c>
      <c r="B288" t="s">
        <v>125</v>
      </c>
      <c r="C288" t="s">
        <v>121</v>
      </c>
      <c r="D288">
        <v>2007</v>
      </c>
      <c r="E288">
        <v>88.9</v>
      </c>
      <c r="F288">
        <v>234.05</v>
      </c>
      <c r="G288">
        <v>343.5</v>
      </c>
      <c r="H288">
        <v>249.55</v>
      </c>
      <c r="I288">
        <v>0</v>
      </c>
      <c r="J288">
        <v>236.65</v>
      </c>
      <c r="K288">
        <v>121.3</v>
      </c>
      <c r="L288">
        <v>0</v>
      </c>
      <c r="M288">
        <v>138.9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</row>
    <row r="289" spans="1:48" x14ac:dyDescent="0.25">
      <c r="A289" t="s">
        <v>111</v>
      </c>
      <c r="B289" t="s">
        <v>125</v>
      </c>
      <c r="C289" t="s">
        <v>117</v>
      </c>
      <c r="D289">
        <v>2007</v>
      </c>
      <c r="E289">
        <v>32.25</v>
      </c>
      <c r="F289">
        <v>76.7</v>
      </c>
      <c r="G289">
        <v>184.15</v>
      </c>
      <c r="H289">
        <v>591.29999999999995</v>
      </c>
      <c r="I289">
        <v>50</v>
      </c>
      <c r="J289">
        <v>167.85</v>
      </c>
      <c r="K289">
        <v>19.649999999999999</v>
      </c>
      <c r="L289">
        <v>45.6</v>
      </c>
      <c r="M289">
        <v>45.65</v>
      </c>
      <c r="N289">
        <v>69</v>
      </c>
      <c r="O289">
        <v>300</v>
      </c>
      <c r="P289">
        <v>300</v>
      </c>
      <c r="Q289">
        <v>461.1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</row>
    <row r="290" spans="1:48" x14ac:dyDescent="0.25">
      <c r="A290" t="s">
        <v>111</v>
      </c>
      <c r="B290" t="s">
        <v>125</v>
      </c>
      <c r="C290" t="s">
        <v>122</v>
      </c>
      <c r="D290">
        <v>2007</v>
      </c>
      <c r="E290">
        <v>0</v>
      </c>
      <c r="F290">
        <v>107</v>
      </c>
      <c r="G290">
        <v>90.05</v>
      </c>
      <c r="H290">
        <v>60.6</v>
      </c>
      <c r="I290">
        <v>0</v>
      </c>
      <c r="J290">
        <v>111.75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</row>
    <row r="291" spans="1:48" x14ac:dyDescent="0.25">
      <c r="A291" t="s">
        <v>111</v>
      </c>
      <c r="B291" t="s">
        <v>125</v>
      </c>
      <c r="C291" t="s">
        <v>118</v>
      </c>
      <c r="D291">
        <v>2007</v>
      </c>
      <c r="E291">
        <v>0</v>
      </c>
      <c r="F291">
        <v>284.85000000000002</v>
      </c>
      <c r="G291">
        <v>307</v>
      </c>
      <c r="H291">
        <v>76.3</v>
      </c>
      <c r="I291">
        <v>0</v>
      </c>
      <c r="J291">
        <v>214.45</v>
      </c>
      <c r="K291">
        <v>172.55</v>
      </c>
      <c r="L291">
        <v>224.9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79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</row>
    <row r="292" spans="1:48" x14ac:dyDescent="0.25">
      <c r="A292" t="s">
        <v>111</v>
      </c>
      <c r="B292" t="s">
        <v>125</v>
      </c>
      <c r="C292" t="s">
        <v>119</v>
      </c>
      <c r="D292">
        <v>2007</v>
      </c>
      <c r="E292">
        <v>7</v>
      </c>
      <c r="F292">
        <v>673.45</v>
      </c>
      <c r="G292">
        <v>957.2</v>
      </c>
      <c r="H292">
        <v>935.2</v>
      </c>
      <c r="I292">
        <v>309</v>
      </c>
      <c r="J292">
        <v>704.2</v>
      </c>
      <c r="K292">
        <v>223</v>
      </c>
      <c r="L292">
        <v>450.9</v>
      </c>
      <c r="M292">
        <v>2</v>
      </c>
      <c r="N292">
        <v>0</v>
      </c>
      <c r="O292">
        <v>5</v>
      </c>
      <c r="P292">
        <v>23</v>
      </c>
      <c r="Q292">
        <v>863</v>
      </c>
      <c r="R292">
        <v>38.549999999999997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</row>
    <row r="293" spans="1:48" x14ac:dyDescent="0.25">
      <c r="A293" t="s">
        <v>111</v>
      </c>
      <c r="B293" t="s">
        <v>125</v>
      </c>
      <c r="C293" t="s">
        <v>123</v>
      </c>
      <c r="D293">
        <v>2007</v>
      </c>
      <c r="E293">
        <v>0</v>
      </c>
      <c r="F293">
        <v>476.7</v>
      </c>
      <c r="G293">
        <v>189.8</v>
      </c>
      <c r="H293">
        <v>312.55</v>
      </c>
      <c r="I293">
        <v>0</v>
      </c>
      <c r="J293">
        <v>210.05</v>
      </c>
      <c r="K293">
        <v>208</v>
      </c>
      <c r="L293">
        <v>75</v>
      </c>
      <c r="M293">
        <v>10</v>
      </c>
      <c r="N293">
        <v>22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</row>
    <row r="294" spans="1:48" x14ac:dyDescent="0.25">
      <c r="A294" t="s">
        <v>111</v>
      </c>
      <c r="B294" t="s">
        <v>125</v>
      </c>
      <c r="C294" t="s">
        <v>124</v>
      </c>
      <c r="D294">
        <v>2007</v>
      </c>
      <c r="E294">
        <v>177.8</v>
      </c>
      <c r="F294">
        <v>5195.5</v>
      </c>
      <c r="G294">
        <v>1195</v>
      </c>
      <c r="H294">
        <v>762.65</v>
      </c>
      <c r="I294">
        <v>0</v>
      </c>
      <c r="J294">
        <v>524.04999999999995</v>
      </c>
      <c r="K294">
        <v>1386.7</v>
      </c>
      <c r="L294">
        <v>272.35000000000002</v>
      </c>
      <c r="M294">
        <v>80</v>
      </c>
      <c r="N294">
        <v>0</v>
      </c>
      <c r="O294">
        <v>0</v>
      </c>
      <c r="P294">
        <v>0</v>
      </c>
      <c r="Q294">
        <v>230.7</v>
      </c>
      <c r="R294">
        <v>40.5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</row>
    <row r="295" spans="1:48" x14ac:dyDescent="0.25">
      <c r="A295" t="s">
        <v>111</v>
      </c>
      <c r="B295" t="s">
        <v>125</v>
      </c>
      <c r="C295" t="s">
        <v>4</v>
      </c>
      <c r="D295">
        <v>2008</v>
      </c>
      <c r="E295">
        <v>118.15</v>
      </c>
      <c r="F295">
        <v>1292.2499999999998</v>
      </c>
      <c r="G295">
        <v>1907.7000000000003</v>
      </c>
      <c r="H295">
        <v>594.75</v>
      </c>
      <c r="I295">
        <v>95.45</v>
      </c>
      <c r="J295">
        <v>322</v>
      </c>
      <c r="K295">
        <v>382.15000000000003</v>
      </c>
      <c r="L295">
        <v>130.85000000000002</v>
      </c>
      <c r="M295">
        <v>205.55000000000004</v>
      </c>
      <c r="N295">
        <v>161.6</v>
      </c>
      <c r="O295">
        <v>10.3</v>
      </c>
      <c r="P295">
        <v>13.15</v>
      </c>
      <c r="Q295">
        <v>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</row>
    <row r="296" spans="1:48" x14ac:dyDescent="0.25">
      <c r="A296" t="s">
        <v>111</v>
      </c>
      <c r="B296" t="s">
        <v>125</v>
      </c>
      <c r="C296" t="s">
        <v>114</v>
      </c>
      <c r="D296">
        <v>2008</v>
      </c>
      <c r="E296">
        <v>0</v>
      </c>
      <c r="F296">
        <v>44</v>
      </c>
      <c r="G296">
        <v>94.550000000000011</v>
      </c>
      <c r="H296">
        <v>102.6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</row>
    <row r="297" spans="1:48" x14ac:dyDescent="0.25">
      <c r="A297" t="s">
        <v>111</v>
      </c>
      <c r="B297" t="s">
        <v>125</v>
      </c>
      <c r="C297" t="s">
        <v>115</v>
      </c>
      <c r="D297">
        <v>2008</v>
      </c>
      <c r="E297">
        <v>60.2</v>
      </c>
      <c r="F297">
        <v>182.15</v>
      </c>
      <c r="G297">
        <v>39.1</v>
      </c>
      <c r="H297">
        <v>22.6</v>
      </c>
      <c r="I297">
        <v>0</v>
      </c>
      <c r="J297">
        <v>128.80000000000001</v>
      </c>
      <c r="K297">
        <v>67</v>
      </c>
      <c r="L297">
        <v>132.55000000000001</v>
      </c>
      <c r="M297">
        <v>0.15</v>
      </c>
      <c r="N297">
        <v>10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</row>
    <row r="298" spans="1:48" x14ac:dyDescent="0.25">
      <c r="A298" t="s">
        <v>111</v>
      </c>
      <c r="B298" t="s">
        <v>125</v>
      </c>
      <c r="C298" t="s">
        <v>120</v>
      </c>
      <c r="D298">
        <v>2008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</row>
    <row r="299" spans="1:48" x14ac:dyDescent="0.25">
      <c r="A299" t="s">
        <v>111</v>
      </c>
      <c r="B299" t="s">
        <v>125</v>
      </c>
      <c r="C299" t="s">
        <v>116</v>
      </c>
      <c r="D299">
        <v>2008</v>
      </c>
      <c r="E299">
        <v>0</v>
      </c>
      <c r="F299">
        <v>985.85</v>
      </c>
      <c r="G299">
        <v>1919.25</v>
      </c>
      <c r="H299">
        <v>575.29999999999995</v>
      </c>
      <c r="I299">
        <v>26</v>
      </c>
      <c r="J299">
        <v>1065.8499999999999</v>
      </c>
      <c r="K299">
        <v>781.1</v>
      </c>
      <c r="L299">
        <v>0</v>
      </c>
      <c r="M299">
        <v>1644.45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</row>
    <row r="300" spans="1:48" x14ac:dyDescent="0.25">
      <c r="A300" t="s">
        <v>111</v>
      </c>
      <c r="B300" t="s">
        <v>125</v>
      </c>
      <c r="C300" t="s">
        <v>121</v>
      </c>
      <c r="D300">
        <v>2008</v>
      </c>
      <c r="E300">
        <v>321.89999999999998</v>
      </c>
      <c r="F300">
        <v>362.3</v>
      </c>
      <c r="G300">
        <v>1128.8</v>
      </c>
      <c r="H300">
        <v>634.15</v>
      </c>
      <c r="I300">
        <v>0</v>
      </c>
      <c r="J300">
        <v>667.25</v>
      </c>
      <c r="K300">
        <v>14.6</v>
      </c>
      <c r="L300">
        <v>246</v>
      </c>
      <c r="M300">
        <v>21.85</v>
      </c>
      <c r="N300">
        <v>705.6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</row>
    <row r="301" spans="1:48" x14ac:dyDescent="0.25">
      <c r="A301" t="s">
        <v>111</v>
      </c>
      <c r="B301" t="s">
        <v>125</v>
      </c>
      <c r="C301" t="s">
        <v>117</v>
      </c>
      <c r="D301">
        <v>2008</v>
      </c>
      <c r="E301">
        <v>11.350000000000001</v>
      </c>
      <c r="F301">
        <v>19.250000000000004</v>
      </c>
      <c r="G301">
        <v>162.49999999999997</v>
      </c>
      <c r="H301">
        <v>594.94999999999993</v>
      </c>
      <c r="I301">
        <v>60.72</v>
      </c>
      <c r="J301">
        <v>121.89999999999999</v>
      </c>
      <c r="K301">
        <v>22.2</v>
      </c>
      <c r="L301">
        <v>18</v>
      </c>
      <c r="M301">
        <v>57.400000000000006</v>
      </c>
      <c r="N301">
        <v>296.54999999999995</v>
      </c>
      <c r="O301">
        <v>0</v>
      </c>
      <c r="P301">
        <v>2.1949999999999998</v>
      </c>
      <c r="Q301">
        <v>549.79999999999995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</row>
    <row r="302" spans="1:48" x14ac:dyDescent="0.25">
      <c r="A302" t="s">
        <v>111</v>
      </c>
      <c r="B302" t="s">
        <v>125</v>
      </c>
      <c r="C302" t="s">
        <v>122</v>
      </c>
      <c r="D302">
        <v>2008</v>
      </c>
      <c r="E302">
        <v>0</v>
      </c>
      <c r="F302">
        <v>92</v>
      </c>
      <c r="G302">
        <v>108.44999999999999</v>
      </c>
      <c r="H302">
        <v>94.75</v>
      </c>
      <c r="I302">
        <v>0</v>
      </c>
      <c r="J302">
        <v>25.85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</row>
    <row r="303" spans="1:48" x14ac:dyDescent="0.25">
      <c r="A303" t="s">
        <v>111</v>
      </c>
      <c r="B303" t="s">
        <v>125</v>
      </c>
      <c r="C303" t="s">
        <v>118</v>
      </c>
      <c r="D303">
        <v>2008</v>
      </c>
      <c r="E303">
        <v>0</v>
      </c>
      <c r="F303">
        <v>0</v>
      </c>
      <c r="G303">
        <v>0</v>
      </c>
      <c r="H303">
        <v>6</v>
      </c>
      <c r="I303">
        <v>100</v>
      </c>
      <c r="J303">
        <v>179</v>
      </c>
      <c r="K303">
        <v>1.3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20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</row>
    <row r="304" spans="1:48" x14ac:dyDescent="0.25">
      <c r="A304" t="s">
        <v>111</v>
      </c>
      <c r="B304" t="s">
        <v>125</v>
      </c>
      <c r="C304" t="s">
        <v>119</v>
      </c>
      <c r="D304">
        <v>2008</v>
      </c>
      <c r="E304">
        <v>18.25</v>
      </c>
      <c r="F304">
        <v>731.1</v>
      </c>
      <c r="G304">
        <v>998.05000000000007</v>
      </c>
      <c r="H304">
        <v>769.65</v>
      </c>
      <c r="I304">
        <v>12.75</v>
      </c>
      <c r="J304">
        <v>79.599999999999994</v>
      </c>
      <c r="K304">
        <v>190.15</v>
      </c>
      <c r="L304">
        <v>162.69999999999999</v>
      </c>
      <c r="M304">
        <v>26</v>
      </c>
      <c r="N304">
        <v>9.5</v>
      </c>
      <c r="O304">
        <v>17.25</v>
      </c>
      <c r="P304">
        <v>24.7</v>
      </c>
      <c r="Q304">
        <v>702</v>
      </c>
      <c r="R304">
        <v>7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</row>
    <row r="305" spans="1:48" x14ac:dyDescent="0.25">
      <c r="A305" t="s">
        <v>111</v>
      </c>
      <c r="B305" t="s">
        <v>125</v>
      </c>
      <c r="C305" t="s">
        <v>123</v>
      </c>
      <c r="D305">
        <v>2008</v>
      </c>
      <c r="E305">
        <v>25</v>
      </c>
      <c r="F305">
        <v>332.5</v>
      </c>
      <c r="G305">
        <v>119.5</v>
      </c>
      <c r="H305">
        <v>32</v>
      </c>
      <c r="I305">
        <v>0</v>
      </c>
      <c r="J305">
        <v>102.54999999999998</v>
      </c>
      <c r="K305">
        <v>161</v>
      </c>
      <c r="L305">
        <v>168.54999999999998</v>
      </c>
      <c r="M305">
        <v>0</v>
      </c>
      <c r="N305">
        <v>41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</row>
    <row r="306" spans="1:48" x14ac:dyDescent="0.25">
      <c r="A306" t="s">
        <v>111</v>
      </c>
      <c r="B306" t="s">
        <v>125</v>
      </c>
      <c r="C306" t="s">
        <v>124</v>
      </c>
      <c r="D306">
        <v>2008</v>
      </c>
      <c r="E306">
        <v>124.8</v>
      </c>
      <c r="F306">
        <v>2782.85</v>
      </c>
      <c r="G306">
        <v>1014.9499999999999</v>
      </c>
      <c r="H306">
        <v>408.35</v>
      </c>
      <c r="I306">
        <v>0</v>
      </c>
      <c r="J306">
        <v>523.98</v>
      </c>
      <c r="K306">
        <v>2974</v>
      </c>
      <c r="L306">
        <v>1086.7</v>
      </c>
      <c r="M306">
        <v>66</v>
      </c>
      <c r="N306">
        <v>22.65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</row>
    <row r="307" spans="1:48" x14ac:dyDescent="0.25">
      <c r="A307" t="s">
        <v>111</v>
      </c>
      <c r="B307" t="s">
        <v>125</v>
      </c>
      <c r="C307" t="s">
        <v>4</v>
      </c>
      <c r="D307">
        <v>2009</v>
      </c>
      <c r="E307">
        <v>51.150000000000006</v>
      </c>
      <c r="F307">
        <v>932.9</v>
      </c>
      <c r="G307">
        <v>1206.95</v>
      </c>
      <c r="H307">
        <v>369.4</v>
      </c>
      <c r="I307">
        <v>35.799999999999997</v>
      </c>
      <c r="J307">
        <v>249.2</v>
      </c>
      <c r="K307">
        <v>112.25</v>
      </c>
      <c r="L307">
        <v>75.099999999999994</v>
      </c>
      <c r="M307">
        <v>109.10000000000001</v>
      </c>
      <c r="N307">
        <v>92.65</v>
      </c>
      <c r="O307">
        <v>3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</row>
    <row r="308" spans="1:48" x14ac:dyDescent="0.25">
      <c r="A308" t="s">
        <v>111</v>
      </c>
      <c r="B308" t="s">
        <v>125</v>
      </c>
      <c r="C308" t="s">
        <v>114</v>
      </c>
      <c r="D308">
        <v>2009</v>
      </c>
      <c r="E308">
        <v>0</v>
      </c>
      <c r="F308">
        <v>0</v>
      </c>
      <c r="G308">
        <v>52.95</v>
      </c>
      <c r="H308">
        <v>39.65</v>
      </c>
      <c r="I308">
        <v>0</v>
      </c>
      <c r="J308">
        <v>0.7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</row>
    <row r="309" spans="1:48" x14ac:dyDescent="0.25">
      <c r="A309" t="s">
        <v>111</v>
      </c>
      <c r="B309" t="s">
        <v>125</v>
      </c>
      <c r="C309" t="s">
        <v>115</v>
      </c>
      <c r="D309">
        <v>2009</v>
      </c>
      <c r="E309">
        <v>0</v>
      </c>
      <c r="F309">
        <v>307.64999999999998</v>
      </c>
      <c r="G309">
        <v>88.87</v>
      </c>
      <c r="H309">
        <v>0</v>
      </c>
      <c r="I309">
        <v>0</v>
      </c>
      <c r="J309">
        <v>1.1499999999999999</v>
      </c>
      <c r="K309">
        <v>0</v>
      </c>
      <c r="L309">
        <v>9.85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</row>
    <row r="310" spans="1:48" x14ac:dyDescent="0.25">
      <c r="A310" t="s">
        <v>111</v>
      </c>
      <c r="B310" t="s">
        <v>125</v>
      </c>
      <c r="C310" t="s">
        <v>120</v>
      </c>
      <c r="D310">
        <v>2009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</row>
    <row r="311" spans="1:48" x14ac:dyDescent="0.25">
      <c r="A311" t="s">
        <v>111</v>
      </c>
      <c r="B311" t="s">
        <v>125</v>
      </c>
      <c r="C311" t="s">
        <v>116</v>
      </c>
      <c r="D311">
        <v>2009</v>
      </c>
      <c r="E311">
        <v>0</v>
      </c>
      <c r="F311">
        <v>969.15</v>
      </c>
      <c r="G311">
        <v>2052.25</v>
      </c>
      <c r="H311">
        <v>567.14999999999986</v>
      </c>
      <c r="I311">
        <v>24</v>
      </c>
      <c r="J311">
        <v>1045.2</v>
      </c>
      <c r="K311">
        <v>588.9</v>
      </c>
      <c r="L311">
        <v>0</v>
      </c>
      <c r="M311">
        <v>1937.9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</row>
    <row r="312" spans="1:48" x14ac:dyDescent="0.25">
      <c r="A312" t="s">
        <v>111</v>
      </c>
      <c r="B312" t="s">
        <v>125</v>
      </c>
      <c r="C312" t="s">
        <v>121</v>
      </c>
      <c r="D312">
        <v>2009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</row>
    <row r="313" spans="1:48" x14ac:dyDescent="0.25">
      <c r="A313" t="s">
        <v>111</v>
      </c>
      <c r="B313" t="s">
        <v>125</v>
      </c>
      <c r="C313" t="s">
        <v>117</v>
      </c>
      <c r="D313">
        <v>2009</v>
      </c>
      <c r="E313">
        <v>17.649999999999999</v>
      </c>
      <c r="F313">
        <v>19.649999999999999</v>
      </c>
      <c r="G313">
        <v>177.39999999999998</v>
      </c>
      <c r="H313">
        <v>543</v>
      </c>
      <c r="I313">
        <v>23.349999999999998</v>
      </c>
      <c r="J313">
        <v>147.64999999999998</v>
      </c>
      <c r="K313">
        <v>1.25</v>
      </c>
      <c r="L313">
        <v>19.5</v>
      </c>
      <c r="M313">
        <v>24.5</v>
      </c>
      <c r="N313">
        <v>62.850000000000009</v>
      </c>
      <c r="O313">
        <v>0.7</v>
      </c>
      <c r="P313">
        <v>3.45</v>
      </c>
      <c r="Q313">
        <v>511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</row>
    <row r="314" spans="1:48" x14ac:dyDescent="0.25">
      <c r="A314" t="s">
        <v>111</v>
      </c>
      <c r="B314" t="s">
        <v>125</v>
      </c>
      <c r="C314" t="s">
        <v>122</v>
      </c>
      <c r="D314">
        <v>2009</v>
      </c>
      <c r="E314">
        <v>0</v>
      </c>
      <c r="F314">
        <v>0</v>
      </c>
      <c r="G314">
        <v>29.1</v>
      </c>
      <c r="H314">
        <v>0</v>
      </c>
      <c r="I314">
        <v>0</v>
      </c>
      <c r="J314">
        <v>35.949999999999996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</row>
    <row r="315" spans="1:48" x14ac:dyDescent="0.25">
      <c r="A315" t="s">
        <v>111</v>
      </c>
      <c r="B315" t="s">
        <v>125</v>
      </c>
      <c r="C315" t="s">
        <v>118</v>
      </c>
      <c r="D315">
        <v>2009</v>
      </c>
      <c r="E315">
        <v>0</v>
      </c>
      <c r="F315">
        <v>254.39999999999998</v>
      </c>
      <c r="G315">
        <v>94.35</v>
      </c>
      <c r="H315">
        <v>4.5</v>
      </c>
      <c r="I315">
        <v>0</v>
      </c>
      <c r="J315">
        <v>130.70000000000002</v>
      </c>
      <c r="K315">
        <v>83.05</v>
      </c>
      <c r="L315">
        <v>71.849999999999994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</row>
    <row r="316" spans="1:48" x14ac:dyDescent="0.25">
      <c r="A316" t="s">
        <v>111</v>
      </c>
      <c r="B316" t="s">
        <v>125</v>
      </c>
      <c r="C316" t="s">
        <v>119</v>
      </c>
      <c r="D316">
        <v>2009</v>
      </c>
      <c r="E316">
        <v>11.95</v>
      </c>
      <c r="F316">
        <v>472.75</v>
      </c>
      <c r="G316">
        <v>915.05</v>
      </c>
      <c r="H316">
        <v>698.84999999999991</v>
      </c>
      <c r="I316">
        <v>11.599999999999998</v>
      </c>
      <c r="J316">
        <v>20.149999999999999</v>
      </c>
      <c r="K316">
        <v>15.4</v>
      </c>
      <c r="L316">
        <v>33.300000000000004</v>
      </c>
      <c r="M316">
        <v>5</v>
      </c>
      <c r="N316">
        <v>26.2</v>
      </c>
      <c r="O316">
        <v>3</v>
      </c>
      <c r="P316">
        <v>2.85</v>
      </c>
      <c r="Q316">
        <v>654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</row>
    <row r="317" spans="1:48" x14ac:dyDescent="0.25">
      <c r="A317" t="s">
        <v>111</v>
      </c>
      <c r="B317" t="s">
        <v>125</v>
      </c>
      <c r="C317" t="s">
        <v>123</v>
      </c>
      <c r="D317">
        <v>2009</v>
      </c>
      <c r="E317">
        <v>0</v>
      </c>
      <c r="F317">
        <v>260.3</v>
      </c>
      <c r="G317">
        <v>175.95</v>
      </c>
      <c r="H317">
        <v>40.299999999999997</v>
      </c>
      <c r="I317">
        <v>0</v>
      </c>
      <c r="J317">
        <v>230.75</v>
      </c>
      <c r="K317">
        <v>61.3</v>
      </c>
      <c r="L317">
        <v>109.25</v>
      </c>
      <c r="M317">
        <v>0</v>
      </c>
      <c r="N317">
        <v>82.75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</row>
    <row r="318" spans="1:48" x14ac:dyDescent="0.25">
      <c r="A318" t="s">
        <v>111</v>
      </c>
      <c r="B318" t="s">
        <v>125</v>
      </c>
      <c r="C318" t="s">
        <v>124</v>
      </c>
      <c r="D318">
        <v>2009</v>
      </c>
      <c r="E318">
        <v>324.75</v>
      </c>
      <c r="F318">
        <v>4991.54</v>
      </c>
      <c r="G318">
        <v>2228.1999999999998</v>
      </c>
      <c r="H318">
        <v>907.14999999999986</v>
      </c>
      <c r="I318">
        <v>0</v>
      </c>
      <c r="J318">
        <v>1559.25</v>
      </c>
      <c r="K318">
        <v>2724.3500000000004</v>
      </c>
      <c r="L318">
        <v>868.34999999999991</v>
      </c>
      <c r="M318">
        <v>75</v>
      </c>
      <c r="N318">
        <v>12</v>
      </c>
      <c r="O318">
        <v>10</v>
      </c>
      <c r="P318">
        <v>0</v>
      </c>
      <c r="Q318">
        <v>101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</row>
    <row r="319" spans="1:48" x14ac:dyDescent="0.25">
      <c r="A319" t="s">
        <v>111</v>
      </c>
      <c r="B319" t="s">
        <v>125</v>
      </c>
      <c r="C319" t="s">
        <v>4</v>
      </c>
      <c r="D319">
        <v>2010</v>
      </c>
      <c r="E319">
        <v>313.55</v>
      </c>
      <c r="F319">
        <v>1698</v>
      </c>
      <c r="G319">
        <v>2695.35</v>
      </c>
      <c r="H319">
        <v>727.64999999999986</v>
      </c>
      <c r="I319">
        <v>63.85</v>
      </c>
      <c r="J319">
        <v>769.85</v>
      </c>
      <c r="K319">
        <v>402.69999999999993</v>
      </c>
      <c r="L319">
        <v>205.95</v>
      </c>
      <c r="M319">
        <v>102.95</v>
      </c>
      <c r="N319">
        <v>139.35</v>
      </c>
      <c r="O319">
        <v>0</v>
      </c>
      <c r="P319">
        <v>23.6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</row>
    <row r="320" spans="1:48" x14ac:dyDescent="0.25">
      <c r="A320" t="s">
        <v>111</v>
      </c>
      <c r="B320" t="s">
        <v>125</v>
      </c>
      <c r="C320" t="s">
        <v>114</v>
      </c>
      <c r="D320">
        <v>2010</v>
      </c>
      <c r="E320">
        <v>0</v>
      </c>
      <c r="F320">
        <v>1.8</v>
      </c>
      <c r="G320">
        <v>35.75</v>
      </c>
      <c r="H320">
        <v>21.95</v>
      </c>
      <c r="I320">
        <v>0</v>
      </c>
      <c r="J320">
        <v>1.45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</row>
    <row r="321" spans="1:48" x14ac:dyDescent="0.25">
      <c r="A321" t="s">
        <v>111</v>
      </c>
      <c r="B321" t="s">
        <v>125</v>
      </c>
      <c r="C321" t="s">
        <v>115</v>
      </c>
      <c r="D321">
        <v>2010</v>
      </c>
      <c r="E321">
        <v>32</v>
      </c>
      <c r="F321">
        <v>516.19999999999993</v>
      </c>
      <c r="G321">
        <v>177.8</v>
      </c>
      <c r="H321">
        <v>19.5</v>
      </c>
      <c r="I321">
        <v>0</v>
      </c>
      <c r="J321">
        <v>133.20000000000002</v>
      </c>
      <c r="K321">
        <v>22.65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</row>
    <row r="322" spans="1:48" x14ac:dyDescent="0.25">
      <c r="A322" t="s">
        <v>111</v>
      </c>
      <c r="B322" t="s">
        <v>125</v>
      </c>
      <c r="C322" t="s">
        <v>120</v>
      </c>
      <c r="D322">
        <v>2010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</row>
    <row r="323" spans="1:48" x14ac:dyDescent="0.25">
      <c r="A323" t="s">
        <v>111</v>
      </c>
      <c r="B323" t="s">
        <v>125</v>
      </c>
      <c r="C323" t="s">
        <v>116</v>
      </c>
      <c r="D323">
        <v>2010</v>
      </c>
      <c r="E323">
        <v>30.7</v>
      </c>
      <c r="F323">
        <v>1.1000000000000001</v>
      </c>
      <c r="G323">
        <v>66</v>
      </c>
      <c r="H323">
        <v>517</v>
      </c>
      <c r="I323">
        <v>3.6</v>
      </c>
      <c r="J323">
        <v>1030</v>
      </c>
      <c r="K323">
        <v>589</v>
      </c>
      <c r="L323">
        <v>0</v>
      </c>
      <c r="M323">
        <v>493.45</v>
      </c>
      <c r="N323">
        <v>0</v>
      </c>
      <c r="O323">
        <v>9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</row>
    <row r="324" spans="1:48" x14ac:dyDescent="0.25">
      <c r="A324" t="s">
        <v>111</v>
      </c>
      <c r="B324" t="s">
        <v>125</v>
      </c>
      <c r="C324" t="s">
        <v>121</v>
      </c>
      <c r="D324">
        <v>2010</v>
      </c>
      <c r="E324">
        <v>137.65</v>
      </c>
      <c r="F324">
        <v>127.8</v>
      </c>
      <c r="G324">
        <v>167.20000000000002</v>
      </c>
      <c r="H324">
        <v>459.25</v>
      </c>
      <c r="I324">
        <v>0</v>
      </c>
      <c r="J324">
        <v>596.04999999999995</v>
      </c>
      <c r="K324">
        <v>286.05</v>
      </c>
      <c r="L324">
        <v>0</v>
      </c>
      <c r="M324">
        <v>313.55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</row>
    <row r="325" spans="1:48" x14ac:dyDescent="0.25">
      <c r="A325" t="s">
        <v>111</v>
      </c>
      <c r="B325" t="s">
        <v>125</v>
      </c>
      <c r="C325" t="s">
        <v>117</v>
      </c>
      <c r="D325">
        <v>2010</v>
      </c>
      <c r="E325">
        <v>75.900000000000006</v>
      </c>
      <c r="F325">
        <v>19.299999999999997</v>
      </c>
      <c r="G325">
        <v>178.15000000000003</v>
      </c>
      <c r="H325">
        <v>579.54999999999995</v>
      </c>
      <c r="I325">
        <v>50.599999999999994</v>
      </c>
      <c r="J325">
        <v>214.14999999999998</v>
      </c>
      <c r="K325">
        <v>0</v>
      </c>
      <c r="L325">
        <v>15.500000000000002</v>
      </c>
      <c r="M325">
        <v>30.95</v>
      </c>
      <c r="N325">
        <v>123.55</v>
      </c>
      <c r="O325">
        <v>3.9249999999999998</v>
      </c>
      <c r="P325">
        <v>526.4</v>
      </c>
      <c r="Q325">
        <v>492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</row>
    <row r="326" spans="1:48" x14ac:dyDescent="0.25">
      <c r="A326" t="s">
        <v>111</v>
      </c>
      <c r="B326" t="s">
        <v>125</v>
      </c>
      <c r="C326" t="s">
        <v>122</v>
      </c>
      <c r="D326">
        <v>2010</v>
      </c>
      <c r="E326">
        <v>0</v>
      </c>
      <c r="F326">
        <v>18</v>
      </c>
      <c r="G326">
        <v>177.89999999999998</v>
      </c>
      <c r="H326">
        <v>90.649999999999991</v>
      </c>
      <c r="I326">
        <v>0</v>
      </c>
      <c r="J326">
        <v>8.8000000000000007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</row>
    <row r="327" spans="1:48" x14ac:dyDescent="0.25">
      <c r="A327" t="s">
        <v>111</v>
      </c>
      <c r="B327" t="s">
        <v>125</v>
      </c>
      <c r="C327" t="s">
        <v>118</v>
      </c>
      <c r="D327">
        <v>2010</v>
      </c>
      <c r="E327">
        <v>33.549999999999997</v>
      </c>
      <c r="F327">
        <v>56.85</v>
      </c>
      <c r="G327">
        <v>114.55000000000001</v>
      </c>
      <c r="H327">
        <v>6.1</v>
      </c>
      <c r="I327">
        <v>0</v>
      </c>
      <c r="J327">
        <v>125.8</v>
      </c>
      <c r="K327">
        <v>62.35</v>
      </c>
      <c r="L327">
        <v>75.599999999999994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</row>
    <row r="328" spans="1:48" x14ac:dyDescent="0.25">
      <c r="A328" t="s">
        <v>111</v>
      </c>
      <c r="B328" t="s">
        <v>125</v>
      </c>
      <c r="C328" t="s">
        <v>119</v>
      </c>
      <c r="D328">
        <v>2010</v>
      </c>
      <c r="E328">
        <v>84.5</v>
      </c>
      <c r="F328">
        <v>805.85</v>
      </c>
      <c r="G328">
        <v>1186.25</v>
      </c>
      <c r="H328">
        <v>816.15000000000009</v>
      </c>
      <c r="I328">
        <v>20.75</v>
      </c>
      <c r="J328">
        <v>221.54999999999998</v>
      </c>
      <c r="K328">
        <v>6.3</v>
      </c>
      <c r="L328">
        <v>147.15</v>
      </c>
      <c r="M328">
        <v>16.95</v>
      </c>
      <c r="N328">
        <v>23.4</v>
      </c>
      <c r="O328">
        <v>0</v>
      </c>
      <c r="P328">
        <v>17.094999999999999</v>
      </c>
      <c r="Q328">
        <v>703.25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</row>
    <row r="329" spans="1:48" x14ac:dyDescent="0.25">
      <c r="A329" t="s">
        <v>111</v>
      </c>
      <c r="B329" t="s">
        <v>125</v>
      </c>
      <c r="C329" t="s">
        <v>123</v>
      </c>
      <c r="D329">
        <v>2010</v>
      </c>
      <c r="E329">
        <v>0</v>
      </c>
      <c r="F329">
        <v>298.7</v>
      </c>
      <c r="G329">
        <v>185.6</v>
      </c>
      <c r="H329">
        <v>74.5</v>
      </c>
      <c r="I329">
        <v>0</v>
      </c>
      <c r="J329">
        <v>182.25</v>
      </c>
      <c r="K329">
        <v>81.2</v>
      </c>
      <c r="L329">
        <v>100.65</v>
      </c>
      <c r="M329">
        <v>0</v>
      </c>
      <c r="N329">
        <v>65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</row>
    <row r="330" spans="1:48" x14ac:dyDescent="0.25">
      <c r="A330" t="s">
        <v>111</v>
      </c>
      <c r="B330" t="s">
        <v>125</v>
      </c>
      <c r="C330" t="s">
        <v>124</v>
      </c>
      <c r="D330">
        <v>2010</v>
      </c>
      <c r="E330">
        <v>357.55</v>
      </c>
      <c r="F330">
        <v>5110.1000000000004</v>
      </c>
      <c r="G330">
        <v>1954.7</v>
      </c>
      <c r="H330">
        <v>1296.1000000000001</v>
      </c>
      <c r="I330">
        <v>10</v>
      </c>
      <c r="J330">
        <v>1352.8</v>
      </c>
      <c r="K330">
        <v>1804.15</v>
      </c>
      <c r="L330">
        <v>791.7</v>
      </c>
      <c r="M330">
        <v>224.9</v>
      </c>
      <c r="N330">
        <v>22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</row>
    <row r="331" spans="1:48" x14ac:dyDescent="0.25">
      <c r="A331" t="s">
        <v>111</v>
      </c>
      <c r="B331" t="s">
        <v>125</v>
      </c>
      <c r="C331" t="s">
        <v>4</v>
      </c>
      <c r="D331">
        <v>2011</v>
      </c>
      <c r="E331">
        <v>108.45</v>
      </c>
      <c r="F331">
        <v>770.00000000000011</v>
      </c>
      <c r="G331">
        <v>1608.7</v>
      </c>
      <c r="H331">
        <v>475.25</v>
      </c>
      <c r="I331">
        <v>17.399999999999999</v>
      </c>
      <c r="J331">
        <v>284.65000000000009</v>
      </c>
      <c r="K331">
        <v>119.9</v>
      </c>
      <c r="L331">
        <v>70.8</v>
      </c>
      <c r="M331">
        <v>43.800000000000004</v>
      </c>
      <c r="N331">
        <v>117.71999999999998</v>
      </c>
      <c r="O331">
        <v>3.45</v>
      </c>
      <c r="P331">
        <v>15.979999999999999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</row>
    <row r="332" spans="1:48" x14ac:dyDescent="0.25">
      <c r="A332" t="s">
        <v>111</v>
      </c>
      <c r="B332" t="s">
        <v>125</v>
      </c>
      <c r="C332" t="s">
        <v>114</v>
      </c>
      <c r="D332">
        <v>2011</v>
      </c>
      <c r="E332">
        <v>1.5</v>
      </c>
      <c r="F332">
        <v>21.5</v>
      </c>
      <c r="G332">
        <v>151.5</v>
      </c>
      <c r="H332">
        <v>39.35</v>
      </c>
      <c r="I332">
        <v>0</v>
      </c>
      <c r="J332">
        <v>35.5</v>
      </c>
      <c r="K332">
        <v>3.5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</row>
    <row r="333" spans="1:48" x14ac:dyDescent="0.25">
      <c r="A333" t="s">
        <v>111</v>
      </c>
      <c r="B333" t="s">
        <v>125</v>
      </c>
      <c r="C333" t="s">
        <v>115</v>
      </c>
      <c r="D333">
        <v>2011</v>
      </c>
      <c r="E333">
        <v>0</v>
      </c>
      <c r="F333">
        <v>364.25</v>
      </c>
      <c r="G333">
        <v>118.35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</row>
    <row r="334" spans="1:48" x14ac:dyDescent="0.25">
      <c r="A334" t="s">
        <v>111</v>
      </c>
      <c r="B334" t="s">
        <v>125</v>
      </c>
      <c r="C334" t="s">
        <v>120</v>
      </c>
      <c r="D334">
        <v>2011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</row>
    <row r="335" spans="1:48" x14ac:dyDescent="0.25">
      <c r="A335" t="s">
        <v>111</v>
      </c>
      <c r="B335" t="s">
        <v>125</v>
      </c>
      <c r="C335" t="s">
        <v>116</v>
      </c>
      <c r="D335">
        <v>2011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</row>
    <row r="336" spans="1:48" x14ac:dyDescent="0.25">
      <c r="A336" t="s">
        <v>111</v>
      </c>
      <c r="B336" t="s">
        <v>125</v>
      </c>
      <c r="C336" t="s">
        <v>121</v>
      </c>
      <c r="D336">
        <v>2011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</row>
    <row r="337" spans="1:48" x14ac:dyDescent="0.25">
      <c r="A337" t="s">
        <v>111</v>
      </c>
      <c r="B337" t="s">
        <v>125</v>
      </c>
      <c r="C337" t="s">
        <v>117</v>
      </c>
      <c r="D337">
        <v>2011</v>
      </c>
      <c r="E337">
        <v>51.4</v>
      </c>
      <c r="F337">
        <v>11.25</v>
      </c>
      <c r="G337">
        <v>210.95</v>
      </c>
      <c r="H337">
        <v>7668.5</v>
      </c>
      <c r="I337">
        <v>71.75</v>
      </c>
      <c r="J337">
        <v>211.6</v>
      </c>
      <c r="K337">
        <v>0</v>
      </c>
      <c r="L337">
        <v>90.4</v>
      </c>
      <c r="M337">
        <v>0</v>
      </c>
      <c r="N337">
        <v>122.9</v>
      </c>
      <c r="O337">
        <v>1.0499999999999998</v>
      </c>
      <c r="P337">
        <v>9.7250000000000014</v>
      </c>
      <c r="Q337">
        <v>512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</row>
    <row r="338" spans="1:48" x14ac:dyDescent="0.25">
      <c r="A338" t="s">
        <v>111</v>
      </c>
      <c r="B338" t="s">
        <v>125</v>
      </c>
      <c r="C338" t="s">
        <v>122</v>
      </c>
      <c r="D338">
        <v>2011</v>
      </c>
      <c r="E338">
        <v>0</v>
      </c>
      <c r="F338">
        <v>42.349999999999987</v>
      </c>
      <c r="G338">
        <v>159.05000000000001</v>
      </c>
      <c r="H338">
        <v>31</v>
      </c>
      <c r="I338">
        <v>0</v>
      </c>
      <c r="J338">
        <v>23.05</v>
      </c>
      <c r="K338">
        <v>6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</row>
    <row r="339" spans="1:48" x14ac:dyDescent="0.25">
      <c r="A339" t="s">
        <v>111</v>
      </c>
      <c r="B339" t="s">
        <v>125</v>
      </c>
      <c r="C339" t="s">
        <v>118</v>
      </c>
      <c r="D339">
        <v>2011</v>
      </c>
      <c r="E339">
        <v>4.3500000000000005</v>
      </c>
      <c r="F339">
        <v>359.55</v>
      </c>
      <c r="G339">
        <v>393.69999999999993</v>
      </c>
      <c r="H339">
        <v>38.799999999999997</v>
      </c>
      <c r="I339">
        <v>0</v>
      </c>
      <c r="J339">
        <v>115.6</v>
      </c>
      <c r="K339">
        <v>39.5</v>
      </c>
      <c r="L339">
        <v>54.75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</row>
    <row r="340" spans="1:48" x14ac:dyDescent="0.25">
      <c r="A340" t="s">
        <v>111</v>
      </c>
      <c r="B340" t="s">
        <v>125</v>
      </c>
      <c r="C340" t="s">
        <v>119</v>
      </c>
      <c r="D340">
        <v>2011</v>
      </c>
      <c r="E340">
        <v>27.799999999999997</v>
      </c>
      <c r="F340">
        <v>777.55</v>
      </c>
      <c r="G340">
        <v>1157</v>
      </c>
      <c r="H340">
        <v>681.75</v>
      </c>
      <c r="I340">
        <v>67.349999999999994</v>
      </c>
      <c r="J340">
        <v>359.95</v>
      </c>
      <c r="K340">
        <v>251.95</v>
      </c>
      <c r="L340">
        <v>140.5</v>
      </c>
      <c r="M340">
        <v>0</v>
      </c>
      <c r="N340">
        <v>43</v>
      </c>
      <c r="O340">
        <v>0.15</v>
      </c>
      <c r="P340">
        <v>8.1</v>
      </c>
      <c r="Q340">
        <v>715</v>
      </c>
      <c r="R340">
        <v>15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</row>
    <row r="341" spans="1:48" x14ac:dyDescent="0.25">
      <c r="A341" t="s">
        <v>111</v>
      </c>
      <c r="B341" t="s">
        <v>125</v>
      </c>
      <c r="C341" t="s">
        <v>123</v>
      </c>
      <c r="D341">
        <v>2011</v>
      </c>
      <c r="E341">
        <v>0</v>
      </c>
      <c r="F341">
        <v>220.5</v>
      </c>
      <c r="G341">
        <v>260.05</v>
      </c>
      <c r="H341">
        <v>97.2</v>
      </c>
      <c r="I341">
        <v>0</v>
      </c>
      <c r="J341">
        <v>184.15000000000003</v>
      </c>
      <c r="K341">
        <v>67.95</v>
      </c>
      <c r="L341">
        <v>38.049999999999997</v>
      </c>
      <c r="M341">
        <v>0</v>
      </c>
      <c r="N341">
        <v>54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</row>
    <row r="342" spans="1:48" x14ac:dyDescent="0.25">
      <c r="A342" t="s">
        <v>111</v>
      </c>
      <c r="B342" t="s">
        <v>125</v>
      </c>
      <c r="C342" t="s">
        <v>124</v>
      </c>
      <c r="D342">
        <v>2011</v>
      </c>
      <c r="E342">
        <v>320.65999999999997</v>
      </c>
      <c r="F342">
        <v>3405.1000000000004</v>
      </c>
      <c r="G342">
        <v>1405.45</v>
      </c>
      <c r="H342">
        <v>1207.2</v>
      </c>
      <c r="I342">
        <v>6.5</v>
      </c>
      <c r="J342">
        <v>1546.45</v>
      </c>
      <c r="K342">
        <v>3178.65</v>
      </c>
      <c r="L342">
        <v>1947.9</v>
      </c>
      <c r="M342">
        <v>156.55000000000001</v>
      </c>
      <c r="N342">
        <v>24.75</v>
      </c>
      <c r="O342">
        <v>17.45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</row>
    <row r="343" spans="1:48" x14ac:dyDescent="0.25">
      <c r="A343" t="s">
        <v>111</v>
      </c>
      <c r="B343" t="s">
        <v>125</v>
      </c>
      <c r="C343" t="s">
        <v>4</v>
      </c>
      <c r="D343">
        <v>2012</v>
      </c>
      <c r="E343">
        <v>204.75000000000003</v>
      </c>
      <c r="F343">
        <v>1001.2500000000001</v>
      </c>
      <c r="G343">
        <v>1891.15</v>
      </c>
      <c r="H343">
        <v>824.7</v>
      </c>
      <c r="I343">
        <v>51.45</v>
      </c>
      <c r="J343">
        <v>828.7</v>
      </c>
      <c r="K343">
        <v>235.85</v>
      </c>
      <c r="L343">
        <v>308.25</v>
      </c>
      <c r="M343">
        <v>300.80000000000007</v>
      </c>
      <c r="N343">
        <v>261.55</v>
      </c>
      <c r="O343">
        <v>39</v>
      </c>
      <c r="P343">
        <v>60.349999999999994</v>
      </c>
      <c r="Q343">
        <v>21</v>
      </c>
      <c r="R343">
        <v>94.5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</row>
    <row r="344" spans="1:48" x14ac:dyDescent="0.25">
      <c r="A344" t="s">
        <v>111</v>
      </c>
      <c r="B344" t="s">
        <v>125</v>
      </c>
      <c r="C344" t="s">
        <v>114</v>
      </c>
      <c r="D344">
        <v>2012</v>
      </c>
      <c r="E344">
        <v>0</v>
      </c>
      <c r="F344">
        <v>30</v>
      </c>
      <c r="G344">
        <v>177</v>
      </c>
      <c r="H344">
        <v>100.55</v>
      </c>
      <c r="I344">
        <v>0</v>
      </c>
      <c r="J344">
        <v>45.449999999999996</v>
      </c>
      <c r="K344">
        <v>8.5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</row>
    <row r="345" spans="1:48" x14ac:dyDescent="0.25">
      <c r="A345" t="s">
        <v>111</v>
      </c>
      <c r="B345" t="s">
        <v>125</v>
      </c>
      <c r="C345" t="s">
        <v>115</v>
      </c>
      <c r="D345">
        <v>2012</v>
      </c>
      <c r="E345">
        <v>102.80000000000001</v>
      </c>
      <c r="F345">
        <v>363.25</v>
      </c>
      <c r="G345">
        <v>126</v>
      </c>
      <c r="H345">
        <v>14.65</v>
      </c>
      <c r="I345">
        <v>0</v>
      </c>
      <c r="J345">
        <v>156.75</v>
      </c>
      <c r="K345">
        <v>69.050000000000011</v>
      </c>
      <c r="L345">
        <v>72.849999999999994</v>
      </c>
      <c r="M345">
        <v>34</v>
      </c>
      <c r="N345">
        <v>57.6</v>
      </c>
      <c r="O345">
        <v>1.5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</row>
    <row r="346" spans="1:48" x14ac:dyDescent="0.25">
      <c r="A346" t="s">
        <v>111</v>
      </c>
      <c r="B346" t="s">
        <v>125</v>
      </c>
      <c r="C346" t="s">
        <v>120</v>
      </c>
      <c r="D346">
        <v>2012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</row>
    <row r="347" spans="1:48" x14ac:dyDescent="0.25">
      <c r="A347" t="s">
        <v>111</v>
      </c>
      <c r="B347" t="s">
        <v>125</v>
      </c>
      <c r="C347" t="s">
        <v>116</v>
      </c>
      <c r="D347">
        <v>2012</v>
      </c>
      <c r="E347">
        <v>358.55</v>
      </c>
      <c r="F347">
        <v>1098.3</v>
      </c>
      <c r="G347">
        <v>1579.65</v>
      </c>
      <c r="H347">
        <v>393.8</v>
      </c>
      <c r="I347">
        <v>0.75</v>
      </c>
      <c r="J347">
        <v>217.16000000000003</v>
      </c>
      <c r="K347">
        <v>538.35</v>
      </c>
      <c r="L347">
        <v>1.65</v>
      </c>
      <c r="M347">
        <v>773</v>
      </c>
      <c r="N347">
        <v>66.949999999999989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</row>
    <row r="348" spans="1:48" x14ac:dyDescent="0.25">
      <c r="A348" t="s">
        <v>111</v>
      </c>
      <c r="B348" t="s">
        <v>125</v>
      </c>
      <c r="C348" t="s">
        <v>121</v>
      </c>
      <c r="D348">
        <v>2012</v>
      </c>
      <c r="E348">
        <v>249.35</v>
      </c>
      <c r="F348">
        <v>276.84999999999997</v>
      </c>
      <c r="G348">
        <v>695.95000000000016</v>
      </c>
      <c r="H348">
        <v>336.45</v>
      </c>
      <c r="I348">
        <v>0</v>
      </c>
      <c r="J348">
        <v>255.6</v>
      </c>
      <c r="K348">
        <v>293.8</v>
      </c>
      <c r="L348">
        <v>73</v>
      </c>
      <c r="M348">
        <v>287.45</v>
      </c>
      <c r="N348">
        <v>226.1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</row>
    <row r="349" spans="1:48" x14ac:dyDescent="0.25">
      <c r="A349" t="s">
        <v>111</v>
      </c>
      <c r="B349" t="s">
        <v>125</v>
      </c>
      <c r="C349" t="s">
        <v>117</v>
      </c>
      <c r="D349">
        <v>2012</v>
      </c>
      <c r="E349">
        <v>65.55</v>
      </c>
      <c r="F349">
        <v>41.5</v>
      </c>
      <c r="G349">
        <v>286.84999999999997</v>
      </c>
      <c r="H349">
        <v>651.04999999999995</v>
      </c>
      <c r="I349">
        <v>66.2</v>
      </c>
      <c r="J349">
        <v>210.79999999999998</v>
      </c>
      <c r="K349">
        <v>44.900000000000006</v>
      </c>
      <c r="L349">
        <v>80.850000000000009</v>
      </c>
      <c r="M349">
        <v>82.25</v>
      </c>
      <c r="N349">
        <v>67.149999999999991</v>
      </c>
      <c r="O349">
        <v>0.63</v>
      </c>
      <c r="P349">
        <v>7.98</v>
      </c>
      <c r="Q349">
        <v>540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</row>
    <row r="350" spans="1:48" x14ac:dyDescent="0.25">
      <c r="A350" t="s">
        <v>111</v>
      </c>
      <c r="B350" t="s">
        <v>125</v>
      </c>
      <c r="C350" t="s">
        <v>122</v>
      </c>
      <c r="D350">
        <v>2012</v>
      </c>
      <c r="E350">
        <v>0</v>
      </c>
      <c r="F350">
        <v>42.55</v>
      </c>
      <c r="G350">
        <v>171.9</v>
      </c>
      <c r="H350">
        <v>48</v>
      </c>
      <c r="I350">
        <v>0</v>
      </c>
      <c r="J350">
        <v>58.15</v>
      </c>
      <c r="K350">
        <v>10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</row>
    <row r="351" spans="1:48" x14ac:dyDescent="0.25">
      <c r="A351" t="s">
        <v>111</v>
      </c>
      <c r="B351" t="s">
        <v>125</v>
      </c>
      <c r="C351" t="s">
        <v>118</v>
      </c>
      <c r="D351">
        <v>2012</v>
      </c>
      <c r="E351">
        <v>8.6</v>
      </c>
      <c r="F351">
        <v>941.75999999999988</v>
      </c>
      <c r="G351">
        <v>653.85</v>
      </c>
      <c r="H351">
        <v>5.3</v>
      </c>
      <c r="I351">
        <v>0</v>
      </c>
      <c r="J351">
        <v>292.64999999999998</v>
      </c>
      <c r="K351">
        <v>176.03</v>
      </c>
      <c r="L351">
        <v>388.05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</row>
    <row r="352" spans="1:48" x14ac:dyDescent="0.25">
      <c r="A352" t="s">
        <v>111</v>
      </c>
      <c r="B352" t="s">
        <v>125</v>
      </c>
      <c r="C352" t="s">
        <v>119</v>
      </c>
      <c r="D352">
        <v>2012</v>
      </c>
      <c r="E352">
        <v>124.2</v>
      </c>
      <c r="F352">
        <v>928.3</v>
      </c>
      <c r="G352">
        <v>1356.3999999999999</v>
      </c>
      <c r="H352">
        <v>1142.8</v>
      </c>
      <c r="I352">
        <v>26.599999999999998</v>
      </c>
      <c r="J352">
        <v>219.85</v>
      </c>
      <c r="K352">
        <v>133.54999999999998</v>
      </c>
      <c r="L352">
        <v>117.69999999999999</v>
      </c>
      <c r="M352">
        <v>5.05</v>
      </c>
      <c r="N352">
        <v>66.650000000000006</v>
      </c>
      <c r="O352">
        <v>26.8</v>
      </c>
      <c r="P352">
        <v>17.149999999999999</v>
      </c>
      <c r="Q352">
        <v>650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</row>
    <row r="353" spans="1:48" x14ac:dyDescent="0.25">
      <c r="A353" t="s">
        <v>111</v>
      </c>
      <c r="B353" t="s">
        <v>125</v>
      </c>
      <c r="C353" t="s">
        <v>123</v>
      </c>
      <c r="D353">
        <v>2012</v>
      </c>
      <c r="E353">
        <v>1</v>
      </c>
      <c r="F353">
        <v>190.95000000000002</v>
      </c>
      <c r="G353">
        <v>196.99999999999997</v>
      </c>
      <c r="H353">
        <v>58</v>
      </c>
      <c r="I353">
        <v>0</v>
      </c>
      <c r="J353">
        <v>48.15</v>
      </c>
      <c r="K353">
        <v>26.25</v>
      </c>
      <c r="L353">
        <v>2.5</v>
      </c>
      <c r="M353">
        <v>35</v>
      </c>
      <c r="N353">
        <v>69.05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</row>
    <row r="354" spans="1:48" x14ac:dyDescent="0.25">
      <c r="A354" t="s">
        <v>111</v>
      </c>
      <c r="B354" t="s">
        <v>125</v>
      </c>
      <c r="C354" t="s">
        <v>124</v>
      </c>
      <c r="D354">
        <v>2012</v>
      </c>
      <c r="E354">
        <v>215.91</v>
      </c>
      <c r="F354">
        <v>3438.25</v>
      </c>
      <c r="G354">
        <v>1715.9999999999998</v>
      </c>
      <c r="H354">
        <v>1286.3999999999999</v>
      </c>
      <c r="I354">
        <v>0</v>
      </c>
      <c r="J354">
        <v>696.75000000000011</v>
      </c>
      <c r="K354">
        <v>1782.95</v>
      </c>
      <c r="L354">
        <v>879.69999999999993</v>
      </c>
      <c r="M354">
        <v>275.90000000000003</v>
      </c>
      <c r="N354">
        <v>216.2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</row>
    <row r="355" spans="1:48" x14ac:dyDescent="0.25">
      <c r="A355" t="s">
        <v>111</v>
      </c>
      <c r="B355" t="s">
        <v>125</v>
      </c>
      <c r="C355" t="s">
        <v>4</v>
      </c>
      <c r="D355">
        <v>2013</v>
      </c>
      <c r="E355">
        <v>236.50000000000003</v>
      </c>
      <c r="F355">
        <v>1061</v>
      </c>
      <c r="G355">
        <v>24107.199999999997</v>
      </c>
      <c r="H355">
        <v>889.84999999999991</v>
      </c>
      <c r="I355">
        <v>64.95</v>
      </c>
      <c r="J355">
        <v>578.70000000000005</v>
      </c>
      <c r="K355">
        <v>273.39999999999998</v>
      </c>
      <c r="L355">
        <v>300.35000000000002</v>
      </c>
      <c r="M355">
        <v>175.04999999999998</v>
      </c>
      <c r="N355">
        <v>244.40000000000003</v>
      </c>
      <c r="O355">
        <v>2.25</v>
      </c>
      <c r="P355">
        <v>14.85</v>
      </c>
      <c r="Q355">
        <v>0</v>
      </c>
      <c r="R355">
        <v>52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</row>
    <row r="356" spans="1:48" x14ac:dyDescent="0.25">
      <c r="A356" t="s">
        <v>111</v>
      </c>
      <c r="B356" t="s">
        <v>125</v>
      </c>
      <c r="C356" t="s">
        <v>114</v>
      </c>
      <c r="D356">
        <v>2013</v>
      </c>
      <c r="E356">
        <v>0</v>
      </c>
      <c r="F356">
        <v>52</v>
      </c>
      <c r="G356">
        <v>156.05000000000001</v>
      </c>
      <c r="H356">
        <v>11.700000000000001</v>
      </c>
      <c r="I356">
        <v>0</v>
      </c>
      <c r="J356">
        <v>89.5</v>
      </c>
      <c r="K356">
        <v>15.05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</row>
    <row r="357" spans="1:48" x14ac:dyDescent="0.25">
      <c r="A357" t="s">
        <v>111</v>
      </c>
      <c r="B357" t="s">
        <v>125</v>
      </c>
      <c r="C357" t="s">
        <v>115</v>
      </c>
      <c r="D357">
        <v>2013</v>
      </c>
      <c r="E357">
        <v>12.149999999999999</v>
      </c>
      <c r="F357">
        <v>356.40000000000003</v>
      </c>
      <c r="G357">
        <v>172.70000000000002</v>
      </c>
      <c r="H357">
        <v>26.999999999999996</v>
      </c>
      <c r="I357">
        <v>0</v>
      </c>
      <c r="J357">
        <v>178.6</v>
      </c>
      <c r="K357">
        <v>17.95</v>
      </c>
      <c r="L357">
        <v>226.4</v>
      </c>
      <c r="M357">
        <v>0</v>
      </c>
      <c r="N357">
        <v>115</v>
      </c>
      <c r="O357">
        <v>100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</row>
    <row r="358" spans="1:48" x14ac:dyDescent="0.25">
      <c r="A358" t="s">
        <v>111</v>
      </c>
      <c r="B358" t="s">
        <v>125</v>
      </c>
      <c r="C358" t="s">
        <v>120</v>
      </c>
      <c r="D358">
        <v>2013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</row>
    <row r="359" spans="1:48" x14ac:dyDescent="0.25">
      <c r="A359" t="s">
        <v>111</v>
      </c>
      <c r="B359" t="s">
        <v>125</v>
      </c>
      <c r="C359" t="s">
        <v>116</v>
      </c>
      <c r="D359">
        <v>2013</v>
      </c>
      <c r="E359">
        <v>117.05</v>
      </c>
      <c r="F359">
        <v>223.9</v>
      </c>
      <c r="G359">
        <v>639.59999999999991</v>
      </c>
      <c r="H359">
        <v>178.45</v>
      </c>
      <c r="I359">
        <v>0</v>
      </c>
      <c r="J359">
        <v>80.849999999999994</v>
      </c>
      <c r="K359">
        <v>80.849999999999994</v>
      </c>
      <c r="L359">
        <v>16.75</v>
      </c>
      <c r="M359">
        <v>157.5</v>
      </c>
      <c r="N359">
        <v>264.89999999999998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</row>
    <row r="360" spans="1:48" x14ac:dyDescent="0.25">
      <c r="A360" t="s">
        <v>111</v>
      </c>
      <c r="B360" t="s">
        <v>125</v>
      </c>
      <c r="C360" t="s">
        <v>121</v>
      </c>
      <c r="D360">
        <v>2013</v>
      </c>
      <c r="E360">
        <v>73.39</v>
      </c>
      <c r="F360">
        <v>234</v>
      </c>
      <c r="G360">
        <v>581.35</v>
      </c>
      <c r="H360">
        <v>553.5</v>
      </c>
      <c r="I360">
        <v>0</v>
      </c>
      <c r="J360">
        <v>391.25</v>
      </c>
      <c r="K360">
        <v>260.14999999999998</v>
      </c>
      <c r="L360">
        <v>233.95</v>
      </c>
      <c r="M360">
        <v>234.45000000000002</v>
      </c>
      <c r="N360">
        <v>470.9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</row>
    <row r="361" spans="1:48" x14ac:dyDescent="0.25">
      <c r="A361" t="s">
        <v>111</v>
      </c>
      <c r="B361" t="s">
        <v>125</v>
      </c>
      <c r="C361" t="s">
        <v>117</v>
      </c>
      <c r="D361">
        <v>2013</v>
      </c>
      <c r="E361">
        <v>39.35</v>
      </c>
      <c r="F361">
        <v>48.599999999999994</v>
      </c>
      <c r="G361">
        <v>338.95</v>
      </c>
      <c r="H361">
        <v>624.20000000000016</v>
      </c>
      <c r="I361">
        <v>54.70000000000001</v>
      </c>
      <c r="J361">
        <v>168.90000000000003</v>
      </c>
      <c r="K361">
        <v>12.65</v>
      </c>
      <c r="L361">
        <v>25.700000000000003</v>
      </c>
      <c r="M361">
        <v>0</v>
      </c>
      <c r="N361">
        <v>169</v>
      </c>
      <c r="O361">
        <v>0</v>
      </c>
      <c r="P361">
        <v>5.87</v>
      </c>
      <c r="Q361">
        <v>300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</row>
    <row r="362" spans="1:48" x14ac:dyDescent="0.25">
      <c r="A362" t="s">
        <v>111</v>
      </c>
      <c r="B362" t="s">
        <v>125</v>
      </c>
      <c r="C362" t="s">
        <v>122</v>
      </c>
      <c r="D362">
        <v>2013</v>
      </c>
      <c r="E362">
        <v>0</v>
      </c>
      <c r="F362">
        <v>24</v>
      </c>
      <c r="G362">
        <v>103.25</v>
      </c>
      <c r="H362">
        <v>44.75</v>
      </c>
      <c r="I362">
        <v>0</v>
      </c>
      <c r="J362">
        <v>92.75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</row>
    <row r="363" spans="1:48" x14ac:dyDescent="0.25">
      <c r="A363" t="s">
        <v>111</v>
      </c>
      <c r="B363" t="s">
        <v>125</v>
      </c>
      <c r="C363" t="s">
        <v>118</v>
      </c>
      <c r="D363">
        <v>2013</v>
      </c>
      <c r="E363">
        <v>0</v>
      </c>
      <c r="F363">
        <v>303.35000000000002</v>
      </c>
      <c r="G363">
        <v>381.25</v>
      </c>
      <c r="H363">
        <v>29.900000000000002</v>
      </c>
      <c r="I363">
        <v>0</v>
      </c>
      <c r="J363">
        <v>219.59999999999997</v>
      </c>
      <c r="K363">
        <v>35.049999999999997</v>
      </c>
      <c r="L363">
        <v>117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</row>
    <row r="364" spans="1:48" x14ac:dyDescent="0.25">
      <c r="A364" t="s">
        <v>111</v>
      </c>
      <c r="B364" t="s">
        <v>125</v>
      </c>
      <c r="C364" t="s">
        <v>119</v>
      </c>
      <c r="D364">
        <v>2013</v>
      </c>
      <c r="E364">
        <v>78.95</v>
      </c>
      <c r="F364">
        <v>652.69999999999993</v>
      </c>
      <c r="G364">
        <v>1453.9499999999998</v>
      </c>
      <c r="H364">
        <v>1293.0999999999999</v>
      </c>
      <c r="I364">
        <v>20.55</v>
      </c>
      <c r="J364">
        <v>574.40000000000009</v>
      </c>
      <c r="K364">
        <v>89</v>
      </c>
      <c r="L364">
        <v>421.2</v>
      </c>
      <c r="M364">
        <v>14.25</v>
      </c>
      <c r="N364">
        <v>357.84999999999997</v>
      </c>
      <c r="O364">
        <v>4.5999999999999996</v>
      </c>
      <c r="P364">
        <v>10.9</v>
      </c>
      <c r="Q364">
        <v>300</v>
      </c>
      <c r="R364">
        <v>8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</row>
    <row r="365" spans="1:48" x14ac:dyDescent="0.25">
      <c r="A365" t="s">
        <v>111</v>
      </c>
      <c r="B365" t="s">
        <v>125</v>
      </c>
      <c r="C365" t="s">
        <v>123</v>
      </c>
      <c r="D365">
        <v>2013</v>
      </c>
      <c r="E365">
        <v>0</v>
      </c>
      <c r="F365">
        <v>236.5</v>
      </c>
      <c r="G365">
        <v>188.15</v>
      </c>
      <c r="H365">
        <v>97.85</v>
      </c>
      <c r="I365">
        <v>0</v>
      </c>
      <c r="J365">
        <v>75.900000000000006</v>
      </c>
      <c r="K365">
        <v>50.150000000000006</v>
      </c>
      <c r="L365">
        <v>149.4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</row>
    <row r="366" spans="1:48" x14ac:dyDescent="0.25">
      <c r="A366" t="s">
        <v>111</v>
      </c>
      <c r="B366" t="s">
        <v>125</v>
      </c>
      <c r="C366" t="s">
        <v>124</v>
      </c>
      <c r="D366">
        <v>2013</v>
      </c>
      <c r="E366">
        <v>229.35</v>
      </c>
      <c r="F366">
        <v>3168.4</v>
      </c>
      <c r="G366">
        <v>1811.4499999999998</v>
      </c>
      <c r="H366">
        <v>1808.25</v>
      </c>
      <c r="I366">
        <v>8</v>
      </c>
      <c r="J366">
        <v>1219.3</v>
      </c>
      <c r="K366">
        <v>2358.15</v>
      </c>
      <c r="L366">
        <v>922.49999999999989</v>
      </c>
      <c r="M366">
        <v>498.6</v>
      </c>
      <c r="N366">
        <v>142.25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</row>
    <row r="367" spans="1:48" x14ac:dyDescent="0.25">
      <c r="A367" t="s">
        <v>111</v>
      </c>
      <c r="B367" t="s">
        <v>125</v>
      </c>
      <c r="C367" t="s">
        <v>4</v>
      </c>
      <c r="D367">
        <v>2014</v>
      </c>
      <c r="E367">
        <v>79.150000000000006</v>
      </c>
      <c r="F367">
        <v>749.80000000000007</v>
      </c>
      <c r="G367">
        <v>1677.4500000000003</v>
      </c>
      <c r="H367">
        <v>1553.6500000000003</v>
      </c>
      <c r="I367">
        <v>86.299999999999983</v>
      </c>
      <c r="J367">
        <v>924.59999999999991</v>
      </c>
      <c r="K367">
        <v>292.75</v>
      </c>
      <c r="L367">
        <v>301.8</v>
      </c>
      <c r="M367">
        <v>81.45</v>
      </c>
      <c r="N367">
        <v>169.55000000000004</v>
      </c>
      <c r="O367">
        <v>26.75</v>
      </c>
      <c r="P367">
        <v>5.7750000000000004</v>
      </c>
      <c r="Q367">
        <v>780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</row>
    <row r="368" spans="1:48" x14ac:dyDescent="0.25">
      <c r="A368" t="s">
        <v>111</v>
      </c>
      <c r="B368" t="s">
        <v>125</v>
      </c>
      <c r="C368" t="s">
        <v>114</v>
      </c>
      <c r="D368">
        <v>2014</v>
      </c>
      <c r="E368">
        <v>0</v>
      </c>
      <c r="F368">
        <v>26</v>
      </c>
      <c r="G368">
        <v>166.29999999999998</v>
      </c>
      <c r="H368">
        <v>63.75</v>
      </c>
      <c r="I368">
        <v>0</v>
      </c>
      <c r="J368">
        <v>25.15</v>
      </c>
      <c r="K368">
        <v>6.95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</row>
    <row r="369" spans="1:48" x14ac:dyDescent="0.25">
      <c r="A369" t="s">
        <v>111</v>
      </c>
      <c r="B369" t="s">
        <v>125</v>
      </c>
      <c r="C369" t="s">
        <v>115</v>
      </c>
      <c r="D369">
        <v>2014</v>
      </c>
      <c r="E369">
        <v>10.75</v>
      </c>
      <c r="F369">
        <v>163.65</v>
      </c>
      <c r="G369">
        <v>121.25000000000001</v>
      </c>
      <c r="H369">
        <v>49.449999999999996</v>
      </c>
      <c r="I369">
        <v>0</v>
      </c>
      <c r="J369">
        <v>175.29999999999998</v>
      </c>
      <c r="K369">
        <v>0</v>
      </c>
      <c r="L369">
        <v>119.85</v>
      </c>
      <c r="M369">
        <v>0</v>
      </c>
      <c r="N369">
        <v>11.8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</row>
    <row r="370" spans="1:48" x14ac:dyDescent="0.25">
      <c r="A370" t="s">
        <v>111</v>
      </c>
      <c r="B370" t="s">
        <v>125</v>
      </c>
      <c r="C370" t="s">
        <v>120</v>
      </c>
      <c r="D370">
        <v>2014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</row>
    <row r="371" spans="1:48" x14ac:dyDescent="0.25">
      <c r="A371" t="s">
        <v>111</v>
      </c>
      <c r="B371" t="s">
        <v>125</v>
      </c>
      <c r="C371" t="s">
        <v>116</v>
      </c>
      <c r="D371">
        <v>2014</v>
      </c>
      <c r="E371">
        <v>42.6</v>
      </c>
      <c r="F371">
        <v>31.749999999999996</v>
      </c>
      <c r="G371">
        <v>370.34999999999997</v>
      </c>
      <c r="H371">
        <v>53.29</v>
      </c>
      <c r="I371">
        <v>0</v>
      </c>
      <c r="J371">
        <v>278.60000000000002</v>
      </c>
      <c r="K371">
        <v>77</v>
      </c>
      <c r="L371">
        <v>12.42</v>
      </c>
      <c r="M371">
        <v>95.3</v>
      </c>
      <c r="N371">
        <v>278.39999999999998</v>
      </c>
      <c r="O371">
        <v>0</v>
      </c>
      <c r="P371">
        <v>0.57500000000000007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</row>
    <row r="372" spans="1:48" x14ac:dyDescent="0.25">
      <c r="A372" t="s">
        <v>111</v>
      </c>
      <c r="B372" t="s">
        <v>125</v>
      </c>
      <c r="C372" t="s">
        <v>121</v>
      </c>
      <c r="D372">
        <v>2014</v>
      </c>
      <c r="E372">
        <v>107.25</v>
      </c>
      <c r="F372">
        <v>208.49999999999997</v>
      </c>
      <c r="G372">
        <v>609.09999999999991</v>
      </c>
      <c r="H372">
        <v>4047.1000000000004</v>
      </c>
      <c r="I372">
        <v>0</v>
      </c>
      <c r="J372">
        <v>385.65000000000003</v>
      </c>
      <c r="K372">
        <v>183.55</v>
      </c>
      <c r="L372">
        <v>198.64999999999998</v>
      </c>
      <c r="M372">
        <v>80.95</v>
      </c>
      <c r="N372">
        <v>388.00000000000006</v>
      </c>
      <c r="O372">
        <v>1.0249999999999999</v>
      </c>
      <c r="P372">
        <v>3.0749999999999997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</row>
    <row r="373" spans="1:48" x14ac:dyDescent="0.25">
      <c r="A373" t="s">
        <v>111</v>
      </c>
      <c r="B373" t="s">
        <v>125</v>
      </c>
      <c r="C373" t="s">
        <v>117</v>
      </c>
      <c r="D373">
        <v>2014</v>
      </c>
      <c r="E373">
        <v>49.675000000000004</v>
      </c>
      <c r="F373">
        <v>31.400000000000002</v>
      </c>
      <c r="G373">
        <v>294.80000000000007</v>
      </c>
      <c r="H373">
        <v>804.25</v>
      </c>
      <c r="I373">
        <v>35.049999999999997</v>
      </c>
      <c r="J373">
        <v>297.2</v>
      </c>
      <c r="K373">
        <v>82.2</v>
      </c>
      <c r="L373">
        <v>135.92500000000001</v>
      </c>
      <c r="M373">
        <v>32.5</v>
      </c>
      <c r="N373">
        <v>171.20000000000002</v>
      </c>
      <c r="O373">
        <v>0.32500000000000001</v>
      </c>
      <c r="P373">
        <v>78.050000000000011</v>
      </c>
      <c r="Q373">
        <v>576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</row>
    <row r="374" spans="1:48" x14ac:dyDescent="0.25">
      <c r="A374" t="s">
        <v>111</v>
      </c>
      <c r="B374" t="s">
        <v>125</v>
      </c>
      <c r="C374" t="s">
        <v>122</v>
      </c>
      <c r="D374">
        <v>2014</v>
      </c>
      <c r="E374">
        <v>0</v>
      </c>
      <c r="F374">
        <v>22.300000000000004</v>
      </c>
      <c r="G374">
        <v>122.89999999999999</v>
      </c>
      <c r="H374">
        <v>31.45</v>
      </c>
      <c r="I374">
        <v>0</v>
      </c>
      <c r="J374">
        <v>40.9</v>
      </c>
      <c r="K374">
        <v>0</v>
      </c>
      <c r="L374">
        <v>0</v>
      </c>
      <c r="M374">
        <v>0.1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</row>
    <row r="375" spans="1:48" x14ac:dyDescent="0.25">
      <c r="A375" t="s">
        <v>111</v>
      </c>
      <c r="B375" t="s">
        <v>125</v>
      </c>
      <c r="C375" t="s">
        <v>118</v>
      </c>
      <c r="D375">
        <v>2014</v>
      </c>
      <c r="E375">
        <v>0</v>
      </c>
      <c r="F375">
        <v>157.77000000000001</v>
      </c>
      <c r="G375">
        <v>316.85000000000002</v>
      </c>
      <c r="H375">
        <v>11.75</v>
      </c>
      <c r="I375">
        <v>0</v>
      </c>
      <c r="J375">
        <v>221.75000000000003</v>
      </c>
      <c r="K375">
        <v>24.7</v>
      </c>
      <c r="L375">
        <v>87.399999999999991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</row>
    <row r="376" spans="1:48" x14ac:dyDescent="0.25">
      <c r="A376" t="s">
        <v>111</v>
      </c>
      <c r="B376" t="s">
        <v>125</v>
      </c>
      <c r="C376" t="s">
        <v>119</v>
      </c>
      <c r="D376">
        <v>2014</v>
      </c>
      <c r="E376">
        <v>42.75</v>
      </c>
      <c r="F376">
        <v>564.74999999999989</v>
      </c>
      <c r="G376">
        <v>813</v>
      </c>
      <c r="H376">
        <v>1134.55</v>
      </c>
      <c r="I376">
        <v>0.2</v>
      </c>
      <c r="J376">
        <v>458.2</v>
      </c>
      <c r="K376">
        <v>100.5</v>
      </c>
      <c r="L376">
        <v>316.3</v>
      </c>
      <c r="M376">
        <v>42.05</v>
      </c>
      <c r="N376">
        <v>49.95</v>
      </c>
      <c r="O376">
        <v>0.15</v>
      </c>
      <c r="P376">
        <v>53.75</v>
      </c>
      <c r="Q376">
        <v>600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</row>
    <row r="377" spans="1:48" x14ac:dyDescent="0.25">
      <c r="A377" t="s">
        <v>111</v>
      </c>
      <c r="B377" t="s">
        <v>125</v>
      </c>
      <c r="C377" t="s">
        <v>123</v>
      </c>
      <c r="D377">
        <v>2014</v>
      </c>
      <c r="E377">
        <v>0</v>
      </c>
      <c r="F377">
        <v>244.99999999999997</v>
      </c>
      <c r="G377">
        <v>213.35000000000002</v>
      </c>
      <c r="H377">
        <v>54.199999999999996</v>
      </c>
      <c r="I377">
        <v>0</v>
      </c>
      <c r="J377">
        <v>82.95</v>
      </c>
      <c r="K377">
        <v>53.850000000000009</v>
      </c>
      <c r="L377">
        <v>98.6</v>
      </c>
      <c r="M377">
        <v>0</v>
      </c>
      <c r="N377">
        <v>25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</row>
    <row r="378" spans="1:48" x14ac:dyDescent="0.25">
      <c r="A378" t="s">
        <v>111</v>
      </c>
      <c r="B378" t="s">
        <v>125</v>
      </c>
      <c r="C378" t="s">
        <v>124</v>
      </c>
      <c r="D378">
        <v>2014</v>
      </c>
      <c r="E378">
        <v>338.65000000000003</v>
      </c>
      <c r="F378">
        <v>4296.12</v>
      </c>
      <c r="G378">
        <v>2259.75</v>
      </c>
      <c r="H378">
        <v>1890.3299999999997</v>
      </c>
      <c r="I378">
        <v>0</v>
      </c>
      <c r="J378">
        <v>1650.3200000000002</v>
      </c>
      <c r="K378">
        <v>2862.84</v>
      </c>
      <c r="L378">
        <v>1208.1000000000001</v>
      </c>
      <c r="M378">
        <v>119.2</v>
      </c>
      <c r="N378">
        <v>223.5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</row>
    <row r="379" spans="1:48" x14ac:dyDescent="0.25">
      <c r="A379" t="s">
        <v>111</v>
      </c>
      <c r="B379" t="s">
        <v>125</v>
      </c>
      <c r="C379" t="s">
        <v>4</v>
      </c>
      <c r="D379">
        <v>2015</v>
      </c>
      <c r="E379">
        <v>214.2</v>
      </c>
      <c r="F379">
        <v>2200.9</v>
      </c>
      <c r="G379">
        <v>5678.5</v>
      </c>
      <c r="H379">
        <v>1231.51</v>
      </c>
      <c r="I379">
        <v>104.8</v>
      </c>
      <c r="J379">
        <v>2022.95</v>
      </c>
      <c r="K379">
        <v>287.05</v>
      </c>
      <c r="L379">
        <v>315.3</v>
      </c>
      <c r="M379">
        <v>99.7</v>
      </c>
      <c r="N379">
        <v>344.45</v>
      </c>
      <c r="O379">
        <v>13.78</v>
      </c>
      <c r="P379">
        <v>37.229999999999997</v>
      </c>
      <c r="Q379">
        <v>188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</row>
    <row r="380" spans="1:48" x14ac:dyDescent="0.25">
      <c r="A380" t="s">
        <v>111</v>
      </c>
      <c r="B380" t="s">
        <v>125</v>
      </c>
      <c r="C380" t="s">
        <v>114</v>
      </c>
      <c r="D380">
        <v>2015</v>
      </c>
      <c r="E380">
        <v>0</v>
      </c>
      <c r="F380">
        <v>27</v>
      </c>
      <c r="G380">
        <v>112.85</v>
      </c>
      <c r="H380">
        <v>58.75</v>
      </c>
      <c r="I380">
        <v>0</v>
      </c>
      <c r="J380">
        <v>31.3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</row>
    <row r="381" spans="1:48" x14ac:dyDescent="0.25">
      <c r="A381" t="s">
        <v>111</v>
      </c>
      <c r="B381" t="s">
        <v>125</v>
      </c>
      <c r="C381" t="s">
        <v>115</v>
      </c>
      <c r="D381">
        <v>2015</v>
      </c>
      <c r="E381">
        <v>16.100000000000001</v>
      </c>
      <c r="F381">
        <v>301.35000000000002</v>
      </c>
      <c r="G381">
        <v>230.6</v>
      </c>
      <c r="H381">
        <v>37.65</v>
      </c>
      <c r="I381">
        <v>0</v>
      </c>
      <c r="J381">
        <v>136.4</v>
      </c>
      <c r="K381">
        <v>73.900000000000006</v>
      </c>
      <c r="L381">
        <v>27.45</v>
      </c>
      <c r="M381">
        <v>8.75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</row>
    <row r="382" spans="1:48" x14ac:dyDescent="0.25">
      <c r="A382" t="s">
        <v>111</v>
      </c>
      <c r="B382" t="s">
        <v>125</v>
      </c>
      <c r="C382" t="s">
        <v>120</v>
      </c>
      <c r="D382">
        <v>2015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</row>
    <row r="383" spans="1:48" x14ac:dyDescent="0.25">
      <c r="A383" t="s">
        <v>111</v>
      </c>
      <c r="B383" t="s">
        <v>125</v>
      </c>
      <c r="C383" t="s">
        <v>116</v>
      </c>
      <c r="D383">
        <v>2015</v>
      </c>
      <c r="E383">
        <v>34.950000000000003</v>
      </c>
      <c r="F383">
        <v>88.28</v>
      </c>
      <c r="G383">
        <v>511.45</v>
      </c>
      <c r="H383">
        <v>206.55</v>
      </c>
      <c r="I383">
        <v>0</v>
      </c>
      <c r="J383">
        <v>291.92</v>
      </c>
      <c r="K383">
        <v>498.1</v>
      </c>
      <c r="L383">
        <v>117.85</v>
      </c>
      <c r="M383">
        <v>282.14999999999998</v>
      </c>
      <c r="N383">
        <v>335.1</v>
      </c>
      <c r="O383">
        <v>0</v>
      </c>
      <c r="P383">
        <v>6.8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</row>
    <row r="384" spans="1:48" x14ac:dyDescent="0.25">
      <c r="A384" t="s">
        <v>111</v>
      </c>
      <c r="B384" t="s">
        <v>125</v>
      </c>
      <c r="C384" t="s">
        <v>121</v>
      </c>
      <c r="D384">
        <v>2015</v>
      </c>
      <c r="E384">
        <v>115.35</v>
      </c>
      <c r="F384">
        <v>127.5</v>
      </c>
      <c r="G384">
        <v>563.35</v>
      </c>
      <c r="H384">
        <v>603.04999999999995</v>
      </c>
      <c r="I384">
        <v>0</v>
      </c>
      <c r="J384">
        <v>252.6</v>
      </c>
      <c r="K384">
        <v>139.6</v>
      </c>
      <c r="L384">
        <v>244.1</v>
      </c>
      <c r="M384">
        <v>115.65</v>
      </c>
      <c r="N384">
        <v>561</v>
      </c>
      <c r="O384">
        <v>0</v>
      </c>
      <c r="P384">
        <v>5.83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</row>
    <row r="385" spans="1:48" x14ac:dyDescent="0.25">
      <c r="A385" t="s">
        <v>111</v>
      </c>
      <c r="B385" t="s">
        <v>125</v>
      </c>
      <c r="C385" t="s">
        <v>117</v>
      </c>
      <c r="D385">
        <v>2015</v>
      </c>
      <c r="E385">
        <v>44.15</v>
      </c>
      <c r="F385">
        <v>7.25</v>
      </c>
      <c r="G385">
        <v>231.3</v>
      </c>
      <c r="H385">
        <v>201.9</v>
      </c>
      <c r="I385">
        <v>27.05</v>
      </c>
      <c r="J385">
        <v>198.6</v>
      </c>
      <c r="K385">
        <v>27.83</v>
      </c>
      <c r="L385">
        <v>124.1</v>
      </c>
      <c r="M385">
        <v>18</v>
      </c>
      <c r="N385">
        <v>87.05</v>
      </c>
      <c r="O385">
        <v>1</v>
      </c>
      <c r="P385">
        <v>3.75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</row>
    <row r="386" spans="1:48" x14ac:dyDescent="0.25">
      <c r="A386" t="s">
        <v>111</v>
      </c>
      <c r="B386" t="s">
        <v>125</v>
      </c>
      <c r="C386" t="s">
        <v>122</v>
      </c>
      <c r="D386">
        <v>2015</v>
      </c>
      <c r="E386">
        <v>0</v>
      </c>
      <c r="F386">
        <v>68.7</v>
      </c>
      <c r="G386">
        <v>216.95</v>
      </c>
      <c r="H386">
        <v>100.9</v>
      </c>
      <c r="I386">
        <v>0</v>
      </c>
      <c r="J386">
        <v>26.5</v>
      </c>
      <c r="K386">
        <v>10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</row>
    <row r="387" spans="1:48" x14ac:dyDescent="0.25">
      <c r="A387" t="s">
        <v>111</v>
      </c>
      <c r="B387" t="s">
        <v>125</v>
      </c>
      <c r="C387" t="s">
        <v>118</v>
      </c>
      <c r="D387">
        <v>2015</v>
      </c>
      <c r="E387">
        <v>0</v>
      </c>
      <c r="F387">
        <v>398.7</v>
      </c>
      <c r="G387">
        <v>432.5</v>
      </c>
      <c r="H387">
        <v>6.1</v>
      </c>
      <c r="I387">
        <v>0</v>
      </c>
      <c r="J387">
        <v>108.55</v>
      </c>
      <c r="K387">
        <v>69.11</v>
      </c>
      <c r="L387">
        <v>130.25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</row>
    <row r="388" spans="1:48" x14ac:dyDescent="0.25">
      <c r="A388" t="s">
        <v>111</v>
      </c>
      <c r="B388" t="s">
        <v>125</v>
      </c>
      <c r="C388" t="s">
        <v>119</v>
      </c>
      <c r="D388">
        <v>2015</v>
      </c>
      <c r="E388">
        <v>121.8</v>
      </c>
      <c r="F388">
        <v>737.1</v>
      </c>
      <c r="G388">
        <v>1131.75</v>
      </c>
      <c r="H388">
        <v>460.3</v>
      </c>
      <c r="I388">
        <v>30</v>
      </c>
      <c r="J388">
        <v>559.70000000000005</v>
      </c>
      <c r="K388">
        <v>50.05</v>
      </c>
      <c r="L388">
        <v>387.9</v>
      </c>
      <c r="M388">
        <v>49.8</v>
      </c>
      <c r="N388">
        <v>105.8</v>
      </c>
      <c r="O388">
        <v>0.08</v>
      </c>
      <c r="P388">
        <v>5.0999999999999996</v>
      </c>
      <c r="Q388">
        <v>479.9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</row>
    <row r="389" spans="1:48" x14ac:dyDescent="0.25">
      <c r="A389" t="s">
        <v>111</v>
      </c>
      <c r="B389" t="s">
        <v>125</v>
      </c>
      <c r="C389" t="s">
        <v>123</v>
      </c>
      <c r="D389">
        <v>2015</v>
      </c>
      <c r="E389">
        <v>50</v>
      </c>
      <c r="F389">
        <v>158.55000000000001</v>
      </c>
      <c r="G389">
        <v>235.7</v>
      </c>
      <c r="H389">
        <v>92.65</v>
      </c>
      <c r="I389">
        <v>0</v>
      </c>
      <c r="J389">
        <v>52.83</v>
      </c>
      <c r="K389">
        <v>27.05</v>
      </c>
      <c r="L389">
        <v>155.9</v>
      </c>
      <c r="M389">
        <v>9.9499999999999993</v>
      </c>
      <c r="N389">
        <v>15.8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</row>
    <row r="390" spans="1:48" x14ac:dyDescent="0.25">
      <c r="A390" t="s">
        <v>111</v>
      </c>
      <c r="B390" t="s">
        <v>125</v>
      </c>
      <c r="C390" t="s">
        <v>124</v>
      </c>
      <c r="D390">
        <v>2015</v>
      </c>
      <c r="E390">
        <v>891.3</v>
      </c>
      <c r="F390">
        <v>31814.42</v>
      </c>
      <c r="G390">
        <v>13269.16</v>
      </c>
      <c r="H390">
        <v>6796</v>
      </c>
      <c r="I390">
        <v>0</v>
      </c>
      <c r="J390">
        <v>5582.26</v>
      </c>
      <c r="K390">
        <v>10131.65</v>
      </c>
      <c r="L390">
        <v>5101.2</v>
      </c>
      <c r="M390">
        <v>222.4</v>
      </c>
      <c r="N390">
        <v>1160.95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</row>
    <row r="391" spans="1:48" x14ac:dyDescent="0.25">
      <c r="A391" t="s">
        <v>111</v>
      </c>
      <c r="B391" t="s">
        <v>125</v>
      </c>
      <c r="C391" t="s">
        <v>4</v>
      </c>
      <c r="D391">
        <v>2016</v>
      </c>
      <c r="E391">
        <v>402.9</v>
      </c>
      <c r="F391">
        <v>1638.3</v>
      </c>
      <c r="G391">
        <v>2124.75</v>
      </c>
      <c r="H391">
        <v>1903.3</v>
      </c>
      <c r="I391">
        <v>100.65</v>
      </c>
      <c r="J391">
        <v>876.5</v>
      </c>
      <c r="K391">
        <v>224.15</v>
      </c>
      <c r="L391">
        <v>407.85</v>
      </c>
      <c r="M391">
        <v>96.3</v>
      </c>
      <c r="N391">
        <v>370.8</v>
      </c>
      <c r="O391">
        <v>0</v>
      </c>
      <c r="P391">
        <v>10.93</v>
      </c>
      <c r="Q391">
        <v>890.15</v>
      </c>
      <c r="R391">
        <v>76.599999999999994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</row>
    <row r="392" spans="1:48" x14ac:dyDescent="0.25">
      <c r="A392" t="s">
        <v>111</v>
      </c>
      <c r="B392" t="s">
        <v>125</v>
      </c>
      <c r="C392" t="s">
        <v>114</v>
      </c>
      <c r="D392">
        <v>2016</v>
      </c>
      <c r="E392">
        <v>1.35</v>
      </c>
      <c r="F392">
        <v>21.5</v>
      </c>
      <c r="G392">
        <v>134.35</v>
      </c>
      <c r="H392">
        <v>90.25</v>
      </c>
      <c r="I392">
        <v>0</v>
      </c>
      <c r="J392">
        <v>37.65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1.4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</row>
    <row r="393" spans="1:48" x14ac:dyDescent="0.25">
      <c r="A393" t="s">
        <v>111</v>
      </c>
      <c r="B393" t="s">
        <v>125</v>
      </c>
      <c r="C393" t="s">
        <v>115</v>
      </c>
      <c r="D393">
        <v>2016</v>
      </c>
      <c r="E393">
        <v>8.1</v>
      </c>
      <c r="F393">
        <v>359.65</v>
      </c>
      <c r="G393">
        <v>275.89999999999998</v>
      </c>
      <c r="H393">
        <v>89.6</v>
      </c>
      <c r="I393">
        <v>0</v>
      </c>
      <c r="J393">
        <v>242.9</v>
      </c>
      <c r="K393">
        <v>5</v>
      </c>
      <c r="L393">
        <v>82.65</v>
      </c>
      <c r="M393">
        <v>0</v>
      </c>
      <c r="N393">
        <v>0</v>
      </c>
      <c r="O393">
        <v>10</v>
      </c>
      <c r="P393">
        <v>0</v>
      </c>
      <c r="Q393">
        <v>0</v>
      </c>
      <c r="R393">
        <v>13.25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</row>
    <row r="394" spans="1:48" x14ac:dyDescent="0.25">
      <c r="A394" t="s">
        <v>111</v>
      </c>
      <c r="B394" t="s">
        <v>125</v>
      </c>
      <c r="C394" t="s">
        <v>120</v>
      </c>
      <c r="D394">
        <v>2016</v>
      </c>
      <c r="E394">
        <v>0</v>
      </c>
      <c r="F394">
        <v>16</v>
      </c>
      <c r="G394">
        <v>14.25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</row>
    <row r="395" spans="1:48" x14ac:dyDescent="0.25">
      <c r="A395" t="s">
        <v>111</v>
      </c>
      <c r="B395" t="s">
        <v>125</v>
      </c>
      <c r="C395" t="s">
        <v>116</v>
      </c>
      <c r="D395">
        <v>2016</v>
      </c>
      <c r="E395">
        <v>362.89</v>
      </c>
      <c r="F395">
        <v>1378.68</v>
      </c>
      <c r="G395">
        <v>2593.9499999999998</v>
      </c>
      <c r="H395">
        <v>786.02</v>
      </c>
      <c r="I395">
        <v>0</v>
      </c>
      <c r="J395">
        <v>431.07</v>
      </c>
      <c r="K395">
        <v>478.05</v>
      </c>
      <c r="L395">
        <v>147.76</v>
      </c>
      <c r="M395">
        <v>462.5</v>
      </c>
      <c r="N395">
        <v>436.97</v>
      </c>
      <c r="O395">
        <v>0</v>
      </c>
      <c r="P395">
        <v>0.5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</row>
    <row r="396" spans="1:48" x14ac:dyDescent="0.25">
      <c r="A396" t="s">
        <v>111</v>
      </c>
      <c r="B396" t="s">
        <v>125</v>
      </c>
      <c r="C396" t="s">
        <v>121</v>
      </c>
      <c r="D396">
        <v>2016</v>
      </c>
      <c r="E396">
        <v>83.8</v>
      </c>
      <c r="F396">
        <v>285.2</v>
      </c>
      <c r="G396">
        <v>574.75</v>
      </c>
      <c r="H396">
        <v>811.15</v>
      </c>
      <c r="I396">
        <v>0</v>
      </c>
      <c r="J396">
        <v>456.6</v>
      </c>
      <c r="K396">
        <v>161.15</v>
      </c>
      <c r="L396">
        <v>294.89999999999998</v>
      </c>
      <c r="M396">
        <v>154.19999999999999</v>
      </c>
      <c r="N396">
        <v>566.9</v>
      </c>
      <c r="O396">
        <v>0</v>
      </c>
      <c r="P396">
        <v>16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</row>
    <row r="397" spans="1:48" x14ac:dyDescent="0.25">
      <c r="A397" t="s">
        <v>111</v>
      </c>
      <c r="B397" t="s">
        <v>125</v>
      </c>
      <c r="C397" t="s">
        <v>117</v>
      </c>
      <c r="D397">
        <v>2016</v>
      </c>
      <c r="E397">
        <v>96.48</v>
      </c>
      <c r="F397">
        <v>25.65</v>
      </c>
      <c r="G397">
        <v>356.75</v>
      </c>
      <c r="H397">
        <v>494.85</v>
      </c>
      <c r="I397">
        <v>31.25</v>
      </c>
      <c r="J397">
        <v>339.65</v>
      </c>
      <c r="K397">
        <v>22.4</v>
      </c>
      <c r="L397">
        <v>181.15</v>
      </c>
      <c r="M397">
        <v>0</v>
      </c>
      <c r="N397">
        <v>372.95</v>
      </c>
      <c r="O397">
        <v>20</v>
      </c>
      <c r="P397">
        <v>0.96</v>
      </c>
      <c r="Q397">
        <v>0</v>
      </c>
      <c r="R397">
        <v>3.45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</row>
    <row r="398" spans="1:48" x14ac:dyDescent="0.25">
      <c r="A398" t="s">
        <v>111</v>
      </c>
      <c r="B398" t="s">
        <v>125</v>
      </c>
      <c r="C398" t="s">
        <v>122</v>
      </c>
      <c r="D398">
        <v>2016</v>
      </c>
      <c r="E398">
        <v>0</v>
      </c>
      <c r="F398">
        <v>67.95</v>
      </c>
      <c r="G398">
        <v>238.05</v>
      </c>
      <c r="H398">
        <v>53.05</v>
      </c>
      <c r="I398">
        <v>0</v>
      </c>
      <c r="J398">
        <v>22.85</v>
      </c>
      <c r="K398">
        <v>6</v>
      </c>
      <c r="L398">
        <v>0</v>
      </c>
      <c r="M398">
        <v>2.5</v>
      </c>
      <c r="N398">
        <v>0</v>
      </c>
      <c r="O398">
        <v>0</v>
      </c>
      <c r="P398">
        <v>0</v>
      </c>
      <c r="Q398">
        <v>0</v>
      </c>
      <c r="R398">
        <v>1.45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</row>
    <row r="399" spans="1:48" x14ac:dyDescent="0.25">
      <c r="A399" t="s">
        <v>111</v>
      </c>
      <c r="B399" t="s">
        <v>125</v>
      </c>
      <c r="C399" t="s">
        <v>118</v>
      </c>
      <c r="D399">
        <v>2016</v>
      </c>
      <c r="E399">
        <v>8.4</v>
      </c>
      <c r="F399">
        <v>450.2</v>
      </c>
      <c r="G399">
        <v>470.05</v>
      </c>
      <c r="H399">
        <v>93.6</v>
      </c>
      <c r="I399">
        <v>0</v>
      </c>
      <c r="J399">
        <v>261.14999999999998</v>
      </c>
      <c r="K399">
        <v>33.35</v>
      </c>
      <c r="L399">
        <v>83.6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11.15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</row>
    <row r="400" spans="1:48" x14ac:dyDescent="0.25">
      <c r="A400" t="s">
        <v>111</v>
      </c>
      <c r="B400" t="s">
        <v>125</v>
      </c>
      <c r="C400" t="s">
        <v>119</v>
      </c>
      <c r="D400">
        <v>2016</v>
      </c>
      <c r="E400">
        <v>80.599999999999994</v>
      </c>
      <c r="F400">
        <v>534.25</v>
      </c>
      <c r="G400">
        <v>1376.85</v>
      </c>
      <c r="H400">
        <v>985.5</v>
      </c>
      <c r="I400">
        <v>0</v>
      </c>
      <c r="J400">
        <v>472.4</v>
      </c>
      <c r="K400">
        <v>170.95</v>
      </c>
      <c r="L400">
        <v>154.38999999999999</v>
      </c>
      <c r="M400">
        <v>42.15</v>
      </c>
      <c r="N400">
        <v>187.5</v>
      </c>
      <c r="O400">
        <v>0</v>
      </c>
      <c r="P400">
        <v>1.25</v>
      </c>
      <c r="Q400">
        <v>0</v>
      </c>
      <c r="R400">
        <v>13.85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</row>
    <row r="401" spans="1:48" x14ac:dyDescent="0.25">
      <c r="A401" t="s">
        <v>111</v>
      </c>
      <c r="B401" t="s">
        <v>125</v>
      </c>
      <c r="C401" t="s">
        <v>123</v>
      </c>
      <c r="D401">
        <v>2016</v>
      </c>
      <c r="E401">
        <v>33</v>
      </c>
      <c r="F401">
        <v>158.6</v>
      </c>
      <c r="G401">
        <v>274.60000000000002</v>
      </c>
      <c r="H401">
        <v>130.85</v>
      </c>
      <c r="I401">
        <v>0</v>
      </c>
      <c r="J401">
        <v>74.400000000000006</v>
      </c>
      <c r="K401">
        <v>59.95</v>
      </c>
      <c r="L401">
        <v>61.3</v>
      </c>
      <c r="M401">
        <v>6.15</v>
      </c>
      <c r="N401">
        <v>10</v>
      </c>
      <c r="O401">
        <v>0</v>
      </c>
      <c r="P401">
        <v>0</v>
      </c>
      <c r="Q401">
        <v>0</v>
      </c>
      <c r="R401">
        <v>20.7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</row>
    <row r="402" spans="1:48" x14ac:dyDescent="0.25">
      <c r="A402" t="s">
        <v>111</v>
      </c>
      <c r="B402" t="s">
        <v>125</v>
      </c>
      <c r="C402" t="s">
        <v>124</v>
      </c>
      <c r="D402">
        <v>2016</v>
      </c>
      <c r="E402">
        <v>200.9</v>
      </c>
      <c r="F402">
        <v>4366.8500000000004</v>
      </c>
      <c r="G402">
        <v>3472.93</v>
      </c>
      <c r="H402">
        <v>1922.3</v>
      </c>
      <c r="I402">
        <v>0</v>
      </c>
      <c r="J402">
        <v>1557.65</v>
      </c>
      <c r="K402">
        <v>1529.86</v>
      </c>
      <c r="L402">
        <v>787.75</v>
      </c>
      <c r="M402">
        <v>23.15</v>
      </c>
      <c r="N402">
        <v>204.45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</row>
    <row r="403" spans="1:48" x14ac:dyDescent="0.25">
      <c r="A403" t="s">
        <v>111</v>
      </c>
      <c r="B403" t="s">
        <v>125</v>
      </c>
      <c r="C403" t="s">
        <v>4</v>
      </c>
      <c r="D403">
        <v>2017</v>
      </c>
      <c r="E403">
        <v>514.54999999999995</v>
      </c>
      <c r="F403">
        <v>2443.0500000000002</v>
      </c>
      <c r="G403">
        <v>0</v>
      </c>
      <c r="H403">
        <v>1558.4</v>
      </c>
      <c r="I403">
        <v>46.15</v>
      </c>
      <c r="J403">
        <v>582.70000000000005</v>
      </c>
      <c r="K403">
        <v>291.75</v>
      </c>
      <c r="L403">
        <v>204</v>
      </c>
      <c r="M403">
        <v>174.35</v>
      </c>
      <c r="N403">
        <v>325.10000000000002</v>
      </c>
      <c r="O403">
        <v>88</v>
      </c>
      <c r="P403">
        <v>35.479999999999997</v>
      </c>
      <c r="Q403">
        <v>5.9</v>
      </c>
      <c r="R403">
        <v>96.55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</row>
    <row r="404" spans="1:48" x14ac:dyDescent="0.25">
      <c r="A404" t="s">
        <v>111</v>
      </c>
      <c r="B404" t="s">
        <v>125</v>
      </c>
      <c r="C404" t="s">
        <v>114</v>
      </c>
      <c r="D404">
        <v>2017</v>
      </c>
      <c r="E404">
        <v>24.65</v>
      </c>
      <c r="F404">
        <v>46.7</v>
      </c>
      <c r="G404">
        <v>0</v>
      </c>
      <c r="H404">
        <v>215.5</v>
      </c>
      <c r="I404">
        <v>0</v>
      </c>
      <c r="J404">
        <v>44.8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1.35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</row>
    <row r="405" spans="1:48" x14ac:dyDescent="0.25">
      <c r="A405" t="s">
        <v>111</v>
      </c>
      <c r="B405" t="s">
        <v>125</v>
      </c>
      <c r="C405" t="s">
        <v>115</v>
      </c>
      <c r="D405">
        <v>2017</v>
      </c>
      <c r="E405">
        <v>61.05</v>
      </c>
      <c r="F405">
        <v>217.4</v>
      </c>
      <c r="G405">
        <v>0</v>
      </c>
      <c r="H405">
        <v>196.15</v>
      </c>
      <c r="I405">
        <v>0</v>
      </c>
      <c r="J405">
        <v>120.9</v>
      </c>
      <c r="K405">
        <v>0</v>
      </c>
      <c r="L405">
        <v>49.25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2.9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</row>
    <row r="406" spans="1:48" x14ac:dyDescent="0.25">
      <c r="A406" t="s">
        <v>111</v>
      </c>
      <c r="B406" t="s">
        <v>125</v>
      </c>
      <c r="C406" t="s">
        <v>120</v>
      </c>
      <c r="D406">
        <v>2017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</row>
    <row r="407" spans="1:48" x14ac:dyDescent="0.25">
      <c r="A407" t="s">
        <v>111</v>
      </c>
      <c r="B407" t="s">
        <v>125</v>
      </c>
      <c r="C407" t="s">
        <v>116</v>
      </c>
      <c r="D407">
        <v>2017</v>
      </c>
      <c r="E407">
        <v>1072.01</v>
      </c>
      <c r="F407">
        <v>1083.75</v>
      </c>
      <c r="G407">
        <v>0</v>
      </c>
      <c r="H407">
        <v>1581.18</v>
      </c>
      <c r="I407">
        <v>0</v>
      </c>
      <c r="J407">
        <v>254.56</v>
      </c>
      <c r="K407">
        <v>290.60000000000002</v>
      </c>
      <c r="L407">
        <v>82.65</v>
      </c>
      <c r="M407">
        <v>558.22</v>
      </c>
      <c r="N407">
        <v>480.3</v>
      </c>
      <c r="O407">
        <v>20.5</v>
      </c>
      <c r="P407">
        <v>6.4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</row>
    <row r="408" spans="1:48" x14ac:dyDescent="0.25">
      <c r="A408" t="s">
        <v>111</v>
      </c>
      <c r="B408" t="s">
        <v>125</v>
      </c>
      <c r="C408" t="s">
        <v>121</v>
      </c>
      <c r="D408">
        <v>2017</v>
      </c>
      <c r="E408">
        <v>66.8</v>
      </c>
      <c r="F408">
        <v>145.94999999999999</v>
      </c>
      <c r="G408">
        <v>0</v>
      </c>
      <c r="H408">
        <v>1083.4000000000001</v>
      </c>
      <c r="I408">
        <v>0</v>
      </c>
      <c r="J408">
        <v>253.95</v>
      </c>
      <c r="K408">
        <v>93.55</v>
      </c>
      <c r="L408">
        <v>195.85</v>
      </c>
      <c r="M408">
        <v>91.7</v>
      </c>
      <c r="N408">
        <v>467</v>
      </c>
      <c r="O408">
        <v>8</v>
      </c>
      <c r="P408">
        <v>10.55</v>
      </c>
      <c r="Q408">
        <v>281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</row>
    <row r="409" spans="1:48" x14ac:dyDescent="0.25">
      <c r="A409" t="s">
        <v>111</v>
      </c>
      <c r="B409" t="s">
        <v>125</v>
      </c>
      <c r="C409" t="s">
        <v>117</v>
      </c>
      <c r="D409">
        <v>2017</v>
      </c>
      <c r="E409">
        <v>83.15</v>
      </c>
      <c r="F409">
        <v>14.25</v>
      </c>
      <c r="G409">
        <v>0</v>
      </c>
      <c r="H409">
        <v>1020.75</v>
      </c>
      <c r="I409">
        <v>29.65</v>
      </c>
      <c r="J409">
        <v>147.65</v>
      </c>
      <c r="K409">
        <v>53.7</v>
      </c>
      <c r="L409">
        <v>92.45</v>
      </c>
      <c r="M409">
        <v>0</v>
      </c>
      <c r="N409">
        <v>291.39999999999998</v>
      </c>
      <c r="O409">
        <v>0</v>
      </c>
      <c r="P409">
        <v>13.95</v>
      </c>
      <c r="Q409">
        <v>476</v>
      </c>
      <c r="R409">
        <v>23.75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</row>
    <row r="410" spans="1:48" x14ac:dyDescent="0.25">
      <c r="A410" t="s">
        <v>111</v>
      </c>
      <c r="B410" t="s">
        <v>125</v>
      </c>
      <c r="C410" t="s">
        <v>122</v>
      </c>
      <c r="D410">
        <v>2017</v>
      </c>
      <c r="E410">
        <v>17.649999999999999</v>
      </c>
      <c r="F410">
        <v>70.95</v>
      </c>
      <c r="G410">
        <v>0</v>
      </c>
      <c r="H410">
        <v>33.65</v>
      </c>
      <c r="I410">
        <v>0</v>
      </c>
      <c r="J410">
        <v>21.5</v>
      </c>
      <c r="K410">
        <v>10.5</v>
      </c>
      <c r="L410">
        <v>6</v>
      </c>
      <c r="M410">
        <v>0</v>
      </c>
      <c r="N410">
        <v>49.55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</row>
    <row r="411" spans="1:48" x14ac:dyDescent="0.25">
      <c r="A411" t="s">
        <v>111</v>
      </c>
      <c r="B411" t="s">
        <v>125</v>
      </c>
      <c r="C411" t="s">
        <v>118</v>
      </c>
      <c r="D411">
        <v>2017</v>
      </c>
      <c r="E411">
        <v>26.75</v>
      </c>
      <c r="F411">
        <v>384.05</v>
      </c>
      <c r="G411">
        <v>0</v>
      </c>
      <c r="H411">
        <v>181.85</v>
      </c>
      <c r="I411">
        <v>0</v>
      </c>
      <c r="J411">
        <v>308.75</v>
      </c>
      <c r="K411">
        <v>68.45</v>
      </c>
      <c r="L411">
        <v>117.35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</row>
    <row r="412" spans="1:48" x14ac:dyDescent="0.25">
      <c r="A412" t="s">
        <v>111</v>
      </c>
      <c r="B412" t="s">
        <v>125</v>
      </c>
      <c r="C412" t="s">
        <v>119</v>
      </c>
      <c r="D412">
        <v>2017</v>
      </c>
      <c r="E412">
        <v>240.05</v>
      </c>
      <c r="F412">
        <v>873.3</v>
      </c>
      <c r="G412">
        <v>0</v>
      </c>
      <c r="H412">
        <v>307.8</v>
      </c>
      <c r="I412">
        <v>0</v>
      </c>
      <c r="J412">
        <v>133.75</v>
      </c>
      <c r="K412">
        <v>97.9</v>
      </c>
      <c r="L412">
        <v>66.349999999999994</v>
      </c>
      <c r="M412">
        <v>38.15</v>
      </c>
      <c r="N412">
        <v>33.65</v>
      </c>
      <c r="O412">
        <v>1.25</v>
      </c>
      <c r="P412">
        <v>4.4000000000000004</v>
      </c>
      <c r="Q412">
        <v>75</v>
      </c>
      <c r="R412">
        <v>22.2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</row>
    <row r="413" spans="1:48" x14ac:dyDescent="0.25">
      <c r="A413" t="s">
        <v>111</v>
      </c>
      <c r="B413" t="s">
        <v>125</v>
      </c>
      <c r="C413" t="s">
        <v>123</v>
      </c>
      <c r="D413">
        <v>2017</v>
      </c>
      <c r="E413">
        <v>92.75</v>
      </c>
      <c r="F413">
        <v>189.4</v>
      </c>
      <c r="G413">
        <v>0</v>
      </c>
      <c r="H413">
        <v>277.25</v>
      </c>
      <c r="I413">
        <v>0</v>
      </c>
      <c r="J413">
        <v>164.65</v>
      </c>
      <c r="K413">
        <v>23.8</v>
      </c>
      <c r="L413">
        <v>20</v>
      </c>
      <c r="M413">
        <v>0</v>
      </c>
      <c r="N413">
        <v>0</v>
      </c>
      <c r="O413">
        <v>0</v>
      </c>
      <c r="P413">
        <v>0</v>
      </c>
      <c r="Q413">
        <v>5.55</v>
      </c>
      <c r="R413">
        <v>32.549999999999997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</row>
    <row r="414" spans="1:48" x14ac:dyDescent="0.25">
      <c r="A414" t="s">
        <v>111</v>
      </c>
      <c r="B414" t="s">
        <v>125</v>
      </c>
      <c r="C414" t="s">
        <v>124</v>
      </c>
      <c r="D414">
        <v>2017</v>
      </c>
      <c r="E414">
        <v>658.8</v>
      </c>
      <c r="F414">
        <v>3753.57</v>
      </c>
      <c r="G414">
        <v>0</v>
      </c>
      <c r="H414">
        <v>4818.29</v>
      </c>
      <c r="I414">
        <v>52</v>
      </c>
      <c r="J414">
        <v>673.76</v>
      </c>
      <c r="K414">
        <v>1167.9000000000001</v>
      </c>
      <c r="L414">
        <v>268.35000000000002</v>
      </c>
      <c r="M414">
        <v>386.2</v>
      </c>
      <c r="N414">
        <v>186.9</v>
      </c>
      <c r="O414">
        <v>0</v>
      </c>
      <c r="P414">
        <v>0</v>
      </c>
      <c r="Q414">
        <v>960</v>
      </c>
      <c r="R414">
        <v>3.3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45"/>
  <sheetViews>
    <sheetView workbookViewId="0">
      <selection activeCell="C1" sqref="C1:D13"/>
    </sheetView>
  </sheetViews>
  <sheetFormatPr defaultRowHeight="15" x14ac:dyDescent="0.25"/>
  <cols>
    <col min="1" max="1" width="16.140625" bestFit="1" customWidth="1"/>
    <col min="2" max="2" width="24" bestFit="1" customWidth="1"/>
    <col min="3" max="3" width="5.42578125" bestFit="1" customWidth="1"/>
    <col min="4" max="5" width="5.140625" bestFit="1" customWidth="1"/>
    <col min="11" max="11" width="24" bestFit="1" customWidth="1"/>
  </cols>
  <sheetData>
    <row r="1" spans="1:51" x14ac:dyDescent="0.25">
      <c r="A1" t="s">
        <v>126</v>
      </c>
      <c r="B1" t="s">
        <v>57</v>
      </c>
      <c r="C1" t="s">
        <v>58</v>
      </c>
      <c r="D1" t="s">
        <v>59</v>
      </c>
      <c r="E1" t="s">
        <v>60</v>
      </c>
    </row>
    <row r="2" spans="1:51" x14ac:dyDescent="0.25">
      <c r="A2" t="s">
        <v>6</v>
      </c>
      <c r="B2" t="s">
        <v>37</v>
      </c>
      <c r="C2">
        <v>21</v>
      </c>
      <c r="D2">
        <v>0</v>
      </c>
      <c r="E2">
        <v>0</v>
      </c>
      <c r="F2" s="1">
        <f>C2/100</f>
        <v>0.21</v>
      </c>
      <c r="G2" s="1">
        <f>D2/100</f>
        <v>0</v>
      </c>
      <c r="H2" s="1">
        <v>0.21</v>
      </c>
      <c r="I2" s="1">
        <v>0.26</v>
      </c>
      <c r="J2" s="1">
        <v>0.33</v>
      </c>
      <c r="K2" s="1">
        <v>0.46</v>
      </c>
      <c r="L2" s="1">
        <v>0</v>
      </c>
      <c r="M2" s="1">
        <v>0.18</v>
      </c>
      <c r="N2" s="1">
        <v>0.2</v>
      </c>
      <c r="O2" s="1">
        <v>0.2</v>
      </c>
      <c r="P2" s="1">
        <v>0.15</v>
      </c>
      <c r="Q2" s="1">
        <v>0.15</v>
      </c>
      <c r="R2" s="1">
        <v>0</v>
      </c>
      <c r="S2" s="1">
        <v>0.13</v>
      </c>
      <c r="T2" s="1">
        <v>0.12</v>
      </c>
      <c r="U2" s="1">
        <v>0</v>
      </c>
      <c r="V2" s="1">
        <v>0.155</v>
      </c>
      <c r="W2" s="1">
        <v>0.13</v>
      </c>
      <c r="X2" s="1">
        <v>0.25</v>
      </c>
      <c r="Y2" s="1">
        <v>0.1</v>
      </c>
      <c r="Z2" s="1">
        <v>0.18</v>
      </c>
      <c r="AA2" s="1">
        <v>0.1</v>
      </c>
      <c r="AB2" s="1">
        <v>0.15</v>
      </c>
      <c r="AC2" s="1">
        <v>0.1</v>
      </c>
      <c r="AD2" s="1">
        <v>0.13</v>
      </c>
      <c r="AE2" s="1">
        <v>0.12</v>
      </c>
      <c r="AF2" s="1">
        <v>0</v>
      </c>
      <c r="AG2" s="1">
        <v>0.11</v>
      </c>
      <c r="AH2" s="1">
        <v>0.1</v>
      </c>
      <c r="AI2" s="1">
        <v>0.33</v>
      </c>
      <c r="AJ2" s="1">
        <v>0.21</v>
      </c>
      <c r="AK2" s="1">
        <v>0.2</v>
      </c>
      <c r="AL2" s="1">
        <v>0.2</v>
      </c>
      <c r="AM2" s="1">
        <v>0.15</v>
      </c>
      <c r="AN2" s="1">
        <v>0.2</v>
      </c>
      <c r="AO2" s="1">
        <v>0.12</v>
      </c>
      <c r="AP2" s="1">
        <v>0.16</v>
      </c>
      <c r="AQ2" s="1">
        <v>0.26</v>
      </c>
      <c r="AR2" s="1">
        <v>0.21</v>
      </c>
      <c r="AS2" s="1">
        <v>0.33</v>
      </c>
      <c r="AT2" s="1">
        <v>0.08</v>
      </c>
      <c r="AU2" s="1">
        <v>0</v>
      </c>
      <c r="AV2" s="1">
        <v>0.13</v>
      </c>
      <c r="AW2" s="1">
        <v>0.16</v>
      </c>
      <c r="AX2" s="1">
        <v>0.2</v>
      </c>
      <c r="AY2" s="1">
        <v>0.18</v>
      </c>
    </row>
    <row r="3" spans="1:51" x14ac:dyDescent="0.25">
      <c r="A3" t="s">
        <v>7</v>
      </c>
      <c r="B3" t="s">
        <v>38</v>
      </c>
      <c r="C3">
        <v>26</v>
      </c>
      <c r="D3">
        <v>0</v>
      </c>
      <c r="E3">
        <v>0</v>
      </c>
      <c r="F3" s="1">
        <f t="shared" ref="F3:F45" si="0">C3/100</f>
        <v>0.26</v>
      </c>
      <c r="G3" s="1">
        <f t="shared" ref="G3:G45" si="1">D3/100</f>
        <v>0</v>
      </c>
      <c r="H3" s="1">
        <v>0</v>
      </c>
      <c r="I3" s="1">
        <v>0</v>
      </c>
      <c r="J3" s="1">
        <v>0</v>
      </c>
      <c r="K3" s="1">
        <v>0</v>
      </c>
      <c r="L3" s="1">
        <v>0.43</v>
      </c>
      <c r="M3" s="1">
        <v>0</v>
      </c>
      <c r="N3" s="1">
        <v>0.2</v>
      </c>
      <c r="O3" s="1">
        <v>0.2</v>
      </c>
      <c r="P3" s="1">
        <v>0.15</v>
      </c>
      <c r="Q3" s="1">
        <v>0.15</v>
      </c>
      <c r="R3" s="1">
        <v>0</v>
      </c>
      <c r="S3" s="1">
        <v>0</v>
      </c>
      <c r="T3" s="1">
        <v>0.3</v>
      </c>
      <c r="U3" s="1">
        <v>0.18</v>
      </c>
      <c r="V3" s="1">
        <v>0</v>
      </c>
      <c r="W3" s="1">
        <v>0.25</v>
      </c>
      <c r="X3" s="1">
        <v>0.05</v>
      </c>
      <c r="Y3" s="1">
        <v>0.25</v>
      </c>
      <c r="Z3" s="1">
        <v>0.24</v>
      </c>
      <c r="AA3" s="1">
        <v>0.2</v>
      </c>
      <c r="AB3" s="1">
        <v>0.15</v>
      </c>
      <c r="AC3" s="1">
        <v>0.2</v>
      </c>
      <c r="AD3" s="1">
        <v>0.24</v>
      </c>
      <c r="AE3" s="1">
        <v>0.61</v>
      </c>
      <c r="AF3" s="1">
        <v>0.52</v>
      </c>
      <c r="AG3" s="1">
        <v>0</v>
      </c>
      <c r="AH3" s="1">
        <v>0.25</v>
      </c>
      <c r="AI3" s="1">
        <v>0</v>
      </c>
      <c r="AJ3" s="1">
        <v>0</v>
      </c>
      <c r="AK3" s="1">
        <v>0.32</v>
      </c>
      <c r="AL3" s="1">
        <v>0.1</v>
      </c>
      <c r="AM3" s="1">
        <v>0.25</v>
      </c>
      <c r="AN3" s="1">
        <v>0.32</v>
      </c>
      <c r="AO3" s="1">
        <v>0.2</v>
      </c>
      <c r="AP3" s="1">
        <v>0.2</v>
      </c>
      <c r="AQ3" s="1">
        <v>0.13</v>
      </c>
      <c r="AR3" s="1">
        <v>0</v>
      </c>
      <c r="AS3" s="1">
        <v>0</v>
      </c>
      <c r="AT3" s="1">
        <v>0.24</v>
      </c>
      <c r="AU3" s="1">
        <v>0</v>
      </c>
      <c r="AV3" s="1">
        <v>0.24</v>
      </c>
      <c r="AW3" s="1">
        <v>0.16</v>
      </c>
      <c r="AX3" s="1">
        <v>0.2</v>
      </c>
      <c r="AY3" s="1">
        <v>0.18</v>
      </c>
    </row>
    <row r="4" spans="1:51" x14ac:dyDescent="0.25">
      <c r="A4" t="s">
        <v>8</v>
      </c>
      <c r="B4" t="s">
        <v>39</v>
      </c>
      <c r="C4">
        <v>33</v>
      </c>
      <c r="D4">
        <v>0</v>
      </c>
      <c r="E4">
        <v>0</v>
      </c>
      <c r="F4" s="1">
        <f t="shared" si="0"/>
        <v>0.33</v>
      </c>
      <c r="G4" s="1">
        <f t="shared" si="1"/>
        <v>0</v>
      </c>
    </row>
    <row r="5" spans="1:51" x14ac:dyDescent="0.25">
      <c r="A5" t="s">
        <v>9</v>
      </c>
      <c r="B5" t="s">
        <v>40</v>
      </c>
      <c r="C5">
        <v>46</v>
      </c>
      <c r="D5">
        <v>0</v>
      </c>
      <c r="E5">
        <v>0</v>
      </c>
      <c r="F5" s="1">
        <f t="shared" si="0"/>
        <v>0.46</v>
      </c>
      <c r="G5" s="1">
        <f t="shared" si="1"/>
        <v>0</v>
      </c>
    </row>
    <row r="6" spans="1:51" x14ac:dyDescent="0.25">
      <c r="A6" t="s">
        <v>10</v>
      </c>
      <c r="B6" t="s">
        <v>41</v>
      </c>
      <c r="C6">
        <v>0</v>
      </c>
      <c r="D6">
        <v>43</v>
      </c>
      <c r="E6">
        <v>0</v>
      </c>
      <c r="F6" s="1">
        <f t="shared" si="0"/>
        <v>0</v>
      </c>
      <c r="G6" s="1">
        <f t="shared" si="1"/>
        <v>0.43</v>
      </c>
    </row>
    <row r="7" spans="1:51" x14ac:dyDescent="0.25">
      <c r="A7" t="s">
        <v>12</v>
      </c>
      <c r="B7" t="s">
        <v>42</v>
      </c>
      <c r="C7">
        <v>18</v>
      </c>
      <c r="D7">
        <v>0</v>
      </c>
      <c r="E7">
        <v>46</v>
      </c>
      <c r="F7" s="1">
        <f t="shared" si="0"/>
        <v>0.18</v>
      </c>
      <c r="G7" s="1">
        <f t="shared" si="1"/>
        <v>0</v>
      </c>
    </row>
    <row r="8" spans="1:51" x14ac:dyDescent="0.25">
      <c r="A8" t="s">
        <v>13</v>
      </c>
      <c r="B8" t="s">
        <v>43</v>
      </c>
      <c r="C8">
        <v>20</v>
      </c>
      <c r="D8">
        <v>20</v>
      </c>
      <c r="E8">
        <v>0</v>
      </c>
      <c r="F8" s="1">
        <f t="shared" si="0"/>
        <v>0.2</v>
      </c>
      <c r="G8" s="1">
        <f t="shared" si="1"/>
        <v>0.2</v>
      </c>
    </row>
    <row r="9" spans="1:51" x14ac:dyDescent="0.25">
      <c r="A9" t="s">
        <v>14</v>
      </c>
      <c r="B9" t="s">
        <v>44</v>
      </c>
      <c r="C9">
        <v>20</v>
      </c>
      <c r="D9">
        <v>20</v>
      </c>
      <c r="E9">
        <v>0</v>
      </c>
      <c r="F9" s="1">
        <f t="shared" si="0"/>
        <v>0.2</v>
      </c>
      <c r="G9" s="1">
        <f t="shared" si="1"/>
        <v>0.2</v>
      </c>
    </row>
    <row r="10" spans="1:51" x14ac:dyDescent="0.25">
      <c r="A10" t="s">
        <v>15</v>
      </c>
      <c r="B10" t="s">
        <v>61</v>
      </c>
      <c r="C10">
        <v>15</v>
      </c>
      <c r="D10">
        <v>15</v>
      </c>
      <c r="E10">
        <v>15</v>
      </c>
      <c r="F10" s="1">
        <f t="shared" si="0"/>
        <v>0.15</v>
      </c>
      <c r="G10" s="1">
        <f t="shared" si="1"/>
        <v>0.15</v>
      </c>
    </row>
    <row r="11" spans="1:51" x14ac:dyDescent="0.25">
      <c r="A11" t="s">
        <v>16</v>
      </c>
      <c r="B11" t="s">
        <v>45</v>
      </c>
      <c r="C11">
        <v>15</v>
      </c>
      <c r="D11">
        <v>15</v>
      </c>
      <c r="E11">
        <v>15</v>
      </c>
      <c r="F11" s="1">
        <f t="shared" si="0"/>
        <v>0.15</v>
      </c>
      <c r="G11" s="1">
        <f t="shared" si="1"/>
        <v>0.15</v>
      </c>
    </row>
    <row r="12" spans="1:51" x14ac:dyDescent="0.25">
      <c r="A12" t="s">
        <v>20</v>
      </c>
      <c r="B12" t="s">
        <v>50</v>
      </c>
      <c r="C12">
        <v>0</v>
      </c>
      <c r="D12">
        <v>0</v>
      </c>
      <c r="E12">
        <v>50</v>
      </c>
      <c r="F12" s="1">
        <f t="shared" si="0"/>
        <v>0</v>
      </c>
      <c r="G12" s="1">
        <f t="shared" si="1"/>
        <v>0</v>
      </c>
    </row>
    <row r="13" spans="1:51" x14ac:dyDescent="0.25">
      <c r="A13" t="s">
        <v>21</v>
      </c>
      <c r="B13" t="s">
        <v>49</v>
      </c>
      <c r="C13">
        <v>13</v>
      </c>
      <c r="D13">
        <v>0</v>
      </c>
      <c r="E13">
        <v>46</v>
      </c>
      <c r="F13" s="1">
        <f t="shared" si="0"/>
        <v>0.13</v>
      </c>
      <c r="G13" s="1">
        <f t="shared" si="1"/>
        <v>0</v>
      </c>
    </row>
    <row r="14" spans="1:51" x14ac:dyDescent="0.25">
      <c r="A14" t="s">
        <v>19</v>
      </c>
      <c r="B14" t="s">
        <v>47</v>
      </c>
      <c r="C14">
        <v>12</v>
      </c>
      <c r="D14">
        <v>30</v>
      </c>
      <c r="E14">
        <v>12</v>
      </c>
      <c r="F14" s="1">
        <f t="shared" si="0"/>
        <v>0.12</v>
      </c>
      <c r="G14" s="1">
        <f t="shared" si="1"/>
        <v>0.3</v>
      </c>
    </row>
    <row r="15" spans="1:51" x14ac:dyDescent="0.25">
      <c r="A15" t="s">
        <v>11</v>
      </c>
      <c r="B15" t="s">
        <v>11</v>
      </c>
      <c r="C15">
        <v>0</v>
      </c>
      <c r="D15">
        <v>18</v>
      </c>
      <c r="E15">
        <v>0</v>
      </c>
      <c r="F15" s="1">
        <f t="shared" si="0"/>
        <v>0</v>
      </c>
      <c r="G15" s="1">
        <f t="shared" si="1"/>
        <v>0.18</v>
      </c>
    </row>
    <row r="16" spans="1:51" x14ac:dyDescent="0.25">
      <c r="A16" t="s">
        <v>23</v>
      </c>
      <c r="B16" t="s">
        <v>51</v>
      </c>
      <c r="C16">
        <v>15.5</v>
      </c>
      <c r="D16">
        <v>0</v>
      </c>
      <c r="E16">
        <v>0</v>
      </c>
      <c r="F16" s="1">
        <f t="shared" si="0"/>
        <v>0.155</v>
      </c>
      <c r="G16" s="1">
        <f t="shared" si="1"/>
        <v>0</v>
      </c>
    </row>
    <row r="17" spans="1:7" x14ac:dyDescent="0.25">
      <c r="A17" t="s">
        <v>26</v>
      </c>
      <c r="B17" t="s">
        <v>63</v>
      </c>
      <c r="C17">
        <v>13</v>
      </c>
      <c r="D17">
        <v>25</v>
      </c>
      <c r="E17">
        <v>5</v>
      </c>
      <c r="F17" s="1">
        <f t="shared" si="0"/>
        <v>0.13</v>
      </c>
      <c r="G17" s="1">
        <f t="shared" si="1"/>
        <v>0.25</v>
      </c>
    </row>
    <row r="18" spans="1:7" x14ac:dyDescent="0.25">
      <c r="A18" t="s">
        <v>17</v>
      </c>
      <c r="B18" t="s">
        <v>62</v>
      </c>
      <c r="C18">
        <v>25</v>
      </c>
      <c r="D18">
        <v>5</v>
      </c>
      <c r="E18">
        <v>10</v>
      </c>
      <c r="F18" s="1">
        <f t="shared" si="0"/>
        <v>0.25</v>
      </c>
      <c r="G18" s="1">
        <f t="shared" si="1"/>
        <v>0.05</v>
      </c>
    </row>
    <row r="19" spans="1:7" x14ac:dyDescent="0.25">
      <c r="A19" t="s">
        <v>24</v>
      </c>
      <c r="B19" t="s">
        <v>46</v>
      </c>
      <c r="C19">
        <v>10</v>
      </c>
      <c r="D19">
        <v>25</v>
      </c>
      <c r="E19">
        <v>5</v>
      </c>
      <c r="F19" s="1">
        <f t="shared" si="0"/>
        <v>0.1</v>
      </c>
      <c r="G19" s="1">
        <f t="shared" si="1"/>
        <v>0.25</v>
      </c>
    </row>
    <row r="20" spans="1:7" x14ac:dyDescent="0.25">
      <c r="A20" t="s">
        <v>64</v>
      </c>
      <c r="C20">
        <v>18</v>
      </c>
      <c r="D20">
        <v>24</v>
      </c>
      <c r="E20">
        <v>12</v>
      </c>
      <c r="F20" s="1">
        <f t="shared" si="0"/>
        <v>0.18</v>
      </c>
      <c r="G20" s="1">
        <f t="shared" si="1"/>
        <v>0.24</v>
      </c>
    </row>
    <row r="21" spans="1:7" x14ac:dyDescent="0.25">
      <c r="A21" t="s">
        <v>53</v>
      </c>
      <c r="C21">
        <v>10</v>
      </c>
      <c r="D21">
        <v>20</v>
      </c>
      <c r="E21">
        <v>20</v>
      </c>
      <c r="F21" s="1">
        <f t="shared" si="0"/>
        <v>0.1</v>
      </c>
      <c r="G21" s="1">
        <f t="shared" si="1"/>
        <v>0.2</v>
      </c>
    </row>
    <row r="22" spans="1:7" x14ac:dyDescent="0.25">
      <c r="A22" t="s">
        <v>93</v>
      </c>
      <c r="C22">
        <v>15</v>
      </c>
      <c r="D22">
        <v>15</v>
      </c>
      <c r="E22">
        <v>15</v>
      </c>
      <c r="F22" s="1">
        <f t="shared" si="0"/>
        <v>0.15</v>
      </c>
      <c r="G22" s="1">
        <f t="shared" si="1"/>
        <v>0.15</v>
      </c>
    </row>
    <row r="23" spans="1:7" x14ac:dyDescent="0.25">
      <c r="A23" t="s">
        <v>106</v>
      </c>
      <c r="C23">
        <v>10</v>
      </c>
      <c r="D23">
        <v>20</v>
      </c>
      <c r="E23">
        <v>20</v>
      </c>
      <c r="F23" s="1">
        <f t="shared" si="0"/>
        <v>0.1</v>
      </c>
      <c r="G23" s="1">
        <f t="shared" si="1"/>
        <v>0.2</v>
      </c>
    </row>
    <row r="24" spans="1:7" x14ac:dyDescent="0.25">
      <c r="A24" t="s">
        <v>52</v>
      </c>
      <c r="C24">
        <v>13</v>
      </c>
      <c r="D24">
        <v>24</v>
      </c>
      <c r="E24">
        <v>12</v>
      </c>
      <c r="F24" s="1">
        <f t="shared" si="0"/>
        <v>0.13</v>
      </c>
      <c r="G24" s="1">
        <f t="shared" si="1"/>
        <v>0.24</v>
      </c>
    </row>
    <row r="25" spans="1:7" x14ac:dyDescent="0.25">
      <c r="A25" t="s">
        <v>22</v>
      </c>
      <c r="B25" t="s">
        <v>22</v>
      </c>
      <c r="C25">
        <v>12</v>
      </c>
      <c r="D25">
        <v>61</v>
      </c>
      <c r="E25">
        <v>0</v>
      </c>
      <c r="F25" s="1">
        <f t="shared" si="0"/>
        <v>0.12</v>
      </c>
      <c r="G25" s="1">
        <f t="shared" si="1"/>
        <v>0.61</v>
      </c>
    </row>
    <row r="26" spans="1:7" x14ac:dyDescent="0.25">
      <c r="A26" t="s">
        <v>107</v>
      </c>
      <c r="B26" t="s">
        <v>127</v>
      </c>
      <c r="C26">
        <v>0</v>
      </c>
      <c r="D26">
        <v>52</v>
      </c>
      <c r="E26">
        <v>34</v>
      </c>
      <c r="F26" s="1">
        <f t="shared" si="0"/>
        <v>0</v>
      </c>
      <c r="G26" s="1">
        <f t="shared" si="1"/>
        <v>0.52</v>
      </c>
    </row>
    <row r="27" spans="1:7" x14ac:dyDescent="0.25">
      <c r="A27" t="s">
        <v>108</v>
      </c>
      <c r="B27" t="s">
        <v>128</v>
      </c>
      <c r="C27">
        <v>11</v>
      </c>
      <c r="D27">
        <v>0</v>
      </c>
      <c r="E27">
        <v>0</v>
      </c>
      <c r="F27" s="1">
        <f t="shared" si="0"/>
        <v>0.11</v>
      </c>
      <c r="G27" s="1">
        <f t="shared" si="1"/>
        <v>0</v>
      </c>
    </row>
    <row r="28" spans="1:7" x14ac:dyDescent="0.25">
      <c r="A28" t="s">
        <v>18</v>
      </c>
      <c r="B28" t="s">
        <v>48</v>
      </c>
      <c r="C28">
        <v>10</v>
      </c>
      <c r="D28">
        <v>25</v>
      </c>
      <c r="E28">
        <v>20</v>
      </c>
      <c r="F28" s="1">
        <f t="shared" si="0"/>
        <v>0.1</v>
      </c>
      <c r="G28" s="1">
        <f t="shared" si="1"/>
        <v>0.25</v>
      </c>
    </row>
    <row r="29" spans="1:7" x14ac:dyDescent="0.25">
      <c r="A29" t="s">
        <v>86</v>
      </c>
      <c r="C29">
        <v>33</v>
      </c>
      <c r="D29">
        <v>0</v>
      </c>
      <c r="E29">
        <v>0</v>
      </c>
      <c r="F29" s="1">
        <f t="shared" si="0"/>
        <v>0.33</v>
      </c>
      <c r="G29" s="1">
        <f t="shared" si="1"/>
        <v>0</v>
      </c>
    </row>
    <row r="30" spans="1:7" x14ac:dyDescent="0.25">
      <c r="A30" t="s">
        <v>109</v>
      </c>
      <c r="C30">
        <v>21</v>
      </c>
      <c r="D30">
        <v>0</v>
      </c>
      <c r="E30">
        <v>0</v>
      </c>
      <c r="F30" s="1">
        <f t="shared" si="0"/>
        <v>0.21</v>
      </c>
      <c r="G30" s="1">
        <f t="shared" si="1"/>
        <v>0</v>
      </c>
    </row>
    <row r="31" spans="1:7" x14ac:dyDescent="0.25">
      <c r="A31" t="s">
        <v>70</v>
      </c>
      <c r="C31">
        <v>20</v>
      </c>
      <c r="D31">
        <v>32</v>
      </c>
      <c r="E31">
        <v>0</v>
      </c>
      <c r="F31" s="1">
        <f t="shared" si="0"/>
        <v>0.2</v>
      </c>
      <c r="G31" s="1">
        <f t="shared" si="1"/>
        <v>0.32</v>
      </c>
    </row>
    <row r="32" spans="1:7" x14ac:dyDescent="0.25">
      <c r="A32" t="s">
        <v>69</v>
      </c>
      <c r="C32">
        <v>20</v>
      </c>
      <c r="D32">
        <v>10</v>
      </c>
      <c r="E32">
        <v>10</v>
      </c>
      <c r="F32" s="1">
        <f t="shared" si="0"/>
        <v>0.2</v>
      </c>
      <c r="G32" s="1">
        <f t="shared" si="1"/>
        <v>0.1</v>
      </c>
    </row>
    <row r="33" spans="1:7" x14ac:dyDescent="0.25">
      <c r="A33" t="s">
        <v>72</v>
      </c>
      <c r="C33">
        <v>15</v>
      </c>
      <c r="D33">
        <v>25</v>
      </c>
      <c r="E33">
        <v>15</v>
      </c>
      <c r="F33" s="1">
        <f t="shared" si="0"/>
        <v>0.15</v>
      </c>
      <c r="G33" s="1">
        <f t="shared" si="1"/>
        <v>0.25</v>
      </c>
    </row>
    <row r="34" spans="1:7" x14ac:dyDescent="0.25">
      <c r="A34" t="s">
        <v>85</v>
      </c>
      <c r="C34">
        <v>20</v>
      </c>
      <c r="D34">
        <v>32</v>
      </c>
      <c r="E34">
        <v>0</v>
      </c>
      <c r="F34" s="1">
        <f t="shared" si="0"/>
        <v>0.2</v>
      </c>
      <c r="G34" s="1">
        <f t="shared" si="1"/>
        <v>0.32</v>
      </c>
    </row>
    <row r="35" spans="1:7" x14ac:dyDescent="0.25">
      <c r="A35" t="s">
        <v>68</v>
      </c>
      <c r="C35">
        <v>12</v>
      </c>
      <c r="D35">
        <v>20</v>
      </c>
      <c r="E35">
        <v>12</v>
      </c>
      <c r="F35" s="1">
        <f t="shared" si="0"/>
        <v>0.12</v>
      </c>
      <c r="G35" s="1">
        <f t="shared" si="1"/>
        <v>0.2</v>
      </c>
    </row>
    <row r="36" spans="1:7" x14ac:dyDescent="0.25">
      <c r="A36" t="s">
        <v>71</v>
      </c>
      <c r="C36">
        <v>16</v>
      </c>
      <c r="D36">
        <v>20</v>
      </c>
      <c r="E36">
        <v>0</v>
      </c>
      <c r="F36" s="1">
        <f t="shared" si="0"/>
        <v>0.16</v>
      </c>
      <c r="G36" s="1">
        <f t="shared" si="1"/>
        <v>0.2</v>
      </c>
    </row>
    <row r="37" spans="1:7" x14ac:dyDescent="0.25">
      <c r="A37" t="s">
        <v>73</v>
      </c>
      <c r="C37">
        <v>26</v>
      </c>
      <c r="D37">
        <v>13</v>
      </c>
      <c r="E37">
        <v>0</v>
      </c>
      <c r="F37" s="1">
        <f t="shared" si="0"/>
        <v>0.26</v>
      </c>
      <c r="G37" s="1">
        <f t="shared" si="1"/>
        <v>0.13</v>
      </c>
    </row>
    <row r="38" spans="1:7" x14ac:dyDescent="0.25">
      <c r="A38" t="s">
        <v>25</v>
      </c>
      <c r="C38">
        <v>21</v>
      </c>
      <c r="D38">
        <v>0</v>
      </c>
      <c r="E38">
        <v>0</v>
      </c>
      <c r="F38" s="1">
        <f t="shared" si="0"/>
        <v>0.21</v>
      </c>
      <c r="G38" s="1">
        <f t="shared" si="1"/>
        <v>0</v>
      </c>
    </row>
    <row r="39" spans="1:7" x14ac:dyDescent="0.25">
      <c r="A39" t="s">
        <v>27</v>
      </c>
      <c r="C39">
        <v>33</v>
      </c>
      <c r="D39">
        <v>0</v>
      </c>
      <c r="E39">
        <v>0</v>
      </c>
      <c r="F39" s="1">
        <f t="shared" si="0"/>
        <v>0.33</v>
      </c>
      <c r="G39" s="1">
        <f t="shared" si="1"/>
        <v>0</v>
      </c>
    </row>
    <row r="40" spans="1:7" x14ac:dyDescent="0.25">
      <c r="A40" t="s">
        <v>54</v>
      </c>
      <c r="C40">
        <v>8</v>
      </c>
      <c r="D40">
        <v>24</v>
      </c>
      <c r="E40">
        <v>8</v>
      </c>
      <c r="F40" s="1">
        <f t="shared" si="0"/>
        <v>0.08</v>
      </c>
      <c r="G40" s="1">
        <f t="shared" si="1"/>
        <v>0.24</v>
      </c>
    </row>
    <row r="41" spans="1:7" x14ac:dyDescent="0.25">
      <c r="A41" t="s">
        <v>55</v>
      </c>
      <c r="C41">
        <v>0</v>
      </c>
      <c r="D41">
        <v>0</v>
      </c>
      <c r="E41">
        <v>50</v>
      </c>
      <c r="F41" s="1">
        <f t="shared" si="0"/>
        <v>0</v>
      </c>
      <c r="G41" s="1">
        <f t="shared" si="1"/>
        <v>0</v>
      </c>
    </row>
    <row r="42" spans="1:7" x14ac:dyDescent="0.25">
      <c r="A42" t="s">
        <v>77</v>
      </c>
      <c r="C42">
        <v>13</v>
      </c>
      <c r="D42">
        <v>24</v>
      </c>
      <c r="E42">
        <v>13</v>
      </c>
      <c r="F42" s="1">
        <f t="shared" si="0"/>
        <v>0.13</v>
      </c>
      <c r="G42" s="1">
        <f t="shared" si="1"/>
        <v>0.24</v>
      </c>
    </row>
    <row r="43" spans="1:7" x14ac:dyDescent="0.25">
      <c r="A43" t="s">
        <v>84</v>
      </c>
      <c r="C43">
        <v>16</v>
      </c>
      <c r="D43">
        <v>16</v>
      </c>
      <c r="E43">
        <v>16</v>
      </c>
      <c r="F43" s="1">
        <f t="shared" si="0"/>
        <v>0.16</v>
      </c>
      <c r="G43" s="1">
        <f t="shared" si="1"/>
        <v>0.16</v>
      </c>
    </row>
    <row r="44" spans="1:7" x14ac:dyDescent="0.25">
      <c r="A44" t="s">
        <v>91</v>
      </c>
      <c r="C44">
        <v>20</v>
      </c>
      <c r="D44">
        <v>20</v>
      </c>
      <c r="E44">
        <v>20</v>
      </c>
      <c r="F44" s="1">
        <f t="shared" si="0"/>
        <v>0.2</v>
      </c>
      <c r="G44" s="1">
        <f t="shared" si="1"/>
        <v>0.2</v>
      </c>
    </row>
    <row r="45" spans="1:7" x14ac:dyDescent="0.25">
      <c r="A45" t="s">
        <v>92</v>
      </c>
      <c r="C45">
        <v>18</v>
      </c>
      <c r="D45">
        <v>18</v>
      </c>
      <c r="E45">
        <v>18</v>
      </c>
      <c r="F45" s="1">
        <f t="shared" si="0"/>
        <v>0.18</v>
      </c>
      <c r="G45" s="1">
        <f t="shared" si="1"/>
        <v>0.18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W414"/>
  <sheetViews>
    <sheetView zoomScale="55" zoomScaleNormal="55" workbookViewId="0">
      <selection activeCell="C112" sqref="C112:C121"/>
    </sheetView>
  </sheetViews>
  <sheetFormatPr defaultRowHeight="15" x14ac:dyDescent="0.25"/>
  <cols>
    <col min="5" max="5" width="12.5703125" bestFit="1" customWidth="1"/>
    <col min="6" max="6" width="15" bestFit="1" customWidth="1"/>
  </cols>
  <sheetData>
    <row r="1" spans="1:49" x14ac:dyDescent="0.25">
      <c r="A1" t="s">
        <v>2</v>
      </c>
      <c r="B1" t="s">
        <v>1</v>
      </c>
      <c r="C1" t="s">
        <v>0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20</v>
      </c>
      <c r="P1" t="s">
        <v>21</v>
      </c>
      <c r="Q1" t="s">
        <v>19</v>
      </c>
      <c r="R1" t="s">
        <v>11</v>
      </c>
      <c r="S1" t="s">
        <v>23</v>
      </c>
      <c r="T1" t="s">
        <v>26</v>
      </c>
      <c r="U1" t="s">
        <v>17</v>
      </c>
      <c r="V1" t="s">
        <v>24</v>
      </c>
      <c r="W1" t="s">
        <v>64</v>
      </c>
      <c r="X1" t="s">
        <v>53</v>
      </c>
      <c r="Y1" t="s">
        <v>93</v>
      </c>
      <c r="Z1" t="s">
        <v>106</v>
      </c>
      <c r="AA1" t="s">
        <v>52</v>
      </c>
      <c r="AB1" t="s">
        <v>22</v>
      </c>
      <c r="AC1" t="s">
        <v>107</v>
      </c>
      <c r="AD1" t="s">
        <v>108</v>
      </c>
      <c r="AE1" t="s">
        <v>18</v>
      </c>
      <c r="AF1" t="s">
        <v>86</v>
      </c>
      <c r="AG1" t="s">
        <v>109</v>
      </c>
      <c r="AH1" t="s">
        <v>70</v>
      </c>
      <c r="AI1" t="s">
        <v>69</v>
      </c>
      <c r="AJ1" t="s">
        <v>72</v>
      </c>
      <c r="AK1" t="s">
        <v>85</v>
      </c>
      <c r="AL1" t="s">
        <v>68</v>
      </c>
      <c r="AM1" t="s">
        <v>71</v>
      </c>
      <c r="AN1" t="s">
        <v>73</v>
      </c>
      <c r="AO1" t="s">
        <v>25</v>
      </c>
      <c r="AP1" t="s">
        <v>27</v>
      </c>
      <c r="AQ1" t="s">
        <v>54</v>
      </c>
      <c r="AR1" t="s">
        <v>55</v>
      </c>
      <c r="AS1" t="s">
        <v>77</v>
      </c>
      <c r="AT1" t="s">
        <v>84</v>
      </c>
      <c r="AU1" t="s">
        <v>91</v>
      </c>
      <c r="AV1" t="s">
        <v>92</v>
      </c>
      <c r="AW1" t="s">
        <v>129</v>
      </c>
    </row>
    <row r="2" spans="1:49" hidden="1" x14ac:dyDescent="0.25">
      <c r="A2" t="str">
        <f>'Kullanılan gübre'!A2</f>
        <v>AK</v>
      </c>
      <c r="B2" t="str">
        <f>'Kullanılan gübre'!B2</f>
        <v>AFYONKARAHISAR</v>
      </c>
      <c r="C2" t="str">
        <f>'Kullanılan gübre'!C2</f>
        <v>MERKEZ</v>
      </c>
      <c r="D2">
        <f>'Kullanılan gübre'!D2</f>
        <v>2008</v>
      </c>
      <c r="E2">
        <f>'Kullanılan gübre'!E2*'Gübre oranlar'!H$2</f>
        <v>31.342499999999998</v>
      </c>
      <c r="F2">
        <f>'Kullanılan gübre'!F2*'Gübre oranlar'!I$2</f>
        <v>260.767</v>
      </c>
      <c r="G2">
        <f>'Kullanılan gübre'!G2*'Gübre oranlar'!J$2</f>
        <v>363.67979999999994</v>
      </c>
      <c r="H2">
        <f>'Kullanılan gübre'!H2*'Gübre oranlar'!K$2</f>
        <v>353.25700000000001</v>
      </c>
      <c r="I2">
        <f>'Kullanılan gübre'!I2*'Gübre oranlar'!L$2</f>
        <v>0</v>
      </c>
      <c r="J2">
        <f>'Kullanılan gübre'!J2*'Gübre oranlar'!M$2</f>
        <v>108.68039999999999</v>
      </c>
      <c r="K2">
        <f>'Kullanılan gübre'!K2*'Gübre oranlar'!N$2</f>
        <v>369.06799999999998</v>
      </c>
      <c r="L2">
        <f>'Kullanılan gübre'!L2*'Gübre oranlar'!O$2</f>
        <v>101.98</v>
      </c>
      <c r="M2">
        <f>'Kullanılan gübre'!M2*'Gübre oranlar'!P$2</f>
        <v>57.997500000000002</v>
      </c>
      <c r="N2">
        <f>'Kullanılan gübre'!N2*'Gübre oranlar'!Q$2</f>
        <v>37.447499999999998</v>
      </c>
      <c r="O2">
        <f>'Kullanılan gübre'!O2*'Gübre oranlar'!R$2</f>
        <v>0</v>
      </c>
      <c r="P2">
        <f>'Kullanılan gübre'!P2*'Gübre oranlar'!S$2</f>
        <v>0.83850000000000002</v>
      </c>
      <c r="Q2">
        <f>'Kullanılan gübre'!Q2*'Gübre oranlar'!T$2</f>
        <v>44.04</v>
      </c>
      <c r="R2">
        <f>'Kullanılan gübre'!R2*'Gübre oranlar'!U$2</f>
        <v>0</v>
      </c>
      <c r="S2">
        <f>'Kullanılan gübre'!S2*'Gübre oranlar'!V$2</f>
        <v>0</v>
      </c>
      <c r="T2">
        <f>'Kullanılan gübre'!T2*'Gübre oranlar'!W$2</f>
        <v>0</v>
      </c>
      <c r="U2">
        <f>'Kullanılan gübre'!U2*'Gübre oranlar'!X$2</f>
        <v>0</v>
      </c>
      <c r="V2">
        <f>'Kullanılan gübre'!V2*'Gübre oranlar'!Y$2</f>
        <v>0</v>
      </c>
      <c r="W2">
        <f>'Kullanılan gübre'!W2*'Gübre oranlar'!Z$2</f>
        <v>0</v>
      </c>
      <c r="X2">
        <f>'Kullanılan gübre'!X2*'Gübre oranlar'!AA$2</f>
        <v>0</v>
      </c>
      <c r="Y2">
        <f>'Kullanılan gübre'!Y2*'Gübre oranlar'!AB$2</f>
        <v>0</v>
      </c>
      <c r="Z2">
        <f>'Kullanılan gübre'!Z2*'Gübre oranlar'!AC$2</f>
        <v>0</v>
      </c>
      <c r="AA2">
        <f>'Kullanılan gübre'!AA2*'Gübre oranlar'!AD$2</f>
        <v>0</v>
      </c>
      <c r="AB2">
        <f>'Kullanılan gübre'!AB2*'Gübre oranlar'!AE$2</f>
        <v>0</v>
      </c>
      <c r="AC2">
        <f>'Kullanılan gübre'!AC2*'Gübre oranlar'!AF$2</f>
        <v>0</v>
      </c>
      <c r="AD2">
        <f>'Kullanılan gübre'!AD2*'Gübre oranlar'!AG$2</f>
        <v>0</v>
      </c>
      <c r="AE2">
        <f>'Kullanılan gübre'!AE2*'Gübre oranlar'!AH$2</f>
        <v>0</v>
      </c>
      <c r="AF2">
        <f>'Kullanılan gübre'!AF2*'Gübre oranlar'!AI$2</f>
        <v>0</v>
      </c>
      <c r="AG2">
        <f>'Kullanılan gübre'!AG2*'Gübre oranlar'!AJ$2</f>
        <v>0</v>
      </c>
      <c r="AH2">
        <f>'Kullanılan gübre'!AH2*'Gübre oranlar'!AK$2</f>
        <v>0</v>
      </c>
      <c r="AI2">
        <f>'Kullanılan gübre'!AI2*'Gübre oranlar'!AL$2</f>
        <v>0</v>
      </c>
      <c r="AJ2">
        <f>'Kullanılan gübre'!AJ2*'Gübre oranlar'!AM$2</f>
        <v>0</v>
      </c>
      <c r="AK2">
        <f>'Kullanılan gübre'!AK2*'Gübre oranlar'!AN$2</f>
        <v>0</v>
      </c>
      <c r="AL2">
        <f>'Kullanılan gübre'!AL2*'Gübre oranlar'!AO$2</f>
        <v>0</v>
      </c>
      <c r="AM2">
        <f>'Kullanılan gübre'!AM2*'Gübre oranlar'!AP$2</f>
        <v>0</v>
      </c>
      <c r="AN2">
        <f>'Kullanılan gübre'!AN2*'Gübre oranlar'!AQ$2</f>
        <v>0</v>
      </c>
      <c r="AO2">
        <f>'Kullanılan gübre'!AO2*'Gübre oranlar'!AR$2</f>
        <v>0</v>
      </c>
      <c r="AP2">
        <f>'Kullanılan gübre'!AP2*'Gübre oranlar'!AS$2</f>
        <v>0</v>
      </c>
      <c r="AQ2">
        <f>'Kullanılan gübre'!AQ2*'Gübre oranlar'!AT$2</f>
        <v>0</v>
      </c>
      <c r="AR2">
        <f>'Kullanılan gübre'!AR2*'Gübre oranlar'!AU$2</f>
        <v>0</v>
      </c>
      <c r="AS2">
        <f>'Kullanılan gübre'!AS2*'Gübre oranlar'!AV$2</f>
        <v>0</v>
      </c>
      <c r="AT2">
        <f>'Kullanılan gübre'!AT2*'Gübre oranlar'!AW$2</f>
        <v>0</v>
      </c>
      <c r="AU2">
        <f>'Kullanılan gübre'!AU2*'Gübre oranlar'!AX$2</f>
        <v>0</v>
      </c>
      <c r="AV2">
        <f>'Kullanılan gübre'!AV2*'Gübre oranlar'!AY$2</f>
        <v>0</v>
      </c>
      <c r="AW2">
        <f>SUM(E2:AV2)</f>
        <v>1729.0981999999999</v>
      </c>
    </row>
    <row r="3" spans="1:49" hidden="1" x14ac:dyDescent="0.25">
      <c r="A3" t="str">
        <f>'Kullanılan gübre'!A3</f>
        <v>AK</v>
      </c>
      <c r="B3" t="str">
        <f>'Kullanılan gübre'!B3</f>
        <v>AFYONKARAHISAR</v>
      </c>
      <c r="C3" t="str">
        <f>'Kullanılan gübre'!C3</f>
        <v>BAYAT</v>
      </c>
      <c r="D3">
        <f>'Kullanılan gübre'!D3</f>
        <v>2008</v>
      </c>
      <c r="E3">
        <f>'Kullanılan gübre'!E3*'Gübre oranlar'!H$2</f>
        <v>3.6539999999999995</v>
      </c>
      <c r="F3">
        <f>'Kullanılan gübre'!F3*'Gübre oranlar'!I$2</f>
        <v>10.023</v>
      </c>
      <c r="G3">
        <f>'Kullanılan gübre'!G3*'Gübre oranlar'!J$2</f>
        <v>20.938500000000001</v>
      </c>
      <c r="H3">
        <f>'Kullanılan gübre'!H3*'Gübre oranlar'!K$2</f>
        <v>0</v>
      </c>
      <c r="I3">
        <f>'Kullanılan gübre'!I3*'Gübre oranlar'!L$2</f>
        <v>0</v>
      </c>
      <c r="J3">
        <f>'Kullanılan gübre'!J3*'Gübre oranlar'!M$2</f>
        <v>0</v>
      </c>
      <c r="K3">
        <f>'Kullanılan gübre'!K3*'Gübre oranlar'!N$2</f>
        <v>7.8000000000000007</v>
      </c>
      <c r="L3">
        <f>'Kullanılan gübre'!L3*'Gübre oranlar'!O$2</f>
        <v>5.9600000000000009</v>
      </c>
      <c r="M3">
        <f>'Kullanılan gübre'!M3*'Gübre oranlar'!P$2</f>
        <v>0</v>
      </c>
      <c r="N3">
        <f>'Kullanılan gübre'!N3*'Gübre oranlar'!Q$2</f>
        <v>0</v>
      </c>
      <c r="O3">
        <f>'Kullanılan gübre'!O3*'Gübre oranlar'!R$2</f>
        <v>0</v>
      </c>
      <c r="P3">
        <f>'Kullanılan gübre'!P3*'Gübre oranlar'!S$2</f>
        <v>0</v>
      </c>
      <c r="Q3">
        <f>'Kullanılan gübre'!Q3*'Gübre oranlar'!T$2</f>
        <v>0</v>
      </c>
      <c r="R3">
        <f>'Kullanılan gübre'!R3*'Gübre oranlar'!U$2</f>
        <v>0</v>
      </c>
      <c r="S3">
        <f>'Kullanılan gübre'!S3*'Gübre oranlar'!V$2</f>
        <v>0</v>
      </c>
      <c r="T3">
        <f>'Kullanılan gübre'!T3*'Gübre oranlar'!W$2</f>
        <v>0</v>
      </c>
      <c r="U3">
        <f>'Kullanılan gübre'!U3*'Gübre oranlar'!X$2</f>
        <v>0</v>
      </c>
      <c r="V3">
        <f>'Kullanılan gübre'!V3*'Gübre oranlar'!Y$2</f>
        <v>0</v>
      </c>
      <c r="W3">
        <f>'Kullanılan gübre'!W3*'Gübre oranlar'!Z$2</f>
        <v>0</v>
      </c>
      <c r="X3">
        <f>'Kullanılan gübre'!X3*'Gübre oranlar'!AA$2</f>
        <v>0</v>
      </c>
      <c r="Y3">
        <f>'Kullanılan gübre'!Y3*'Gübre oranlar'!AB$2</f>
        <v>0</v>
      </c>
      <c r="Z3">
        <f>'Kullanılan gübre'!Z3*'Gübre oranlar'!AC$2</f>
        <v>0</v>
      </c>
      <c r="AA3">
        <f>'Kullanılan gübre'!AA3*'Gübre oranlar'!AD$2</f>
        <v>0</v>
      </c>
      <c r="AB3">
        <f>'Kullanılan gübre'!AB3*'Gübre oranlar'!AE$2</f>
        <v>0</v>
      </c>
      <c r="AC3">
        <f>'Kullanılan gübre'!AC3*'Gübre oranlar'!AF$2</f>
        <v>0</v>
      </c>
      <c r="AD3">
        <f>'Kullanılan gübre'!AD3*'Gübre oranlar'!AG$2</f>
        <v>0</v>
      </c>
      <c r="AE3">
        <f>'Kullanılan gübre'!AE3*'Gübre oranlar'!AH$2</f>
        <v>0</v>
      </c>
      <c r="AF3">
        <f>'Kullanılan gübre'!AF3*'Gübre oranlar'!AI$2</f>
        <v>0</v>
      </c>
      <c r="AG3">
        <f>'Kullanılan gübre'!AG3*'Gübre oranlar'!AJ$2</f>
        <v>0</v>
      </c>
      <c r="AH3">
        <f>'Kullanılan gübre'!AH3*'Gübre oranlar'!AK$2</f>
        <v>0</v>
      </c>
      <c r="AI3">
        <f>'Kullanılan gübre'!AI3*'Gübre oranlar'!AL$2</f>
        <v>0</v>
      </c>
      <c r="AJ3">
        <f>'Kullanılan gübre'!AJ3*'Gübre oranlar'!AM$2</f>
        <v>0</v>
      </c>
      <c r="AK3">
        <f>'Kullanılan gübre'!AK3*'Gübre oranlar'!AN$2</f>
        <v>0</v>
      </c>
      <c r="AL3">
        <f>'Kullanılan gübre'!AL3*'Gübre oranlar'!AO$2</f>
        <v>0</v>
      </c>
      <c r="AM3">
        <f>'Kullanılan gübre'!AM3*'Gübre oranlar'!AP$2</f>
        <v>0</v>
      </c>
      <c r="AN3">
        <f>'Kullanılan gübre'!AN3*'Gübre oranlar'!AQ$2</f>
        <v>0</v>
      </c>
      <c r="AO3">
        <f>'Kullanılan gübre'!AO3*'Gübre oranlar'!AR$2</f>
        <v>0</v>
      </c>
      <c r="AP3">
        <f>'Kullanılan gübre'!AP3*'Gübre oranlar'!AS$2</f>
        <v>0</v>
      </c>
      <c r="AQ3">
        <f>'Kullanılan gübre'!AQ3*'Gübre oranlar'!AT$2</f>
        <v>0</v>
      </c>
      <c r="AR3">
        <f>'Kullanılan gübre'!AR3*'Gübre oranlar'!AU$2</f>
        <v>0</v>
      </c>
      <c r="AS3">
        <f>'Kullanılan gübre'!AS3*'Gübre oranlar'!AV$2</f>
        <v>0</v>
      </c>
      <c r="AT3">
        <f>'Kullanılan gübre'!AT3*'Gübre oranlar'!AW$2</f>
        <v>0</v>
      </c>
      <c r="AU3">
        <f>'Kullanılan gübre'!AU3*'Gübre oranlar'!AX$2</f>
        <v>0</v>
      </c>
      <c r="AV3">
        <f>'Kullanılan gübre'!AV3*'Gübre oranlar'!AY$2</f>
        <v>0</v>
      </c>
      <c r="AW3">
        <f t="shared" ref="AW3:AW66" si="0">SUM(E3:AV3)</f>
        <v>48.375499999999995</v>
      </c>
    </row>
    <row r="4" spans="1:49" hidden="1" x14ac:dyDescent="0.25">
      <c r="A4" t="str">
        <f>'Kullanılan gübre'!A4</f>
        <v>AK</v>
      </c>
      <c r="B4" t="str">
        <f>'Kullanılan gübre'!B4</f>
        <v>AFYONKARAHISAR</v>
      </c>
      <c r="C4" t="str">
        <f>'Kullanılan gübre'!C4</f>
        <v>BOLVADIN</v>
      </c>
      <c r="D4">
        <f>'Kullanılan gübre'!D4</f>
        <v>2008</v>
      </c>
      <c r="E4">
        <f>'Kullanılan gübre'!E4*'Gübre oranlar'!H$2</f>
        <v>34.019999999999996</v>
      </c>
      <c r="F4">
        <f>'Kullanılan gübre'!F4*'Gübre oranlar'!I$2</f>
        <v>67.834000000000003</v>
      </c>
      <c r="G4">
        <f>'Kullanılan gübre'!G4*'Gübre oranlar'!J$2</f>
        <v>167.04600000000005</v>
      </c>
      <c r="H4">
        <f>'Kullanılan gübre'!H4*'Gübre oranlar'!K$2</f>
        <v>143.70400000000001</v>
      </c>
      <c r="I4">
        <f>'Kullanılan gübre'!I4*'Gübre oranlar'!L$2</f>
        <v>0</v>
      </c>
      <c r="J4">
        <f>'Kullanılan gübre'!J4*'Gübre oranlar'!M$2</f>
        <v>75.096000000000004</v>
      </c>
      <c r="K4">
        <f>'Kullanılan gübre'!K4*'Gübre oranlar'!N$2</f>
        <v>0</v>
      </c>
      <c r="L4">
        <f>'Kullanılan gübre'!L4*'Gübre oranlar'!O$2</f>
        <v>96.070000000000007</v>
      </c>
      <c r="M4">
        <f>'Kullanılan gübre'!M4*'Gübre oranlar'!P$2</f>
        <v>0</v>
      </c>
      <c r="N4">
        <f>'Kullanılan gübre'!N4*'Gübre oranlar'!Q$2</f>
        <v>0</v>
      </c>
      <c r="O4">
        <f>'Kullanılan gübre'!O4*'Gübre oranlar'!R$2</f>
        <v>0</v>
      </c>
      <c r="P4">
        <f>'Kullanılan gübre'!P4*'Gübre oranlar'!S$2</f>
        <v>0</v>
      </c>
      <c r="Q4">
        <f>'Kullanılan gübre'!Q4*'Gübre oranlar'!T$2</f>
        <v>0</v>
      </c>
      <c r="R4">
        <f>'Kullanılan gübre'!R4*'Gübre oranlar'!U$2</f>
        <v>0</v>
      </c>
      <c r="S4">
        <f>'Kullanılan gübre'!S4*'Gübre oranlar'!V$2</f>
        <v>0</v>
      </c>
      <c r="T4">
        <f>'Kullanılan gübre'!T4*'Gübre oranlar'!W$2</f>
        <v>0</v>
      </c>
      <c r="U4">
        <f>'Kullanılan gübre'!U4*'Gübre oranlar'!X$2</f>
        <v>0</v>
      </c>
      <c r="V4">
        <f>'Kullanılan gübre'!V4*'Gübre oranlar'!Y$2</f>
        <v>0</v>
      </c>
      <c r="W4">
        <f>'Kullanılan gübre'!W4*'Gübre oranlar'!Z$2</f>
        <v>0</v>
      </c>
      <c r="X4">
        <f>'Kullanılan gübre'!X4*'Gübre oranlar'!AA$2</f>
        <v>0</v>
      </c>
      <c r="Y4">
        <f>'Kullanılan gübre'!Y4*'Gübre oranlar'!AB$2</f>
        <v>0</v>
      </c>
      <c r="Z4">
        <f>'Kullanılan gübre'!Z4*'Gübre oranlar'!AC$2</f>
        <v>0</v>
      </c>
      <c r="AA4">
        <f>'Kullanılan gübre'!AA4*'Gübre oranlar'!AD$2</f>
        <v>0</v>
      </c>
      <c r="AB4">
        <f>'Kullanılan gübre'!AB4*'Gübre oranlar'!AE$2</f>
        <v>0</v>
      </c>
      <c r="AC4">
        <f>'Kullanılan gübre'!AC4*'Gübre oranlar'!AF$2</f>
        <v>0</v>
      </c>
      <c r="AD4">
        <f>'Kullanılan gübre'!AD4*'Gübre oranlar'!AG$2</f>
        <v>0</v>
      </c>
      <c r="AE4">
        <f>'Kullanılan gübre'!AE4*'Gübre oranlar'!AH$2</f>
        <v>0</v>
      </c>
      <c r="AF4">
        <f>'Kullanılan gübre'!AF4*'Gübre oranlar'!AI$2</f>
        <v>0</v>
      </c>
      <c r="AG4">
        <f>'Kullanılan gübre'!AG4*'Gübre oranlar'!AJ$2</f>
        <v>0</v>
      </c>
      <c r="AH4">
        <f>'Kullanılan gübre'!AH4*'Gübre oranlar'!AK$2</f>
        <v>0</v>
      </c>
      <c r="AI4">
        <f>'Kullanılan gübre'!AI4*'Gübre oranlar'!AL$2</f>
        <v>0</v>
      </c>
      <c r="AJ4">
        <f>'Kullanılan gübre'!AJ4*'Gübre oranlar'!AM$2</f>
        <v>0</v>
      </c>
      <c r="AK4">
        <f>'Kullanılan gübre'!AK4*'Gübre oranlar'!AN$2</f>
        <v>0</v>
      </c>
      <c r="AL4">
        <f>'Kullanılan gübre'!AL4*'Gübre oranlar'!AO$2</f>
        <v>0</v>
      </c>
      <c r="AM4">
        <f>'Kullanılan gübre'!AM4*'Gübre oranlar'!AP$2</f>
        <v>0</v>
      </c>
      <c r="AN4">
        <f>'Kullanılan gübre'!AN4*'Gübre oranlar'!AQ$2</f>
        <v>0</v>
      </c>
      <c r="AO4">
        <f>'Kullanılan gübre'!AO4*'Gübre oranlar'!AR$2</f>
        <v>0</v>
      </c>
      <c r="AP4">
        <f>'Kullanılan gübre'!AP4*'Gübre oranlar'!AS$2</f>
        <v>0</v>
      </c>
      <c r="AQ4">
        <f>'Kullanılan gübre'!AQ4*'Gübre oranlar'!AT$2</f>
        <v>0</v>
      </c>
      <c r="AR4">
        <f>'Kullanılan gübre'!AR4*'Gübre oranlar'!AU$2</f>
        <v>0</v>
      </c>
      <c r="AS4">
        <f>'Kullanılan gübre'!AS4*'Gübre oranlar'!AV$2</f>
        <v>0</v>
      </c>
      <c r="AT4">
        <f>'Kullanılan gübre'!AT4*'Gübre oranlar'!AW$2</f>
        <v>0</v>
      </c>
      <c r="AU4">
        <f>'Kullanılan gübre'!AU4*'Gübre oranlar'!AX$2</f>
        <v>0</v>
      </c>
      <c r="AV4">
        <f>'Kullanılan gübre'!AV4*'Gübre oranlar'!AY$2</f>
        <v>0</v>
      </c>
      <c r="AW4">
        <f t="shared" si="0"/>
        <v>583.7700000000001</v>
      </c>
    </row>
    <row r="5" spans="1:49" hidden="1" x14ac:dyDescent="0.25">
      <c r="A5" t="str">
        <f>'Kullanılan gübre'!A5</f>
        <v>AK</v>
      </c>
      <c r="B5" t="str">
        <f>'Kullanılan gübre'!B5</f>
        <v>AFYONKARAHISAR</v>
      </c>
      <c r="C5" t="str">
        <f>'Kullanılan gübre'!C5</f>
        <v>CAY</v>
      </c>
      <c r="D5">
        <f>'Kullanılan gübre'!D5</f>
        <v>2008</v>
      </c>
      <c r="E5">
        <f>'Kullanılan gübre'!E5*'Gübre oranlar'!H$2</f>
        <v>50.840999999999994</v>
      </c>
      <c r="F5">
        <f>'Kullanılan gübre'!F5*'Gübre oranlar'!I$2</f>
        <v>108.108</v>
      </c>
      <c r="G5">
        <f>'Kullanılan gübre'!G5*'Gübre oranlar'!J$2</f>
        <v>262.15199999999999</v>
      </c>
      <c r="H5">
        <f>'Kullanılan gübre'!H5*'Gübre oranlar'!K$2</f>
        <v>78.384</v>
      </c>
      <c r="I5">
        <f>'Kullanılan gübre'!I5*'Gübre oranlar'!L$2</f>
        <v>0</v>
      </c>
      <c r="J5">
        <f>'Kullanılan gübre'!J5*'Gübre oranlar'!M$2</f>
        <v>43.209000000000003</v>
      </c>
      <c r="K5">
        <f>'Kullanılan gübre'!K5*'Gübre oranlar'!N$2</f>
        <v>40.370000000000005</v>
      </c>
      <c r="L5">
        <f>'Kullanılan gübre'!L5*'Gübre oranlar'!O$2</f>
        <v>99.19</v>
      </c>
      <c r="M5">
        <f>'Kullanılan gübre'!M5*'Gübre oranlar'!P$2</f>
        <v>13.68</v>
      </c>
      <c r="N5">
        <f>'Kullanılan gübre'!N5*'Gübre oranlar'!Q$2</f>
        <v>17.16</v>
      </c>
      <c r="O5">
        <f>'Kullanılan gübre'!O5*'Gübre oranlar'!R$2</f>
        <v>0</v>
      </c>
      <c r="P5">
        <f>'Kullanılan gübre'!P5*'Gübre oranlar'!S$2</f>
        <v>0</v>
      </c>
      <c r="Q5">
        <f>'Kullanılan gübre'!Q5*'Gübre oranlar'!T$2</f>
        <v>0.75</v>
      </c>
      <c r="R5">
        <f>'Kullanılan gübre'!R5*'Gübre oranlar'!U$2</f>
        <v>0</v>
      </c>
      <c r="S5">
        <f>'Kullanılan gübre'!S5*'Gübre oranlar'!V$2</f>
        <v>0</v>
      </c>
      <c r="T5">
        <f>'Kullanılan gübre'!T5*'Gübre oranlar'!W$2</f>
        <v>0</v>
      </c>
      <c r="U5">
        <f>'Kullanılan gübre'!U5*'Gübre oranlar'!X$2</f>
        <v>0</v>
      </c>
      <c r="V5">
        <f>'Kullanılan gübre'!V5*'Gübre oranlar'!Y$2</f>
        <v>0</v>
      </c>
      <c r="W5">
        <f>'Kullanılan gübre'!W5*'Gübre oranlar'!Z$2</f>
        <v>0</v>
      </c>
      <c r="X5">
        <f>'Kullanılan gübre'!X5*'Gübre oranlar'!AA$2</f>
        <v>0</v>
      </c>
      <c r="Y5">
        <f>'Kullanılan gübre'!Y5*'Gübre oranlar'!AB$2</f>
        <v>0</v>
      </c>
      <c r="Z5">
        <f>'Kullanılan gübre'!Z5*'Gübre oranlar'!AC$2</f>
        <v>0</v>
      </c>
      <c r="AA5">
        <f>'Kullanılan gübre'!AA5*'Gübre oranlar'!AD$2</f>
        <v>0</v>
      </c>
      <c r="AB5">
        <f>'Kullanılan gübre'!AB5*'Gübre oranlar'!AE$2</f>
        <v>0</v>
      </c>
      <c r="AC5">
        <f>'Kullanılan gübre'!AC5*'Gübre oranlar'!AF$2</f>
        <v>0</v>
      </c>
      <c r="AD5">
        <f>'Kullanılan gübre'!AD5*'Gübre oranlar'!AG$2</f>
        <v>0</v>
      </c>
      <c r="AE5">
        <f>'Kullanılan gübre'!AE5*'Gübre oranlar'!AH$2</f>
        <v>0</v>
      </c>
      <c r="AF5">
        <f>'Kullanılan gübre'!AF5*'Gübre oranlar'!AI$2</f>
        <v>0</v>
      </c>
      <c r="AG5">
        <f>'Kullanılan gübre'!AG5*'Gübre oranlar'!AJ$2</f>
        <v>0</v>
      </c>
      <c r="AH5">
        <f>'Kullanılan gübre'!AH5*'Gübre oranlar'!AK$2</f>
        <v>0</v>
      </c>
      <c r="AI5">
        <f>'Kullanılan gübre'!AI5*'Gübre oranlar'!AL$2</f>
        <v>0</v>
      </c>
      <c r="AJ5">
        <f>'Kullanılan gübre'!AJ5*'Gübre oranlar'!AM$2</f>
        <v>0</v>
      </c>
      <c r="AK5">
        <f>'Kullanılan gübre'!AK5*'Gübre oranlar'!AN$2</f>
        <v>0</v>
      </c>
      <c r="AL5">
        <f>'Kullanılan gübre'!AL5*'Gübre oranlar'!AO$2</f>
        <v>0</v>
      </c>
      <c r="AM5">
        <f>'Kullanılan gübre'!AM5*'Gübre oranlar'!AP$2</f>
        <v>0</v>
      </c>
      <c r="AN5">
        <f>'Kullanılan gübre'!AN5*'Gübre oranlar'!AQ$2</f>
        <v>0</v>
      </c>
      <c r="AO5">
        <f>'Kullanılan gübre'!AO5*'Gübre oranlar'!AR$2</f>
        <v>0</v>
      </c>
      <c r="AP5">
        <f>'Kullanılan gübre'!AP5*'Gübre oranlar'!AS$2</f>
        <v>0</v>
      </c>
      <c r="AQ5">
        <f>'Kullanılan gübre'!AQ5*'Gübre oranlar'!AT$2</f>
        <v>0</v>
      </c>
      <c r="AR5">
        <f>'Kullanılan gübre'!AR5*'Gübre oranlar'!AU$2</f>
        <v>0</v>
      </c>
      <c r="AS5">
        <f>'Kullanılan gübre'!AS5*'Gübre oranlar'!AV$2</f>
        <v>0</v>
      </c>
      <c r="AT5">
        <f>'Kullanılan gübre'!AT5*'Gübre oranlar'!AW$2</f>
        <v>0</v>
      </c>
      <c r="AU5">
        <f>'Kullanılan gübre'!AU5*'Gübre oranlar'!AX$2</f>
        <v>0</v>
      </c>
      <c r="AV5">
        <f>'Kullanılan gübre'!AV5*'Gübre oranlar'!AY$2</f>
        <v>0</v>
      </c>
      <c r="AW5">
        <f t="shared" si="0"/>
        <v>713.84399999999982</v>
      </c>
    </row>
    <row r="6" spans="1:49" hidden="1" x14ac:dyDescent="0.25">
      <c r="A6" t="str">
        <f>'Kullanılan gübre'!A6</f>
        <v>AK</v>
      </c>
      <c r="B6" t="str">
        <f>'Kullanılan gübre'!B6</f>
        <v>AFYONKARAHISAR</v>
      </c>
      <c r="C6" t="str">
        <f>'Kullanılan gübre'!C6</f>
        <v>COBANLAR</v>
      </c>
      <c r="D6">
        <f>'Kullanılan gübre'!D6</f>
        <v>2008</v>
      </c>
      <c r="E6">
        <f>'Kullanılan gübre'!E6*'Gübre oranlar'!H$2</f>
        <v>8.1480000000000015</v>
      </c>
      <c r="F6">
        <f>'Kullanılan gübre'!F6*'Gübre oranlar'!I$2</f>
        <v>16.718</v>
      </c>
      <c r="G6">
        <f>'Kullanılan gübre'!G6*'Gübre oranlar'!J$2</f>
        <v>28.264500000000009</v>
      </c>
      <c r="H6">
        <f>'Kullanılan gübre'!H6*'Gübre oranlar'!K$2</f>
        <v>49.173999999999992</v>
      </c>
      <c r="I6">
        <f>'Kullanılan gübre'!I6*'Gübre oranlar'!L$2</f>
        <v>0</v>
      </c>
      <c r="J6">
        <f>'Kullanılan gübre'!J6*'Gübre oranlar'!M$2</f>
        <v>49.41</v>
      </c>
      <c r="K6">
        <f>'Kullanılan gübre'!K6*'Gübre oranlar'!N$2</f>
        <v>11.730000000000002</v>
      </c>
      <c r="L6">
        <f>'Kullanılan gübre'!L6*'Gübre oranlar'!O$2</f>
        <v>37.130000000000003</v>
      </c>
      <c r="M6">
        <f>'Kullanılan gübre'!M6*'Gübre oranlar'!P$2</f>
        <v>1.1324999999999998</v>
      </c>
      <c r="N6">
        <f>'Kullanılan gübre'!N6*'Gübre oranlar'!Q$2</f>
        <v>8.7674999999999983</v>
      </c>
      <c r="O6">
        <f>'Kullanılan gübre'!O6*'Gübre oranlar'!R$2</f>
        <v>0</v>
      </c>
      <c r="P6">
        <f>'Kullanılan gübre'!P6*'Gübre oranlar'!S$2</f>
        <v>0</v>
      </c>
      <c r="Q6">
        <f>'Kullanılan gübre'!Q6*'Gübre oranlar'!T$2</f>
        <v>0</v>
      </c>
      <c r="R6">
        <f>'Kullanılan gübre'!R6*'Gübre oranlar'!U$2</f>
        <v>0</v>
      </c>
      <c r="S6">
        <f>'Kullanılan gübre'!S6*'Gübre oranlar'!V$2</f>
        <v>0</v>
      </c>
      <c r="T6">
        <f>'Kullanılan gübre'!T6*'Gübre oranlar'!W$2</f>
        <v>0</v>
      </c>
      <c r="U6">
        <f>'Kullanılan gübre'!U6*'Gübre oranlar'!X$2</f>
        <v>0</v>
      </c>
      <c r="V6">
        <f>'Kullanılan gübre'!V6*'Gübre oranlar'!Y$2</f>
        <v>0</v>
      </c>
      <c r="W6">
        <f>'Kullanılan gübre'!W6*'Gübre oranlar'!Z$2</f>
        <v>0</v>
      </c>
      <c r="X6">
        <f>'Kullanılan gübre'!X6*'Gübre oranlar'!AA$2</f>
        <v>0</v>
      </c>
      <c r="Y6">
        <f>'Kullanılan gübre'!Y6*'Gübre oranlar'!AB$2</f>
        <v>0</v>
      </c>
      <c r="Z6">
        <f>'Kullanılan gübre'!Z6*'Gübre oranlar'!AC$2</f>
        <v>0</v>
      </c>
      <c r="AA6">
        <f>'Kullanılan gübre'!AA6*'Gübre oranlar'!AD$2</f>
        <v>0</v>
      </c>
      <c r="AB6">
        <f>'Kullanılan gübre'!AB6*'Gübre oranlar'!AE$2</f>
        <v>0</v>
      </c>
      <c r="AC6">
        <f>'Kullanılan gübre'!AC6*'Gübre oranlar'!AF$2</f>
        <v>0</v>
      </c>
      <c r="AD6">
        <f>'Kullanılan gübre'!AD6*'Gübre oranlar'!AG$2</f>
        <v>0</v>
      </c>
      <c r="AE6">
        <f>'Kullanılan gübre'!AE6*'Gübre oranlar'!AH$2</f>
        <v>0</v>
      </c>
      <c r="AF6">
        <f>'Kullanılan gübre'!AF6*'Gübre oranlar'!AI$2</f>
        <v>0</v>
      </c>
      <c r="AG6">
        <f>'Kullanılan gübre'!AG6*'Gübre oranlar'!AJ$2</f>
        <v>0</v>
      </c>
      <c r="AH6">
        <f>'Kullanılan gübre'!AH6*'Gübre oranlar'!AK$2</f>
        <v>0</v>
      </c>
      <c r="AI6">
        <f>'Kullanılan gübre'!AI6*'Gübre oranlar'!AL$2</f>
        <v>0</v>
      </c>
      <c r="AJ6">
        <f>'Kullanılan gübre'!AJ6*'Gübre oranlar'!AM$2</f>
        <v>0</v>
      </c>
      <c r="AK6">
        <f>'Kullanılan gübre'!AK6*'Gübre oranlar'!AN$2</f>
        <v>0</v>
      </c>
      <c r="AL6">
        <f>'Kullanılan gübre'!AL6*'Gübre oranlar'!AO$2</f>
        <v>0</v>
      </c>
      <c r="AM6">
        <f>'Kullanılan gübre'!AM6*'Gübre oranlar'!AP$2</f>
        <v>0</v>
      </c>
      <c r="AN6">
        <f>'Kullanılan gübre'!AN6*'Gübre oranlar'!AQ$2</f>
        <v>0</v>
      </c>
      <c r="AO6">
        <f>'Kullanılan gübre'!AO6*'Gübre oranlar'!AR$2</f>
        <v>0</v>
      </c>
      <c r="AP6">
        <f>'Kullanılan gübre'!AP6*'Gübre oranlar'!AS$2</f>
        <v>0</v>
      </c>
      <c r="AQ6">
        <f>'Kullanılan gübre'!AQ6*'Gübre oranlar'!AT$2</f>
        <v>0</v>
      </c>
      <c r="AR6">
        <f>'Kullanılan gübre'!AR6*'Gübre oranlar'!AU$2</f>
        <v>0</v>
      </c>
      <c r="AS6">
        <f>'Kullanılan gübre'!AS6*'Gübre oranlar'!AV$2</f>
        <v>0</v>
      </c>
      <c r="AT6">
        <f>'Kullanılan gübre'!AT6*'Gübre oranlar'!AW$2</f>
        <v>0</v>
      </c>
      <c r="AU6">
        <f>'Kullanılan gübre'!AU6*'Gübre oranlar'!AX$2</f>
        <v>0</v>
      </c>
      <c r="AV6">
        <f>'Kullanılan gübre'!AV6*'Gübre oranlar'!AY$2</f>
        <v>0</v>
      </c>
      <c r="AW6">
        <f t="shared" si="0"/>
        <v>210.47449999999998</v>
      </c>
    </row>
    <row r="7" spans="1:49" hidden="1" x14ac:dyDescent="0.25">
      <c r="A7" t="str">
        <f>'Kullanılan gübre'!A7</f>
        <v>AK</v>
      </c>
      <c r="B7" t="str">
        <f>'Kullanılan gübre'!B7</f>
        <v>AFYONKARAHISAR</v>
      </c>
      <c r="C7" t="str">
        <f>'Kullanılan gübre'!C7</f>
        <v>IHSANIYE</v>
      </c>
      <c r="D7">
        <f>'Kullanılan gübre'!D7</f>
        <v>2008</v>
      </c>
      <c r="E7">
        <f>'Kullanılan gübre'!E7*'Gübre oranlar'!H$2</f>
        <v>0</v>
      </c>
      <c r="F7">
        <f>'Kullanılan gübre'!F7*'Gübre oranlar'!I$2</f>
        <v>60.06</v>
      </c>
      <c r="G7">
        <f>'Kullanılan gübre'!G7*'Gübre oranlar'!J$2</f>
        <v>43.8735</v>
      </c>
      <c r="H7">
        <f>'Kullanılan gübre'!H7*'Gübre oranlar'!K$2</f>
        <v>89.240000000000009</v>
      </c>
      <c r="I7">
        <f>'Kullanılan gübre'!I7*'Gübre oranlar'!L$2</f>
        <v>0</v>
      </c>
      <c r="J7">
        <f>'Kullanılan gübre'!J7*'Gübre oranlar'!M$2</f>
        <v>41.463000000000001</v>
      </c>
      <c r="K7">
        <f>'Kullanılan gübre'!K7*'Gübre oranlar'!N$2</f>
        <v>177.63</v>
      </c>
      <c r="L7">
        <f>'Kullanılan gübre'!L7*'Gübre oranlar'!O$2</f>
        <v>0.5</v>
      </c>
      <c r="M7">
        <f>'Kullanılan gübre'!M7*'Gübre oranlar'!P$2</f>
        <v>0</v>
      </c>
      <c r="N7">
        <f>'Kullanılan gübre'!N7*'Gübre oranlar'!Q$2</f>
        <v>0.105</v>
      </c>
      <c r="O7">
        <f>'Kullanılan gübre'!O7*'Gübre oranlar'!R$2</f>
        <v>0</v>
      </c>
      <c r="P7">
        <f>'Kullanılan gübre'!P7*'Gübre oranlar'!S$2</f>
        <v>0</v>
      </c>
      <c r="Q7">
        <f>'Kullanılan gübre'!Q7*'Gübre oranlar'!T$2</f>
        <v>0</v>
      </c>
      <c r="R7">
        <f>'Kullanılan gübre'!R7*'Gübre oranlar'!U$2</f>
        <v>0</v>
      </c>
      <c r="S7">
        <f>'Kullanılan gübre'!S7*'Gübre oranlar'!V$2</f>
        <v>0</v>
      </c>
      <c r="T7">
        <f>'Kullanılan gübre'!T7*'Gübre oranlar'!W$2</f>
        <v>0</v>
      </c>
      <c r="U7">
        <f>'Kullanılan gübre'!U7*'Gübre oranlar'!X$2</f>
        <v>0</v>
      </c>
      <c r="V7">
        <f>'Kullanılan gübre'!V7*'Gübre oranlar'!Y$2</f>
        <v>0</v>
      </c>
      <c r="W7">
        <f>'Kullanılan gübre'!W7*'Gübre oranlar'!Z$2</f>
        <v>0</v>
      </c>
      <c r="X7">
        <f>'Kullanılan gübre'!X7*'Gübre oranlar'!AA$2</f>
        <v>0</v>
      </c>
      <c r="Y7">
        <f>'Kullanılan gübre'!Y7*'Gübre oranlar'!AB$2</f>
        <v>0</v>
      </c>
      <c r="Z7">
        <f>'Kullanılan gübre'!Z7*'Gübre oranlar'!AC$2</f>
        <v>0</v>
      </c>
      <c r="AA7">
        <f>'Kullanılan gübre'!AA7*'Gübre oranlar'!AD$2</f>
        <v>0</v>
      </c>
      <c r="AB7">
        <f>'Kullanılan gübre'!AB7*'Gübre oranlar'!AE$2</f>
        <v>0</v>
      </c>
      <c r="AC7">
        <f>'Kullanılan gübre'!AC7*'Gübre oranlar'!AF$2</f>
        <v>0</v>
      </c>
      <c r="AD7">
        <f>'Kullanılan gübre'!AD7*'Gübre oranlar'!AG$2</f>
        <v>0</v>
      </c>
      <c r="AE7">
        <f>'Kullanılan gübre'!AE7*'Gübre oranlar'!AH$2</f>
        <v>0</v>
      </c>
      <c r="AF7">
        <f>'Kullanılan gübre'!AF7*'Gübre oranlar'!AI$2</f>
        <v>0</v>
      </c>
      <c r="AG7">
        <f>'Kullanılan gübre'!AG7*'Gübre oranlar'!AJ$2</f>
        <v>0</v>
      </c>
      <c r="AH7">
        <f>'Kullanılan gübre'!AH7*'Gübre oranlar'!AK$2</f>
        <v>0</v>
      </c>
      <c r="AI7">
        <f>'Kullanılan gübre'!AI7*'Gübre oranlar'!AL$2</f>
        <v>0</v>
      </c>
      <c r="AJ7">
        <f>'Kullanılan gübre'!AJ7*'Gübre oranlar'!AM$2</f>
        <v>0</v>
      </c>
      <c r="AK7">
        <f>'Kullanılan gübre'!AK7*'Gübre oranlar'!AN$2</f>
        <v>0</v>
      </c>
      <c r="AL7">
        <f>'Kullanılan gübre'!AL7*'Gübre oranlar'!AO$2</f>
        <v>0</v>
      </c>
      <c r="AM7">
        <f>'Kullanılan gübre'!AM7*'Gübre oranlar'!AP$2</f>
        <v>0</v>
      </c>
      <c r="AN7">
        <f>'Kullanılan gübre'!AN7*'Gübre oranlar'!AQ$2</f>
        <v>0</v>
      </c>
      <c r="AO7">
        <f>'Kullanılan gübre'!AO7*'Gübre oranlar'!AR$2</f>
        <v>0</v>
      </c>
      <c r="AP7">
        <f>'Kullanılan gübre'!AP7*'Gübre oranlar'!AS$2</f>
        <v>0</v>
      </c>
      <c r="AQ7">
        <f>'Kullanılan gübre'!AQ7*'Gübre oranlar'!AT$2</f>
        <v>0</v>
      </c>
      <c r="AR7">
        <f>'Kullanılan gübre'!AR7*'Gübre oranlar'!AU$2</f>
        <v>0</v>
      </c>
      <c r="AS7">
        <f>'Kullanılan gübre'!AS7*'Gübre oranlar'!AV$2</f>
        <v>0</v>
      </c>
      <c r="AT7">
        <f>'Kullanılan gübre'!AT7*'Gübre oranlar'!AW$2</f>
        <v>0</v>
      </c>
      <c r="AU7">
        <f>'Kullanılan gübre'!AU7*'Gübre oranlar'!AX$2</f>
        <v>0</v>
      </c>
      <c r="AV7">
        <f>'Kullanılan gübre'!AV7*'Gübre oranlar'!AY$2</f>
        <v>0</v>
      </c>
      <c r="AW7">
        <f t="shared" si="0"/>
        <v>412.87150000000003</v>
      </c>
    </row>
    <row r="8" spans="1:49" hidden="1" x14ac:dyDescent="0.25">
      <c r="A8" t="str">
        <f>'Kullanılan gübre'!A8</f>
        <v>AK</v>
      </c>
      <c r="B8" t="str">
        <f>'Kullanılan gübre'!B8</f>
        <v>AFYONKARAHISAR</v>
      </c>
      <c r="C8" t="str">
        <f>'Kullanılan gübre'!C8</f>
        <v>ISCEHISAR</v>
      </c>
      <c r="D8">
        <f>'Kullanılan gübre'!D8</f>
        <v>2008</v>
      </c>
      <c r="E8">
        <f>'Kullanılan gübre'!E8*'Gübre oranlar'!H$2</f>
        <v>0</v>
      </c>
      <c r="F8">
        <f>'Kullanılan gübre'!F8*'Gübre oranlar'!I$2</f>
        <v>48.1</v>
      </c>
      <c r="G8">
        <f>'Kullanılan gübre'!G8*'Gübre oranlar'!J$2</f>
        <v>0</v>
      </c>
      <c r="H8">
        <f>'Kullanılan gübre'!H8*'Gübre oranlar'!K$2</f>
        <v>0</v>
      </c>
      <c r="I8">
        <f>'Kullanılan gübre'!I8*'Gübre oranlar'!L$2</f>
        <v>0</v>
      </c>
      <c r="J8">
        <f>'Kullanılan gübre'!J8*'Gübre oranlar'!M$2</f>
        <v>24.939</v>
      </c>
      <c r="K8">
        <f>'Kullanılan gübre'!K8*'Gübre oranlar'!N$2</f>
        <v>1.2000000000000002</v>
      </c>
      <c r="L8">
        <f>'Kullanılan gübre'!L8*'Gübre oranlar'!O$2</f>
        <v>14.62</v>
      </c>
      <c r="M8">
        <f>'Kullanılan gübre'!M8*'Gübre oranlar'!P$2</f>
        <v>0</v>
      </c>
      <c r="N8">
        <f>'Kullanılan gübre'!N8*'Gübre oranlar'!Q$2</f>
        <v>0</v>
      </c>
      <c r="O8">
        <f>'Kullanılan gübre'!O8*'Gübre oranlar'!R$2</f>
        <v>0</v>
      </c>
      <c r="P8">
        <f>'Kullanılan gübre'!P8*'Gübre oranlar'!S$2</f>
        <v>0</v>
      </c>
      <c r="Q8">
        <f>'Kullanılan gübre'!Q8*'Gübre oranlar'!T$2</f>
        <v>0</v>
      </c>
      <c r="R8">
        <f>'Kullanılan gübre'!R8*'Gübre oranlar'!U$2</f>
        <v>0</v>
      </c>
      <c r="S8">
        <f>'Kullanılan gübre'!S8*'Gübre oranlar'!V$2</f>
        <v>0</v>
      </c>
      <c r="T8">
        <f>'Kullanılan gübre'!T8*'Gübre oranlar'!W$2</f>
        <v>0</v>
      </c>
      <c r="U8">
        <f>'Kullanılan gübre'!U8*'Gübre oranlar'!X$2</f>
        <v>0</v>
      </c>
      <c r="V8">
        <f>'Kullanılan gübre'!V8*'Gübre oranlar'!Y$2</f>
        <v>0</v>
      </c>
      <c r="W8">
        <f>'Kullanılan gübre'!W8*'Gübre oranlar'!Z$2</f>
        <v>0</v>
      </c>
      <c r="X8">
        <f>'Kullanılan gübre'!X8*'Gübre oranlar'!AA$2</f>
        <v>0</v>
      </c>
      <c r="Y8">
        <f>'Kullanılan gübre'!Y8*'Gübre oranlar'!AB$2</f>
        <v>0</v>
      </c>
      <c r="Z8">
        <f>'Kullanılan gübre'!Z8*'Gübre oranlar'!AC$2</f>
        <v>0</v>
      </c>
      <c r="AA8">
        <f>'Kullanılan gübre'!AA8*'Gübre oranlar'!AD$2</f>
        <v>0</v>
      </c>
      <c r="AB8">
        <f>'Kullanılan gübre'!AB8*'Gübre oranlar'!AE$2</f>
        <v>0</v>
      </c>
      <c r="AC8">
        <f>'Kullanılan gübre'!AC8*'Gübre oranlar'!AF$2</f>
        <v>0</v>
      </c>
      <c r="AD8">
        <f>'Kullanılan gübre'!AD8*'Gübre oranlar'!AG$2</f>
        <v>0</v>
      </c>
      <c r="AE8">
        <f>'Kullanılan gübre'!AE8*'Gübre oranlar'!AH$2</f>
        <v>0</v>
      </c>
      <c r="AF8">
        <f>'Kullanılan gübre'!AF8*'Gübre oranlar'!AI$2</f>
        <v>0</v>
      </c>
      <c r="AG8">
        <f>'Kullanılan gübre'!AG8*'Gübre oranlar'!AJ$2</f>
        <v>0</v>
      </c>
      <c r="AH8">
        <f>'Kullanılan gübre'!AH8*'Gübre oranlar'!AK$2</f>
        <v>0</v>
      </c>
      <c r="AI8">
        <f>'Kullanılan gübre'!AI8*'Gübre oranlar'!AL$2</f>
        <v>0</v>
      </c>
      <c r="AJ8">
        <f>'Kullanılan gübre'!AJ8*'Gübre oranlar'!AM$2</f>
        <v>0</v>
      </c>
      <c r="AK8">
        <f>'Kullanılan gübre'!AK8*'Gübre oranlar'!AN$2</f>
        <v>0</v>
      </c>
      <c r="AL8">
        <f>'Kullanılan gübre'!AL8*'Gübre oranlar'!AO$2</f>
        <v>0</v>
      </c>
      <c r="AM8">
        <f>'Kullanılan gübre'!AM8*'Gübre oranlar'!AP$2</f>
        <v>0</v>
      </c>
      <c r="AN8">
        <f>'Kullanılan gübre'!AN8*'Gübre oranlar'!AQ$2</f>
        <v>0</v>
      </c>
      <c r="AO8">
        <f>'Kullanılan gübre'!AO8*'Gübre oranlar'!AR$2</f>
        <v>0</v>
      </c>
      <c r="AP8">
        <f>'Kullanılan gübre'!AP8*'Gübre oranlar'!AS$2</f>
        <v>0</v>
      </c>
      <c r="AQ8">
        <f>'Kullanılan gübre'!AQ8*'Gübre oranlar'!AT$2</f>
        <v>0</v>
      </c>
      <c r="AR8">
        <f>'Kullanılan gübre'!AR8*'Gübre oranlar'!AU$2</f>
        <v>0</v>
      </c>
      <c r="AS8">
        <f>'Kullanılan gübre'!AS8*'Gübre oranlar'!AV$2</f>
        <v>0</v>
      </c>
      <c r="AT8">
        <f>'Kullanılan gübre'!AT8*'Gübre oranlar'!AW$2</f>
        <v>0</v>
      </c>
      <c r="AU8">
        <f>'Kullanılan gübre'!AU8*'Gübre oranlar'!AX$2</f>
        <v>0</v>
      </c>
      <c r="AV8">
        <f>'Kullanılan gübre'!AV8*'Gübre oranlar'!AY$2</f>
        <v>0</v>
      </c>
      <c r="AW8">
        <f t="shared" si="0"/>
        <v>88.859000000000009</v>
      </c>
    </row>
    <row r="9" spans="1:49" hidden="1" x14ac:dyDescent="0.25">
      <c r="A9" t="str">
        <f>'Kullanılan gübre'!A9</f>
        <v>AK</v>
      </c>
      <c r="B9" t="str">
        <f>'Kullanılan gübre'!B9</f>
        <v>AFYONKARAHISAR</v>
      </c>
      <c r="C9" t="str">
        <f>'Kullanılan gübre'!C9</f>
        <v>SINANPASA</v>
      </c>
      <c r="D9">
        <f>'Kullanılan gübre'!D9</f>
        <v>2008</v>
      </c>
      <c r="E9">
        <f>'Kullanılan gübre'!E9*'Gübre oranlar'!H$2</f>
        <v>0</v>
      </c>
      <c r="F9">
        <f>'Kullanılan gübre'!F9*'Gübre oranlar'!I$2</f>
        <v>297.55700000000002</v>
      </c>
      <c r="G9">
        <f>'Kullanılan gübre'!G9*'Gübre oranlar'!J$2</f>
        <v>226.95750000000001</v>
      </c>
      <c r="H9">
        <f>'Kullanılan gübre'!H9*'Gübre oranlar'!K$2</f>
        <v>176.52500000000001</v>
      </c>
      <c r="I9">
        <f>'Kullanılan gübre'!I9*'Gübre oranlar'!L$2</f>
        <v>0</v>
      </c>
      <c r="J9">
        <f>'Kullanılan gübre'!J9*'Gübre oranlar'!M$2</f>
        <v>47.709000000000003</v>
      </c>
      <c r="K9">
        <f>'Kullanılan gübre'!K9*'Gübre oranlar'!N$2</f>
        <v>108.73</v>
      </c>
      <c r="L9">
        <f>'Kullanılan gübre'!L9*'Gübre oranlar'!O$2</f>
        <v>135.04999999999998</v>
      </c>
      <c r="M9">
        <f>'Kullanılan gübre'!M9*'Gübre oranlar'!P$2</f>
        <v>7.8</v>
      </c>
      <c r="N9">
        <f>'Kullanılan gübre'!N9*'Gübre oranlar'!Q$2</f>
        <v>0</v>
      </c>
      <c r="O9">
        <f>'Kullanılan gübre'!O9*'Gübre oranlar'!R$2</f>
        <v>0</v>
      </c>
      <c r="P9">
        <f>'Kullanılan gübre'!P9*'Gübre oranlar'!S$2</f>
        <v>0</v>
      </c>
      <c r="Q9">
        <f>'Kullanılan gübre'!Q9*'Gübre oranlar'!T$2</f>
        <v>24.48</v>
      </c>
      <c r="R9">
        <f>'Kullanılan gübre'!R9*'Gübre oranlar'!U$2</f>
        <v>0</v>
      </c>
      <c r="S9">
        <f>'Kullanılan gübre'!S9*'Gübre oranlar'!V$2</f>
        <v>0</v>
      </c>
      <c r="T9">
        <f>'Kullanılan gübre'!T9*'Gübre oranlar'!W$2</f>
        <v>0</v>
      </c>
      <c r="U9">
        <f>'Kullanılan gübre'!U9*'Gübre oranlar'!X$2</f>
        <v>0</v>
      </c>
      <c r="V9">
        <f>'Kullanılan gübre'!V9*'Gübre oranlar'!Y$2</f>
        <v>0</v>
      </c>
      <c r="W9">
        <f>'Kullanılan gübre'!W9*'Gübre oranlar'!Z$2</f>
        <v>0</v>
      </c>
      <c r="X9">
        <f>'Kullanılan gübre'!X9*'Gübre oranlar'!AA$2</f>
        <v>0</v>
      </c>
      <c r="Y9">
        <f>'Kullanılan gübre'!Y9*'Gübre oranlar'!AB$2</f>
        <v>0</v>
      </c>
      <c r="Z9">
        <f>'Kullanılan gübre'!Z9*'Gübre oranlar'!AC$2</f>
        <v>0</v>
      </c>
      <c r="AA9">
        <f>'Kullanılan gübre'!AA9*'Gübre oranlar'!AD$2</f>
        <v>0</v>
      </c>
      <c r="AB9">
        <f>'Kullanılan gübre'!AB9*'Gübre oranlar'!AE$2</f>
        <v>0</v>
      </c>
      <c r="AC9">
        <f>'Kullanılan gübre'!AC9*'Gübre oranlar'!AF$2</f>
        <v>0</v>
      </c>
      <c r="AD9">
        <f>'Kullanılan gübre'!AD9*'Gübre oranlar'!AG$2</f>
        <v>0</v>
      </c>
      <c r="AE9">
        <f>'Kullanılan gübre'!AE9*'Gübre oranlar'!AH$2</f>
        <v>0</v>
      </c>
      <c r="AF9">
        <f>'Kullanılan gübre'!AF9*'Gübre oranlar'!AI$2</f>
        <v>0</v>
      </c>
      <c r="AG9">
        <f>'Kullanılan gübre'!AG9*'Gübre oranlar'!AJ$2</f>
        <v>0</v>
      </c>
      <c r="AH9">
        <f>'Kullanılan gübre'!AH9*'Gübre oranlar'!AK$2</f>
        <v>0</v>
      </c>
      <c r="AI9">
        <f>'Kullanılan gübre'!AI9*'Gübre oranlar'!AL$2</f>
        <v>0</v>
      </c>
      <c r="AJ9">
        <f>'Kullanılan gübre'!AJ9*'Gübre oranlar'!AM$2</f>
        <v>0</v>
      </c>
      <c r="AK9">
        <f>'Kullanılan gübre'!AK9*'Gübre oranlar'!AN$2</f>
        <v>0</v>
      </c>
      <c r="AL9">
        <f>'Kullanılan gübre'!AL9*'Gübre oranlar'!AO$2</f>
        <v>0</v>
      </c>
      <c r="AM9">
        <f>'Kullanılan gübre'!AM9*'Gübre oranlar'!AP$2</f>
        <v>0</v>
      </c>
      <c r="AN9">
        <f>'Kullanılan gübre'!AN9*'Gübre oranlar'!AQ$2</f>
        <v>0</v>
      </c>
      <c r="AO9">
        <f>'Kullanılan gübre'!AO9*'Gübre oranlar'!AR$2</f>
        <v>0</v>
      </c>
      <c r="AP9">
        <f>'Kullanılan gübre'!AP9*'Gübre oranlar'!AS$2</f>
        <v>0</v>
      </c>
      <c r="AQ9">
        <f>'Kullanılan gübre'!AQ9*'Gübre oranlar'!AT$2</f>
        <v>0</v>
      </c>
      <c r="AR9">
        <f>'Kullanılan gübre'!AR9*'Gübre oranlar'!AU$2</f>
        <v>0</v>
      </c>
      <c r="AS9">
        <f>'Kullanılan gübre'!AS9*'Gübre oranlar'!AV$2</f>
        <v>0</v>
      </c>
      <c r="AT9">
        <f>'Kullanılan gübre'!AT9*'Gübre oranlar'!AW$2</f>
        <v>0</v>
      </c>
      <c r="AU9">
        <f>'Kullanılan gübre'!AU9*'Gübre oranlar'!AX$2</f>
        <v>0</v>
      </c>
      <c r="AV9">
        <f>'Kullanılan gübre'!AV9*'Gübre oranlar'!AY$2</f>
        <v>0</v>
      </c>
      <c r="AW9">
        <f t="shared" si="0"/>
        <v>1024.8084999999999</v>
      </c>
    </row>
    <row r="10" spans="1:49" hidden="1" x14ac:dyDescent="0.25">
      <c r="A10" t="str">
        <f>'Kullanılan gübre'!A10</f>
        <v>AK</v>
      </c>
      <c r="B10" t="str">
        <f>'Kullanılan gübre'!B10</f>
        <v>AFYONKARAHISAR</v>
      </c>
      <c r="C10" t="str">
        <f>'Kullanılan gübre'!C10</f>
        <v>SULTANDAGI</v>
      </c>
      <c r="D10">
        <f>'Kullanılan gübre'!D10</f>
        <v>2008</v>
      </c>
      <c r="E10">
        <f>'Kullanılan gübre'!E10*'Gübre oranlar'!H$2</f>
        <v>59.177999999999997</v>
      </c>
      <c r="F10">
        <f>'Kullanılan gübre'!F10*'Gübre oranlar'!I$2</f>
        <v>30.537000000000003</v>
      </c>
      <c r="G10">
        <f>'Kullanılan gübre'!G10*'Gübre oranlar'!J$2</f>
        <v>49.698</v>
      </c>
      <c r="H10">
        <f>'Kullanılan gübre'!H10*'Gübre oranlar'!K$2</f>
        <v>18.561000000000003</v>
      </c>
      <c r="I10">
        <f>'Kullanılan gübre'!I10*'Gübre oranlar'!L$2</f>
        <v>0</v>
      </c>
      <c r="J10">
        <f>'Kullanılan gübre'!J10*'Gübre oranlar'!M$2</f>
        <v>26.432999999999996</v>
      </c>
      <c r="K10">
        <f>'Kullanılan gübre'!K10*'Gübre oranlar'!N$2</f>
        <v>0.21000000000000002</v>
      </c>
      <c r="L10">
        <f>'Kullanılan gübre'!L10*'Gübre oranlar'!O$2</f>
        <v>9.23</v>
      </c>
      <c r="M10">
        <f>'Kullanılan gübre'!M10*'Gübre oranlar'!P$2</f>
        <v>3.3075000000000001</v>
      </c>
      <c r="N10">
        <f>'Kullanılan gübre'!N10*'Gübre oranlar'!Q$2</f>
        <v>17.3325</v>
      </c>
      <c r="O10">
        <f>'Kullanılan gübre'!O10*'Gübre oranlar'!R$2</f>
        <v>0</v>
      </c>
      <c r="P10">
        <f>'Kullanılan gübre'!P10*'Gübre oranlar'!S$2</f>
        <v>0.69874999999999998</v>
      </c>
      <c r="Q10">
        <f>'Kullanılan gübre'!Q10*'Gübre oranlar'!T$2</f>
        <v>0</v>
      </c>
      <c r="R10">
        <f>'Kullanılan gübre'!R10*'Gübre oranlar'!U$2</f>
        <v>0</v>
      </c>
      <c r="S10">
        <f>'Kullanılan gübre'!S10*'Gübre oranlar'!V$2</f>
        <v>0</v>
      </c>
      <c r="T10">
        <f>'Kullanılan gübre'!T10*'Gübre oranlar'!W$2</f>
        <v>0</v>
      </c>
      <c r="U10">
        <f>'Kullanılan gübre'!U10*'Gübre oranlar'!X$2</f>
        <v>0</v>
      </c>
      <c r="V10">
        <f>'Kullanılan gübre'!V10*'Gübre oranlar'!Y$2</f>
        <v>0</v>
      </c>
      <c r="W10">
        <f>'Kullanılan gübre'!W10*'Gübre oranlar'!Z$2</f>
        <v>0</v>
      </c>
      <c r="X10">
        <f>'Kullanılan gübre'!X10*'Gübre oranlar'!AA$2</f>
        <v>0</v>
      </c>
      <c r="Y10">
        <f>'Kullanılan gübre'!Y10*'Gübre oranlar'!AB$2</f>
        <v>0</v>
      </c>
      <c r="Z10">
        <f>'Kullanılan gübre'!Z10*'Gübre oranlar'!AC$2</f>
        <v>0</v>
      </c>
      <c r="AA10">
        <f>'Kullanılan gübre'!AA10*'Gübre oranlar'!AD$2</f>
        <v>0</v>
      </c>
      <c r="AB10">
        <f>'Kullanılan gübre'!AB10*'Gübre oranlar'!AE$2</f>
        <v>0</v>
      </c>
      <c r="AC10">
        <f>'Kullanılan gübre'!AC10*'Gübre oranlar'!AF$2</f>
        <v>0</v>
      </c>
      <c r="AD10">
        <f>'Kullanılan gübre'!AD10*'Gübre oranlar'!AG$2</f>
        <v>0</v>
      </c>
      <c r="AE10">
        <f>'Kullanılan gübre'!AE10*'Gübre oranlar'!AH$2</f>
        <v>0</v>
      </c>
      <c r="AF10">
        <f>'Kullanılan gübre'!AF10*'Gübre oranlar'!AI$2</f>
        <v>0</v>
      </c>
      <c r="AG10">
        <f>'Kullanılan gübre'!AG10*'Gübre oranlar'!AJ$2</f>
        <v>0</v>
      </c>
      <c r="AH10">
        <f>'Kullanılan gübre'!AH10*'Gübre oranlar'!AK$2</f>
        <v>0</v>
      </c>
      <c r="AI10">
        <f>'Kullanılan gübre'!AI10*'Gübre oranlar'!AL$2</f>
        <v>0</v>
      </c>
      <c r="AJ10">
        <f>'Kullanılan gübre'!AJ10*'Gübre oranlar'!AM$2</f>
        <v>0</v>
      </c>
      <c r="AK10">
        <f>'Kullanılan gübre'!AK10*'Gübre oranlar'!AN$2</f>
        <v>0</v>
      </c>
      <c r="AL10">
        <f>'Kullanılan gübre'!AL10*'Gübre oranlar'!AO$2</f>
        <v>0</v>
      </c>
      <c r="AM10">
        <f>'Kullanılan gübre'!AM10*'Gübre oranlar'!AP$2</f>
        <v>0</v>
      </c>
      <c r="AN10">
        <f>'Kullanılan gübre'!AN10*'Gübre oranlar'!AQ$2</f>
        <v>0</v>
      </c>
      <c r="AO10">
        <f>'Kullanılan gübre'!AO10*'Gübre oranlar'!AR$2</f>
        <v>0</v>
      </c>
      <c r="AP10">
        <f>'Kullanılan gübre'!AP10*'Gübre oranlar'!AS$2</f>
        <v>0</v>
      </c>
      <c r="AQ10">
        <f>'Kullanılan gübre'!AQ10*'Gübre oranlar'!AT$2</f>
        <v>0</v>
      </c>
      <c r="AR10">
        <f>'Kullanılan gübre'!AR10*'Gübre oranlar'!AU$2</f>
        <v>0</v>
      </c>
      <c r="AS10">
        <f>'Kullanılan gübre'!AS10*'Gübre oranlar'!AV$2</f>
        <v>0</v>
      </c>
      <c r="AT10">
        <f>'Kullanılan gübre'!AT10*'Gübre oranlar'!AW$2</f>
        <v>0</v>
      </c>
      <c r="AU10">
        <f>'Kullanılan gübre'!AU10*'Gübre oranlar'!AX$2</f>
        <v>0</v>
      </c>
      <c r="AV10">
        <f>'Kullanılan gübre'!AV10*'Gübre oranlar'!AY$2</f>
        <v>0</v>
      </c>
      <c r="AW10">
        <f t="shared" si="0"/>
        <v>215.18575000000001</v>
      </c>
    </row>
    <row r="11" spans="1:49" hidden="1" x14ac:dyDescent="0.25">
      <c r="A11" t="str">
        <f>'Kullanılan gübre'!A11</f>
        <v>AK</v>
      </c>
      <c r="B11" t="str">
        <f>'Kullanılan gübre'!B11</f>
        <v>AFYONKARAHISAR</v>
      </c>
      <c r="C11" t="str">
        <f>'Kullanılan gübre'!C11</f>
        <v>SUHUT</v>
      </c>
      <c r="D11">
        <f>'Kullanılan gübre'!D11</f>
        <v>2008</v>
      </c>
      <c r="E11">
        <f>'Kullanılan gübre'!E11*'Gübre oranlar'!H$2</f>
        <v>368.13000000000005</v>
      </c>
      <c r="F11">
        <f>'Kullanılan gübre'!F11*'Gübre oranlar'!I$2</f>
        <v>72.007000000000019</v>
      </c>
      <c r="G11">
        <f>'Kullanılan gübre'!G11*'Gübre oranlar'!J$2</f>
        <v>622.9079999999999</v>
      </c>
      <c r="H11">
        <f>'Kullanılan gübre'!H11*'Gübre oranlar'!K$2</f>
        <v>583.92400000000009</v>
      </c>
      <c r="I11">
        <f>'Kullanılan gübre'!I11*'Gübre oranlar'!L$2</f>
        <v>0</v>
      </c>
      <c r="J11">
        <f>'Kullanılan gübre'!J11*'Gübre oranlar'!M$2</f>
        <v>97.56</v>
      </c>
      <c r="K11">
        <f>'Kullanılan gübre'!K11*'Gübre oranlar'!N$2</f>
        <v>12.990000000000002</v>
      </c>
      <c r="L11">
        <f>'Kullanılan gübre'!L11*'Gübre oranlar'!O$2</f>
        <v>76.569999999999993</v>
      </c>
      <c r="M11">
        <f>'Kullanılan gübre'!M11*'Gübre oranlar'!P$2</f>
        <v>148.23749999999998</v>
      </c>
      <c r="N11">
        <f>'Kullanılan gübre'!N11*'Gübre oranlar'!Q$2</f>
        <v>174.25499999999997</v>
      </c>
      <c r="O11">
        <f>'Kullanılan gübre'!O11*'Gübre oranlar'!R$2</f>
        <v>0</v>
      </c>
      <c r="P11">
        <f>'Kullanılan gübre'!P11*'Gübre oranlar'!S$2</f>
        <v>8.5761000000000003</v>
      </c>
      <c r="Q11">
        <f>'Kullanılan gübre'!Q11*'Gübre oranlar'!T$2</f>
        <v>66.155999999999992</v>
      </c>
      <c r="R11">
        <f>'Kullanılan gübre'!R11*'Gübre oranlar'!U$2</f>
        <v>0</v>
      </c>
      <c r="S11">
        <f>'Kullanılan gübre'!S11*'Gübre oranlar'!V$2</f>
        <v>0</v>
      </c>
      <c r="T11">
        <f>'Kullanılan gübre'!T11*'Gübre oranlar'!W$2</f>
        <v>0</v>
      </c>
      <c r="U11">
        <f>'Kullanılan gübre'!U11*'Gübre oranlar'!X$2</f>
        <v>0</v>
      </c>
      <c r="V11">
        <f>'Kullanılan gübre'!V11*'Gübre oranlar'!Y$2</f>
        <v>0</v>
      </c>
      <c r="W11">
        <f>'Kullanılan gübre'!W11*'Gübre oranlar'!Z$2</f>
        <v>0</v>
      </c>
      <c r="X11">
        <f>'Kullanılan gübre'!X11*'Gübre oranlar'!AA$2</f>
        <v>0</v>
      </c>
      <c r="Y11">
        <f>'Kullanılan gübre'!Y11*'Gübre oranlar'!AB$2</f>
        <v>0</v>
      </c>
      <c r="Z11">
        <f>'Kullanılan gübre'!Z11*'Gübre oranlar'!AC$2</f>
        <v>0</v>
      </c>
      <c r="AA11">
        <f>'Kullanılan gübre'!AA11*'Gübre oranlar'!AD$2</f>
        <v>0</v>
      </c>
      <c r="AB11">
        <f>'Kullanılan gübre'!AB11*'Gübre oranlar'!AE$2</f>
        <v>0</v>
      </c>
      <c r="AC11">
        <f>'Kullanılan gübre'!AC11*'Gübre oranlar'!AF$2</f>
        <v>0</v>
      </c>
      <c r="AD11">
        <f>'Kullanılan gübre'!AD11*'Gübre oranlar'!AG$2</f>
        <v>0</v>
      </c>
      <c r="AE11">
        <f>'Kullanılan gübre'!AE11*'Gübre oranlar'!AH$2</f>
        <v>0</v>
      </c>
      <c r="AF11">
        <f>'Kullanılan gübre'!AF11*'Gübre oranlar'!AI$2</f>
        <v>0</v>
      </c>
      <c r="AG11">
        <f>'Kullanılan gübre'!AG11*'Gübre oranlar'!AJ$2</f>
        <v>0</v>
      </c>
      <c r="AH11">
        <f>'Kullanılan gübre'!AH11*'Gübre oranlar'!AK$2</f>
        <v>0</v>
      </c>
      <c r="AI11">
        <f>'Kullanılan gübre'!AI11*'Gübre oranlar'!AL$2</f>
        <v>0</v>
      </c>
      <c r="AJ11">
        <f>'Kullanılan gübre'!AJ11*'Gübre oranlar'!AM$2</f>
        <v>0</v>
      </c>
      <c r="AK11">
        <f>'Kullanılan gübre'!AK11*'Gübre oranlar'!AN$2</f>
        <v>0</v>
      </c>
      <c r="AL11">
        <f>'Kullanılan gübre'!AL11*'Gübre oranlar'!AO$2</f>
        <v>0</v>
      </c>
      <c r="AM11">
        <f>'Kullanılan gübre'!AM11*'Gübre oranlar'!AP$2</f>
        <v>0</v>
      </c>
      <c r="AN11">
        <f>'Kullanılan gübre'!AN11*'Gübre oranlar'!AQ$2</f>
        <v>0</v>
      </c>
      <c r="AO11">
        <f>'Kullanılan gübre'!AO11*'Gübre oranlar'!AR$2</f>
        <v>0</v>
      </c>
      <c r="AP11">
        <f>'Kullanılan gübre'!AP11*'Gübre oranlar'!AS$2</f>
        <v>0</v>
      </c>
      <c r="AQ11">
        <f>'Kullanılan gübre'!AQ11*'Gübre oranlar'!AT$2</f>
        <v>0</v>
      </c>
      <c r="AR11">
        <f>'Kullanılan gübre'!AR11*'Gübre oranlar'!AU$2</f>
        <v>0</v>
      </c>
      <c r="AS11">
        <f>'Kullanılan gübre'!AS11*'Gübre oranlar'!AV$2</f>
        <v>0</v>
      </c>
      <c r="AT11">
        <f>'Kullanılan gübre'!AT11*'Gübre oranlar'!AW$2</f>
        <v>0</v>
      </c>
      <c r="AU11">
        <f>'Kullanılan gübre'!AU11*'Gübre oranlar'!AX$2</f>
        <v>0</v>
      </c>
      <c r="AV11">
        <f>'Kullanılan gübre'!AV11*'Gübre oranlar'!AY$2</f>
        <v>0</v>
      </c>
      <c r="AW11">
        <f t="shared" si="0"/>
        <v>2231.3136</v>
      </c>
    </row>
    <row r="12" spans="1:49" hidden="1" x14ac:dyDescent="0.25">
      <c r="A12" t="str">
        <f>'Kullanılan gübre'!A12</f>
        <v>AK</v>
      </c>
      <c r="B12" t="str">
        <f>'Kullanılan gübre'!B12</f>
        <v>AFYONKARAHISAR</v>
      </c>
      <c r="C12" t="str">
        <f>'Kullanılan gübre'!C12</f>
        <v>MERKEZ</v>
      </c>
      <c r="D12">
        <f>'Kullanılan gübre'!D12</f>
        <v>2006</v>
      </c>
      <c r="E12">
        <f>'Kullanılan gübre'!E12*'Gübre oranlar'!H$2</f>
        <v>61.960500000000003</v>
      </c>
      <c r="F12">
        <f>'Kullanılan gübre'!F12*'Gübre oranlar'!I$2</f>
        <v>601.8610000000001</v>
      </c>
      <c r="G12">
        <f>'Kullanılan gübre'!G12*'Gübre oranlar'!J$2</f>
        <v>379.91250000000002</v>
      </c>
      <c r="H12">
        <f>'Kullanılan gübre'!H12*'Gübre oranlar'!K$2</f>
        <v>813.80899999999997</v>
      </c>
      <c r="I12">
        <f>'Kullanılan gübre'!I12*'Gübre oranlar'!L$2</f>
        <v>0</v>
      </c>
      <c r="J12">
        <f>'Kullanılan gübre'!J12*'Gübre oranlar'!M$2</f>
        <v>668.42279999999994</v>
      </c>
      <c r="K12">
        <f>'Kullanılan gübre'!K12*'Gübre oranlar'!N$2</f>
        <v>452.32</v>
      </c>
      <c r="L12">
        <f>'Kullanılan gübre'!L12*'Gübre oranlar'!O$2</f>
        <v>97.73</v>
      </c>
      <c r="M12">
        <f>'Kullanılan gübre'!M12*'Gübre oranlar'!P$2</f>
        <v>32.557499999999997</v>
      </c>
      <c r="N12">
        <f>'Kullanılan gübre'!N12*'Gübre oranlar'!Q$2</f>
        <v>75.47999999999999</v>
      </c>
      <c r="O12">
        <f>'Kullanılan gübre'!O12*'Gübre oranlar'!R$2</f>
        <v>0</v>
      </c>
      <c r="P12">
        <f>'Kullanılan gübre'!P12*'Gübre oranlar'!S$2</f>
        <v>0</v>
      </c>
      <c r="Q12">
        <f>'Kullanılan gübre'!Q12*'Gübre oranlar'!T$2</f>
        <v>39.113999999999997</v>
      </c>
      <c r="R12">
        <f>'Kullanılan gübre'!R12*'Gübre oranlar'!U$2</f>
        <v>0</v>
      </c>
      <c r="S12">
        <f>'Kullanılan gübre'!S12*'Gübre oranlar'!V$2</f>
        <v>0</v>
      </c>
      <c r="T12">
        <f>'Kullanılan gübre'!T12*'Gübre oranlar'!W$2</f>
        <v>0</v>
      </c>
      <c r="U12">
        <f>'Kullanılan gübre'!U12*'Gübre oranlar'!X$2</f>
        <v>0</v>
      </c>
      <c r="V12">
        <f>'Kullanılan gübre'!V12*'Gübre oranlar'!Y$2</f>
        <v>0</v>
      </c>
      <c r="W12">
        <f>'Kullanılan gübre'!W12*'Gübre oranlar'!Z$2</f>
        <v>0</v>
      </c>
      <c r="X12">
        <f>'Kullanılan gübre'!X12*'Gübre oranlar'!AA$2</f>
        <v>0</v>
      </c>
      <c r="Y12">
        <f>'Kullanılan gübre'!Y12*'Gübre oranlar'!AB$2</f>
        <v>0</v>
      </c>
      <c r="Z12">
        <f>'Kullanılan gübre'!Z12*'Gübre oranlar'!AC$2</f>
        <v>0</v>
      </c>
      <c r="AA12">
        <f>'Kullanılan gübre'!AA12*'Gübre oranlar'!AD$2</f>
        <v>0</v>
      </c>
      <c r="AB12">
        <f>'Kullanılan gübre'!AB12*'Gübre oranlar'!AE$2</f>
        <v>0</v>
      </c>
      <c r="AC12">
        <f>'Kullanılan gübre'!AC12*'Gübre oranlar'!AF$2</f>
        <v>0</v>
      </c>
      <c r="AD12">
        <f>'Kullanılan gübre'!AD12*'Gübre oranlar'!AG$2</f>
        <v>0</v>
      </c>
      <c r="AE12">
        <f>'Kullanılan gübre'!AE12*'Gübre oranlar'!AH$2</f>
        <v>0</v>
      </c>
      <c r="AF12">
        <f>'Kullanılan gübre'!AF12*'Gübre oranlar'!AI$2</f>
        <v>0</v>
      </c>
      <c r="AG12">
        <f>'Kullanılan gübre'!AG12*'Gübre oranlar'!AJ$2</f>
        <v>0</v>
      </c>
      <c r="AH12">
        <f>'Kullanılan gübre'!AH12*'Gübre oranlar'!AK$2</f>
        <v>0</v>
      </c>
      <c r="AI12">
        <f>'Kullanılan gübre'!AI12*'Gübre oranlar'!AL$2</f>
        <v>0</v>
      </c>
      <c r="AJ12">
        <f>'Kullanılan gübre'!AJ12*'Gübre oranlar'!AM$2</f>
        <v>0</v>
      </c>
      <c r="AK12">
        <f>'Kullanılan gübre'!AK12*'Gübre oranlar'!AN$2</f>
        <v>0</v>
      </c>
      <c r="AL12">
        <f>'Kullanılan gübre'!AL12*'Gübre oranlar'!AO$2</f>
        <v>0</v>
      </c>
      <c r="AM12">
        <f>'Kullanılan gübre'!AM12*'Gübre oranlar'!AP$2</f>
        <v>0</v>
      </c>
      <c r="AN12">
        <f>'Kullanılan gübre'!AN12*'Gübre oranlar'!AQ$2</f>
        <v>0</v>
      </c>
      <c r="AO12">
        <f>'Kullanılan gübre'!AO12*'Gübre oranlar'!AR$2</f>
        <v>0</v>
      </c>
      <c r="AP12">
        <f>'Kullanılan gübre'!AP12*'Gübre oranlar'!AS$2</f>
        <v>0</v>
      </c>
      <c r="AQ12">
        <f>'Kullanılan gübre'!AQ12*'Gübre oranlar'!AT$2</f>
        <v>0</v>
      </c>
      <c r="AR12">
        <f>'Kullanılan gübre'!AR12*'Gübre oranlar'!AU$2</f>
        <v>0</v>
      </c>
      <c r="AS12">
        <f>'Kullanılan gübre'!AS12*'Gübre oranlar'!AV$2</f>
        <v>0</v>
      </c>
      <c r="AT12">
        <f>'Kullanılan gübre'!AT12*'Gübre oranlar'!AW$2</f>
        <v>0</v>
      </c>
      <c r="AU12">
        <f>'Kullanılan gübre'!AU12*'Gübre oranlar'!AX$2</f>
        <v>0</v>
      </c>
      <c r="AV12">
        <f>'Kullanılan gübre'!AV12*'Gübre oranlar'!AY$2</f>
        <v>0</v>
      </c>
      <c r="AW12">
        <f t="shared" si="0"/>
        <v>3223.1673000000001</v>
      </c>
    </row>
    <row r="13" spans="1:49" hidden="1" x14ac:dyDescent="0.25">
      <c r="A13" t="str">
        <f>'Kullanılan gübre'!A13</f>
        <v>AK</v>
      </c>
      <c r="B13" t="str">
        <f>'Kullanılan gübre'!B13</f>
        <v>AFYONKARAHISAR</v>
      </c>
      <c r="C13" t="str">
        <f>'Kullanılan gübre'!C13</f>
        <v>BAYAT</v>
      </c>
      <c r="D13">
        <f>'Kullanılan gübre'!D13</f>
        <v>2006</v>
      </c>
      <c r="E13">
        <f>'Kullanılan gübre'!E13*'Gübre oranlar'!H$2</f>
        <v>2.1840000000000002</v>
      </c>
      <c r="F13">
        <f>'Kullanılan gübre'!F13*'Gübre oranlar'!I$2</f>
        <v>28.067</v>
      </c>
      <c r="G13">
        <f>'Kullanılan gübre'!G13*'Gübre oranlar'!J$2</f>
        <v>0</v>
      </c>
      <c r="H13">
        <f>'Kullanılan gübre'!H13*'Gübre oranlar'!K$2</f>
        <v>0</v>
      </c>
      <c r="I13">
        <f>'Kullanılan gübre'!I13*'Gübre oranlar'!L$2</f>
        <v>0</v>
      </c>
      <c r="J13">
        <f>'Kullanılan gübre'!J13*'Gübre oranlar'!M$2</f>
        <v>9.6029999999999998</v>
      </c>
      <c r="K13">
        <f>'Kullanılan gübre'!K13*'Gübre oranlar'!N$2</f>
        <v>0</v>
      </c>
      <c r="L13">
        <f>'Kullanılan gübre'!L13*'Gübre oranlar'!O$2</f>
        <v>0</v>
      </c>
      <c r="M13">
        <f>'Kullanılan gübre'!M13*'Gübre oranlar'!P$2</f>
        <v>0</v>
      </c>
      <c r="N13">
        <f>'Kullanılan gübre'!N13*'Gübre oranlar'!Q$2</f>
        <v>0</v>
      </c>
      <c r="O13">
        <f>'Kullanılan gübre'!O13*'Gübre oranlar'!R$2</f>
        <v>0</v>
      </c>
      <c r="P13">
        <f>'Kullanılan gübre'!P13*'Gübre oranlar'!S$2</f>
        <v>0</v>
      </c>
      <c r="Q13">
        <f>'Kullanılan gübre'!Q13*'Gübre oranlar'!T$2</f>
        <v>0</v>
      </c>
      <c r="R13">
        <f>'Kullanılan gübre'!R13*'Gübre oranlar'!U$2</f>
        <v>0</v>
      </c>
      <c r="S13">
        <f>'Kullanılan gübre'!S13*'Gübre oranlar'!V$2</f>
        <v>0</v>
      </c>
      <c r="T13">
        <f>'Kullanılan gübre'!T13*'Gübre oranlar'!W$2</f>
        <v>0</v>
      </c>
      <c r="U13">
        <f>'Kullanılan gübre'!U13*'Gübre oranlar'!X$2</f>
        <v>0</v>
      </c>
      <c r="V13">
        <f>'Kullanılan gübre'!V13*'Gübre oranlar'!Y$2</f>
        <v>0</v>
      </c>
      <c r="W13">
        <f>'Kullanılan gübre'!W13*'Gübre oranlar'!Z$2</f>
        <v>0</v>
      </c>
      <c r="X13">
        <f>'Kullanılan gübre'!X13*'Gübre oranlar'!AA$2</f>
        <v>0</v>
      </c>
      <c r="Y13">
        <f>'Kullanılan gübre'!Y13*'Gübre oranlar'!AB$2</f>
        <v>0</v>
      </c>
      <c r="Z13">
        <f>'Kullanılan gübre'!Z13*'Gübre oranlar'!AC$2</f>
        <v>0</v>
      </c>
      <c r="AA13">
        <f>'Kullanılan gübre'!AA13*'Gübre oranlar'!AD$2</f>
        <v>0</v>
      </c>
      <c r="AB13">
        <f>'Kullanılan gübre'!AB13*'Gübre oranlar'!AE$2</f>
        <v>0</v>
      </c>
      <c r="AC13">
        <f>'Kullanılan gübre'!AC13*'Gübre oranlar'!AF$2</f>
        <v>0</v>
      </c>
      <c r="AD13">
        <f>'Kullanılan gübre'!AD13*'Gübre oranlar'!AG$2</f>
        <v>0</v>
      </c>
      <c r="AE13">
        <f>'Kullanılan gübre'!AE13*'Gübre oranlar'!AH$2</f>
        <v>0</v>
      </c>
      <c r="AF13">
        <f>'Kullanılan gübre'!AF13*'Gübre oranlar'!AI$2</f>
        <v>0</v>
      </c>
      <c r="AG13">
        <f>'Kullanılan gübre'!AG13*'Gübre oranlar'!AJ$2</f>
        <v>0</v>
      </c>
      <c r="AH13">
        <f>'Kullanılan gübre'!AH13*'Gübre oranlar'!AK$2</f>
        <v>0</v>
      </c>
      <c r="AI13">
        <f>'Kullanılan gübre'!AI13*'Gübre oranlar'!AL$2</f>
        <v>0</v>
      </c>
      <c r="AJ13">
        <f>'Kullanılan gübre'!AJ13*'Gübre oranlar'!AM$2</f>
        <v>0</v>
      </c>
      <c r="AK13">
        <f>'Kullanılan gübre'!AK13*'Gübre oranlar'!AN$2</f>
        <v>0</v>
      </c>
      <c r="AL13">
        <f>'Kullanılan gübre'!AL13*'Gübre oranlar'!AO$2</f>
        <v>0</v>
      </c>
      <c r="AM13">
        <f>'Kullanılan gübre'!AM13*'Gübre oranlar'!AP$2</f>
        <v>0</v>
      </c>
      <c r="AN13">
        <f>'Kullanılan gübre'!AN13*'Gübre oranlar'!AQ$2</f>
        <v>0</v>
      </c>
      <c r="AO13">
        <f>'Kullanılan gübre'!AO13*'Gübre oranlar'!AR$2</f>
        <v>0</v>
      </c>
      <c r="AP13">
        <f>'Kullanılan gübre'!AP13*'Gübre oranlar'!AS$2</f>
        <v>0</v>
      </c>
      <c r="AQ13">
        <f>'Kullanılan gübre'!AQ13*'Gübre oranlar'!AT$2</f>
        <v>0</v>
      </c>
      <c r="AR13">
        <f>'Kullanılan gübre'!AR13*'Gübre oranlar'!AU$2</f>
        <v>0</v>
      </c>
      <c r="AS13">
        <f>'Kullanılan gübre'!AS13*'Gübre oranlar'!AV$2</f>
        <v>0</v>
      </c>
      <c r="AT13">
        <f>'Kullanılan gübre'!AT13*'Gübre oranlar'!AW$2</f>
        <v>0</v>
      </c>
      <c r="AU13">
        <f>'Kullanılan gübre'!AU13*'Gübre oranlar'!AX$2</f>
        <v>0</v>
      </c>
      <c r="AV13">
        <f>'Kullanılan gübre'!AV13*'Gübre oranlar'!AY$2</f>
        <v>0</v>
      </c>
      <c r="AW13">
        <f t="shared" si="0"/>
        <v>39.853999999999999</v>
      </c>
    </row>
    <row r="14" spans="1:49" hidden="1" x14ac:dyDescent="0.25">
      <c r="A14" t="str">
        <f>'Kullanılan gübre'!A14</f>
        <v>AK</v>
      </c>
      <c r="B14" t="str">
        <f>'Kullanılan gübre'!B14</f>
        <v>AFYONKARAHISAR</v>
      </c>
      <c r="C14" t="str">
        <f>'Kullanılan gübre'!C14</f>
        <v>BOLVADIN</v>
      </c>
      <c r="D14">
        <f>'Kullanılan gübre'!D14</f>
        <v>2006</v>
      </c>
      <c r="E14">
        <f>'Kullanılan gübre'!E14*'Gübre oranlar'!H$2</f>
        <v>23.813999999999997</v>
      </c>
      <c r="F14">
        <f>'Kullanılan gübre'!F14*'Gübre oranlar'!I$2</f>
        <v>119.35300000000001</v>
      </c>
      <c r="G14">
        <f>'Kullanılan gübre'!G14*'Gübre oranlar'!J$2</f>
        <v>150.72750000000002</v>
      </c>
      <c r="H14">
        <f>'Kullanılan gübre'!H14*'Gübre oranlar'!K$2</f>
        <v>271.92900000000003</v>
      </c>
      <c r="I14">
        <f>'Kullanılan gübre'!I14*'Gübre oranlar'!L$2</f>
        <v>0</v>
      </c>
      <c r="J14">
        <f>'Kullanılan gübre'!J14*'Gübre oranlar'!M$2</f>
        <v>216.19800000000001</v>
      </c>
      <c r="K14">
        <f>'Kullanılan gübre'!K14*'Gübre oranlar'!N$2</f>
        <v>16.8</v>
      </c>
      <c r="L14">
        <f>'Kullanılan gübre'!L14*'Gübre oranlar'!O$2</f>
        <v>73.7</v>
      </c>
      <c r="M14">
        <f>'Kullanılan gübre'!M14*'Gübre oranlar'!P$2</f>
        <v>1.6875</v>
      </c>
      <c r="N14">
        <f>'Kullanılan gübre'!N14*'Gübre oranlar'!Q$2</f>
        <v>10.395</v>
      </c>
      <c r="O14">
        <f>'Kullanılan gübre'!O14*'Gübre oranlar'!R$2</f>
        <v>0</v>
      </c>
      <c r="P14">
        <f>'Kullanılan gübre'!P14*'Gübre oranlar'!S$2</f>
        <v>0</v>
      </c>
      <c r="Q14">
        <f>'Kullanılan gübre'!Q14*'Gübre oranlar'!T$2</f>
        <v>0</v>
      </c>
      <c r="R14">
        <f>'Kullanılan gübre'!R14*'Gübre oranlar'!U$2</f>
        <v>0</v>
      </c>
      <c r="S14">
        <f>'Kullanılan gübre'!S14*'Gübre oranlar'!V$2</f>
        <v>0</v>
      </c>
      <c r="T14">
        <f>'Kullanılan gübre'!T14*'Gübre oranlar'!W$2</f>
        <v>0</v>
      </c>
      <c r="U14">
        <f>'Kullanılan gübre'!U14*'Gübre oranlar'!X$2</f>
        <v>0</v>
      </c>
      <c r="V14">
        <f>'Kullanılan gübre'!V14*'Gübre oranlar'!Y$2</f>
        <v>0</v>
      </c>
      <c r="W14">
        <f>'Kullanılan gübre'!W14*'Gübre oranlar'!Z$2</f>
        <v>0</v>
      </c>
      <c r="X14">
        <f>'Kullanılan gübre'!X14*'Gübre oranlar'!AA$2</f>
        <v>0</v>
      </c>
      <c r="Y14">
        <f>'Kullanılan gübre'!Y14*'Gübre oranlar'!AB$2</f>
        <v>0</v>
      </c>
      <c r="Z14">
        <f>'Kullanılan gübre'!Z14*'Gübre oranlar'!AC$2</f>
        <v>0</v>
      </c>
      <c r="AA14">
        <f>'Kullanılan gübre'!AA14*'Gübre oranlar'!AD$2</f>
        <v>0</v>
      </c>
      <c r="AB14">
        <f>'Kullanılan gübre'!AB14*'Gübre oranlar'!AE$2</f>
        <v>0</v>
      </c>
      <c r="AC14">
        <f>'Kullanılan gübre'!AC14*'Gübre oranlar'!AF$2</f>
        <v>0</v>
      </c>
      <c r="AD14">
        <f>'Kullanılan gübre'!AD14*'Gübre oranlar'!AG$2</f>
        <v>0</v>
      </c>
      <c r="AE14">
        <f>'Kullanılan gübre'!AE14*'Gübre oranlar'!AH$2</f>
        <v>0</v>
      </c>
      <c r="AF14">
        <f>'Kullanılan gübre'!AF14*'Gübre oranlar'!AI$2</f>
        <v>0</v>
      </c>
      <c r="AG14">
        <f>'Kullanılan gübre'!AG14*'Gübre oranlar'!AJ$2</f>
        <v>0</v>
      </c>
      <c r="AH14">
        <f>'Kullanılan gübre'!AH14*'Gübre oranlar'!AK$2</f>
        <v>0</v>
      </c>
      <c r="AI14">
        <f>'Kullanılan gübre'!AI14*'Gübre oranlar'!AL$2</f>
        <v>0</v>
      </c>
      <c r="AJ14">
        <f>'Kullanılan gübre'!AJ14*'Gübre oranlar'!AM$2</f>
        <v>0</v>
      </c>
      <c r="AK14">
        <f>'Kullanılan gübre'!AK14*'Gübre oranlar'!AN$2</f>
        <v>0</v>
      </c>
      <c r="AL14">
        <f>'Kullanılan gübre'!AL14*'Gübre oranlar'!AO$2</f>
        <v>0</v>
      </c>
      <c r="AM14">
        <f>'Kullanılan gübre'!AM14*'Gübre oranlar'!AP$2</f>
        <v>0</v>
      </c>
      <c r="AN14">
        <f>'Kullanılan gübre'!AN14*'Gübre oranlar'!AQ$2</f>
        <v>0</v>
      </c>
      <c r="AO14">
        <f>'Kullanılan gübre'!AO14*'Gübre oranlar'!AR$2</f>
        <v>0</v>
      </c>
      <c r="AP14">
        <f>'Kullanılan gübre'!AP14*'Gübre oranlar'!AS$2</f>
        <v>0</v>
      </c>
      <c r="AQ14">
        <f>'Kullanılan gübre'!AQ14*'Gübre oranlar'!AT$2</f>
        <v>0</v>
      </c>
      <c r="AR14">
        <f>'Kullanılan gübre'!AR14*'Gübre oranlar'!AU$2</f>
        <v>0</v>
      </c>
      <c r="AS14">
        <f>'Kullanılan gübre'!AS14*'Gübre oranlar'!AV$2</f>
        <v>0</v>
      </c>
      <c r="AT14">
        <f>'Kullanılan gübre'!AT14*'Gübre oranlar'!AW$2</f>
        <v>0</v>
      </c>
      <c r="AU14">
        <f>'Kullanılan gübre'!AU14*'Gübre oranlar'!AX$2</f>
        <v>0</v>
      </c>
      <c r="AV14">
        <f>'Kullanılan gübre'!AV14*'Gübre oranlar'!AY$2</f>
        <v>0</v>
      </c>
      <c r="AW14">
        <f t="shared" si="0"/>
        <v>884.60399999999993</v>
      </c>
    </row>
    <row r="15" spans="1:49" hidden="1" x14ac:dyDescent="0.25">
      <c r="A15" t="str">
        <f>'Kullanılan gübre'!A15</f>
        <v>AK</v>
      </c>
      <c r="B15" t="str">
        <f>'Kullanılan gübre'!B15</f>
        <v>AFYONKARAHISAR</v>
      </c>
      <c r="C15" t="str">
        <f>'Kullanılan gübre'!C15</f>
        <v>CAY</v>
      </c>
      <c r="D15">
        <f>'Kullanılan gübre'!D15</f>
        <v>2006</v>
      </c>
      <c r="E15">
        <f>'Kullanılan gübre'!E15*'Gübre oranlar'!H$2</f>
        <v>47.312999999999988</v>
      </c>
      <c r="F15">
        <f>'Kullanılan gübre'!F15*'Gübre oranlar'!I$2</f>
        <v>151.09899999999999</v>
      </c>
      <c r="G15">
        <f>'Kullanılan gübre'!G15*'Gübre oranlar'!J$2</f>
        <v>201.3</v>
      </c>
      <c r="H15">
        <f>'Kullanılan gübre'!H15*'Gübre oranlar'!K$2</f>
        <v>223.92800000000003</v>
      </c>
      <c r="I15">
        <f>'Kullanılan gübre'!I15*'Gübre oranlar'!L$2</f>
        <v>0</v>
      </c>
      <c r="J15">
        <f>'Kullanılan gübre'!J15*'Gübre oranlar'!M$2</f>
        <v>108.99900000000001</v>
      </c>
      <c r="K15">
        <f>'Kullanılan gübre'!K15*'Gübre oranlar'!N$2</f>
        <v>29.3</v>
      </c>
      <c r="L15">
        <f>'Kullanılan gübre'!L15*'Gübre oranlar'!O$2</f>
        <v>136.32000000000002</v>
      </c>
      <c r="M15">
        <f>'Kullanılan gübre'!M15*'Gübre oranlar'!P$2</f>
        <v>3.2324999999999995</v>
      </c>
      <c r="N15">
        <f>'Kullanılan gübre'!N15*'Gübre oranlar'!Q$2</f>
        <v>15.982500000000002</v>
      </c>
      <c r="O15">
        <f>'Kullanılan gübre'!O15*'Gübre oranlar'!R$2</f>
        <v>0</v>
      </c>
      <c r="P15">
        <f>'Kullanılan gübre'!P15*'Gübre oranlar'!S$2</f>
        <v>0</v>
      </c>
      <c r="Q15">
        <f>'Kullanılan gübre'!Q15*'Gübre oranlar'!T$2</f>
        <v>0</v>
      </c>
      <c r="R15">
        <f>'Kullanılan gübre'!R15*'Gübre oranlar'!U$2</f>
        <v>0</v>
      </c>
      <c r="S15">
        <f>'Kullanılan gübre'!S15*'Gübre oranlar'!V$2</f>
        <v>0</v>
      </c>
      <c r="T15">
        <f>'Kullanılan gübre'!T15*'Gübre oranlar'!W$2</f>
        <v>0</v>
      </c>
      <c r="U15">
        <f>'Kullanılan gübre'!U15*'Gübre oranlar'!X$2</f>
        <v>0</v>
      </c>
      <c r="V15">
        <f>'Kullanılan gübre'!V15*'Gübre oranlar'!Y$2</f>
        <v>0</v>
      </c>
      <c r="W15">
        <f>'Kullanılan gübre'!W15*'Gübre oranlar'!Z$2</f>
        <v>0</v>
      </c>
      <c r="X15">
        <f>'Kullanılan gübre'!X15*'Gübre oranlar'!AA$2</f>
        <v>0</v>
      </c>
      <c r="Y15">
        <f>'Kullanılan gübre'!Y15*'Gübre oranlar'!AB$2</f>
        <v>0</v>
      </c>
      <c r="Z15">
        <f>'Kullanılan gübre'!Z15*'Gübre oranlar'!AC$2</f>
        <v>0</v>
      </c>
      <c r="AA15">
        <f>'Kullanılan gübre'!AA15*'Gübre oranlar'!AD$2</f>
        <v>0</v>
      </c>
      <c r="AB15">
        <f>'Kullanılan gübre'!AB15*'Gübre oranlar'!AE$2</f>
        <v>0</v>
      </c>
      <c r="AC15">
        <f>'Kullanılan gübre'!AC15*'Gübre oranlar'!AF$2</f>
        <v>0</v>
      </c>
      <c r="AD15">
        <f>'Kullanılan gübre'!AD15*'Gübre oranlar'!AG$2</f>
        <v>0</v>
      </c>
      <c r="AE15">
        <f>'Kullanılan gübre'!AE15*'Gübre oranlar'!AH$2</f>
        <v>0</v>
      </c>
      <c r="AF15">
        <f>'Kullanılan gübre'!AF15*'Gübre oranlar'!AI$2</f>
        <v>0</v>
      </c>
      <c r="AG15">
        <f>'Kullanılan gübre'!AG15*'Gübre oranlar'!AJ$2</f>
        <v>0</v>
      </c>
      <c r="AH15">
        <f>'Kullanılan gübre'!AH15*'Gübre oranlar'!AK$2</f>
        <v>0</v>
      </c>
      <c r="AI15">
        <f>'Kullanılan gübre'!AI15*'Gübre oranlar'!AL$2</f>
        <v>0</v>
      </c>
      <c r="AJ15">
        <f>'Kullanılan gübre'!AJ15*'Gübre oranlar'!AM$2</f>
        <v>0</v>
      </c>
      <c r="AK15">
        <f>'Kullanılan gübre'!AK15*'Gübre oranlar'!AN$2</f>
        <v>0</v>
      </c>
      <c r="AL15">
        <f>'Kullanılan gübre'!AL15*'Gübre oranlar'!AO$2</f>
        <v>0</v>
      </c>
      <c r="AM15">
        <f>'Kullanılan gübre'!AM15*'Gübre oranlar'!AP$2</f>
        <v>0</v>
      </c>
      <c r="AN15">
        <f>'Kullanılan gübre'!AN15*'Gübre oranlar'!AQ$2</f>
        <v>0</v>
      </c>
      <c r="AO15">
        <f>'Kullanılan gübre'!AO15*'Gübre oranlar'!AR$2</f>
        <v>0</v>
      </c>
      <c r="AP15">
        <f>'Kullanılan gübre'!AP15*'Gübre oranlar'!AS$2</f>
        <v>0</v>
      </c>
      <c r="AQ15">
        <f>'Kullanılan gübre'!AQ15*'Gübre oranlar'!AT$2</f>
        <v>0</v>
      </c>
      <c r="AR15">
        <f>'Kullanılan gübre'!AR15*'Gübre oranlar'!AU$2</f>
        <v>0</v>
      </c>
      <c r="AS15">
        <f>'Kullanılan gübre'!AS15*'Gübre oranlar'!AV$2</f>
        <v>0</v>
      </c>
      <c r="AT15">
        <f>'Kullanılan gübre'!AT15*'Gübre oranlar'!AW$2</f>
        <v>0</v>
      </c>
      <c r="AU15">
        <f>'Kullanılan gübre'!AU15*'Gübre oranlar'!AX$2</f>
        <v>0</v>
      </c>
      <c r="AV15">
        <f>'Kullanılan gübre'!AV15*'Gübre oranlar'!AY$2</f>
        <v>0</v>
      </c>
      <c r="AW15">
        <f t="shared" si="0"/>
        <v>917.47399999999993</v>
      </c>
    </row>
    <row r="16" spans="1:49" hidden="1" x14ac:dyDescent="0.25">
      <c r="A16" t="str">
        <f>'Kullanılan gübre'!A16</f>
        <v>AK</v>
      </c>
      <c r="B16" t="str">
        <f>'Kullanılan gübre'!B16</f>
        <v>AFYONKARAHISAR</v>
      </c>
      <c r="C16" t="str">
        <f>'Kullanılan gübre'!C16</f>
        <v>COBANLAR</v>
      </c>
      <c r="D16">
        <f>'Kullanılan gübre'!D16</f>
        <v>2006</v>
      </c>
      <c r="E16">
        <f>'Kullanılan gübre'!E16*'Gübre oranlar'!H$2</f>
        <v>3.1604999999999999</v>
      </c>
      <c r="F16">
        <f>'Kullanılan gübre'!F16*'Gübre oranlar'!I$2</f>
        <v>26.753999999999998</v>
      </c>
      <c r="G16">
        <f>'Kullanılan gübre'!G16*'Gübre oranlar'!J$2</f>
        <v>29.914500000000004</v>
      </c>
      <c r="H16">
        <f>'Kullanılan gübre'!H16*'Gübre oranlar'!K$2</f>
        <v>126.06300000000002</v>
      </c>
      <c r="I16">
        <f>'Kullanılan gübre'!I16*'Gübre oranlar'!L$2</f>
        <v>0</v>
      </c>
      <c r="J16">
        <f>'Kullanılan gübre'!J16*'Gübre oranlar'!M$2</f>
        <v>94.536000000000001</v>
      </c>
      <c r="K16">
        <f>'Kullanılan gübre'!K16*'Gübre oranlar'!N$2</f>
        <v>18.87</v>
      </c>
      <c r="L16">
        <f>'Kullanılan gübre'!L16*'Gübre oranlar'!O$2</f>
        <v>44.070000000000007</v>
      </c>
      <c r="M16">
        <f>'Kullanılan gübre'!M16*'Gübre oranlar'!P$2</f>
        <v>3.7499999999999999E-2</v>
      </c>
      <c r="N16">
        <f>'Kullanılan gübre'!N16*'Gübre oranlar'!Q$2</f>
        <v>4.6574999999999998</v>
      </c>
      <c r="O16">
        <f>'Kullanılan gübre'!O16*'Gübre oranlar'!R$2</f>
        <v>0</v>
      </c>
      <c r="P16">
        <f>'Kullanılan gübre'!P16*'Gübre oranlar'!S$2</f>
        <v>0</v>
      </c>
      <c r="Q16">
        <f>'Kullanılan gübre'!Q16*'Gübre oranlar'!T$2</f>
        <v>0</v>
      </c>
      <c r="R16">
        <f>'Kullanılan gübre'!R16*'Gübre oranlar'!U$2</f>
        <v>0</v>
      </c>
      <c r="S16">
        <f>'Kullanılan gübre'!S16*'Gübre oranlar'!V$2</f>
        <v>0</v>
      </c>
      <c r="T16">
        <f>'Kullanılan gübre'!T16*'Gübre oranlar'!W$2</f>
        <v>0</v>
      </c>
      <c r="U16">
        <f>'Kullanılan gübre'!U16*'Gübre oranlar'!X$2</f>
        <v>0</v>
      </c>
      <c r="V16">
        <f>'Kullanılan gübre'!V16*'Gübre oranlar'!Y$2</f>
        <v>0</v>
      </c>
      <c r="W16">
        <f>'Kullanılan gübre'!W16*'Gübre oranlar'!Z$2</f>
        <v>0</v>
      </c>
      <c r="X16">
        <f>'Kullanılan gübre'!X16*'Gübre oranlar'!AA$2</f>
        <v>0</v>
      </c>
      <c r="Y16">
        <f>'Kullanılan gübre'!Y16*'Gübre oranlar'!AB$2</f>
        <v>0</v>
      </c>
      <c r="Z16">
        <f>'Kullanılan gübre'!Z16*'Gübre oranlar'!AC$2</f>
        <v>0</v>
      </c>
      <c r="AA16">
        <f>'Kullanılan gübre'!AA16*'Gübre oranlar'!AD$2</f>
        <v>0</v>
      </c>
      <c r="AB16">
        <f>'Kullanılan gübre'!AB16*'Gübre oranlar'!AE$2</f>
        <v>0</v>
      </c>
      <c r="AC16">
        <f>'Kullanılan gübre'!AC16*'Gübre oranlar'!AF$2</f>
        <v>0</v>
      </c>
      <c r="AD16">
        <f>'Kullanılan gübre'!AD16*'Gübre oranlar'!AG$2</f>
        <v>0</v>
      </c>
      <c r="AE16">
        <f>'Kullanılan gübre'!AE16*'Gübre oranlar'!AH$2</f>
        <v>0</v>
      </c>
      <c r="AF16">
        <f>'Kullanılan gübre'!AF16*'Gübre oranlar'!AI$2</f>
        <v>0</v>
      </c>
      <c r="AG16">
        <f>'Kullanılan gübre'!AG16*'Gübre oranlar'!AJ$2</f>
        <v>0</v>
      </c>
      <c r="AH16">
        <f>'Kullanılan gübre'!AH16*'Gübre oranlar'!AK$2</f>
        <v>0</v>
      </c>
      <c r="AI16">
        <f>'Kullanılan gübre'!AI16*'Gübre oranlar'!AL$2</f>
        <v>0</v>
      </c>
      <c r="AJ16">
        <f>'Kullanılan gübre'!AJ16*'Gübre oranlar'!AM$2</f>
        <v>0</v>
      </c>
      <c r="AK16">
        <f>'Kullanılan gübre'!AK16*'Gübre oranlar'!AN$2</f>
        <v>0</v>
      </c>
      <c r="AL16">
        <f>'Kullanılan gübre'!AL16*'Gübre oranlar'!AO$2</f>
        <v>0</v>
      </c>
      <c r="AM16">
        <f>'Kullanılan gübre'!AM16*'Gübre oranlar'!AP$2</f>
        <v>0</v>
      </c>
      <c r="AN16">
        <f>'Kullanılan gübre'!AN16*'Gübre oranlar'!AQ$2</f>
        <v>0</v>
      </c>
      <c r="AO16">
        <f>'Kullanılan gübre'!AO16*'Gübre oranlar'!AR$2</f>
        <v>0</v>
      </c>
      <c r="AP16">
        <f>'Kullanılan gübre'!AP16*'Gübre oranlar'!AS$2</f>
        <v>0</v>
      </c>
      <c r="AQ16">
        <f>'Kullanılan gübre'!AQ16*'Gübre oranlar'!AT$2</f>
        <v>0</v>
      </c>
      <c r="AR16">
        <f>'Kullanılan gübre'!AR16*'Gübre oranlar'!AU$2</f>
        <v>0</v>
      </c>
      <c r="AS16">
        <f>'Kullanılan gübre'!AS16*'Gübre oranlar'!AV$2</f>
        <v>0</v>
      </c>
      <c r="AT16">
        <f>'Kullanılan gübre'!AT16*'Gübre oranlar'!AW$2</f>
        <v>0</v>
      </c>
      <c r="AU16">
        <f>'Kullanılan gübre'!AU16*'Gübre oranlar'!AX$2</f>
        <v>0</v>
      </c>
      <c r="AV16">
        <f>'Kullanılan gübre'!AV16*'Gübre oranlar'!AY$2</f>
        <v>0</v>
      </c>
      <c r="AW16">
        <f t="shared" si="0"/>
        <v>348.06300000000005</v>
      </c>
    </row>
    <row r="17" spans="1:49" hidden="1" x14ac:dyDescent="0.25">
      <c r="A17" t="str">
        <f>'Kullanılan gübre'!A17</f>
        <v>AK</v>
      </c>
      <c r="B17" t="str">
        <f>'Kullanılan gübre'!B17</f>
        <v>AFYONKARAHISAR</v>
      </c>
      <c r="C17" t="str">
        <f>'Kullanılan gübre'!C17</f>
        <v>IHSANIYE</v>
      </c>
      <c r="D17">
        <f>'Kullanılan gübre'!D17</f>
        <v>2006</v>
      </c>
      <c r="E17">
        <f>'Kullanılan gübre'!E17*'Gübre oranlar'!H$2</f>
        <v>244.25099999999998</v>
      </c>
      <c r="F17">
        <f>'Kullanılan gübre'!F17*'Gübre oranlar'!I$2</f>
        <v>12.298</v>
      </c>
      <c r="G17">
        <f>'Kullanılan gübre'!G17*'Gübre oranlar'!J$2</f>
        <v>0</v>
      </c>
      <c r="H17">
        <f>'Kullanılan gübre'!H17*'Gübre oranlar'!K$2</f>
        <v>3.6340000000000003</v>
      </c>
      <c r="I17">
        <f>'Kullanılan gübre'!I17*'Gübre oranlar'!L$2</f>
        <v>0</v>
      </c>
      <c r="J17">
        <f>'Kullanılan gübre'!J17*'Gübre oranlar'!M$2</f>
        <v>70.649999999999991</v>
      </c>
      <c r="K17">
        <f>'Kullanılan gübre'!K17*'Gübre oranlar'!N$2</f>
        <v>0</v>
      </c>
      <c r="L17">
        <f>'Kullanılan gübre'!L17*'Gübre oranlar'!O$2</f>
        <v>0</v>
      </c>
      <c r="M17">
        <f>'Kullanılan gübre'!M17*'Gübre oranlar'!P$2</f>
        <v>0</v>
      </c>
      <c r="N17">
        <f>'Kullanılan gübre'!N17*'Gübre oranlar'!Q$2</f>
        <v>0</v>
      </c>
      <c r="O17">
        <f>'Kullanılan gübre'!O17*'Gübre oranlar'!R$2</f>
        <v>0</v>
      </c>
      <c r="P17">
        <f>'Kullanılan gübre'!P17*'Gübre oranlar'!S$2</f>
        <v>0</v>
      </c>
      <c r="Q17">
        <f>'Kullanılan gübre'!Q17*'Gübre oranlar'!T$2</f>
        <v>0</v>
      </c>
      <c r="R17">
        <f>'Kullanılan gübre'!R17*'Gübre oranlar'!U$2</f>
        <v>0</v>
      </c>
      <c r="S17">
        <f>'Kullanılan gübre'!S17*'Gübre oranlar'!V$2</f>
        <v>0</v>
      </c>
      <c r="T17">
        <f>'Kullanılan gübre'!T17*'Gübre oranlar'!W$2</f>
        <v>0</v>
      </c>
      <c r="U17">
        <f>'Kullanılan gübre'!U17*'Gübre oranlar'!X$2</f>
        <v>0</v>
      </c>
      <c r="V17">
        <f>'Kullanılan gübre'!V17*'Gübre oranlar'!Y$2</f>
        <v>0</v>
      </c>
      <c r="W17">
        <f>'Kullanılan gübre'!W17*'Gübre oranlar'!Z$2</f>
        <v>0</v>
      </c>
      <c r="X17">
        <f>'Kullanılan gübre'!X17*'Gübre oranlar'!AA$2</f>
        <v>0</v>
      </c>
      <c r="Y17">
        <f>'Kullanılan gübre'!Y17*'Gübre oranlar'!AB$2</f>
        <v>0</v>
      </c>
      <c r="Z17">
        <f>'Kullanılan gübre'!Z17*'Gübre oranlar'!AC$2</f>
        <v>0</v>
      </c>
      <c r="AA17">
        <f>'Kullanılan gübre'!AA17*'Gübre oranlar'!AD$2</f>
        <v>0</v>
      </c>
      <c r="AB17">
        <f>'Kullanılan gübre'!AB17*'Gübre oranlar'!AE$2</f>
        <v>0</v>
      </c>
      <c r="AC17">
        <f>'Kullanılan gübre'!AC17*'Gübre oranlar'!AF$2</f>
        <v>0</v>
      </c>
      <c r="AD17">
        <f>'Kullanılan gübre'!AD17*'Gübre oranlar'!AG$2</f>
        <v>0</v>
      </c>
      <c r="AE17">
        <f>'Kullanılan gübre'!AE17*'Gübre oranlar'!AH$2</f>
        <v>0</v>
      </c>
      <c r="AF17">
        <f>'Kullanılan gübre'!AF17*'Gübre oranlar'!AI$2</f>
        <v>0</v>
      </c>
      <c r="AG17">
        <f>'Kullanılan gübre'!AG17*'Gübre oranlar'!AJ$2</f>
        <v>0</v>
      </c>
      <c r="AH17">
        <f>'Kullanılan gübre'!AH17*'Gübre oranlar'!AK$2</f>
        <v>0</v>
      </c>
      <c r="AI17">
        <f>'Kullanılan gübre'!AI17*'Gübre oranlar'!AL$2</f>
        <v>0</v>
      </c>
      <c r="AJ17">
        <f>'Kullanılan gübre'!AJ17*'Gübre oranlar'!AM$2</f>
        <v>0</v>
      </c>
      <c r="AK17">
        <f>'Kullanılan gübre'!AK17*'Gübre oranlar'!AN$2</f>
        <v>0</v>
      </c>
      <c r="AL17">
        <f>'Kullanılan gübre'!AL17*'Gübre oranlar'!AO$2</f>
        <v>0</v>
      </c>
      <c r="AM17">
        <f>'Kullanılan gübre'!AM17*'Gübre oranlar'!AP$2</f>
        <v>0</v>
      </c>
      <c r="AN17">
        <f>'Kullanılan gübre'!AN17*'Gübre oranlar'!AQ$2</f>
        <v>0</v>
      </c>
      <c r="AO17">
        <f>'Kullanılan gübre'!AO17*'Gübre oranlar'!AR$2</f>
        <v>0</v>
      </c>
      <c r="AP17">
        <f>'Kullanılan gübre'!AP17*'Gübre oranlar'!AS$2</f>
        <v>0</v>
      </c>
      <c r="AQ17">
        <f>'Kullanılan gübre'!AQ17*'Gübre oranlar'!AT$2</f>
        <v>0</v>
      </c>
      <c r="AR17">
        <f>'Kullanılan gübre'!AR17*'Gübre oranlar'!AU$2</f>
        <v>0</v>
      </c>
      <c r="AS17">
        <f>'Kullanılan gübre'!AS17*'Gübre oranlar'!AV$2</f>
        <v>0</v>
      </c>
      <c r="AT17">
        <f>'Kullanılan gübre'!AT17*'Gübre oranlar'!AW$2</f>
        <v>0</v>
      </c>
      <c r="AU17">
        <f>'Kullanılan gübre'!AU17*'Gübre oranlar'!AX$2</f>
        <v>0</v>
      </c>
      <c r="AV17">
        <f>'Kullanılan gübre'!AV17*'Gübre oranlar'!AY$2</f>
        <v>0</v>
      </c>
      <c r="AW17">
        <f t="shared" si="0"/>
        <v>330.83299999999997</v>
      </c>
    </row>
    <row r="18" spans="1:49" hidden="1" x14ac:dyDescent="0.25">
      <c r="A18" t="str">
        <f>'Kullanılan gübre'!A18</f>
        <v>AK</v>
      </c>
      <c r="B18" t="str">
        <f>'Kullanılan gübre'!B18</f>
        <v>AFYONKARAHISAR</v>
      </c>
      <c r="C18" t="str">
        <f>'Kullanılan gübre'!C18</f>
        <v>ISCEHISAR</v>
      </c>
      <c r="D18">
        <f>'Kullanılan gübre'!D18</f>
        <v>2006</v>
      </c>
      <c r="E18">
        <f>'Kullanılan gübre'!E18*'Gübre oranlar'!H$2</f>
        <v>0</v>
      </c>
      <c r="F18">
        <f>'Kullanılan gübre'!F18*'Gübre oranlar'!I$2</f>
        <v>50.751999999999995</v>
      </c>
      <c r="G18">
        <f>'Kullanılan gübre'!G18*'Gübre oranlar'!J$2</f>
        <v>0</v>
      </c>
      <c r="H18">
        <f>'Kullanılan gübre'!H18*'Gübre oranlar'!K$2</f>
        <v>0</v>
      </c>
      <c r="I18">
        <f>'Kullanılan gübre'!I18*'Gübre oranlar'!L$2</f>
        <v>0</v>
      </c>
      <c r="J18">
        <f>'Kullanılan gübre'!J18*'Gübre oranlar'!M$2</f>
        <v>54.548999999999999</v>
      </c>
      <c r="K18">
        <f>'Kullanılan gübre'!K18*'Gübre oranlar'!N$2</f>
        <v>0</v>
      </c>
      <c r="L18">
        <f>'Kullanılan gübre'!L18*'Gübre oranlar'!O$2</f>
        <v>17.150000000000002</v>
      </c>
      <c r="M18">
        <f>'Kullanılan gübre'!M18*'Gübre oranlar'!P$2</f>
        <v>0</v>
      </c>
      <c r="N18">
        <f>'Kullanılan gübre'!N18*'Gübre oranlar'!Q$2</f>
        <v>0</v>
      </c>
      <c r="O18">
        <f>'Kullanılan gübre'!O18*'Gübre oranlar'!R$2</f>
        <v>0</v>
      </c>
      <c r="P18">
        <f>'Kullanılan gübre'!P18*'Gübre oranlar'!S$2</f>
        <v>0</v>
      </c>
      <c r="Q18">
        <f>'Kullanılan gübre'!Q18*'Gübre oranlar'!T$2</f>
        <v>0</v>
      </c>
      <c r="R18">
        <f>'Kullanılan gübre'!R18*'Gübre oranlar'!U$2</f>
        <v>0</v>
      </c>
      <c r="S18">
        <f>'Kullanılan gübre'!S18*'Gübre oranlar'!V$2</f>
        <v>0</v>
      </c>
      <c r="T18">
        <f>'Kullanılan gübre'!T18*'Gübre oranlar'!W$2</f>
        <v>0</v>
      </c>
      <c r="U18">
        <f>'Kullanılan gübre'!U18*'Gübre oranlar'!X$2</f>
        <v>0</v>
      </c>
      <c r="V18">
        <f>'Kullanılan gübre'!V18*'Gübre oranlar'!Y$2</f>
        <v>0</v>
      </c>
      <c r="W18">
        <f>'Kullanılan gübre'!W18*'Gübre oranlar'!Z$2</f>
        <v>0</v>
      </c>
      <c r="X18">
        <f>'Kullanılan gübre'!X18*'Gübre oranlar'!AA$2</f>
        <v>0</v>
      </c>
      <c r="Y18">
        <f>'Kullanılan gübre'!Y18*'Gübre oranlar'!AB$2</f>
        <v>0</v>
      </c>
      <c r="Z18">
        <f>'Kullanılan gübre'!Z18*'Gübre oranlar'!AC$2</f>
        <v>0</v>
      </c>
      <c r="AA18">
        <f>'Kullanılan gübre'!AA18*'Gübre oranlar'!AD$2</f>
        <v>0</v>
      </c>
      <c r="AB18">
        <f>'Kullanılan gübre'!AB18*'Gübre oranlar'!AE$2</f>
        <v>0</v>
      </c>
      <c r="AC18">
        <f>'Kullanılan gübre'!AC18*'Gübre oranlar'!AF$2</f>
        <v>0</v>
      </c>
      <c r="AD18">
        <f>'Kullanılan gübre'!AD18*'Gübre oranlar'!AG$2</f>
        <v>0</v>
      </c>
      <c r="AE18">
        <f>'Kullanılan gübre'!AE18*'Gübre oranlar'!AH$2</f>
        <v>0</v>
      </c>
      <c r="AF18">
        <f>'Kullanılan gübre'!AF18*'Gübre oranlar'!AI$2</f>
        <v>0</v>
      </c>
      <c r="AG18">
        <f>'Kullanılan gübre'!AG18*'Gübre oranlar'!AJ$2</f>
        <v>0</v>
      </c>
      <c r="AH18">
        <f>'Kullanılan gübre'!AH18*'Gübre oranlar'!AK$2</f>
        <v>0</v>
      </c>
      <c r="AI18">
        <f>'Kullanılan gübre'!AI18*'Gübre oranlar'!AL$2</f>
        <v>0</v>
      </c>
      <c r="AJ18">
        <f>'Kullanılan gübre'!AJ18*'Gübre oranlar'!AM$2</f>
        <v>0</v>
      </c>
      <c r="AK18">
        <f>'Kullanılan gübre'!AK18*'Gübre oranlar'!AN$2</f>
        <v>0</v>
      </c>
      <c r="AL18">
        <f>'Kullanılan gübre'!AL18*'Gübre oranlar'!AO$2</f>
        <v>0</v>
      </c>
      <c r="AM18">
        <f>'Kullanılan gübre'!AM18*'Gübre oranlar'!AP$2</f>
        <v>0</v>
      </c>
      <c r="AN18">
        <f>'Kullanılan gübre'!AN18*'Gübre oranlar'!AQ$2</f>
        <v>0</v>
      </c>
      <c r="AO18">
        <f>'Kullanılan gübre'!AO18*'Gübre oranlar'!AR$2</f>
        <v>0</v>
      </c>
      <c r="AP18">
        <f>'Kullanılan gübre'!AP18*'Gübre oranlar'!AS$2</f>
        <v>0</v>
      </c>
      <c r="AQ18">
        <f>'Kullanılan gübre'!AQ18*'Gübre oranlar'!AT$2</f>
        <v>0</v>
      </c>
      <c r="AR18">
        <f>'Kullanılan gübre'!AR18*'Gübre oranlar'!AU$2</f>
        <v>0</v>
      </c>
      <c r="AS18">
        <f>'Kullanılan gübre'!AS18*'Gübre oranlar'!AV$2</f>
        <v>0</v>
      </c>
      <c r="AT18">
        <f>'Kullanılan gübre'!AT18*'Gübre oranlar'!AW$2</f>
        <v>0</v>
      </c>
      <c r="AU18">
        <f>'Kullanılan gübre'!AU18*'Gübre oranlar'!AX$2</f>
        <v>0</v>
      </c>
      <c r="AV18">
        <f>'Kullanılan gübre'!AV18*'Gübre oranlar'!AY$2</f>
        <v>0</v>
      </c>
      <c r="AW18">
        <f t="shared" si="0"/>
        <v>122.45099999999999</v>
      </c>
    </row>
    <row r="19" spans="1:49" hidden="1" x14ac:dyDescent="0.25">
      <c r="A19" t="str">
        <f>'Kullanılan gübre'!A19</f>
        <v>AK</v>
      </c>
      <c r="B19" t="str">
        <f>'Kullanılan gübre'!B19</f>
        <v>AFYONKARAHISAR</v>
      </c>
      <c r="C19" t="str">
        <f>'Kullanılan gübre'!C19</f>
        <v>SINANPASA</v>
      </c>
      <c r="D19">
        <f>'Kullanılan gübre'!D19</f>
        <v>2006</v>
      </c>
      <c r="E19">
        <f>'Kullanılan gübre'!E19*'Gübre oranlar'!H$2</f>
        <v>0</v>
      </c>
      <c r="F19">
        <f>'Kullanılan gübre'!F19*'Gübre oranlar'!I$2</f>
        <v>350.714</v>
      </c>
      <c r="G19">
        <f>'Kullanılan gübre'!G19*'Gübre oranlar'!J$2</f>
        <v>197.76900000000001</v>
      </c>
      <c r="H19">
        <f>'Kullanılan gübre'!H19*'Gübre oranlar'!K$2</f>
        <v>131.53700000000001</v>
      </c>
      <c r="I19">
        <f>'Kullanılan gübre'!I19*'Gübre oranlar'!L$2</f>
        <v>0</v>
      </c>
      <c r="J19">
        <f>'Kullanılan gübre'!J19*'Gübre oranlar'!M$2</f>
        <v>213.97499999999999</v>
      </c>
      <c r="K19">
        <f>'Kullanılan gübre'!K19*'Gübre oranlar'!N$2</f>
        <v>110.59000000000002</v>
      </c>
      <c r="L19">
        <f>'Kullanılan gübre'!L19*'Gübre oranlar'!O$2</f>
        <v>131</v>
      </c>
      <c r="M19">
        <f>'Kullanılan gübre'!M19*'Gübre oranlar'!P$2</f>
        <v>4.95</v>
      </c>
      <c r="N19">
        <f>'Kullanılan gübre'!N19*'Gübre oranlar'!Q$2</f>
        <v>7.4999999999999982</v>
      </c>
      <c r="O19">
        <f>'Kullanılan gübre'!O19*'Gübre oranlar'!R$2</f>
        <v>0</v>
      </c>
      <c r="P19">
        <f>'Kullanılan gübre'!P19*'Gübre oranlar'!S$2</f>
        <v>0</v>
      </c>
      <c r="Q19">
        <f>'Kullanılan gübre'!Q19*'Gübre oranlar'!T$2</f>
        <v>0</v>
      </c>
      <c r="R19">
        <f>'Kullanılan gübre'!R19*'Gübre oranlar'!U$2</f>
        <v>0</v>
      </c>
      <c r="S19">
        <f>'Kullanılan gübre'!S19*'Gübre oranlar'!V$2</f>
        <v>0</v>
      </c>
      <c r="T19">
        <f>'Kullanılan gübre'!T19*'Gübre oranlar'!W$2</f>
        <v>0</v>
      </c>
      <c r="U19">
        <f>'Kullanılan gübre'!U19*'Gübre oranlar'!X$2</f>
        <v>0</v>
      </c>
      <c r="V19">
        <f>'Kullanılan gübre'!V19*'Gübre oranlar'!Y$2</f>
        <v>0</v>
      </c>
      <c r="W19">
        <f>'Kullanılan gübre'!W19*'Gübre oranlar'!Z$2</f>
        <v>0</v>
      </c>
      <c r="X19">
        <f>'Kullanılan gübre'!X19*'Gübre oranlar'!AA$2</f>
        <v>0</v>
      </c>
      <c r="Y19">
        <f>'Kullanılan gübre'!Y19*'Gübre oranlar'!AB$2</f>
        <v>0</v>
      </c>
      <c r="Z19">
        <f>'Kullanılan gübre'!Z19*'Gübre oranlar'!AC$2</f>
        <v>0</v>
      </c>
      <c r="AA19">
        <f>'Kullanılan gübre'!AA19*'Gübre oranlar'!AD$2</f>
        <v>0</v>
      </c>
      <c r="AB19">
        <f>'Kullanılan gübre'!AB19*'Gübre oranlar'!AE$2</f>
        <v>0</v>
      </c>
      <c r="AC19">
        <f>'Kullanılan gübre'!AC19*'Gübre oranlar'!AF$2</f>
        <v>0</v>
      </c>
      <c r="AD19">
        <f>'Kullanılan gübre'!AD19*'Gübre oranlar'!AG$2</f>
        <v>0</v>
      </c>
      <c r="AE19">
        <f>'Kullanılan gübre'!AE19*'Gübre oranlar'!AH$2</f>
        <v>0</v>
      </c>
      <c r="AF19">
        <f>'Kullanılan gübre'!AF19*'Gübre oranlar'!AI$2</f>
        <v>0</v>
      </c>
      <c r="AG19">
        <f>'Kullanılan gübre'!AG19*'Gübre oranlar'!AJ$2</f>
        <v>0</v>
      </c>
      <c r="AH19">
        <f>'Kullanılan gübre'!AH19*'Gübre oranlar'!AK$2</f>
        <v>0</v>
      </c>
      <c r="AI19">
        <f>'Kullanılan gübre'!AI19*'Gübre oranlar'!AL$2</f>
        <v>0</v>
      </c>
      <c r="AJ19">
        <f>'Kullanılan gübre'!AJ19*'Gübre oranlar'!AM$2</f>
        <v>0</v>
      </c>
      <c r="AK19">
        <f>'Kullanılan gübre'!AK19*'Gübre oranlar'!AN$2</f>
        <v>0</v>
      </c>
      <c r="AL19">
        <f>'Kullanılan gübre'!AL19*'Gübre oranlar'!AO$2</f>
        <v>0</v>
      </c>
      <c r="AM19">
        <f>'Kullanılan gübre'!AM19*'Gübre oranlar'!AP$2</f>
        <v>0</v>
      </c>
      <c r="AN19">
        <f>'Kullanılan gübre'!AN19*'Gübre oranlar'!AQ$2</f>
        <v>0</v>
      </c>
      <c r="AO19">
        <f>'Kullanılan gübre'!AO19*'Gübre oranlar'!AR$2</f>
        <v>0</v>
      </c>
      <c r="AP19">
        <f>'Kullanılan gübre'!AP19*'Gübre oranlar'!AS$2</f>
        <v>0</v>
      </c>
      <c r="AQ19">
        <f>'Kullanılan gübre'!AQ19*'Gübre oranlar'!AT$2</f>
        <v>0</v>
      </c>
      <c r="AR19">
        <f>'Kullanılan gübre'!AR19*'Gübre oranlar'!AU$2</f>
        <v>0</v>
      </c>
      <c r="AS19">
        <f>'Kullanılan gübre'!AS19*'Gübre oranlar'!AV$2</f>
        <v>0</v>
      </c>
      <c r="AT19">
        <f>'Kullanılan gübre'!AT19*'Gübre oranlar'!AW$2</f>
        <v>0</v>
      </c>
      <c r="AU19">
        <f>'Kullanılan gübre'!AU19*'Gübre oranlar'!AX$2</f>
        <v>0</v>
      </c>
      <c r="AV19">
        <f>'Kullanılan gübre'!AV19*'Gübre oranlar'!AY$2</f>
        <v>0</v>
      </c>
      <c r="AW19">
        <f t="shared" si="0"/>
        <v>1148.0350000000001</v>
      </c>
    </row>
    <row r="20" spans="1:49" hidden="1" x14ac:dyDescent="0.25">
      <c r="A20" t="str">
        <f>'Kullanılan gübre'!A20</f>
        <v>AK</v>
      </c>
      <c r="B20" t="str">
        <f>'Kullanılan gübre'!B20</f>
        <v>AFYONKARAHISAR</v>
      </c>
      <c r="C20" t="str">
        <f>'Kullanılan gübre'!C20</f>
        <v>SULTANDAGI</v>
      </c>
      <c r="D20">
        <f>'Kullanılan gübre'!D20</f>
        <v>2006</v>
      </c>
      <c r="E20">
        <f>'Kullanılan gübre'!E20*'Gübre oranlar'!H$2</f>
        <v>118.21949999999998</v>
      </c>
      <c r="F20">
        <f>'Kullanılan gübre'!F20*'Gübre oranlar'!I$2</f>
        <v>47.774999999999999</v>
      </c>
      <c r="G20">
        <f>'Kullanılan gübre'!G20*'Gübre oranlar'!J$2</f>
        <v>66.528000000000006</v>
      </c>
      <c r="H20">
        <f>'Kullanılan gübre'!H20*'Gübre oranlar'!K$2</f>
        <v>30.245000000000001</v>
      </c>
      <c r="I20">
        <f>'Kullanılan gübre'!I20*'Gübre oranlar'!L$2</f>
        <v>0</v>
      </c>
      <c r="J20">
        <f>'Kullanılan gübre'!J20*'Gübre oranlar'!M$2</f>
        <v>92.204999999999998</v>
      </c>
      <c r="K20">
        <f>'Kullanılan gübre'!K20*'Gübre oranlar'!N$2</f>
        <v>9.4999999999999982</v>
      </c>
      <c r="L20">
        <f>'Kullanılan gübre'!L20*'Gübre oranlar'!O$2</f>
        <v>41.95</v>
      </c>
      <c r="M20">
        <f>'Kullanılan gübre'!M20*'Gübre oranlar'!P$2</f>
        <v>2.6999999999999997</v>
      </c>
      <c r="N20">
        <f>'Kullanılan gübre'!N20*'Gübre oranlar'!Q$2</f>
        <v>36.284999999999997</v>
      </c>
      <c r="O20">
        <f>'Kullanılan gübre'!O20*'Gübre oranlar'!R$2</f>
        <v>0</v>
      </c>
      <c r="P20">
        <f>'Kullanılan gübre'!P20*'Gübre oranlar'!S$2</f>
        <v>0.624</v>
      </c>
      <c r="Q20">
        <f>'Kullanılan gübre'!Q20*'Gübre oranlar'!T$2</f>
        <v>0</v>
      </c>
      <c r="R20">
        <f>'Kullanılan gübre'!R20*'Gübre oranlar'!U$2</f>
        <v>0</v>
      </c>
      <c r="S20">
        <f>'Kullanılan gübre'!S20*'Gübre oranlar'!V$2</f>
        <v>0</v>
      </c>
      <c r="T20">
        <f>'Kullanılan gübre'!T20*'Gübre oranlar'!W$2</f>
        <v>0</v>
      </c>
      <c r="U20">
        <f>'Kullanılan gübre'!U20*'Gübre oranlar'!X$2</f>
        <v>0</v>
      </c>
      <c r="V20">
        <f>'Kullanılan gübre'!V20*'Gübre oranlar'!Y$2</f>
        <v>0</v>
      </c>
      <c r="W20">
        <f>'Kullanılan gübre'!W20*'Gübre oranlar'!Z$2</f>
        <v>0</v>
      </c>
      <c r="X20">
        <f>'Kullanılan gübre'!X20*'Gübre oranlar'!AA$2</f>
        <v>0</v>
      </c>
      <c r="Y20">
        <f>'Kullanılan gübre'!Y20*'Gübre oranlar'!AB$2</f>
        <v>0</v>
      </c>
      <c r="Z20">
        <f>'Kullanılan gübre'!Z20*'Gübre oranlar'!AC$2</f>
        <v>0</v>
      </c>
      <c r="AA20">
        <f>'Kullanılan gübre'!AA20*'Gübre oranlar'!AD$2</f>
        <v>0</v>
      </c>
      <c r="AB20">
        <f>'Kullanılan gübre'!AB20*'Gübre oranlar'!AE$2</f>
        <v>0</v>
      </c>
      <c r="AC20">
        <f>'Kullanılan gübre'!AC20*'Gübre oranlar'!AF$2</f>
        <v>0</v>
      </c>
      <c r="AD20">
        <f>'Kullanılan gübre'!AD20*'Gübre oranlar'!AG$2</f>
        <v>0</v>
      </c>
      <c r="AE20">
        <f>'Kullanılan gübre'!AE20*'Gübre oranlar'!AH$2</f>
        <v>0</v>
      </c>
      <c r="AF20">
        <f>'Kullanılan gübre'!AF20*'Gübre oranlar'!AI$2</f>
        <v>0</v>
      </c>
      <c r="AG20">
        <f>'Kullanılan gübre'!AG20*'Gübre oranlar'!AJ$2</f>
        <v>0</v>
      </c>
      <c r="AH20">
        <f>'Kullanılan gübre'!AH20*'Gübre oranlar'!AK$2</f>
        <v>0</v>
      </c>
      <c r="AI20">
        <f>'Kullanılan gübre'!AI20*'Gübre oranlar'!AL$2</f>
        <v>0</v>
      </c>
      <c r="AJ20">
        <f>'Kullanılan gübre'!AJ20*'Gübre oranlar'!AM$2</f>
        <v>0</v>
      </c>
      <c r="AK20">
        <f>'Kullanılan gübre'!AK20*'Gübre oranlar'!AN$2</f>
        <v>0</v>
      </c>
      <c r="AL20">
        <f>'Kullanılan gübre'!AL20*'Gübre oranlar'!AO$2</f>
        <v>0</v>
      </c>
      <c r="AM20">
        <f>'Kullanılan gübre'!AM20*'Gübre oranlar'!AP$2</f>
        <v>0</v>
      </c>
      <c r="AN20">
        <f>'Kullanılan gübre'!AN20*'Gübre oranlar'!AQ$2</f>
        <v>0</v>
      </c>
      <c r="AO20">
        <f>'Kullanılan gübre'!AO20*'Gübre oranlar'!AR$2</f>
        <v>0</v>
      </c>
      <c r="AP20">
        <f>'Kullanılan gübre'!AP20*'Gübre oranlar'!AS$2</f>
        <v>0</v>
      </c>
      <c r="AQ20">
        <f>'Kullanılan gübre'!AQ20*'Gübre oranlar'!AT$2</f>
        <v>0</v>
      </c>
      <c r="AR20">
        <f>'Kullanılan gübre'!AR20*'Gübre oranlar'!AU$2</f>
        <v>0</v>
      </c>
      <c r="AS20">
        <f>'Kullanılan gübre'!AS20*'Gübre oranlar'!AV$2</f>
        <v>0</v>
      </c>
      <c r="AT20">
        <f>'Kullanılan gübre'!AT20*'Gübre oranlar'!AW$2</f>
        <v>0</v>
      </c>
      <c r="AU20">
        <f>'Kullanılan gübre'!AU20*'Gübre oranlar'!AX$2</f>
        <v>0</v>
      </c>
      <c r="AV20">
        <f>'Kullanılan gübre'!AV20*'Gübre oranlar'!AY$2</f>
        <v>0</v>
      </c>
      <c r="AW20">
        <f t="shared" si="0"/>
        <v>446.03149999999994</v>
      </c>
    </row>
    <row r="21" spans="1:49" hidden="1" x14ac:dyDescent="0.25">
      <c r="A21" t="str">
        <f>'Kullanılan gübre'!A21</f>
        <v>AK</v>
      </c>
      <c r="B21" t="str">
        <f>'Kullanılan gübre'!B21</f>
        <v>AFYONKARAHISAR</v>
      </c>
      <c r="C21" t="str">
        <f>'Kullanılan gübre'!C21</f>
        <v>SUHUT</v>
      </c>
      <c r="D21">
        <f>'Kullanılan gübre'!D21</f>
        <v>2006</v>
      </c>
      <c r="E21">
        <f>'Kullanılan gübre'!E21*'Gübre oranlar'!H$2</f>
        <v>345.29249999999996</v>
      </c>
      <c r="F21">
        <f>'Kullanılan gübre'!F21*'Gübre oranlar'!I$2</f>
        <v>117.52000000000001</v>
      </c>
      <c r="G21">
        <f>'Kullanılan gübre'!G21*'Gübre oranlar'!J$2</f>
        <v>478.63200000000006</v>
      </c>
      <c r="H21">
        <f>'Kullanılan gübre'!H21*'Gübre oranlar'!K$2</f>
        <v>688.96499999999992</v>
      </c>
      <c r="I21">
        <f>'Kullanılan gübre'!I21*'Gübre oranlar'!L$2</f>
        <v>0</v>
      </c>
      <c r="J21">
        <f>'Kullanılan gübre'!J21*'Gübre oranlar'!M$2</f>
        <v>261.459</v>
      </c>
      <c r="K21">
        <f>'Kullanılan gübre'!K21*'Gübre oranlar'!N$2</f>
        <v>10.740000000000002</v>
      </c>
      <c r="L21">
        <f>'Kullanılan gübre'!L21*'Gübre oranlar'!O$2</f>
        <v>72.910000000000011</v>
      </c>
      <c r="M21">
        <f>'Kullanılan gübre'!M21*'Gübre oranlar'!P$2</f>
        <v>22.777500000000003</v>
      </c>
      <c r="N21">
        <f>'Kullanılan gübre'!N21*'Gübre oranlar'!Q$2</f>
        <v>149.0325</v>
      </c>
      <c r="O21">
        <f>'Kullanılan gübre'!O21*'Gübre oranlar'!R$2</f>
        <v>0</v>
      </c>
      <c r="P21">
        <f>'Kullanılan gübre'!P21*'Gübre oranlar'!S$2</f>
        <v>12.2005</v>
      </c>
      <c r="Q21">
        <f>'Kullanılan gübre'!Q21*'Gübre oranlar'!T$2</f>
        <v>72</v>
      </c>
      <c r="R21">
        <f>'Kullanılan gübre'!R21*'Gübre oranlar'!U$2</f>
        <v>0</v>
      </c>
      <c r="S21">
        <f>'Kullanılan gübre'!S21*'Gübre oranlar'!V$2</f>
        <v>0</v>
      </c>
      <c r="T21">
        <f>'Kullanılan gübre'!T21*'Gübre oranlar'!W$2</f>
        <v>0</v>
      </c>
      <c r="U21">
        <f>'Kullanılan gübre'!U21*'Gübre oranlar'!X$2</f>
        <v>0</v>
      </c>
      <c r="V21">
        <f>'Kullanılan gübre'!V21*'Gübre oranlar'!Y$2</f>
        <v>0</v>
      </c>
      <c r="W21">
        <f>'Kullanılan gübre'!W21*'Gübre oranlar'!Z$2</f>
        <v>0</v>
      </c>
      <c r="X21">
        <f>'Kullanılan gübre'!X21*'Gübre oranlar'!AA$2</f>
        <v>0</v>
      </c>
      <c r="Y21">
        <f>'Kullanılan gübre'!Y21*'Gübre oranlar'!AB$2</f>
        <v>0</v>
      </c>
      <c r="Z21">
        <f>'Kullanılan gübre'!Z21*'Gübre oranlar'!AC$2</f>
        <v>0</v>
      </c>
      <c r="AA21">
        <f>'Kullanılan gübre'!AA21*'Gübre oranlar'!AD$2</f>
        <v>0</v>
      </c>
      <c r="AB21">
        <f>'Kullanılan gübre'!AB21*'Gübre oranlar'!AE$2</f>
        <v>0</v>
      </c>
      <c r="AC21">
        <f>'Kullanılan gübre'!AC21*'Gübre oranlar'!AF$2</f>
        <v>0</v>
      </c>
      <c r="AD21">
        <f>'Kullanılan gübre'!AD21*'Gübre oranlar'!AG$2</f>
        <v>0</v>
      </c>
      <c r="AE21">
        <f>'Kullanılan gübre'!AE21*'Gübre oranlar'!AH$2</f>
        <v>0</v>
      </c>
      <c r="AF21">
        <f>'Kullanılan gübre'!AF21*'Gübre oranlar'!AI$2</f>
        <v>0</v>
      </c>
      <c r="AG21">
        <f>'Kullanılan gübre'!AG21*'Gübre oranlar'!AJ$2</f>
        <v>0</v>
      </c>
      <c r="AH21">
        <f>'Kullanılan gübre'!AH21*'Gübre oranlar'!AK$2</f>
        <v>0</v>
      </c>
      <c r="AI21">
        <f>'Kullanılan gübre'!AI21*'Gübre oranlar'!AL$2</f>
        <v>0</v>
      </c>
      <c r="AJ21">
        <f>'Kullanılan gübre'!AJ21*'Gübre oranlar'!AM$2</f>
        <v>0</v>
      </c>
      <c r="AK21">
        <f>'Kullanılan gübre'!AK21*'Gübre oranlar'!AN$2</f>
        <v>0</v>
      </c>
      <c r="AL21">
        <f>'Kullanılan gübre'!AL21*'Gübre oranlar'!AO$2</f>
        <v>0</v>
      </c>
      <c r="AM21">
        <f>'Kullanılan gübre'!AM21*'Gübre oranlar'!AP$2</f>
        <v>0</v>
      </c>
      <c r="AN21">
        <f>'Kullanılan gübre'!AN21*'Gübre oranlar'!AQ$2</f>
        <v>0</v>
      </c>
      <c r="AO21">
        <f>'Kullanılan gübre'!AO21*'Gübre oranlar'!AR$2</f>
        <v>0</v>
      </c>
      <c r="AP21">
        <f>'Kullanılan gübre'!AP21*'Gübre oranlar'!AS$2</f>
        <v>0</v>
      </c>
      <c r="AQ21">
        <f>'Kullanılan gübre'!AQ21*'Gübre oranlar'!AT$2</f>
        <v>0</v>
      </c>
      <c r="AR21">
        <f>'Kullanılan gübre'!AR21*'Gübre oranlar'!AU$2</f>
        <v>0</v>
      </c>
      <c r="AS21">
        <f>'Kullanılan gübre'!AS21*'Gübre oranlar'!AV$2</f>
        <v>0</v>
      </c>
      <c r="AT21">
        <f>'Kullanılan gübre'!AT21*'Gübre oranlar'!AW$2</f>
        <v>0</v>
      </c>
      <c r="AU21">
        <f>'Kullanılan gübre'!AU21*'Gübre oranlar'!AX$2</f>
        <v>0</v>
      </c>
      <c r="AV21">
        <f>'Kullanılan gübre'!AV21*'Gübre oranlar'!AY$2</f>
        <v>0</v>
      </c>
      <c r="AW21">
        <f t="shared" si="0"/>
        <v>2231.529</v>
      </c>
    </row>
    <row r="22" spans="1:49" hidden="1" x14ac:dyDescent="0.25">
      <c r="A22" t="str">
        <f>'Kullanılan gübre'!A22</f>
        <v>AK</v>
      </c>
      <c r="B22" t="str">
        <f>'Kullanılan gübre'!B22</f>
        <v>AFYONKARAHISAR</v>
      </c>
      <c r="C22" t="str">
        <f>'Kullanılan gübre'!C22</f>
        <v>MERKEZ</v>
      </c>
      <c r="D22">
        <f>'Kullanılan gübre'!D22</f>
        <v>2007</v>
      </c>
      <c r="E22">
        <f>'Kullanılan gübre'!E22*'Gübre oranlar'!H$2</f>
        <v>75.914999999999992</v>
      </c>
      <c r="F22">
        <f>'Kullanılan gübre'!F22*'Gübre oranlar'!I$2</f>
        <v>361.85500000000008</v>
      </c>
      <c r="G22">
        <f>'Kullanılan gübre'!G22*'Gübre oranlar'!J$2</f>
        <v>411.32850000000013</v>
      </c>
      <c r="H22">
        <f>'Kullanılan gübre'!H22*'Gübre oranlar'!K$2</f>
        <v>368.66699999999997</v>
      </c>
      <c r="I22">
        <f>'Kullanılan gübre'!I22*'Gübre oranlar'!L$2</f>
        <v>0</v>
      </c>
      <c r="J22">
        <f>'Kullanılan gübre'!J22*'Gübre oranlar'!M$2</f>
        <v>526.94099999999992</v>
      </c>
      <c r="K22">
        <f>'Kullanılan gübre'!K22*'Gübre oranlar'!N$2</f>
        <v>468.61000000000007</v>
      </c>
      <c r="L22">
        <f>'Kullanılan gübre'!L22*'Gübre oranlar'!O$2</f>
        <v>66.59</v>
      </c>
      <c r="M22">
        <f>'Kullanılan gübre'!M22*'Gübre oranlar'!P$2</f>
        <v>18.884999999999994</v>
      </c>
      <c r="N22">
        <f>'Kullanılan gübre'!N22*'Gübre oranlar'!Q$2</f>
        <v>81.607499999999987</v>
      </c>
      <c r="O22">
        <f>'Kullanılan gübre'!O22*'Gübre oranlar'!R$2</f>
        <v>0</v>
      </c>
      <c r="P22">
        <f>'Kullanılan gübre'!P22*'Gübre oranlar'!S$2</f>
        <v>1.04</v>
      </c>
      <c r="Q22">
        <f>'Kullanılan gübre'!Q22*'Gübre oranlar'!T$2</f>
        <v>42.3</v>
      </c>
      <c r="R22">
        <f>'Kullanılan gübre'!R22*'Gübre oranlar'!U$2</f>
        <v>0</v>
      </c>
      <c r="S22">
        <f>'Kullanılan gübre'!S22*'Gübre oranlar'!V$2</f>
        <v>0</v>
      </c>
      <c r="T22">
        <f>'Kullanılan gübre'!T22*'Gübre oranlar'!W$2</f>
        <v>0</v>
      </c>
      <c r="U22">
        <f>'Kullanılan gübre'!U22*'Gübre oranlar'!X$2</f>
        <v>0</v>
      </c>
      <c r="V22">
        <f>'Kullanılan gübre'!V22*'Gübre oranlar'!Y$2</f>
        <v>0</v>
      </c>
      <c r="W22">
        <f>'Kullanılan gübre'!W22*'Gübre oranlar'!Z$2</f>
        <v>0</v>
      </c>
      <c r="X22">
        <f>'Kullanılan gübre'!X22*'Gübre oranlar'!AA$2</f>
        <v>0</v>
      </c>
      <c r="Y22">
        <f>'Kullanılan gübre'!Y22*'Gübre oranlar'!AB$2</f>
        <v>0</v>
      </c>
      <c r="Z22">
        <f>'Kullanılan gübre'!Z22*'Gübre oranlar'!AC$2</f>
        <v>0</v>
      </c>
      <c r="AA22">
        <f>'Kullanılan gübre'!AA22*'Gübre oranlar'!AD$2</f>
        <v>0</v>
      </c>
      <c r="AB22">
        <f>'Kullanılan gübre'!AB22*'Gübre oranlar'!AE$2</f>
        <v>0</v>
      </c>
      <c r="AC22">
        <f>'Kullanılan gübre'!AC22*'Gübre oranlar'!AF$2</f>
        <v>0</v>
      </c>
      <c r="AD22">
        <f>'Kullanılan gübre'!AD22*'Gübre oranlar'!AG$2</f>
        <v>0</v>
      </c>
      <c r="AE22">
        <f>'Kullanılan gübre'!AE22*'Gübre oranlar'!AH$2</f>
        <v>0</v>
      </c>
      <c r="AF22">
        <f>'Kullanılan gübre'!AF22*'Gübre oranlar'!AI$2</f>
        <v>0</v>
      </c>
      <c r="AG22">
        <f>'Kullanılan gübre'!AG22*'Gübre oranlar'!AJ$2</f>
        <v>0</v>
      </c>
      <c r="AH22">
        <f>'Kullanılan gübre'!AH22*'Gübre oranlar'!AK$2</f>
        <v>0</v>
      </c>
      <c r="AI22">
        <f>'Kullanılan gübre'!AI22*'Gübre oranlar'!AL$2</f>
        <v>0</v>
      </c>
      <c r="AJ22">
        <f>'Kullanılan gübre'!AJ22*'Gübre oranlar'!AM$2</f>
        <v>0</v>
      </c>
      <c r="AK22">
        <f>'Kullanılan gübre'!AK22*'Gübre oranlar'!AN$2</f>
        <v>0</v>
      </c>
      <c r="AL22">
        <f>'Kullanılan gübre'!AL22*'Gübre oranlar'!AO$2</f>
        <v>0</v>
      </c>
      <c r="AM22">
        <f>'Kullanılan gübre'!AM22*'Gübre oranlar'!AP$2</f>
        <v>0</v>
      </c>
      <c r="AN22">
        <f>'Kullanılan gübre'!AN22*'Gübre oranlar'!AQ$2</f>
        <v>0</v>
      </c>
      <c r="AO22">
        <f>'Kullanılan gübre'!AO22*'Gübre oranlar'!AR$2</f>
        <v>0</v>
      </c>
      <c r="AP22">
        <f>'Kullanılan gübre'!AP22*'Gübre oranlar'!AS$2</f>
        <v>0</v>
      </c>
      <c r="AQ22">
        <f>'Kullanılan gübre'!AQ22*'Gübre oranlar'!AT$2</f>
        <v>0</v>
      </c>
      <c r="AR22">
        <f>'Kullanılan gübre'!AR22*'Gübre oranlar'!AU$2</f>
        <v>0</v>
      </c>
      <c r="AS22">
        <f>'Kullanılan gübre'!AS22*'Gübre oranlar'!AV$2</f>
        <v>0</v>
      </c>
      <c r="AT22">
        <f>'Kullanılan gübre'!AT22*'Gübre oranlar'!AW$2</f>
        <v>0</v>
      </c>
      <c r="AU22">
        <f>'Kullanılan gübre'!AU22*'Gübre oranlar'!AX$2</f>
        <v>0</v>
      </c>
      <c r="AV22">
        <f>'Kullanılan gübre'!AV22*'Gübre oranlar'!AY$2</f>
        <v>0</v>
      </c>
      <c r="AW22">
        <f t="shared" si="0"/>
        <v>2423.7390000000009</v>
      </c>
    </row>
    <row r="23" spans="1:49" hidden="1" x14ac:dyDescent="0.25">
      <c r="A23" t="str">
        <f>'Kullanılan gübre'!A23</f>
        <v>AK</v>
      </c>
      <c r="B23" t="str">
        <f>'Kullanılan gübre'!B23</f>
        <v>AFYONKARAHISAR</v>
      </c>
      <c r="C23" t="str">
        <f>'Kullanılan gübre'!C23</f>
        <v>BAYAT</v>
      </c>
      <c r="D23">
        <f>'Kullanılan gübre'!D23</f>
        <v>2007</v>
      </c>
      <c r="E23">
        <f>'Kullanılan gübre'!E23*'Gübre oranlar'!H$2</f>
        <v>3.8639999999999994</v>
      </c>
      <c r="F23">
        <f>'Kullanılan gübre'!F23*'Gübre oranlar'!I$2</f>
        <v>10.27</v>
      </c>
      <c r="G23">
        <f>'Kullanılan gübre'!G23*'Gübre oranlar'!J$2</f>
        <v>16.566000000000003</v>
      </c>
      <c r="H23">
        <f>'Kullanılan gübre'!H23*'Gübre oranlar'!K$2</f>
        <v>0</v>
      </c>
      <c r="I23">
        <f>'Kullanılan gübre'!I23*'Gübre oranlar'!L$2</f>
        <v>0</v>
      </c>
      <c r="J23">
        <f>'Kullanılan gübre'!J23*'Gübre oranlar'!M$2</f>
        <v>0.09</v>
      </c>
      <c r="K23">
        <f>'Kullanılan gübre'!K23*'Gübre oranlar'!N$2</f>
        <v>0</v>
      </c>
      <c r="L23">
        <f>'Kullanılan gübre'!L23*'Gübre oranlar'!O$2</f>
        <v>0</v>
      </c>
      <c r="M23">
        <f>'Kullanılan gübre'!M23*'Gübre oranlar'!P$2</f>
        <v>0</v>
      </c>
      <c r="N23">
        <f>'Kullanılan gübre'!N23*'Gübre oranlar'!Q$2</f>
        <v>0</v>
      </c>
      <c r="O23">
        <f>'Kullanılan gübre'!O23*'Gübre oranlar'!R$2</f>
        <v>0</v>
      </c>
      <c r="P23">
        <f>'Kullanılan gübre'!P23*'Gübre oranlar'!S$2</f>
        <v>0</v>
      </c>
      <c r="Q23">
        <f>'Kullanılan gübre'!Q23*'Gübre oranlar'!T$2</f>
        <v>0</v>
      </c>
      <c r="R23">
        <f>'Kullanılan gübre'!R23*'Gübre oranlar'!U$2</f>
        <v>0</v>
      </c>
      <c r="S23">
        <f>'Kullanılan gübre'!S23*'Gübre oranlar'!V$2</f>
        <v>0</v>
      </c>
      <c r="T23">
        <f>'Kullanılan gübre'!T23*'Gübre oranlar'!W$2</f>
        <v>0</v>
      </c>
      <c r="U23">
        <f>'Kullanılan gübre'!U23*'Gübre oranlar'!X$2</f>
        <v>0</v>
      </c>
      <c r="V23">
        <f>'Kullanılan gübre'!V23*'Gübre oranlar'!Y$2</f>
        <v>0</v>
      </c>
      <c r="W23">
        <f>'Kullanılan gübre'!W23*'Gübre oranlar'!Z$2</f>
        <v>0</v>
      </c>
      <c r="X23">
        <f>'Kullanılan gübre'!X23*'Gübre oranlar'!AA$2</f>
        <v>0</v>
      </c>
      <c r="Y23">
        <f>'Kullanılan gübre'!Y23*'Gübre oranlar'!AB$2</f>
        <v>0</v>
      </c>
      <c r="Z23">
        <f>'Kullanılan gübre'!Z23*'Gübre oranlar'!AC$2</f>
        <v>0</v>
      </c>
      <c r="AA23">
        <f>'Kullanılan gübre'!AA23*'Gübre oranlar'!AD$2</f>
        <v>0</v>
      </c>
      <c r="AB23">
        <f>'Kullanılan gübre'!AB23*'Gübre oranlar'!AE$2</f>
        <v>0</v>
      </c>
      <c r="AC23">
        <f>'Kullanılan gübre'!AC23*'Gübre oranlar'!AF$2</f>
        <v>0</v>
      </c>
      <c r="AD23">
        <f>'Kullanılan gübre'!AD23*'Gübre oranlar'!AG$2</f>
        <v>0</v>
      </c>
      <c r="AE23">
        <f>'Kullanılan gübre'!AE23*'Gübre oranlar'!AH$2</f>
        <v>0</v>
      </c>
      <c r="AF23">
        <f>'Kullanılan gübre'!AF23*'Gübre oranlar'!AI$2</f>
        <v>0</v>
      </c>
      <c r="AG23">
        <f>'Kullanılan gübre'!AG23*'Gübre oranlar'!AJ$2</f>
        <v>0</v>
      </c>
      <c r="AH23">
        <f>'Kullanılan gübre'!AH23*'Gübre oranlar'!AK$2</f>
        <v>0</v>
      </c>
      <c r="AI23">
        <f>'Kullanılan gübre'!AI23*'Gübre oranlar'!AL$2</f>
        <v>0</v>
      </c>
      <c r="AJ23">
        <f>'Kullanılan gübre'!AJ23*'Gübre oranlar'!AM$2</f>
        <v>0</v>
      </c>
      <c r="AK23">
        <f>'Kullanılan gübre'!AK23*'Gübre oranlar'!AN$2</f>
        <v>0</v>
      </c>
      <c r="AL23">
        <f>'Kullanılan gübre'!AL23*'Gübre oranlar'!AO$2</f>
        <v>0</v>
      </c>
      <c r="AM23">
        <f>'Kullanılan gübre'!AM23*'Gübre oranlar'!AP$2</f>
        <v>0</v>
      </c>
      <c r="AN23">
        <f>'Kullanılan gübre'!AN23*'Gübre oranlar'!AQ$2</f>
        <v>0</v>
      </c>
      <c r="AO23">
        <f>'Kullanılan gübre'!AO23*'Gübre oranlar'!AR$2</f>
        <v>0</v>
      </c>
      <c r="AP23">
        <f>'Kullanılan gübre'!AP23*'Gübre oranlar'!AS$2</f>
        <v>0</v>
      </c>
      <c r="AQ23">
        <f>'Kullanılan gübre'!AQ23*'Gübre oranlar'!AT$2</f>
        <v>0</v>
      </c>
      <c r="AR23">
        <f>'Kullanılan gübre'!AR23*'Gübre oranlar'!AU$2</f>
        <v>0</v>
      </c>
      <c r="AS23">
        <f>'Kullanılan gübre'!AS23*'Gübre oranlar'!AV$2</f>
        <v>0</v>
      </c>
      <c r="AT23">
        <f>'Kullanılan gübre'!AT23*'Gübre oranlar'!AW$2</f>
        <v>0</v>
      </c>
      <c r="AU23">
        <f>'Kullanılan gübre'!AU23*'Gübre oranlar'!AX$2</f>
        <v>0</v>
      </c>
      <c r="AV23">
        <f>'Kullanılan gübre'!AV23*'Gübre oranlar'!AY$2</f>
        <v>0</v>
      </c>
      <c r="AW23">
        <f t="shared" si="0"/>
        <v>30.790000000000003</v>
      </c>
    </row>
    <row r="24" spans="1:49" hidden="1" x14ac:dyDescent="0.25">
      <c r="A24" t="str">
        <f>'Kullanılan gübre'!A24</f>
        <v>AK</v>
      </c>
      <c r="B24" t="str">
        <f>'Kullanılan gübre'!B24</f>
        <v>AFYONKARAHISAR</v>
      </c>
      <c r="C24" t="str">
        <f>'Kullanılan gübre'!C24</f>
        <v>BOLVADIN</v>
      </c>
      <c r="D24">
        <f>'Kullanılan gübre'!D24</f>
        <v>2007</v>
      </c>
      <c r="E24">
        <f>'Kullanılan gübre'!E24*'Gübre oranlar'!H$2</f>
        <v>26.669999999999998</v>
      </c>
      <c r="F24">
        <f>'Kullanılan gübre'!F24*'Gübre oranlar'!I$2</f>
        <v>123.09699999999998</v>
      </c>
      <c r="G24">
        <f>'Kullanılan gübre'!G24*'Gübre oranlar'!J$2</f>
        <v>327.01350000000002</v>
      </c>
      <c r="H24">
        <f>'Kullanılan gübre'!H24*'Gübre oranlar'!K$2</f>
        <v>412.41300000000001</v>
      </c>
      <c r="I24">
        <f>'Kullanılan gübre'!I24*'Gübre oranlar'!L$2</f>
        <v>0</v>
      </c>
      <c r="J24">
        <f>'Kullanılan gübre'!J24*'Gübre oranlar'!M$2</f>
        <v>128.88</v>
      </c>
      <c r="K24">
        <f>'Kullanılan gübre'!K24*'Gübre oranlar'!N$2</f>
        <v>11.600000000000001</v>
      </c>
      <c r="L24">
        <f>'Kullanılan gübre'!L24*'Gübre oranlar'!O$2</f>
        <v>93.460000000000008</v>
      </c>
      <c r="M24">
        <f>'Kullanılan gübre'!M24*'Gübre oranlar'!P$2</f>
        <v>0</v>
      </c>
      <c r="N24">
        <f>'Kullanılan gübre'!N24*'Gübre oranlar'!Q$2</f>
        <v>1.71</v>
      </c>
      <c r="O24">
        <f>'Kullanılan gübre'!O24*'Gübre oranlar'!R$2</f>
        <v>0</v>
      </c>
      <c r="P24">
        <f>'Kullanılan gübre'!P24*'Gübre oranlar'!S$2</f>
        <v>0</v>
      </c>
      <c r="Q24">
        <f>'Kullanılan gübre'!Q24*'Gübre oranlar'!T$2</f>
        <v>0</v>
      </c>
      <c r="R24">
        <f>'Kullanılan gübre'!R24*'Gübre oranlar'!U$2</f>
        <v>0</v>
      </c>
      <c r="S24">
        <f>'Kullanılan gübre'!S24*'Gübre oranlar'!V$2</f>
        <v>0</v>
      </c>
      <c r="T24">
        <f>'Kullanılan gübre'!T24*'Gübre oranlar'!W$2</f>
        <v>0</v>
      </c>
      <c r="U24">
        <f>'Kullanılan gübre'!U24*'Gübre oranlar'!X$2</f>
        <v>0</v>
      </c>
      <c r="V24">
        <f>'Kullanılan gübre'!V24*'Gübre oranlar'!Y$2</f>
        <v>0</v>
      </c>
      <c r="W24">
        <f>'Kullanılan gübre'!W24*'Gübre oranlar'!Z$2</f>
        <v>0</v>
      </c>
      <c r="X24">
        <f>'Kullanılan gübre'!X24*'Gübre oranlar'!AA$2</f>
        <v>0</v>
      </c>
      <c r="Y24">
        <f>'Kullanılan gübre'!Y24*'Gübre oranlar'!AB$2</f>
        <v>0</v>
      </c>
      <c r="Z24">
        <f>'Kullanılan gübre'!Z24*'Gübre oranlar'!AC$2</f>
        <v>0</v>
      </c>
      <c r="AA24">
        <f>'Kullanılan gübre'!AA24*'Gübre oranlar'!AD$2</f>
        <v>0</v>
      </c>
      <c r="AB24">
        <f>'Kullanılan gübre'!AB24*'Gübre oranlar'!AE$2</f>
        <v>0</v>
      </c>
      <c r="AC24">
        <f>'Kullanılan gübre'!AC24*'Gübre oranlar'!AF$2</f>
        <v>0</v>
      </c>
      <c r="AD24">
        <f>'Kullanılan gübre'!AD24*'Gübre oranlar'!AG$2</f>
        <v>0</v>
      </c>
      <c r="AE24">
        <f>'Kullanılan gübre'!AE24*'Gübre oranlar'!AH$2</f>
        <v>0</v>
      </c>
      <c r="AF24">
        <f>'Kullanılan gübre'!AF24*'Gübre oranlar'!AI$2</f>
        <v>0</v>
      </c>
      <c r="AG24">
        <f>'Kullanılan gübre'!AG24*'Gübre oranlar'!AJ$2</f>
        <v>0</v>
      </c>
      <c r="AH24">
        <f>'Kullanılan gübre'!AH24*'Gübre oranlar'!AK$2</f>
        <v>0</v>
      </c>
      <c r="AI24">
        <f>'Kullanılan gübre'!AI24*'Gübre oranlar'!AL$2</f>
        <v>0</v>
      </c>
      <c r="AJ24">
        <f>'Kullanılan gübre'!AJ24*'Gübre oranlar'!AM$2</f>
        <v>0</v>
      </c>
      <c r="AK24">
        <f>'Kullanılan gübre'!AK24*'Gübre oranlar'!AN$2</f>
        <v>0</v>
      </c>
      <c r="AL24">
        <f>'Kullanılan gübre'!AL24*'Gübre oranlar'!AO$2</f>
        <v>0</v>
      </c>
      <c r="AM24">
        <f>'Kullanılan gübre'!AM24*'Gübre oranlar'!AP$2</f>
        <v>0</v>
      </c>
      <c r="AN24">
        <f>'Kullanılan gübre'!AN24*'Gübre oranlar'!AQ$2</f>
        <v>0</v>
      </c>
      <c r="AO24">
        <f>'Kullanılan gübre'!AO24*'Gübre oranlar'!AR$2</f>
        <v>0</v>
      </c>
      <c r="AP24">
        <f>'Kullanılan gübre'!AP24*'Gübre oranlar'!AS$2</f>
        <v>0</v>
      </c>
      <c r="AQ24">
        <f>'Kullanılan gübre'!AQ24*'Gübre oranlar'!AT$2</f>
        <v>0</v>
      </c>
      <c r="AR24">
        <f>'Kullanılan gübre'!AR24*'Gübre oranlar'!AU$2</f>
        <v>0</v>
      </c>
      <c r="AS24">
        <f>'Kullanılan gübre'!AS24*'Gübre oranlar'!AV$2</f>
        <v>0</v>
      </c>
      <c r="AT24">
        <f>'Kullanılan gübre'!AT24*'Gübre oranlar'!AW$2</f>
        <v>0</v>
      </c>
      <c r="AU24">
        <f>'Kullanılan gübre'!AU24*'Gübre oranlar'!AX$2</f>
        <v>0</v>
      </c>
      <c r="AV24">
        <f>'Kullanılan gübre'!AV24*'Gübre oranlar'!AY$2</f>
        <v>0</v>
      </c>
      <c r="AW24">
        <f t="shared" si="0"/>
        <v>1124.8434999999999</v>
      </c>
    </row>
    <row r="25" spans="1:49" hidden="1" x14ac:dyDescent="0.25">
      <c r="A25" t="str">
        <f>'Kullanılan gübre'!A25</f>
        <v>AK</v>
      </c>
      <c r="B25" t="str">
        <f>'Kullanılan gübre'!B25</f>
        <v>AFYONKARAHISAR</v>
      </c>
      <c r="C25" t="str">
        <f>'Kullanılan gübre'!C25</f>
        <v>CAY</v>
      </c>
      <c r="D25">
        <f>'Kullanılan gübre'!D25</f>
        <v>2007</v>
      </c>
      <c r="E25">
        <f>'Kullanılan gübre'!E25*'Gübre oranlar'!H$2</f>
        <v>94.258499999999998</v>
      </c>
      <c r="F25">
        <f>'Kullanılan gübre'!F25*'Gübre oranlar'!I$2</f>
        <v>93.327000000000012</v>
      </c>
      <c r="G25">
        <f>'Kullanılan gübre'!G25*'Gübre oranlar'!J$2</f>
        <v>332.64000000000004</v>
      </c>
      <c r="H25">
        <f>'Kullanılan gübre'!H25*'Gübre oranlar'!K$2</f>
        <v>188.89900000000006</v>
      </c>
      <c r="I25">
        <f>'Kullanılan gübre'!I25*'Gübre oranlar'!L$2</f>
        <v>0</v>
      </c>
      <c r="J25">
        <f>'Kullanılan gübre'!J25*'Gübre oranlar'!M$2</f>
        <v>68.165999999999997</v>
      </c>
      <c r="K25">
        <f>'Kullanılan gübre'!K25*'Gübre oranlar'!N$2</f>
        <v>52.6</v>
      </c>
      <c r="L25">
        <f>'Kullanılan gübre'!L25*'Gübre oranlar'!O$2</f>
        <v>120.17000000000002</v>
      </c>
      <c r="M25">
        <f>'Kullanılan gübre'!M25*'Gübre oranlar'!P$2</f>
        <v>10.124999999999998</v>
      </c>
      <c r="N25">
        <f>'Kullanılan gübre'!N25*'Gübre oranlar'!Q$2</f>
        <v>39.142500000000005</v>
      </c>
      <c r="O25">
        <f>'Kullanılan gübre'!O25*'Gübre oranlar'!R$2</f>
        <v>0</v>
      </c>
      <c r="P25">
        <f>'Kullanılan gübre'!P25*'Gübre oranlar'!S$2</f>
        <v>0</v>
      </c>
      <c r="Q25">
        <f>'Kullanılan gübre'!Q25*'Gübre oranlar'!T$2</f>
        <v>2.52</v>
      </c>
      <c r="R25">
        <f>'Kullanılan gübre'!R25*'Gübre oranlar'!U$2</f>
        <v>0</v>
      </c>
      <c r="S25">
        <f>'Kullanılan gübre'!S25*'Gübre oranlar'!V$2</f>
        <v>0</v>
      </c>
      <c r="T25">
        <f>'Kullanılan gübre'!T25*'Gübre oranlar'!W$2</f>
        <v>0</v>
      </c>
      <c r="U25">
        <f>'Kullanılan gübre'!U25*'Gübre oranlar'!X$2</f>
        <v>0</v>
      </c>
      <c r="V25">
        <f>'Kullanılan gübre'!V25*'Gübre oranlar'!Y$2</f>
        <v>0</v>
      </c>
      <c r="W25">
        <f>'Kullanılan gübre'!W25*'Gübre oranlar'!Z$2</f>
        <v>0</v>
      </c>
      <c r="X25">
        <f>'Kullanılan gübre'!X25*'Gübre oranlar'!AA$2</f>
        <v>0</v>
      </c>
      <c r="Y25">
        <f>'Kullanılan gübre'!Y25*'Gübre oranlar'!AB$2</f>
        <v>0</v>
      </c>
      <c r="Z25">
        <f>'Kullanılan gübre'!Z25*'Gübre oranlar'!AC$2</f>
        <v>0</v>
      </c>
      <c r="AA25">
        <f>'Kullanılan gübre'!AA25*'Gübre oranlar'!AD$2</f>
        <v>0</v>
      </c>
      <c r="AB25">
        <f>'Kullanılan gübre'!AB25*'Gübre oranlar'!AE$2</f>
        <v>0</v>
      </c>
      <c r="AC25">
        <f>'Kullanılan gübre'!AC25*'Gübre oranlar'!AF$2</f>
        <v>0</v>
      </c>
      <c r="AD25">
        <f>'Kullanılan gübre'!AD25*'Gübre oranlar'!AG$2</f>
        <v>0</v>
      </c>
      <c r="AE25">
        <f>'Kullanılan gübre'!AE25*'Gübre oranlar'!AH$2</f>
        <v>0</v>
      </c>
      <c r="AF25">
        <f>'Kullanılan gübre'!AF25*'Gübre oranlar'!AI$2</f>
        <v>0</v>
      </c>
      <c r="AG25">
        <f>'Kullanılan gübre'!AG25*'Gübre oranlar'!AJ$2</f>
        <v>0</v>
      </c>
      <c r="AH25">
        <f>'Kullanılan gübre'!AH25*'Gübre oranlar'!AK$2</f>
        <v>0</v>
      </c>
      <c r="AI25">
        <f>'Kullanılan gübre'!AI25*'Gübre oranlar'!AL$2</f>
        <v>0</v>
      </c>
      <c r="AJ25">
        <f>'Kullanılan gübre'!AJ25*'Gübre oranlar'!AM$2</f>
        <v>0</v>
      </c>
      <c r="AK25">
        <f>'Kullanılan gübre'!AK25*'Gübre oranlar'!AN$2</f>
        <v>0</v>
      </c>
      <c r="AL25">
        <f>'Kullanılan gübre'!AL25*'Gübre oranlar'!AO$2</f>
        <v>0</v>
      </c>
      <c r="AM25">
        <f>'Kullanılan gübre'!AM25*'Gübre oranlar'!AP$2</f>
        <v>0</v>
      </c>
      <c r="AN25">
        <f>'Kullanılan gübre'!AN25*'Gübre oranlar'!AQ$2</f>
        <v>0</v>
      </c>
      <c r="AO25">
        <f>'Kullanılan gübre'!AO25*'Gübre oranlar'!AR$2</f>
        <v>0</v>
      </c>
      <c r="AP25">
        <f>'Kullanılan gübre'!AP25*'Gübre oranlar'!AS$2</f>
        <v>0</v>
      </c>
      <c r="AQ25">
        <f>'Kullanılan gübre'!AQ25*'Gübre oranlar'!AT$2</f>
        <v>0</v>
      </c>
      <c r="AR25">
        <f>'Kullanılan gübre'!AR25*'Gübre oranlar'!AU$2</f>
        <v>0</v>
      </c>
      <c r="AS25">
        <f>'Kullanılan gübre'!AS25*'Gübre oranlar'!AV$2</f>
        <v>0</v>
      </c>
      <c r="AT25">
        <f>'Kullanılan gübre'!AT25*'Gübre oranlar'!AW$2</f>
        <v>0</v>
      </c>
      <c r="AU25">
        <f>'Kullanılan gübre'!AU25*'Gübre oranlar'!AX$2</f>
        <v>0</v>
      </c>
      <c r="AV25">
        <f>'Kullanılan gübre'!AV25*'Gübre oranlar'!AY$2</f>
        <v>0</v>
      </c>
      <c r="AW25">
        <f t="shared" si="0"/>
        <v>1001.8480000000001</v>
      </c>
    </row>
    <row r="26" spans="1:49" hidden="1" x14ac:dyDescent="0.25">
      <c r="A26" t="str">
        <f>'Kullanılan gübre'!A26</f>
        <v>AK</v>
      </c>
      <c r="B26" t="str">
        <f>'Kullanılan gübre'!B26</f>
        <v>AFYONKARAHISAR</v>
      </c>
      <c r="C26" t="str">
        <f>'Kullanılan gübre'!C26</f>
        <v>COBANLAR</v>
      </c>
      <c r="D26">
        <f>'Kullanılan gübre'!D26</f>
        <v>2007</v>
      </c>
      <c r="E26">
        <f>'Kullanılan gübre'!E26*'Gübre oranlar'!H$2</f>
        <v>8.504999999999999</v>
      </c>
      <c r="F26">
        <f>'Kullanılan gübre'!F26*'Gübre oranlar'!I$2</f>
        <v>17.745000000000001</v>
      </c>
      <c r="G26">
        <f>'Kullanılan gübre'!G26*'Gübre oranlar'!J$2</f>
        <v>42.966000000000001</v>
      </c>
      <c r="H26">
        <f>'Kullanılan gübre'!H26*'Gübre oranlar'!K$2</f>
        <v>58.236000000000004</v>
      </c>
      <c r="I26">
        <f>'Kullanılan gübre'!I26*'Gübre oranlar'!L$2</f>
        <v>0</v>
      </c>
      <c r="J26">
        <f>'Kullanılan gübre'!J26*'Gübre oranlar'!M$2</f>
        <v>84.032999999999987</v>
      </c>
      <c r="K26">
        <f>'Kullanılan gübre'!K26*'Gübre oranlar'!N$2</f>
        <v>25.47</v>
      </c>
      <c r="L26">
        <f>'Kullanılan gübre'!L26*'Gübre oranlar'!O$2</f>
        <v>20.22</v>
      </c>
      <c r="M26">
        <f>'Kullanılan gübre'!M26*'Gübre oranlar'!P$2</f>
        <v>0</v>
      </c>
      <c r="N26">
        <f>'Kullanılan gübre'!N26*'Gübre oranlar'!Q$2</f>
        <v>8.3699999999999992</v>
      </c>
      <c r="O26">
        <f>'Kullanılan gübre'!O26*'Gübre oranlar'!R$2</f>
        <v>0</v>
      </c>
      <c r="P26">
        <f>'Kullanılan gübre'!P26*'Gübre oranlar'!S$2</f>
        <v>0</v>
      </c>
      <c r="Q26">
        <f>'Kullanılan gübre'!Q26*'Gübre oranlar'!T$2</f>
        <v>0</v>
      </c>
      <c r="R26">
        <f>'Kullanılan gübre'!R26*'Gübre oranlar'!U$2</f>
        <v>0</v>
      </c>
      <c r="S26">
        <f>'Kullanılan gübre'!S26*'Gübre oranlar'!V$2</f>
        <v>0</v>
      </c>
      <c r="T26">
        <f>'Kullanılan gübre'!T26*'Gübre oranlar'!W$2</f>
        <v>0</v>
      </c>
      <c r="U26">
        <f>'Kullanılan gübre'!U26*'Gübre oranlar'!X$2</f>
        <v>0</v>
      </c>
      <c r="V26">
        <f>'Kullanılan gübre'!V26*'Gübre oranlar'!Y$2</f>
        <v>0</v>
      </c>
      <c r="W26">
        <f>'Kullanılan gübre'!W26*'Gübre oranlar'!Z$2</f>
        <v>0</v>
      </c>
      <c r="X26">
        <f>'Kullanılan gübre'!X26*'Gübre oranlar'!AA$2</f>
        <v>0</v>
      </c>
      <c r="Y26">
        <f>'Kullanılan gübre'!Y26*'Gübre oranlar'!AB$2</f>
        <v>0</v>
      </c>
      <c r="Z26">
        <f>'Kullanılan gübre'!Z26*'Gübre oranlar'!AC$2</f>
        <v>0</v>
      </c>
      <c r="AA26">
        <f>'Kullanılan gübre'!AA26*'Gübre oranlar'!AD$2</f>
        <v>0</v>
      </c>
      <c r="AB26">
        <f>'Kullanılan gübre'!AB26*'Gübre oranlar'!AE$2</f>
        <v>0</v>
      </c>
      <c r="AC26">
        <f>'Kullanılan gübre'!AC26*'Gübre oranlar'!AF$2</f>
        <v>0</v>
      </c>
      <c r="AD26">
        <f>'Kullanılan gübre'!AD26*'Gübre oranlar'!AG$2</f>
        <v>0</v>
      </c>
      <c r="AE26">
        <f>'Kullanılan gübre'!AE26*'Gübre oranlar'!AH$2</f>
        <v>0</v>
      </c>
      <c r="AF26">
        <f>'Kullanılan gübre'!AF26*'Gübre oranlar'!AI$2</f>
        <v>0</v>
      </c>
      <c r="AG26">
        <f>'Kullanılan gübre'!AG26*'Gübre oranlar'!AJ$2</f>
        <v>0</v>
      </c>
      <c r="AH26">
        <f>'Kullanılan gübre'!AH26*'Gübre oranlar'!AK$2</f>
        <v>0</v>
      </c>
      <c r="AI26">
        <f>'Kullanılan gübre'!AI26*'Gübre oranlar'!AL$2</f>
        <v>0</v>
      </c>
      <c r="AJ26">
        <f>'Kullanılan gübre'!AJ26*'Gübre oranlar'!AM$2</f>
        <v>0</v>
      </c>
      <c r="AK26">
        <f>'Kullanılan gübre'!AK26*'Gübre oranlar'!AN$2</f>
        <v>0</v>
      </c>
      <c r="AL26">
        <f>'Kullanılan gübre'!AL26*'Gübre oranlar'!AO$2</f>
        <v>0</v>
      </c>
      <c r="AM26">
        <f>'Kullanılan gübre'!AM26*'Gübre oranlar'!AP$2</f>
        <v>0</v>
      </c>
      <c r="AN26">
        <f>'Kullanılan gübre'!AN26*'Gübre oranlar'!AQ$2</f>
        <v>0</v>
      </c>
      <c r="AO26">
        <f>'Kullanılan gübre'!AO26*'Gübre oranlar'!AR$2</f>
        <v>0</v>
      </c>
      <c r="AP26">
        <f>'Kullanılan gübre'!AP26*'Gübre oranlar'!AS$2</f>
        <v>0</v>
      </c>
      <c r="AQ26">
        <f>'Kullanılan gübre'!AQ26*'Gübre oranlar'!AT$2</f>
        <v>0</v>
      </c>
      <c r="AR26">
        <f>'Kullanılan gübre'!AR26*'Gübre oranlar'!AU$2</f>
        <v>0</v>
      </c>
      <c r="AS26">
        <f>'Kullanılan gübre'!AS26*'Gübre oranlar'!AV$2</f>
        <v>0</v>
      </c>
      <c r="AT26">
        <f>'Kullanılan gübre'!AT26*'Gübre oranlar'!AW$2</f>
        <v>0</v>
      </c>
      <c r="AU26">
        <f>'Kullanılan gübre'!AU26*'Gübre oranlar'!AX$2</f>
        <v>0</v>
      </c>
      <c r="AV26">
        <f>'Kullanılan gübre'!AV26*'Gübre oranlar'!AY$2</f>
        <v>0</v>
      </c>
      <c r="AW26">
        <f t="shared" si="0"/>
        <v>265.54500000000002</v>
      </c>
    </row>
    <row r="27" spans="1:49" hidden="1" x14ac:dyDescent="0.25">
      <c r="A27" t="str">
        <f>'Kullanılan gübre'!A27</f>
        <v>AK</v>
      </c>
      <c r="B27" t="str">
        <f>'Kullanılan gübre'!B27</f>
        <v>AFYONKARAHISAR</v>
      </c>
      <c r="C27" t="str">
        <f>'Kullanılan gübre'!C27</f>
        <v>IHSANIYE</v>
      </c>
      <c r="D27">
        <f>'Kullanılan gübre'!D27</f>
        <v>2007</v>
      </c>
      <c r="E27">
        <f>'Kullanılan gübre'!E27*'Gübre oranlar'!H$2</f>
        <v>0</v>
      </c>
      <c r="F27">
        <f>'Kullanılan gübre'!F27*'Gübre oranlar'!I$2</f>
        <v>54.769000000000005</v>
      </c>
      <c r="G27">
        <f>'Kullanılan gübre'!G27*'Gübre oranlar'!J$2</f>
        <v>0</v>
      </c>
      <c r="H27">
        <f>'Kullanılan gübre'!H27*'Gübre oranlar'!K$2</f>
        <v>115.59800000000001</v>
      </c>
      <c r="I27">
        <f>'Kullanılan gübre'!I27*'Gübre oranlar'!L$2</f>
        <v>0</v>
      </c>
      <c r="J27">
        <f>'Kullanılan gübre'!J27*'Gübre oranlar'!M$2</f>
        <v>17.433</v>
      </c>
      <c r="K27">
        <f>'Kullanılan gübre'!K27*'Gübre oranlar'!N$2</f>
        <v>77.27000000000001</v>
      </c>
      <c r="L27">
        <f>'Kullanılan gübre'!L27*'Gübre oranlar'!O$2</f>
        <v>0</v>
      </c>
      <c r="M27">
        <f>'Kullanılan gübre'!M27*'Gübre oranlar'!P$2</f>
        <v>0</v>
      </c>
      <c r="N27">
        <f>'Kullanılan gübre'!N27*'Gübre oranlar'!Q$2</f>
        <v>0</v>
      </c>
      <c r="O27">
        <f>'Kullanılan gübre'!O27*'Gübre oranlar'!R$2</f>
        <v>0</v>
      </c>
      <c r="P27">
        <f>'Kullanılan gübre'!P27*'Gübre oranlar'!S$2</f>
        <v>0</v>
      </c>
      <c r="Q27">
        <f>'Kullanılan gübre'!Q27*'Gübre oranlar'!T$2</f>
        <v>0</v>
      </c>
      <c r="R27">
        <f>'Kullanılan gübre'!R27*'Gübre oranlar'!U$2</f>
        <v>0</v>
      </c>
      <c r="S27">
        <f>'Kullanılan gübre'!S27*'Gübre oranlar'!V$2</f>
        <v>0</v>
      </c>
      <c r="T27">
        <f>'Kullanılan gübre'!T27*'Gübre oranlar'!W$2</f>
        <v>0</v>
      </c>
      <c r="U27">
        <f>'Kullanılan gübre'!U27*'Gübre oranlar'!X$2</f>
        <v>0</v>
      </c>
      <c r="V27">
        <f>'Kullanılan gübre'!V27*'Gübre oranlar'!Y$2</f>
        <v>0</v>
      </c>
      <c r="W27">
        <f>'Kullanılan gübre'!W27*'Gübre oranlar'!Z$2</f>
        <v>0</v>
      </c>
      <c r="X27">
        <f>'Kullanılan gübre'!X27*'Gübre oranlar'!AA$2</f>
        <v>0</v>
      </c>
      <c r="Y27">
        <f>'Kullanılan gübre'!Y27*'Gübre oranlar'!AB$2</f>
        <v>0</v>
      </c>
      <c r="Z27">
        <f>'Kullanılan gübre'!Z27*'Gübre oranlar'!AC$2</f>
        <v>0</v>
      </c>
      <c r="AA27">
        <f>'Kullanılan gübre'!AA27*'Gübre oranlar'!AD$2</f>
        <v>0</v>
      </c>
      <c r="AB27">
        <f>'Kullanılan gübre'!AB27*'Gübre oranlar'!AE$2</f>
        <v>0</v>
      </c>
      <c r="AC27">
        <f>'Kullanılan gübre'!AC27*'Gübre oranlar'!AF$2</f>
        <v>0</v>
      </c>
      <c r="AD27">
        <f>'Kullanılan gübre'!AD27*'Gübre oranlar'!AG$2</f>
        <v>0</v>
      </c>
      <c r="AE27">
        <f>'Kullanılan gübre'!AE27*'Gübre oranlar'!AH$2</f>
        <v>0</v>
      </c>
      <c r="AF27">
        <f>'Kullanılan gübre'!AF27*'Gübre oranlar'!AI$2</f>
        <v>0</v>
      </c>
      <c r="AG27">
        <f>'Kullanılan gübre'!AG27*'Gübre oranlar'!AJ$2</f>
        <v>0</v>
      </c>
      <c r="AH27">
        <f>'Kullanılan gübre'!AH27*'Gübre oranlar'!AK$2</f>
        <v>0</v>
      </c>
      <c r="AI27">
        <f>'Kullanılan gübre'!AI27*'Gübre oranlar'!AL$2</f>
        <v>0</v>
      </c>
      <c r="AJ27">
        <f>'Kullanılan gübre'!AJ27*'Gübre oranlar'!AM$2</f>
        <v>0</v>
      </c>
      <c r="AK27">
        <f>'Kullanılan gübre'!AK27*'Gübre oranlar'!AN$2</f>
        <v>0</v>
      </c>
      <c r="AL27">
        <f>'Kullanılan gübre'!AL27*'Gübre oranlar'!AO$2</f>
        <v>0</v>
      </c>
      <c r="AM27">
        <f>'Kullanılan gübre'!AM27*'Gübre oranlar'!AP$2</f>
        <v>0</v>
      </c>
      <c r="AN27">
        <f>'Kullanılan gübre'!AN27*'Gübre oranlar'!AQ$2</f>
        <v>0</v>
      </c>
      <c r="AO27">
        <f>'Kullanılan gübre'!AO27*'Gübre oranlar'!AR$2</f>
        <v>0</v>
      </c>
      <c r="AP27">
        <f>'Kullanılan gübre'!AP27*'Gübre oranlar'!AS$2</f>
        <v>0</v>
      </c>
      <c r="AQ27">
        <f>'Kullanılan gübre'!AQ27*'Gübre oranlar'!AT$2</f>
        <v>0</v>
      </c>
      <c r="AR27">
        <f>'Kullanılan gübre'!AR27*'Gübre oranlar'!AU$2</f>
        <v>0</v>
      </c>
      <c r="AS27">
        <f>'Kullanılan gübre'!AS27*'Gübre oranlar'!AV$2</f>
        <v>0</v>
      </c>
      <c r="AT27">
        <f>'Kullanılan gübre'!AT27*'Gübre oranlar'!AW$2</f>
        <v>0</v>
      </c>
      <c r="AU27">
        <f>'Kullanılan gübre'!AU27*'Gübre oranlar'!AX$2</f>
        <v>0</v>
      </c>
      <c r="AV27">
        <f>'Kullanılan gübre'!AV27*'Gübre oranlar'!AY$2</f>
        <v>0</v>
      </c>
      <c r="AW27">
        <f t="shared" si="0"/>
        <v>265.07000000000005</v>
      </c>
    </row>
    <row r="28" spans="1:49" hidden="1" x14ac:dyDescent="0.25">
      <c r="A28" t="str">
        <f>'Kullanılan gübre'!A28</f>
        <v>AK</v>
      </c>
      <c r="B28" t="str">
        <f>'Kullanılan gübre'!B28</f>
        <v>AFYONKARAHISAR</v>
      </c>
      <c r="C28" t="str">
        <f>'Kullanılan gübre'!C28</f>
        <v>ISCEHISAR</v>
      </c>
      <c r="D28">
        <f>'Kullanılan gübre'!D28</f>
        <v>2007</v>
      </c>
      <c r="E28">
        <f>'Kullanılan gübre'!E28*'Gübre oranlar'!H$2</f>
        <v>3.3704999999999998</v>
      </c>
      <c r="F28">
        <f>'Kullanılan gübre'!F28*'Gübre oranlar'!I$2</f>
        <v>48.073999999999998</v>
      </c>
      <c r="G28">
        <f>'Kullanılan gübre'!G28*'Gübre oranlar'!J$2</f>
        <v>0</v>
      </c>
      <c r="H28">
        <f>'Kullanılan gübre'!H28*'Gübre oranlar'!K$2</f>
        <v>0</v>
      </c>
      <c r="I28">
        <f>'Kullanılan gübre'!I28*'Gübre oranlar'!L$2</f>
        <v>0</v>
      </c>
      <c r="J28">
        <f>'Kullanılan gübre'!J28*'Gübre oranlar'!M$2</f>
        <v>48.815999999999995</v>
      </c>
      <c r="K28">
        <f>'Kullanılan gübre'!K28*'Gübre oranlar'!N$2</f>
        <v>2.4499999999999997</v>
      </c>
      <c r="L28">
        <f>'Kullanılan gübre'!L28*'Gübre oranlar'!O$2</f>
        <v>9.23</v>
      </c>
      <c r="M28">
        <f>'Kullanılan gübre'!M28*'Gübre oranlar'!P$2</f>
        <v>0</v>
      </c>
      <c r="N28">
        <f>'Kullanılan gübre'!N28*'Gübre oranlar'!Q$2</f>
        <v>0</v>
      </c>
      <c r="O28">
        <f>'Kullanılan gübre'!O28*'Gübre oranlar'!R$2</f>
        <v>0</v>
      </c>
      <c r="P28">
        <f>'Kullanılan gübre'!P28*'Gübre oranlar'!S$2</f>
        <v>0</v>
      </c>
      <c r="Q28">
        <f>'Kullanılan gübre'!Q28*'Gübre oranlar'!T$2</f>
        <v>0</v>
      </c>
      <c r="R28">
        <f>'Kullanılan gübre'!R28*'Gübre oranlar'!U$2</f>
        <v>0</v>
      </c>
      <c r="S28">
        <f>'Kullanılan gübre'!S28*'Gübre oranlar'!V$2</f>
        <v>0</v>
      </c>
      <c r="T28">
        <f>'Kullanılan gübre'!T28*'Gübre oranlar'!W$2</f>
        <v>0</v>
      </c>
      <c r="U28">
        <f>'Kullanılan gübre'!U28*'Gübre oranlar'!X$2</f>
        <v>0</v>
      </c>
      <c r="V28">
        <f>'Kullanılan gübre'!V28*'Gübre oranlar'!Y$2</f>
        <v>0</v>
      </c>
      <c r="W28">
        <f>'Kullanılan gübre'!W28*'Gübre oranlar'!Z$2</f>
        <v>0</v>
      </c>
      <c r="X28">
        <f>'Kullanılan gübre'!X28*'Gübre oranlar'!AA$2</f>
        <v>0</v>
      </c>
      <c r="Y28">
        <f>'Kullanılan gübre'!Y28*'Gübre oranlar'!AB$2</f>
        <v>0</v>
      </c>
      <c r="Z28">
        <f>'Kullanılan gübre'!Z28*'Gübre oranlar'!AC$2</f>
        <v>0</v>
      </c>
      <c r="AA28">
        <f>'Kullanılan gübre'!AA28*'Gübre oranlar'!AD$2</f>
        <v>0</v>
      </c>
      <c r="AB28">
        <f>'Kullanılan gübre'!AB28*'Gübre oranlar'!AE$2</f>
        <v>0</v>
      </c>
      <c r="AC28">
        <f>'Kullanılan gübre'!AC28*'Gübre oranlar'!AF$2</f>
        <v>0</v>
      </c>
      <c r="AD28">
        <f>'Kullanılan gübre'!AD28*'Gübre oranlar'!AG$2</f>
        <v>0</v>
      </c>
      <c r="AE28">
        <f>'Kullanılan gübre'!AE28*'Gübre oranlar'!AH$2</f>
        <v>0</v>
      </c>
      <c r="AF28">
        <f>'Kullanılan gübre'!AF28*'Gübre oranlar'!AI$2</f>
        <v>0</v>
      </c>
      <c r="AG28">
        <f>'Kullanılan gübre'!AG28*'Gübre oranlar'!AJ$2</f>
        <v>0</v>
      </c>
      <c r="AH28">
        <f>'Kullanılan gübre'!AH28*'Gübre oranlar'!AK$2</f>
        <v>0</v>
      </c>
      <c r="AI28">
        <f>'Kullanılan gübre'!AI28*'Gübre oranlar'!AL$2</f>
        <v>0</v>
      </c>
      <c r="AJ28">
        <f>'Kullanılan gübre'!AJ28*'Gübre oranlar'!AM$2</f>
        <v>0</v>
      </c>
      <c r="AK28">
        <f>'Kullanılan gübre'!AK28*'Gübre oranlar'!AN$2</f>
        <v>0</v>
      </c>
      <c r="AL28">
        <f>'Kullanılan gübre'!AL28*'Gübre oranlar'!AO$2</f>
        <v>0</v>
      </c>
      <c r="AM28">
        <f>'Kullanılan gübre'!AM28*'Gübre oranlar'!AP$2</f>
        <v>0</v>
      </c>
      <c r="AN28">
        <f>'Kullanılan gübre'!AN28*'Gübre oranlar'!AQ$2</f>
        <v>0</v>
      </c>
      <c r="AO28">
        <f>'Kullanılan gübre'!AO28*'Gübre oranlar'!AR$2</f>
        <v>0</v>
      </c>
      <c r="AP28">
        <f>'Kullanılan gübre'!AP28*'Gübre oranlar'!AS$2</f>
        <v>0</v>
      </c>
      <c r="AQ28">
        <f>'Kullanılan gübre'!AQ28*'Gübre oranlar'!AT$2</f>
        <v>0</v>
      </c>
      <c r="AR28">
        <f>'Kullanılan gübre'!AR28*'Gübre oranlar'!AU$2</f>
        <v>0</v>
      </c>
      <c r="AS28">
        <f>'Kullanılan gübre'!AS28*'Gübre oranlar'!AV$2</f>
        <v>0</v>
      </c>
      <c r="AT28">
        <f>'Kullanılan gübre'!AT28*'Gübre oranlar'!AW$2</f>
        <v>0</v>
      </c>
      <c r="AU28">
        <f>'Kullanılan gübre'!AU28*'Gübre oranlar'!AX$2</f>
        <v>0</v>
      </c>
      <c r="AV28">
        <f>'Kullanılan gübre'!AV28*'Gübre oranlar'!AY$2</f>
        <v>0</v>
      </c>
      <c r="AW28">
        <f t="shared" si="0"/>
        <v>111.9405</v>
      </c>
    </row>
    <row r="29" spans="1:49" hidden="1" x14ac:dyDescent="0.25">
      <c r="A29" t="str">
        <f>'Kullanılan gübre'!A29</f>
        <v>AK</v>
      </c>
      <c r="B29" t="str">
        <f>'Kullanılan gübre'!B29</f>
        <v>AFYONKARAHISAR</v>
      </c>
      <c r="C29" t="str">
        <f>'Kullanılan gübre'!C29</f>
        <v>SINANPASA</v>
      </c>
      <c r="D29">
        <f>'Kullanılan gübre'!D29</f>
        <v>2007</v>
      </c>
      <c r="E29">
        <f>'Kullanılan gübre'!E29*'Gübre oranlar'!H$2</f>
        <v>0</v>
      </c>
      <c r="F29">
        <f>'Kullanılan gübre'!F29*'Gübre oranlar'!I$2</f>
        <v>321.62</v>
      </c>
      <c r="G29">
        <f>'Kullanılan gübre'!G29*'Gübre oranlar'!J$2</f>
        <v>297.9735</v>
      </c>
      <c r="H29">
        <f>'Kullanılan gübre'!H29*'Gübre oranlar'!K$2</f>
        <v>106.97299999999998</v>
      </c>
      <c r="I29">
        <f>'Kullanılan gübre'!I29*'Gübre oranlar'!L$2</f>
        <v>0</v>
      </c>
      <c r="J29">
        <f>'Kullanılan gübre'!J29*'Gübre oranlar'!M$2</f>
        <v>122.70599999999999</v>
      </c>
      <c r="K29">
        <f>'Kullanılan gübre'!K29*'Gübre oranlar'!N$2</f>
        <v>105.18000000000002</v>
      </c>
      <c r="L29">
        <f>'Kullanılan gübre'!L29*'Gübre oranlar'!O$2</f>
        <v>148.84</v>
      </c>
      <c r="M29">
        <f>'Kullanılan gübre'!M29*'Gübre oranlar'!P$2</f>
        <v>2.9249999999999998</v>
      </c>
      <c r="N29">
        <f>'Kullanılan gübre'!N29*'Gübre oranlar'!Q$2</f>
        <v>1.8075000000000001</v>
      </c>
      <c r="O29">
        <f>'Kullanılan gübre'!O29*'Gübre oranlar'!R$2</f>
        <v>0</v>
      </c>
      <c r="P29">
        <f>'Kullanılan gübre'!P29*'Gübre oranlar'!S$2</f>
        <v>0</v>
      </c>
      <c r="Q29">
        <f>'Kullanılan gübre'!Q29*'Gübre oranlar'!T$2</f>
        <v>0</v>
      </c>
      <c r="R29">
        <f>'Kullanılan gübre'!R29*'Gübre oranlar'!U$2</f>
        <v>0</v>
      </c>
      <c r="S29">
        <f>'Kullanılan gübre'!S29*'Gübre oranlar'!V$2</f>
        <v>0</v>
      </c>
      <c r="T29">
        <f>'Kullanılan gübre'!T29*'Gübre oranlar'!W$2</f>
        <v>0</v>
      </c>
      <c r="U29">
        <f>'Kullanılan gübre'!U29*'Gübre oranlar'!X$2</f>
        <v>0</v>
      </c>
      <c r="V29">
        <f>'Kullanılan gübre'!V29*'Gübre oranlar'!Y$2</f>
        <v>0</v>
      </c>
      <c r="W29">
        <f>'Kullanılan gübre'!W29*'Gübre oranlar'!Z$2</f>
        <v>0</v>
      </c>
      <c r="X29">
        <f>'Kullanılan gübre'!X29*'Gübre oranlar'!AA$2</f>
        <v>0</v>
      </c>
      <c r="Y29">
        <f>'Kullanılan gübre'!Y29*'Gübre oranlar'!AB$2</f>
        <v>0</v>
      </c>
      <c r="Z29">
        <f>'Kullanılan gübre'!Z29*'Gübre oranlar'!AC$2</f>
        <v>0</v>
      </c>
      <c r="AA29">
        <f>'Kullanılan gübre'!AA29*'Gübre oranlar'!AD$2</f>
        <v>0</v>
      </c>
      <c r="AB29">
        <f>'Kullanılan gübre'!AB29*'Gübre oranlar'!AE$2</f>
        <v>0</v>
      </c>
      <c r="AC29">
        <f>'Kullanılan gübre'!AC29*'Gübre oranlar'!AF$2</f>
        <v>0</v>
      </c>
      <c r="AD29">
        <f>'Kullanılan gübre'!AD29*'Gübre oranlar'!AG$2</f>
        <v>0</v>
      </c>
      <c r="AE29">
        <f>'Kullanılan gübre'!AE29*'Gübre oranlar'!AH$2</f>
        <v>0</v>
      </c>
      <c r="AF29">
        <f>'Kullanılan gübre'!AF29*'Gübre oranlar'!AI$2</f>
        <v>0</v>
      </c>
      <c r="AG29">
        <f>'Kullanılan gübre'!AG29*'Gübre oranlar'!AJ$2</f>
        <v>0</v>
      </c>
      <c r="AH29">
        <f>'Kullanılan gübre'!AH29*'Gübre oranlar'!AK$2</f>
        <v>0</v>
      </c>
      <c r="AI29">
        <f>'Kullanılan gübre'!AI29*'Gübre oranlar'!AL$2</f>
        <v>0</v>
      </c>
      <c r="AJ29">
        <f>'Kullanılan gübre'!AJ29*'Gübre oranlar'!AM$2</f>
        <v>0</v>
      </c>
      <c r="AK29">
        <f>'Kullanılan gübre'!AK29*'Gübre oranlar'!AN$2</f>
        <v>0</v>
      </c>
      <c r="AL29">
        <f>'Kullanılan gübre'!AL29*'Gübre oranlar'!AO$2</f>
        <v>0</v>
      </c>
      <c r="AM29">
        <f>'Kullanılan gübre'!AM29*'Gübre oranlar'!AP$2</f>
        <v>0</v>
      </c>
      <c r="AN29">
        <f>'Kullanılan gübre'!AN29*'Gübre oranlar'!AQ$2</f>
        <v>0</v>
      </c>
      <c r="AO29">
        <f>'Kullanılan gübre'!AO29*'Gübre oranlar'!AR$2</f>
        <v>0</v>
      </c>
      <c r="AP29">
        <f>'Kullanılan gübre'!AP29*'Gübre oranlar'!AS$2</f>
        <v>0</v>
      </c>
      <c r="AQ29">
        <f>'Kullanılan gübre'!AQ29*'Gübre oranlar'!AT$2</f>
        <v>0</v>
      </c>
      <c r="AR29">
        <f>'Kullanılan gübre'!AR29*'Gübre oranlar'!AU$2</f>
        <v>0</v>
      </c>
      <c r="AS29">
        <f>'Kullanılan gübre'!AS29*'Gübre oranlar'!AV$2</f>
        <v>0</v>
      </c>
      <c r="AT29">
        <f>'Kullanılan gübre'!AT29*'Gübre oranlar'!AW$2</f>
        <v>0</v>
      </c>
      <c r="AU29">
        <f>'Kullanılan gübre'!AU29*'Gübre oranlar'!AX$2</f>
        <v>0</v>
      </c>
      <c r="AV29">
        <f>'Kullanılan gübre'!AV29*'Gübre oranlar'!AY$2</f>
        <v>0</v>
      </c>
      <c r="AW29">
        <f t="shared" si="0"/>
        <v>1108.0249999999999</v>
      </c>
    </row>
    <row r="30" spans="1:49" hidden="1" x14ac:dyDescent="0.25">
      <c r="A30" t="str">
        <f>'Kullanılan gübre'!A30</f>
        <v>AK</v>
      </c>
      <c r="B30" t="str">
        <f>'Kullanılan gübre'!B30</f>
        <v>AFYONKARAHISAR</v>
      </c>
      <c r="C30" t="str">
        <f>'Kullanılan gübre'!C30</f>
        <v>SULTANDAGI</v>
      </c>
      <c r="D30">
        <f>'Kullanılan gübre'!D30</f>
        <v>2007</v>
      </c>
      <c r="E30">
        <f>'Kullanılan gübre'!E30*'Gübre oranlar'!H$2</f>
        <v>108.12899999999999</v>
      </c>
      <c r="F30">
        <f>'Kullanılan gübre'!F30*'Gübre oranlar'!I$2</f>
        <v>39.325000000000003</v>
      </c>
      <c r="G30">
        <f>'Kullanılan gübre'!G30*'Gübre oranlar'!J$2</f>
        <v>89.809500000000014</v>
      </c>
      <c r="H30">
        <f>'Kullanılan gübre'!H30*'Gübre oranlar'!K$2</f>
        <v>31.648</v>
      </c>
      <c r="I30">
        <f>'Kullanılan gübre'!I30*'Gübre oranlar'!L$2</f>
        <v>0</v>
      </c>
      <c r="J30">
        <f>'Kullanılan gübre'!J30*'Gübre oranlar'!M$2</f>
        <v>34.866</v>
      </c>
      <c r="K30">
        <f>'Kullanılan gübre'!K30*'Gübre oranlar'!N$2</f>
        <v>1.1500000000000001</v>
      </c>
      <c r="L30">
        <f>'Kullanılan gübre'!L30*'Gübre oranlar'!O$2</f>
        <v>32.4</v>
      </c>
      <c r="M30">
        <f>'Kullanılan gübre'!M30*'Gübre oranlar'!P$2</f>
        <v>1.2</v>
      </c>
      <c r="N30">
        <f>'Kullanılan gübre'!N30*'Gübre oranlar'!Q$2</f>
        <v>32.174999999999997</v>
      </c>
      <c r="O30">
        <f>'Kullanılan gübre'!O30*'Gübre oranlar'!R$2</f>
        <v>0</v>
      </c>
      <c r="P30">
        <f>'Kullanılan gübre'!P30*'Gübre oranlar'!S$2</f>
        <v>0</v>
      </c>
      <c r="Q30">
        <f>'Kullanılan gübre'!Q30*'Gübre oranlar'!T$2</f>
        <v>0</v>
      </c>
      <c r="R30">
        <f>'Kullanılan gübre'!R30*'Gübre oranlar'!U$2</f>
        <v>0</v>
      </c>
      <c r="S30">
        <f>'Kullanılan gübre'!S30*'Gübre oranlar'!V$2</f>
        <v>0</v>
      </c>
      <c r="T30">
        <f>'Kullanılan gübre'!T30*'Gübre oranlar'!W$2</f>
        <v>0</v>
      </c>
      <c r="U30">
        <f>'Kullanılan gübre'!U30*'Gübre oranlar'!X$2</f>
        <v>0</v>
      </c>
      <c r="V30">
        <f>'Kullanılan gübre'!V30*'Gübre oranlar'!Y$2</f>
        <v>0</v>
      </c>
      <c r="W30">
        <f>'Kullanılan gübre'!W30*'Gübre oranlar'!Z$2</f>
        <v>0</v>
      </c>
      <c r="X30">
        <f>'Kullanılan gübre'!X30*'Gübre oranlar'!AA$2</f>
        <v>0</v>
      </c>
      <c r="Y30">
        <f>'Kullanılan gübre'!Y30*'Gübre oranlar'!AB$2</f>
        <v>0</v>
      </c>
      <c r="Z30">
        <f>'Kullanılan gübre'!Z30*'Gübre oranlar'!AC$2</f>
        <v>0</v>
      </c>
      <c r="AA30">
        <f>'Kullanılan gübre'!AA30*'Gübre oranlar'!AD$2</f>
        <v>0</v>
      </c>
      <c r="AB30">
        <f>'Kullanılan gübre'!AB30*'Gübre oranlar'!AE$2</f>
        <v>0</v>
      </c>
      <c r="AC30">
        <f>'Kullanılan gübre'!AC30*'Gübre oranlar'!AF$2</f>
        <v>0</v>
      </c>
      <c r="AD30">
        <f>'Kullanılan gübre'!AD30*'Gübre oranlar'!AG$2</f>
        <v>0</v>
      </c>
      <c r="AE30">
        <f>'Kullanılan gübre'!AE30*'Gübre oranlar'!AH$2</f>
        <v>0</v>
      </c>
      <c r="AF30">
        <f>'Kullanılan gübre'!AF30*'Gübre oranlar'!AI$2</f>
        <v>0</v>
      </c>
      <c r="AG30">
        <f>'Kullanılan gübre'!AG30*'Gübre oranlar'!AJ$2</f>
        <v>0</v>
      </c>
      <c r="AH30">
        <f>'Kullanılan gübre'!AH30*'Gübre oranlar'!AK$2</f>
        <v>0</v>
      </c>
      <c r="AI30">
        <f>'Kullanılan gübre'!AI30*'Gübre oranlar'!AL$2</f>
        <v>0</v>
      </c>
      <c r="AJ30">
        <f>'Kullanılan gübre'!AJ30*'Gübre oranlar'!AM$2</f>
        <v>0</v>
      </c>
      <c r="AK30">
        <f>'Kullanılan gübre'!AK30*'Gübre oranlar'!AN$2</f>
        <v>0</v>
      </c>
      <c r="AL30">
        <f>'Kullanılan gübre'!AL30*'Gübre oranlar'!AO$2</f>
        <v>0</v>
      </c>
      <c r="AM30">
        <f>'Kullanılan gübre'!AM30*'Gübre oranlar'!AP$2</f>
        <v>0</v>
      </c>
      <c r="AN30">
        <f>'Kullanılan gübre'!AN30*'Gübre oranlar'!AQ$2</f>
        <v>0</v>
      </c>
      <c r="AO30">
        <f>'Kullanılan gübre'!AO30*'Gübre oranlar'!AR$2</f>
        <v>0</v>
      </c>
      <c r="AP30">
        <f>'Kullanılan gübre'!AP30*'Gübre oranlar'!AS$2</f>
        <v>0</v>
      </c>
      <c r="AQ30">
        <f>'Kullanılan gübre'!AQ30*'Gübre oranlar'!AT$2</f>
        <v>0</v>
      </c>
      <c r="AR30">
        <f>'Kullanılan gübre'!AR30*'Gübre oranlar'!AU$2</f>
        <v>0</v>
      </c>
      <c r="AS30">
        <f>'Kullanılan gübre'!AS30*'Gübre oranlar'!AV$2</f>
        <v>0</v>
      </c>
      <c r="AT30">
        <f>'Kullanılan gübre'!AT30*'Gübre oranlar'!AW$2</f>
        <v>0</v>
      </c>
      <c r="AU30">
        <f>'Kullanılan gübre'!AU30*'Gübre oranlar'!AX$2</f>
        <v>0</v>
      </c>
      <c r="AV30">
        <f>'Kullanılan gübre'!AV30*'Gübre oranlar'!AY$2</f>
        <v>0</v>
      </c>
      <c r="AW30">
        <f t="shared" si="0"/>
        <v>370.70249999999999</v>
      </c>
    </row>
    <row r="31" spans="1:49" hidden="1" x14ac:dyDescent="0.25">
      <c r="A31" t="str">
        <f>'Kullanılan gübre'!A31</f>
        <v>AK</v>
      </c>
      <c r="B31" t="str">
        <f>'Kullanılan gübre'!B31</f>
        <v>AFYONKARAHISAR</v>
      </c>
      <c r="C31" t="str">
        <f>'Kullanılan gübre'!C31</f>
        <v>SUHUT</v>
      </c>
      <c r="D31">
        <f>'Kullanılan gübre'!D31</f>
        <v>2007</v>
      </c>
      <c r="E31">
        <f>'Kullanılan gübre'!E31*'Gübre oranlar'!H$2</f>
        <v>359.00549999999998</v>
      </c>
      <c r="F31">
        <f>'Kullanılan gübre'!F31*'Gübre oranlar'!I$2</f>
        <v>113.41200000000001</v>
      </c>
      <c r="G31">
        <f>'Kullanılan gübre'!G31*'Gübre oranlar'!J$2</f>
        <v>568.82099999999991</v>
      </c>
      <c r="H31">
        <f>'Kullanılan gübre'!H31*'Gübre oranlar'!K$2</f>
        <v>556.66899999999998</v>
      </c>
      <c r="I31">
        <f>'Kullanılan gübre'!I31*'Gübre oranlar'!L$2</f>
        <v>0</v>
      </c>
      <c r="J31">
        <f>'Kullanılan gübre'!J31*'Gübre oranlar'!M$2</f>
        <v>230.86800000000002</v>
      </c>
      <c r="K31">
        <f>'Kullanılan gübre'!K31*'Gübre oranlar'!N$2</f>
        <v>50.8</v>
      </c>
      <c r="L31">
        <f>'Kullanılan gübre'!L31*'Gübre oranlar'!O$2</f>
        <v>86.580000000000013</v>
      </c>
      <c r="M31">
        <f>'Kullanılan gübre'!M31*'Gübre oranlar'!P$2</f>
        <v>51.9375</v>
      </c>
      <c r="N31">
        <f>'Kullanılan gübre'!N31*'Gübre oranlar'!Q$2</f>
        <v>150.69</v>
      </c>
      <c r="O31">
        <f>'Kullanılan gübre'!O31*'Gübre oranlar'!R$2</f>
        <v>0</v>
      </c>
      <c r="P31">
        <f>'Kullanılan gübre'!P31*'Gübre oranlar'!S$2</f>
        <v>15.832699999999999</v>
      </c>
      <c r="Q31">
        <f>'Kullanılan gübre'!Q31*'Gübre oranlar'!T$2</f>
        <v>78.954000000000008</v>
      </c>
      <c r="R31">
        <f>'Kullanılan gübre'!R31*'Gübre oranlar'!U$2</f>
        <v>0</v>
      </c>
      <c r="S31">
        <f>'Kullanılan gübre'!S31*'Gübre oranlar'!V$2</f>
        <v>0</v>
      </c>
      <c r="T31">
        <f>'Kullanılan gübre'!T31*'Gübre oranlar'!W$2</f>
        <v>0</v>
      </c>
      <c r="U31">
        <f>'Kullanılan gübre'!U31*'Gübre oranlar'!X$2</f>
        <v>0</v>
      </c>
      <c r="V31">
        <f>'Kullanılan gübre'!V31*'Gübre oranlar'!Y$2</f>
        <v>0</v>
      </c>
      <c r="W31">
        <f>'Kullanılan gübre'!W31*'Gübre oranlar'!Z$2</f>
        <v>0</v>
      </c>
      <c r="X31">
        <f>'Kullanılan gübre'!X31*'Gübre oranlar'!AA$2</f>
        <v>0</v>
      </c>
      <c r="Y31">
        <f>'Kullanılan gübre'!Y31*'Gübre oranlar'!AB$2</f>
        <v>0</v>
      </c>
      <c r="Z31">
        <f>'Kullanılan gübre'!Z31*'Gübre oranlar'!AC$2</f>
        <v>0</v>
      </c>
      <c r="AA31">
        <f>'Kullanılan gübre'!AA31*'Gübre oranlar'!AD$2</f>
        <v>0</v>
      </c>
      <c r="AB31">
        <f>'Kullanılan gübre'!AB31*'Gübre oranlar'!AE$2</f>
        <v>0</v>
      </c>
      <c r="AC31">
        <f>'Kullanılan gübre'!AC31*'Gübre oranlar'!AF$2</f>
        <v>0</v>
      </c>
      <c r="AD31">
        <f>'Kullanılan gübre'!AD31*'Gübre oranlar'!AG$2</f>
        <v>0</v>
      </c>
      <c r="AE31">
        <f>'Kullanılan gübre'!AE31*'Gübre oranlar'!AH$2</f>
        <v>0</v>
      </c>
      <c r="AF31">
        <f>'Kullanılan gübre'!AF31*'Gübre oranlar'!AI$2</f>
        <v>0</v>
      </c>
      <c r="AG31">
        <f>'Kullanılan gübre'!AG31*'Gübre oranlar'!AJ$2</f>
        <v>0</v>
      </c>
      <c r="AH31">
        <f>'Kullanılan gübre'!AH31*'Gübre oranlar'!AK$2</f>
        <v>0</v>
      </c>
      <c r="AI31">
        <f>'Kullanılan gübre'!AI31*'Gübre oranlar'!AL$2</f>
        <v>0</v>
      </c>
      <c r="AJ31">
        <f>'Kullanılan gübre'!AJ31*'Gübre oranlar'!AM$2</f>
        <v>0</v>
      </c>
      <c r="AK31">
        <f>'Kullanılan gübre'!AK31*'Gübre oranlar'!AN$2</f>
        <v>0</v>
      </c>
      <c r="AL31">
        <f>'Kullanılan gübre'!AL31*'Gübre oranlar'!AO$2</f>
        <v>0</v>
      </c>
      <c r="AM31">
        <f>'Kullanılan gübre'!AM31*'Gübre oranlar'!AP$2</f>
        <v>0</v>
      </c>
      <c r="AN31">
        <f>'Kullanılan gübre'!AN31*'Gübre oranlar'!AQ$2</f>
        <v>0</v>
      </c>
      <c r="AO31">
        <f>'Kullanılan gübre'!AO31*'Gübre oranlar'!AR$2</f>
        <v>0</v>
      </c>
      <c r="AP31">
        <f>'Kullanılan gübre'!AP31*'Gübre oranlar'!AS$2</f>
        <v>0</v>
      </c>
      <c r="AQ31">
        <f>'Kullanılan gübre'!AQ31*'Gübre oranlar'!AT$2</f>
        <v>0</v>
      </c>
      <c r="AR31">
        <f>'Kullanılan gübre'!AR31*'Gübre oranlar'!AU$2</f>
        <v>0</v>
      </c>
      <c r="AS31">
        <f>'Kullanılan gübre'!AS31*'Gübre oranlar'!AV$2</f>
        <v>0</v>
      </c>
      <c r="AT31">
        <f>'Kullanılan gübre'!AT31*'Gübre oranlar'!AW$2</f>
        <v>0</v>
      </c>
      <c r="AU31">
        <f>'Kullanılan gübre'!AU31*'Gübre oranlar'!AX$2</f>
        <v>0</v>
      </c>
      <c r="AV31">
        <f>'Kullanılan gübre'!AV31*'Gübre oranlar'!AY$2</f>
        <v>0</v>
      </c>
      <c r="AW31">
        <f t="shared" si="0"/>
        <v>2263.5696999999996</v>
      </c>
    </row>
    <row r="32" spans="1:49" hidden="1" x14ac:dyDescent="0.25">
      <c r="A32" t="str">
        <f>'Kullanılan gübre'!A32</f>
        <v>AK</v>
      </c>
      <c r="B32" t="str">
        <f>'Kullanılan gübre'!B32</f>
        <v>AFYONKARAHISAR</v>
      </c>
      <c r="C32" t="str">
        <f>'Kullanılan gübre'!C32</f>
        <v>MERKEZ</v>
      </c>
      <c r="D32">
        <f>'Kullanılan gübre'!D32</f>
        <v>2009</v>
      </c>
      <c r="E32">
        <f>'Kullanılan gübre'!E32*'Gübre oranlar'!H$2</f>
        <v>32.192999999999998</v>
      </c>
      <c r="F32">
        <f>'Kullanılan gübre'!F32*'Gübre oranlar'!I$2</f>
        <v>270.02300000000002</v>
      </c>
      <c r="G32">
        <f>'Kullanılan gübre'!G32*'Gübre oranlar'!J$2</f>
        <v>475.86</v>
      </c>
      <c r="H32">
        <f>'Kullanılan gübre'!H32*'Gübre oranlar'!K$2</f>
        <v>398.59000000000003</v>
      </c>
      <c r="I32">
        <f>'Kullanılan gübre'!I32*'Gübre oranlar'!L$2</f>
        <v>0</v>
      </c>
      <c r="J32">
        <f>'Kullanılan gübre'!J32*'Gübre oranlar'!M$2</f>
        <v>263.33999999999997</v>
      </c>
      <c r="K32">
        <f>'Kullanılan gübre'!K32*'Gübre oranlar'!N$2</f>
        <v>277.5</v>
      </c>
      <c r="L32">
        <f>'Kullanılan gübre'!L32*'Gübre oranlar'!O$2</f>
        <v>121.17000000000002</v>
      </c>
      <c r="M32">
        <f>'Kullanılan gübre'!M32*'Gübre oranlar'!P$2</f>
        <v>23.55</v>
      </c>
      <c r="N32">
        <f>'Kullanılan gübre'!N32*'Gübre oranlar'!Q$2</f>
        <v>35.602499999999999</v>
      </c>
      <c r="O32">
        <f>'Kullanılan gübre'!O32*'Gübre oranlar'!R$2</f>
        <v>0</v>
      </c>
      <c r="P32">
        <f>'Kullanılan gübre'!P32*'Gübre oranlar'!S$2</f>
        <v>1.1024</v>
      </c>
      <c r="Q32">
        <f>'Kullanılan gübre'!Q32*'Gübre oranlar'!T$2</f>
        <v>41.519999999999996</v>
      </c>
      <c r="R32">
        <f>'Kullanılan gübre'!R32*'Gübre oranlar'!U$2</f>
        <v>0</v>
      </c>
      <c r="S32">
        <f>'Kullanılan gübre'!S32*'Gübre oranlar'!V$2</f>
        <v>0</v>
      </c>
      <c r="T32">
        <f>'Kullanılan gübre'!T32*'Gübre oranlar'!W$2</f>
        <v>0</v>
      </c>
      <c r="U32">
        <f>'Kullanılan gübre'!U32*'Gübre oranlar'!X$2</f>
        <v>0</v>
      </c>
      <c r="V32">
        <f>'Kullanılan gübre'!V32*'Gübre oranlar'!Y$2</f>
        <v>0</v>
      </c>
      <c r="W32">
        <f>'Kullanılan gübre'!W32*'Gübre oranlar'!Z$2</f>
        <v>0</v>
      </c>
      <c r="X32">
        <f>'Kullanılan gübre'!X32*'Gübre oranlar'!AA$2</f>
        <v>0</v>
      </c>
      <c r="Y32">
        <f>'Kullanılan gübre'!Y32*'Gübre oranlar'!AB$2</f>
        <v>0</v>
      </c>
      <c r="Z32">
        <f>'Kullanılan gübre'!Z32*'Gübre oranlar'!AC$2</f>
        <v>0</v>
      </c>
      <c r="AA32">
        <f>'Kullanılan gübre'!AA32*'Gübre oranlar'!AD$2</f>
        <v>0</v>
      </c>
      <c r="AB32">
        <f>'Kullanılan gübre'!AB32*'Gübre oranlar'!AE$2</f>
        <v>0</v>
      </c>
      <c r="AC32">
        <f>'Kullanılan gübre'!AC32*'Gübre oranlar'!AF$2</f>
        <v>0</v>
      </c>
      <c r="AD32">
        <f>'Kullanılan gübre'!AD32*'Gübre oranlar'!AG$2</f>
        <v>0</v>
      </c>
      <c r="AE32">
        <f>'Kullanılan gübre'!AE32*'Gübre oranlar'!AH$2</f>
        <v>0</v>
      </c>
      <c r="AF32">
        <f>'Kullanılan gübre'!AF32*'Gübre oranlar'!AI$2</f>
        <v>0</v>
      </c>
      <c r="AG32">
        <f>'Kullanılan gübre'!AG32*'Gübre oranlar'!AJ$2</f>
        <v>0</v>
      </c>
      <c r="AH32">
        <f>'Kullanılan gübre'!AH32*'Gübre oranlar'!AK$2</f>
        <v>0</v>
      </c>
      <c r="AI32">
        <f>'Kullanılan gübre'!AI32*'Gübre oranlar'!AL$2</f>
        <v>0</v>
      </c>
      <c r="AJ32">
        <f>'Kullanılan gübre'!AJ32*'Gübre oranlar'!AM$2</f>
        <v>0</v>
      </c>
      <c r="AK32">
        <f>'Kullanılan gübre'!AK32*'Gübre oranlar'!AN$2</f>
        <v>0</v>
      </c>
      <c r="AL32">
        <f>'Kullanılan gübre'!AL32*'Gübre oranlar'!AO$2</f>
        <v>0</v>
      </c>
      <c r="AM32">
        <f>'Kullanılan gübre'!AM32*'Gübre oranlar'!AP$2</f>
        <v>0</v>
      </c>
      <c r="AN32">
        <f>'Kullanılan gübre'!AN32*'Gübre oranlar'!AQ$2</f>
        <v>0</v>
      </c>
      <c r="AO32">
        <f>'Kullanılan gübre'!AO32*'Gübre oranlar'!AR$2</f>
        <v>0</v>
      </c>
      <c r="AP32">
        <f>'Kullanılan gübre'!AP32*'Gübre oranlar'!AS$2</f>
        <v>0</v>
      </c>
      <c r="AQ32">
        <f>'Kullanılan gübre'!AQ32*'Gübre oranlar'!AT$2</f>
        <v>0</v>
      </c>
      <c r="AR32">
        <f>'Kullanılan gübre'!AR32*'Gübre oranlar'!AU$2</f>
        <v>0</v>
      </c>
      <c r="AS32">
        <f>'Kullanılan gübre'!AS32*'Gübre oranlar'!AV$2</f>
        <v>0</v>
      </c>
      <c r="AT32">
        <f>'Kullanılan gübre'!AT32*'Gübre oranlar'!AW$2</f>
        <v>0</v>
      </c>
      <c r="AU32">
        <f>'Kullanılan gübre'!AU32*'Gübre oranlar'!AX$2</f>
        <v>0</v>
      </c>
      <c r="AV32">
        <f>'Kullanılan gübre'!AV32*'Gübre oranlar'!AY$2</f>
        <v>0</v>
      </c>
      <c r="AW32">
        <f t="shared" si="0"/>
        <v>1940.4509</v>
      </c>
    </row>
    <row r="33" spans="1:49" hidden="1" x14ac:dyDescent="0.25">
      <c r="A33" t="str">
        <f>'Kullanılan gübre'!A33</f>
        <v>AK</v>
      </c>
      <c r="B33" t="str">
        <f>'Kullanılan gübre'!B33</f>
        <v>AFYONKARAHISAR</v>
      </c>
      <c r="C33" t="str">
        <f>'Kullanılan gübre'!C33</f>
        <v>BAYAT</v>
      </c>
      <c r="D33">
        <f>'Kullanılan gübre'!D33</f>
        <v>2009</v>
      </c>
      <c r="E33">
        <f>'Kullanılan gübre'!E33*'Gübre oranlar'!H$2</f>
        <v>0.36749999999999999</v>
      </c>
      <c r="F33">
        <f>'Kullanılan gübre'!F33*'Gübre oranlar'!I$2</f>
        <v>32.201000000000001</v>
      </c>
      <c r="G33">
        <f>'Kullanılan gübre'!G33*'Gübre oranlar'!J$2</f>
        <v>0</v>
      </c>
      <c r="H33">
        <f>'Kullanılan gübre'!H33*'Gübre oranlar'!K$2</f>
        <v>0</v>
      </c>
      <c r="I33">
        <f>'Kullanılan gübre'!I33*'Gübre oranlar'!L$2</f>
        <v>0</v>
      </c>
      <c r="J33">
        <f>'Kullanılan gübre'!J33*'Gübre oranlar'!M$2</f>
        <v>11.879999999999999</v>
      </c>
      <c r="K33">
        <f>'Kullanılan gübre'!K33*'Gübre oranlar'!N$2</f>
        <v>10.8</v>
      </c>
      <c r="L33">
        <f>'Kullanılan gübre'!L33*'Gübre oranlar'!O$2</f>
        <v>7.120000000000001</v>
      </c>
      <c r="M33">
        <f>'Kullanılan gübre'!M33*'Gübre oranlar'!P$2</f>
        <v>0</v>
      </c>
      <c r="N33">
        <f>'Kullanılan gübre'!N33*'Gübre oranlar'!Q$2</f>
        <v>0</v>
      </c>
      <c r="O33">
        <f>'Kullanılan gübre'!O33*'Gübre oranlar'!R$2</f>
        <v>0</v>
      </c>
      <c r="P33">
        <f>'Kullanılan gübre'!P33*'Gübre oranlar'!S$2</f>
        <v>0</v>
      </c>
      <c r="Q33">
        <f>'Kullanılan gübre'!Q33*'Gübre oranlar'!T$2</f>
        <v>0</v>
      </c>
      <c r="R33">
        <f>'Kullanılan gübre'!R33*'Gübre oranlar'!U$2</f>
        <v>0</v>
      </c>
      <c r="S33">
        <f>'Kullanılan gübre'!S33*'Gübre oranlar'!V$2</f>
        <v>0</v>
      </c>
      <c r="T33">
        <f>'Kullanılan gübre'!T33*'Gübre oranlar'!W$2</f>
        <v>0</v>
      </c>
      <c r="U33">
        <f>'Kullanılan gübre'!U33*'Gübre oranlar'!X$2</f>
        <v>0</v>
      </c>
      <c r="V33">
        <f>'Kullanılan gübre'!V33*'Gübre oranlar'!Y$2</f>
        <v>0</v>
      </c>
      <c r="W33">
        <f>'Kullanılan gübre'!W33*'Gübre oranlar'!Z$2</f>
        <v>0</v>
      </c>
      <c r="X33">
        <f>'Kullanılan gübre'!X33*'Gübre oranlar'!AA$2</f>
        <v>0</v>
      </c>
      <c r="Y33">
        <f>'Kullanılan gübre'!Y33*'Gübre oranlar'!AB$2</f>
        <v>0</v>
      </c>
      <c r="Z33">
        <f>'Kullanılan gübre'!Z33*'Gübre oranlar'!AC$2</f>
        <v>0</v>
      </c>
      <c r="AA33">
        <f>'Kullanılan gübre'!AA33*'Gübre oranlar'!AD$2</f>
        <v>0</v>
      </c>
      <c r="AB33">
        <f>'Kullanılan gübre'!AB33*'Gübre oranlar'!AE$2</f>
        <v>0</v>
      </c>
      <c r="AC33">
        <f>'Kullanılan gübre'!AC33*'Gübre oranlar'!AF$2</f>
        <v>0</v>
      </c>
      <c r="AD33">
        <f>'Kullanılan gübre'!AD33*'Gübre oranlar'!AG$2</f>
        <v>0</v>
      </c>
      <c r="AE33">
        <f>'Kullanılan gübre'!AE33*'Gübre oranlar'!AH$2</f>
        <v>0</v>
      </c>
      <c r="AF33">
        <f>'Kullanılan gübre'!AF33*'Gübre oranlar'!AI$2</f>
        <v>0</v>
      </c>
      <c r="AG33">
        <f>'Kullanılan gübre'!AG33*'Gübre oranlar'!AJ$2</f>
        <v>0</v>
      </c>
      <c r="AH33">
        <f>'Kullanılan gübre'!AH33*'Gübre oranlar'!AK$2</f>
        <v>0</v>
      </c>
      <c r="AI33">
        <f>'Kullanılan gübre'!AI33*'Gübre oranlar'!AL$2</f>
        <v>0</v>
      </c>
      <c r="AJ33">
        <f>'Kullanılan gübre'!AJ33*'Gübre oranlar'!AM$2</f>
        <v>0</v>
      </c>
      <c r="AK33">
        <f>'Kullanılan gübre'!AK33*'Gübre oranlar'!AN$2</f>
        <v>0</v>
      </c>
      <c r="AL33">
        <f>'Kullanılan gübre'!AL33*'Gübre oranlar'!AO$2</f>
        <v>0</v>
      </c>
      <c r="AM33">
        <f>'Kullanılan gübre'!AM33*'Gübre oranlar'!AP$2</f>
        <v>0</v>
      </c>
      <c r="AN33">
        <f>'Kullanılan gübre'!AN33*'Gübre oranlar'!AQ$2</f>
        <v>0</v>
      </c>
      <c r="AO33">
        <f>'Kullanılan gübre'!AO33*'Gübre oranlar'!AR$2</f>
        <v>0</v>
      </c>
      <c r="AP33">
        <f>'Kullanılan gübre'!AP33*'Gübre oranlar'!AS$2</f>
        <v>0</v>
      </c>
      <c r="AQ33">
        <f>'Kullanılan gübre'!AQ33*'Gübre oranlar'!AT$2</f>
        <v>0</v>
      </c>
      <c r="AR33">
        <f>'Kullanılan gübre'!AR33*'Gübre oranlar'!AU$2</f>
        <v>0</v>
      </c>
      <c r="AS33">
        <f>'Kullanılan gübre'!AS33*'Gübre oranlar'!AV$2</f>
        <v>0</v>
      </c>
      <c r="AT33">
        <f>'Kullanılan gübre'!AT33*'Gübre oranlar'!AW$2</f>
        <v>0</v>
      </c>
      <c r="AU33">
        <f>'Kullanılan gübre'!AU33*'Gübre oranlar'!AX$2</f>
        <v>0</v>
      </c>
      <c r="AV33">
        <f>'Kullanılan gübre'!AV33*'Gübre oranlar'!AY$2</f>
        <v>0</v>
      </c>
      <c r="AW33">
        <f t="shared" si="0"/>
        <v>62.368499999999997</v>
      </c>
    </row>
    <row r="34" spans="1:49" hidden="1" x14ac:dyDescent="0.25">
      <c r="A34" t="str">
        <f>'Kullanılan gübre'!A34</f>
        <v>AK</v>
      </c>
      <c r="B34" t="str">
        <f>'Kullanılan gübre'!B34</f>
        <v>AFYONKARAHISAR</v>
      </c>
      <c r="C34" t="str">
        <f>'Kullanılan gübre'!C34</f>
        <v>BOLVADIN</v>
      </c>
      <c r="D34">
        <f>'Kullanılan gübre'!D34</f>
        <v>2009</v>
      </c>
      <c r="E34">
        <f>'Kullanılan gübre'!E34*'Gübre oranlar'!H$2</f>
        <v>10.111499999999999</v>
      </c>
      <c r="F34">
        <f>'Kullanılan gübre'!F34*'Gübre oranlar'!I$2</f>
        <v>48.620000000000005</v>
      </c>
      <c r="G34">
        <f>'Kullanılan gübre'!G34*'Gübre oranlar'!J$2</f>
        <v>177.02850000000004</v>
      </c>
      <c r="H34">
        <f>'Kullanılan gübre'!H34*'Gübre oranlar'!K$2</f>
        <v>85.491</v>
      </c>
      <c r="I34">
        <f>'Kullanılan gübre'!I34*'Gübre oranlar'!L$2</f>
        <v>0</v>
      </c>
      <c r="J34">
        <f>'Kullanılan gübre'!J34*'Gübre oranlar'!M$2</f>
        <v>192.096</v>
      </c>
      <c r="K34">
        <f>'Kullanılan gübre'!K34*'Gübre oranlar'!N$2</f>
        <v>7.2</v>
      </c>
      <c r="L34">
        <f>'Kullanılan gübre'!L34*'Gübre oranlar'!O$2</f>
        <v>40.960000000000008</v>
      </c>
      <c r="M34">
        <f>'Kullanılan gübre'!M34*'Gübre oranlar'!P$2</f>
        <v>0</v>
      </c>
      <c r="N34">
        <f>'Kullanılan gübre'!N34*'Gübre oranlar'!Q$2</f>
        <v>0</v>
      </c>
      <c r="O34">
        <f>'Kullanılan gübre'!O34*'Gübre oranlar'!R$2</f>
        <v>0</v>
      </c>
      <c r="P34">
        <f>'Kullanılan gübre'!P34*'Gübre oranlar'!S$2</f>
        <v>1.2974000000000001</v>
      </c>
      <c r="Q34">
        <f>'Kullanılan gübre'!Q34*'Gübre oranlar'!T$2</f>
        <v>0</v>
      </c>
      <c r="R34">
        <f>'Kullanılan gübre'!R34*'Gübre oranlar'!U$2</f>
        <v>0</v>
      </c>
      <c r="S34">
        <f>'Kullanılan gübre'!S34*'Gübre oranlar'!V$2</f>
        <v>0</v>
      </c>
      <c r="T34">
        <f>'Kullanılan gübre'!T34*'Gübre oranlar'!W$2</f>
        <v>0</v>
      </c>
      <c r="U34">
        <f>'Kullanılan gübre'!U34*'Gübre oranlar'!X$2</f>
        <v>0</v>
      </c>
      <c r="V34">
        <f>'Kullanılan gübre'!V34*'Gübre oranlar'!Y$2</f>
        <v>0.53500000000000003</v>
      </c>
      <c r="W34">
        <f>'Kullanılan gübre'!W34*'Gübre oranlar'!Z$2</f>
        <v>0</v>
      </c>
      <c r="X34">
        <f>'Kullanılan gübre'!X34*'Gübre oranlar'!AA$2</f>
        <v>0</v>
      </c>
      <c r="Y34">
        <f>'Kullanılan gübre'!Y34*'Gübre oranlar'!AB$2</f>
        <v>0</v>
      </c>
      <c r="Z34">
        <f>'Kullanılan gübre'!Z34*'Gübre oranlar'!AC$2</f>
        <v>0</v>
      </c>
      <c r="AA34">
        <f>'Kullanılan gübre'!AA34*'Gübre oranlar'!AD$2</f>
        <v>0</v>
      </c>
      <c r="AB34">
        <f>'Kullanılan gübre'!AB34*'Gübre oranlar'!AE$2</f>
        <v>0</v>
      </c>
      <c r="AC34">
        <f>'Kullanılan gübre'!AC34*'Gübre oranlar'!AF$2</f>
        <v>0</v>
      </c>
      <c r="AD34">
        <f>'Kullanılan gübre'!AD34*'Gübre oranlar'!AG$2</f>
        <v>0</v>
      </c>
      <c r="AE34">
        <f>'Kullanılan gübre'!AE34*'Gübre oranlar'!AH$2</f>
        <v>0</v>
      </c>
      <c r="AF34">
        <f>'Kullanılan gübre'!AF34*'Gübre oranlar'!AI$2</f>
        <v>0</v>
      </c>
      <c r="AG34">
        <f>'Kullanılan gübre'!AG34*'Gübre oranlar'!AJ$2</f>
        <v>0</v>
      </c>
      <c r="AH34">
        <f>'Kullanılan gübre'!AH34*'Gübre oranlar'!AK$2</f>
        <v>0</v>
      </c>
      <c r="AI34">
        <f>'Kullanılan gübre'!AI34*'Gübre oranlar'!AL$2</f>
        <v>0</v>
      </c>
      <c r="AJ34">
        <f>'Kullanılan gübre'!AJ34*'Gübre oranlar'!AM$2</f>
        <v>0</v>
      </c>
      <c r="AK34">
        <f>'Kullanılan gübre'!AK34*'Gübre oranlar'!AN$2</f>
        <v>0</v>
      </c>
      <c r="AL34">
        <f>'Kullanılan gübre'!AL34*'Gübre oranlar'!AO$2</f>
        <v>0</v>
      </c>
      <c r="AM34">
        <f>'Kullanılan gübre'!AM34*'Gübre oranlar'!AP$2</f>
        <v>0</v>
      </c>
      <c r="AN34">
        <f>'Kullanılan gübre'!AN34*'Gübre oranlar'!AQ$2</f>
        <v>0</v>
      </c>
      <c r="AO34">
        <f>'Kullanılan gübre'!AO34*'Gübre oranlar'!AR$2</f>
        <v>0</v>
      </c>
      <c r="AP34">
        <f>'Kullanılan gübre'!AP34*'Gübre oranlar'!AS$2</f>
        <v>0</v>
      </c>
      <c r="AQ34">
        <f>'Kullanılan gübre'!AQ34*'Gübre oranlar'!AT$2</f>
        <v>0</v>
      </c>
      <c r="AR34">
        <f>'Kullanılan gübre'!AR34*'Gübre oranlar'!AU$2</f>
        <v>0</v>
      </c>
      <c r="AS34">
        <f>'Kullanılan gübre'!AS34*'Gübre oranlar'!AV$2</f>
        <v>0</v>
      </c>
      <c r="AT34">
        <f>'Kullanılan gübre'!AT34*'Gübre oranlar'!AW$2</f>
        <v>0</v>
      </c>
      <c r="AU34">
        <f>'Kullanılan gübre'!AU34*'Gübre oranlar'!AX$2</f>
        <v>0</v>
      </c>
      <c r="AV34">
        <f>'Kullanılan gübre'!AV34*'Gübre oranlar'!AY$2</f>
        <v>0</v>
      </c>
      <c r="AW34">
        <f t="shared" si="0"/>
        <v>563.33940000000007</v>
      </c>
    </row>
    <row r="35" spans="1:49" hidden="1" x14ac:dyDescent="0.25">
      <c r="A35" t="str">
        <f>'Kullanılan gübre'!A35</f>
        <v>AK</v>
      </c>
      <c r="B35" t="str">
        <f>'Kullanılan gübre'!B35</f>
        <v>AFYONKARAHISAR</v>
      </c>
      <c r="C35" t="str">
        <f>'Kullanılan gübre'!C35</f>
        <v>CAY</v>
      </c>
      <c r="D35">
        <f>'Kullanılan gübre'!D35</f>
        <v>2009</v>
      </c>
      <c r="E35">
        <f>'Kullanılan gübre'!E35*'Gübre oranlar'!H$2</f>
        <v>78.046499999999995</v>
      </c>
      <c r="F35">
        <f>'Kullanılan gübre'!F35*'Gübre oranlar'!I$2</f>
        <v>81.445000000000007</v>
      </c>
      <c r="G35">
        <f>'Kullanılan gübre'!G35*'Gübre oranlar'!J$2</f>
        <v>312.62550000000005</v>
      </c>
      <c r="H35">
        <f>'Kullanılan gübre'!H35*'Gübre oranlar'!K$2</f>
        <v>111.78</v>
      </c>
      <c r="I35">
        <f>'Kullanılan gübre'!I35*'Gübre oranlar'!L$2</f>
        <v>0</v>
      </c>
      <c r="J35">
        <f>'Kullanılan gübre'!J35*'Gübre oranlar'!M$2</f>
        <v>141.58799999999999</v>
      </c>
      <c r="K35">
        <f>'Kullanılan gübre'!K35*'Gübre oranlar'!N$2</f>
        <v>15.230000000000002</v>
      </c>
      <c r="L35">
        <f>'Kullanılan gübre'!L35*'Gübre oranlar'!O$2</f>
        <v>105.19000000000001</v>
      </c>
      <c r="M35">
        <f>'Kullanılan gübre'!M35*'Gübre oranlar'!P$2</f>
        <v>6.7649999999999997</v>
      </c>
      <c r="N35">
        <f>'Kullanılan gübre'!N35*'Gübre oranlar'!Q$2</f>
        <v>15.9375</v>
      </c>
      <c r="O35">
        <f>'Kullanılan gübre'!O35*'Gübre oranlar'!R$2</f>
        <v>0</v>
      </c>
      <c r="P35">
        <f>'Kullanılan gübre'!P35*'Gübre oranlar'!S$2</f>
        <v>0.26</v>
      </c>
      <c r="Q35">
        <f>'Kullanılan gübre'!Q35*'Gübre oranlar'!T$2</f>
        <v>0</v>
      </c>
      <c r="R35">
        <f>'Kullanılan gübre'!R35*'Gübre oranlar'!U$2</f>
        <v>0</v>
      </c>
      <c r="S35">
        <f>'Kullanılan gübre'!S35*'Gübre oranlar'!V$2</f>
        <v>0</v>
      </c>
      <c r="T35">
        <f>'Kullanılan gübre'!T35*'Gübre oranlar'!W$2</f>
        <v>0</v>
      </c>
      <c r="U35">
        <f>'Kullanılan gübre'!U35*'Gübre oranlar'!X$2</f>
        <v>0</v>
      </c>
      <c r="V35">
        <f>'Kullanılan gübre'!V35*'Gübre oranlar'!Y$2</f>
        <v>0</v>
      </c>
      <c r="W35">
        <f>'Kullanılan gübre'!W35*'Gübre oranlar'!Z$2</f>
        <v>0</v>
      </c>
      <c r="X35">
        <f>'Kullanılan gübre'!X35*'Gübre oranlar'!AA$2</f>
        <v>0</v>
      </c>
      <c r="Y35">
        <f>'Kullanılan gübre'!Y35*'Gübre oranlar'!AB$2</f>
        <v>0</v>
      </c>
      <c r="Z35">
        <f>'Kullanılan gübre'!Z35*'Gübre oranlar'!AC$2</f>
        <v>0</v>
      </c>
      <c r="AA35">
        <f>'Kullanılan gübre'!AA35*'Gübre oranlar'!AD$2</f>
        <v>2.0865</v>
      </c>
      <c r="AB35">
        <f>'Kullanılan gübre'!AB35*'Gübre oranlar'!AE$2</f>
        <v>0</v>
      </c>
      <c r="AC35">
        <f>'Kullanılan gübre'!AC35*'Gübre oranlar'!AF$2</f>
        <v>0</v>
      </c>
      <c r="AD35">
        <f>'Kullanılan gübre'!AD35*'Gübre oranlar'!AG$2</f>
        <v>0</v>
      </c>
      <c r="AE35">
        <f>'Kullanılan gübre'!AE35*'Gübre oranlar'!AH$2</f>
        <v>0</v>
      </c>
      <c r="AF35">
        <f>'Kullanılan gübre'!AF35*'Gübre oranlar'!AI$2</f>
        <v>0</v>
      </c>
      <c r="AG35">
        <f>'Kullanılan gübre'!AG35*'Gübre oranlar'!AJ$2</f>
        <v>0</v>
      </c>
      <c r="AH35">
        <f>'Kullanılan gübre'!AH35*'Gübre oranlar'!AK$2</f>
        <v>0</v>
      </c>
      <c r="AI35">
        <f>'Kullanılan gübre'!AI35*'Gübre oranlar'!AL$2</f>
        <v>0</v>
      </c>
      <c r="AJ35">
        <f>'Kullanılan gübre'!AJ35*'Gübre oranlar'!AM$2</f>
        <v>0</v>
      </c>
      <c r="AK35">
        <f>'Kullanılan gübre'!AK35*'Gübre oranlar'!AN$2</f>
        <v>0</v>
      </c>
      <c r="AL35">
        <f>'Kullanılan gübre'!AL35*'Gübre oranlar'!AO$2</f>
        <v>0</v>
      </c>
      <c r="AM35">
        <f>'Kullanılan gübre'!AM35*'Gübre oranlar'!AP$2</f>
        <v>0</v>
      </c>
      <c r="AN35">
        <f>'Kullanılan gübre'!AN35*'Gübre oranlar'!AQ$2</f>
        <v>0</v>
      </c>
      <c r="AO35">
        <f>'Kullanılan gübre'!AO35*'Gübre oranlar'!AR$2</f>
        <v>0</v>
      </c>
      <c r="AP35">
        <f>'Kullanılan gübre'!AP35*'Gübre oranlar'!AS$2</f>
        <v>0</v>
      </c>
      <c r="AQ35">
        <f>'Kullanılan gübre'!AQ35*'Gübre oranlar'!AT$2</f>
        <v>0</v>
      </c>
      <c r="AR35">
        <f>'Kullanılan gübre'!AR35*'Gübre oranlar'!AU$2</f>
        <v>0</v>
      </c>
      <c r="AS35">
        <f>'Kullanılan gübre'!AS35*'Gübre oranlar'!AV$2</f>
        <v>0</v>
      </c>
      <c r="AT35">
        <f>'Kullanılan gübre'!AT35*'Gübre oranlar'!AW$2</f>
        <v>0</v>
      </c>
      <c r="AU35">
        <f>'Kullanılan gübre'!AU35*'Gübre oranlar'!AX$2</f>
        <v>0</v>
      </c>
      <c r="AV35">
        <f>'Kullanılan gübre'!AV35*'Gübre oranlar'!AY$2</f>
        <v>0</v>
      </c>
      <c r="AW35">
        <f t="shared" si="0"/>
        <v>870.95400000000006</v>
      </c>
    </row>
    <row r="36" spans="1:49" hidden="1" x14ac:dyDescent="0.25">
      <c r="A36" t="str">
        <f>'Kullanılan gübre'!A36</f>
        <v>AK</v>
      </c>
      <c r="B36" t="str">
        <f>'Kullanılan gübre'!B36</f>
        <v>AFYONKARAHISAR</v>
      </c>
      <c r="C36" t="str">
        <f>'Kullanılan gübre'!C36</f>
        <v>COBANLAR</v>
      </c>
      <c r="D36">
        <f>'Kullanılan gübre'!D36</f>
        <v>2009</v>
      </c>
      <c r="E36">
        <f>'Kullanılan gübre'!E36*'Gübre oranlar'!H$2</f>
        <v>15.025499999999999</v>
      </c>
      <c r="F36">
        <f>'Kullanılan gübre'!F36*'Gübre oranlar'!I$2</f>
        <v>5.1870000000000003</v>
      </c>
      <c r="G36">
        <f>'Kullanılan gübre'!G36*'Gübre oranlar'!J$2</f>
        <v>49.565999999999995</v>
      </c>
      <c r="H36">
        <f>'Kullanılan gübre'!H36*'Gübre oranlar'!K$2</f>
        <v>96.278000000000006</v>
      </c>
      <c r="I36">
        <f>'Kullanılan gübre'!I36*'Gübre oranlar'!L$2</f>
        <v>0</v>
      </c>
      <c r="J36">
        <f>'Kullanılan gübre'!J36*'Gübre oranlar'!M$2</f>
        <v>132.12</v>
      </c>
      <c r="K36">
        <f>'Kullanılan gübre'!K36*'Gübre oranlar'!N$2</f>
        <v>0</v>
      </c>
      <c r="L36">
        <f>'Kullanılan gübre'!L36*'Gübre oranlar'!O$2</f>
        <v>52.320000000000007</v>
      </c>
      <c r="M36">
        <f>'Kullanılan gübre'!M36*'Gübre oranlar'!P$2</f>
        <v>0</v>
      </c>
      <c r="N36">
        <f>'Kullanılan gübre'!N36*'Gübre oranlar'!Q$2</f>
        <v>2.3174999999999999</v>
      </c>
      <c r="O36">
        <f>'Kullanılan gübre'!O36*'Gübre oranlar'!R$2</f>
        <v>0</v>
      </c>
      <c r="P36">
        <f>'Kullanılan gübre'!P36*'Gübre oranlar'!S$2</f>
        <v>0</v>
      </c>
      <c r="Q36">
        <f>'Kullanılan gübre'!Q36*'Gübre oranlar'!T$2</f>
        <v>0</v>
      </c>
      <c r="R36">
        <f>'Kullanılan gübre'!R36*'Gübre oranlar'!U$2</f>
        <v>0</v>
      </c>
      <c r="S36">
        <f>'Kullanılan gübre'!S36*'Gübre oranlar'!V$2</f>
        <v>0</v>
      </c>
      <c r="T36">
        <f>'Kullanılan gübre'!T36*'Gübre oranlar'!W$2</f>
        <v>0</v>
      </c>
      <c r="U36">
        <f>'Kullanılan gübre'!U36*'Gübre oranlar'!X$2</f>
        <v>0</v>
      </c>
      <c r="V36">
        <f>'Kullanılan gübre'!V36*'Gübre oranlar'!Y$2</f>
        <v>0</v>
      </c>
      <c r="W36">
        <f>'Kullanılan gübre'!W36*'Gübre oranlar'!Z$2</f>
        <v>0</v>
      </c>
      <c r="X36">
        <f>'Kullanılan gübre'!X36*'Gübre oranlar'!AA$2</f>
        <v>0</v>
      </c>
      <c r="Y36">
        <f>'Kullanılan gübre'!Y36*'Gübre oranlar'!AB$2</f>
        <v>0</v>
      </c>
      <c r="Z36">
        <f>'Kullanılan gübre'!Z36*'Gübre oranlar'!AC$2</f>
        <v>0</v>
      </c>
      <c r="AA36">
        <f>'Kullanılan gübre'!AA36*'Gübre oranlar'!AD$2</f>
        <v>0</v>
      </c>
      <c r="AB36">
        <f>'Kullanılan gübre'!AB36*'Gübre oranlar'!AE$2</f>
        <v>0</v>
      </c>
      <c r="AC36">
        <f>'Kullanılan gübre'!AC36*'Gübre oranlar'!AF$2</f>
        <v>0</v>
      </c>
      <c r="AD36">
        <f>'Kullanılan gübre'!AD36*'Gübre oranlar'!AG$2</f>
        <v>0</v>
      </c>
      <c r="AE36">
        <f>'Kullanılan gübre'!AE36*'Gübre oranlar'!AH$2</f>
        <v>0</v>
      </c>
      <c r="AF36">
        <f>'Kullanılan gübre'!AF36*'Gübre oranlar'!AI$2</f>
        <v>0</v>
      </c>
      <c r="AG36">
        <f>'Kullanılan gübre'!AG36*'Gübre oranlar'!AJ$2</f>
        <v>0</v>
      </c>
      <c r="AH36">
        <f>'Kullanılan gübre'!AH36*'Gübre oranlar'!AK$2</f>
        <v>0</v>
      </c>
      <c r="AI36">
        <f>'Kullanılan gübre'!AI36*'Gübre oranlar'!AL$2</f>
        <v>0</v>
      </c>
      <c r="AJ36">
        <f>'Kullanılan gübre'!AJ36*'Gübre oranlar'!AM$2</f>
        <v>0</v>
      </c>
      <c r="AK36">
        <f>'Kullanılan gübre'!AK36*'Gübre oranlar'!AN$2</f>
        <v>0</v>
      </c>
      <c r="AL36">
        <f>'Kullanılan gübre'!AL36*'Gübre oranlar'!AO$2</f>
        <v>0</v>
      </c>
      <c r="AM36">
        <f>'Kullanılan gübre'!AM36*'Gübre oranlar'!AP$2</f>
        <v>0</v>
      </c>
      <c r="AN36">
        <f>'Kullanılan gübre'!AN36*'Gübre oranlar'!AQ$2</f>
        <v>0</v>
      </c>
      <c r="AO36">
        <f>'Kullanılan gübre'!AO36*'Gübre oranlar'!AR$2</f>
        <v>0</v>
      </c>
      <c r="AP36">
        <f>'Kullanılan gübre'!AP36*'Gübre oranlar'!AS$2</f>
        <v>0</v>
      </c>
      <c r="AQ36">
        <f>'Kullanılan gübre'!AQ36*'Gübre oranlar'!AT$2</f>
        <v>0</v>
      </c>
      <c r="AR36">
        <f>'Kullanılan gübre'!AR36*'Gübre oranlar'!AU$2</f>
        <v>0</v>
      </c>
      <c r="AS36">
        <f>'Kullanılan gübre'!AS36*'Gübre oranlar'!AV$2</f>
        <v>0</v>
      </c>
      <c r="AT36">
        <f>'Kullanılan gübre'!AT36*'Gübre oranlar'!AW$2</f>
        <v>0</v>
      </c>
      <c r="AU36">
        <f>'Kullanılan gübre'!AU36*'Gübre oranlar'!AX$2</f>
        <v>0</v>
      </c>
      <c r="AV36">
        <f>'Kullanılan gübre'!AV36*'Gübre oranlar'!AY$2</f>
        <v>0</v>
      </c>
      <c r="AW36">
        <f t="shared" si="0"/>
        <v>352.81400000000002</v>
      </c>
    </row>
    <row r="37" spans="1:49" hidden="1" x14ac:dyDescent="0.25">
      <c r="A37" t="str">
        <f>'Kullanılan gübre'!A37</f>
        <v>AK</v>
      </c>
      <c r="B37" t="str">
        <f>'Kullanılan gübre'!B37</f>
        <v>AFYONKARAHISAR</v>
      </c>
      <c r="C37" t="str">
        <f>'Kullanılan gübre'!C37</f>
        <v>IHSANIYE</v>
      </c>
      <c r="D37">
        <f>'Kullanılan gübre'!D37</f>
        <v>2009</v>
      </c>
      <c r="E37">
        <f>'Kullanılan gübre'!E37*'Gübre oranlar'!H$2</f>
        <v>0.1575</v>
      </c>
      <c r="F37">
        <f>'Kullanılan gübre'!F37*'Gübre oranlar'!I$2</f>
        <v>93.236000000000004</v>
      </c>
      <c r="G37">
        <f>'Kullanılan gübre'!G37*'Gübre oranlar'!J$2</f>
        <v>162.12900000000002</v>
      </c>
      <c r="H37">
        <f>'Kullanılan gübre'!H37*'Gübre oranlar'!K$2</f>
        <v>169.64800000000002</v>
      </c>
      <c r="I37">
        <f>'Kullanılan gübre'!I37*'Gübre oranlar'!L$2</f>
        <v>0</v>
      </c>
      <c r="J37">
        <f>'Kullanılan gübre'!J37*'Gübre oranlar'!M$2</f>
        <v>73.763999999999996</v>
      </c>
      <c r="K37">
        <f>'Kullanılan gübre'!K37*'Gübre oranlar'!N$2</f>
        <v>189.32000000000002</v>
      </c>
      <c r="L37">
        <f>'Kullanılan gübre'!L37*'Gübre oranlar'!O$2</f>
        <v>0.12</v>
      </c>
      <c r="M37">
        <f>'Kullanılan gübre'!M37*'Gübre oranlar'!P$2</f>
        <v>0</v>
      </c>
      <c r="N37">
        <f>'Kullanılan gübre'!N37*'Gübre oranlar'!Q$2</f>
        <v>0.14249999999999999</v>
      </c>
      <c r="O37">
        <f>'Kullanılan gübre'!O37*'Gübre oranlar'!R$2</f>
        <v>0</v>
      </c>
      <c r="P37">
        <f>'Kullanılan gübre'!P37*'Gübre oranlar'!S$2</f>
        <v>0</v>
      </c>
      <c r="Q37">
        <f>'Kullanılan gübre'!Q37*'Gübre oranlar'!T$2</f>
        <v>6.8759999999999994</v>
      </c>
      <c r="R37">
        <f>'Kullanılan gübre'!R37*'Gübre oranlar'!U$2</f>
        <v>0</v>
      </c>
      <c r="S37">
        <f>'Kullanılan gübre'!S37*'Gübre oranlar'!V$2</f>
        <v>0</v>
      </c>
      <c r="T37">
        <f>'Kullanılan gübre'!T37*'Gübre oranlar'!W$2</f>
        <v>0</v>
      </c>
      <c r="U37">
        <f>'Kullanılan gübre'!U37*'Gübre oranlar'!X$2</f>
        <v>0</v>
      </c>
      <c r="V37">
        <f>'Kullanılan gübre'!V37*'Gübre oranlar'!Y$2</f>
        <v>0</v>
      </c>
      <c r="W37">
        <f>'Kullanılan gübre'!W37*'Gübre oranlar'!Z$2</f>
        <v>0</v>
      </c>
      <c r="X37">
        <f>'Kullanılan gübre'!X37*'Gübre oranlar'!AA$2</f>
        <v>0</v>
      </c>
      <c r="Y37">
        <f>'Kullanılan gübre'!Y37*'Gübre oranlar'!AB$2</f>
        <v>0</v>
      </c>
      <c r="Z37">
        <f>'Kullanılan gübre'!Z37*'Gübre oranlar'!AC$2</f>
        <v>0</v>
      </c>
      <c r="AA37">
        <f>'Kullanılan gübre'!AA37*'Gübre oranlar'!AD$2</f>
        <v>0</v>
      </c>
      <c r="AB37">
        <f>'Kullanılan gübre'!AB37*'Gübre oranlar'!AE$2</f>
        <v>0</v>
      </c>
      <c r="AC37">
        <f>'Kullanılan gübre'!AC37*'Gübre oranlar'!AF$2</f>
        <v>0</v>
      </c>
      <c r="AD37">
        <f>'Kullanılan gübre'!AD37*'Gübre oranlar'!AG$2</f>
        <v>0</v>
      </c>
      <c r="AE37">
        <f>'Kullanılan gübre'!AE37*'Gübre oranlar'!AH$2</f>
        <v>0</v>
      </c>
      <c r="AF37">
        <f>'Kullanılan gübre'!AF37*'Gübre oranlar'!AI$2</f>
        <v>0</v>
      </c>
      <c r="AG37">
        <f>'Kullanılan gübre'!AG37*'Gübre oranlar'!AJ$2</f>
        <v>0</v>
      </c>
      <c r="AH37">
        <f>'Kullanılan gübre'!AH37*'Gübre oranlar'!AK$2</f>
        <v>0</v>
      </c>
      <c r="AI37">
        <f>'Kullanılan gübre'!AI37*'Gübre oranlar'!AL$2</f>
        <v>0</v>
      </c>
      <c r="AJ37">
        <f>'Kullanılan gübre'!AJ37*'Gübre oranlar'!AM$2</f>
        <v>0</v>
      </c>
      <c r="AK37">
        <f>'Kullanılan gübre'!AK37*'Gübre oranlar'!AN$2</f>
        <v>0</v>
      </c>
      <c r="AL37">
        <f>'Kullanılan gübre'!AL37*'Gübre oranlar'!AO$2</f>
        <v>0</v>
      </c>
      <c r="AM37">
        <f>'Kullanılan gübre'!AM37*'Gübre oranlar'!AP$2</f>
        <v>0</v>
      </c>
      <c r="AN37">
        <f>'Kullanılan gübre'!AN37*'Gübre oranlar'!AQ$2</f>
        <v>0</v>
      </c>
      <c r="AO37">
        <f>'Kullanılan gübre'!AO37*'Gübre oranlar'!AR$2</f>
        <v>0</v>
      </c>
      <c r="AP37">
        <f>'Kullanılan gübre'!AP37*'Gübre oranlar'!AS$2</f>
        <v>0</v>
      </c>
      <c r="AQ37">
        <f>'Kullanılan gübre'!AQ37*'Gübre oranlar'!AT$2</f>
        <v>0</v>
      </c>
      <c r="AR37">
        <f>'Kullanılan gübre'!AR37*'Gübre oranlar'!AU$2</f>
        <v>0</v>
      </c>
      <c r="AS37">
        <f>'Kullanılan gübre'!AS37*'Gübre oranlar'!AV$2</f>
        <v>0</v>
      </c>
      <c r="AT37">
        <f>'Kullanılan gübre'!AT37*'Gübre oranlar'!AW$2</f>
        <v>0</v>
      </c>
      <c r="AU37">
        <f>'Kullanılan gübre'!AU37*'Gübre oranlar'!AX$2</f>
        <v>0</v>
      </c>
      <c r="AV37">
        <f>'Kullanılan gübre'!AV37*'Gübre oranlar'!AY$2</f>
        <v>0</v>
      </c>
      <c r="AW37">
        <f t="shared" si="0"/>
        <v>695.39300000000014</v>
      </c>
    </row>
    <row r="38" spans="1:49" hidden="1" x14ac:dyDescent="0.25">
      <c r="A38" t="str">
        <f>'Kullanılan gübre'!A38</f>
        <v>AK</v>
      </c>
      <c r="B38" t="str">
        <f>'Kullanılan gübre'!B38</f>
        <v>AFYONKARAHISAR</v>
      </c>
      <c r="C38" t="str">
        <f>'Kullanılan gübre'!C38</f>
        <v>ISCEHISAR</v>
      </c>
      <c r="D38">
        <f>'Kullanılan gübre'!D38</f>
        <v>2009</v>
      </c>
      <c r="E38">
        <f>'Kullanılan gübre'!E38*'Gübre oranlar'!H$2</f>
        <v>0</v>
      </c>
      <c r="F38">
        <f>'Kullanılan gübre'!F38*'Gübre oranlar'!I$2</f>
        <v>37.361999999999995</v>
      </c>
      <c r="G38">
        <f>'Kullanılan gübre'!G38*'Gübre oranlar'!J$2</f>
        <v>0</v>
      </c>
      <c r="H38">
        <f>'Kullanılan gübre'!H38*'Gübre oranlar'!K$2</f>
        <v>0</v>
      </c>
      <c r="I38">
        <f>'Kullanılan gübre'!I38*'Gübre oranlar'!L$2</f>
        <v>0</v>
      </c>
      <c r="J38">
        <f>'Kullanılan gübre'!J38*'Gübre oranlar'!M$2</f>
        <v>28.799999999999997</v>
      </c>
      <c r="K38">
        <f>'Kullanılan gübre'!K38*'Gübre oranlar'!N$2</f>
        <v>3.9200000000000004</v>
      </c>
      <c r="L38">
        <f>'Kullanılan gübre'!L38*'Gübre oranlar'!O$2</f>
        <v>23.16</v>
      </c>
      <c r="M38">
        <f>'Kullanılan gübre'!M38*'Gübre oranlar'!P$2</f>
        <v>0</v>
      </c>
      <c r="N38">
        <f>'Kullanılan gübre'!N38*'Gübre oranlar'!Q$2</f>
        <v>0</v>
      </c>
      <c r="O38">
        <f>'Kullanılan gübre'!O38*'Gübre oranlar'!R$2</f>
        <v>0</v>
      </c>
      <c r="P38">
        <f>'Kullanılan gübre'!P38*'Gübre oranlar'!S$2</f>
        <v>0</v>
      </c>
      <c r="Q38">
        <f>'Kullanılan gübre'!Q38*'Gübre oranlar'!T$2</f>
        <v>0</v>
      </c>
      <c r="R38">
        <f>'Kullanılan gübre'!R38*'Gübre oranlar'!U$2</f>
        <v>0</v>
      </c>
      <c r="S38">
        <f>'Kullanılan gübre'!S38*'Gübre oranlar'!V$2</f>
        <v>0</v>
      </c>
      <c r="T38">
        <f>'Kullanılan gübre'!T38*'Gübre oranlar'!W$2</f>
        <v>0</v>
      </c>
      <c r="U38">
        <f>'Kullanılan gübre'!U38*'Gübre oranlar'!X$2</f>
        <v>0</v>
      </c>
      <c r="V38">
        <f>'Kullanılan gübre'!V38*'Gübre oranlar'!Y$2</f>
        <v>0</v>
      </c>
      <c r="W38">
        <f>'Kullanılan gübre'!W38*'Gübre oranlar'!Z$2</f>
        <v>0</v>
      </c>
      <c r="X38">
        <f>'Kullanılan gübre'!X38*'Gübre oranlar'!AA$2</f>
        <v>0</v>
      </c>
      <c r="Y38">
        <f>'Kullanılan gübre'!Y38*'Gübre oranlar'!AB$2</f>
        <v>0</v>
      </c>
      <c r="Z38">
        <f>'Kullanılan gübre'!Z38*'Gübre oranlar'!AC$2</f>
        <v>0</v>
      </c>
      <c r="AA38">
        <f>'Kullanılan gübre'!AA38*'Gübre oranlar'!AD$2</f>
        <v>0</v>
      </c>
      <c r="AB38">
        <f>'Kullanılan gübre'!AB38*'Gübre oranlar'!AE$2</f>
        <v>0</v>
      </c>
      <c r="AC38">
        <f>'Kullanılan gübre'!AC38*'Gübre oranlar'!AF$2</f>
        <v>0</v>
      </c>
      <c r="AD38">
        <f>'Kullanılan gübre'!AD38*'Gübre oranlar'!AG$2</f>
        <v>0</v>
      </c>
      <c r="AE38">
        <f>'Kullanılan gübre'!AE38*'Gübre oranlar'!AH$2</f>
        <v>0</v>
      </c>
      <c r="AF38">
        <f>'Kullanılan gübre'!AF38*'Gübre oranlar'!AI$2</f>
        <v>0</v>
      </c>
      <c r="AG38">
        <f>'Kullanılan gübre'!AG38*'Gübre oranlar'!AJ$2</f>
        <v>0</v>
      </c>
      <c r="AH38">
        <f>'Kullanılan gübre'!AH38*'Gübre oranlar'!AK$2</f>
        <v>0</v>
      </c>
      <c r="AI38">
        <f>'Kullanılan gübre'!AI38*'Gübre oranlar'!AL$2</f>
        <v>0</v>
      </c>
      <c r="AJ38">
        <f>'Kullanılan gübre'!AJ38*'Gübre oranlar'!AM$2</f>
        <v>0</v>
      </c>
      <c r="AK38">
        <f>'Kullanılan gübre'!AK38*'Gübre oranlar'!AN$2</f>
        <v>0</v>
      </c>
      <c r="AL38">
        <f>'Kullanılan gübre'!AL38*'Gübre oranlar'!AO$2</f>
        <v>0</v>
      </c>
      <c r="AM38">
        <f>'Kullanılan gübre'!AM38*'Gübre oranlar'!AP$2</f>
        <v>0</v>
      </c>
      <c r="AN38">
        <f>'Kullanılan gübre'!AN38*'Gübre oranlar'!AQ$2</f>
        <v>0</v>
      </c>
      <c r="AO38">
        <f>'Kullanılan gübre'!AO38*'Gübre oranlar'!AR$2</f>
        <v>0</v>
      </c>
      <c r="AP38">
        <f>'Kullanılan gübre'!AP38*'Gübre oranlar'!AS$2</f>
        <v>0</v>
      </c>
      <c r="AQ38">
        <f>'Kullanılan gübre'!AQ38*'Gübre oranlar'!AT$2</f>
        <v>0</v>
      </c>
      <c r="AR38">
        <f>'Kullanılan gübre'!AR38*'Gübre oranlar'!AU$2</f>
        <v>0</v>
      </c>
      <c r="AS38">
        <f>'Kullanılan gübre'!AS38*'Gübre oranlar'!AV$2</f>
        <v>0</v>
      </c>
      <c r="AT38">
        <f>'Kullanılan gübre'!AT38*'Gübre oranlar'!AW$2</f>
        <v>0</v>
      </c>
      <c r="AU38">
        <f>'Kullanılan gübre'!AU38*'Gübre oranlar'!AX$2</f>
        <v>0</v>
      </c>
      <c r="AV38">
        <f>'Kullanılan gübre'!AV38*'Gübre oranlar'!AY$2</f>
        <v>0</v>
      </c>
      <c r="AW38">
        <f t="shared" si="0"/>
        <v>93.24199999999999</v>
      </c>
    </row>
    <row r="39" spans="1:49" hidden="1" x14ac:dyDescent="0.25">
      <c r="A39" t="str">
        <f>'Kullanılan gübre'!A39</f>
        <v>AK</v>
      </c>
      <c r="B39" t="str">
        <f>'Kullanılan gübre'!B39</f>
        <v>AFYONKARAHISAR</v>
      </c>
      <c r="C39" t="str">
        <f>'Kullanılan gübre'!C39</f>
        <v>SINANPASA</v>
      </c>
      <c r="D39">
        <f>'Kullanılan gübre'!D39</f>
        <v>2009</v>
      </c>
      <c r="E39">
        <f>'Kullanılan gübre'!E39*'Gübre oranlar'!H$2</f>
        <v>0.61950000000000005</v>
      </c>
      <c r="F39">
        <f>'Kullanılan gübre'!F39*'Gübre oranlar'!I$2</f>
        <v>247.81899999999999</v>
      </c>
      <c r="G39">
        <f>'Kullanılan gübre'!G39*'Gübre oranlar'!J$2</f>
        <v>291.22500000000002</v>
      </c>
      <c r="H39">
        <f>'Kullanılan gübre'!H39*'Gübre oranlar'!K$2</f>
        <v>64.88300000000001</v>
      </c>
      <c r="I39">
        <f>'Kullanılan gübre'!I39*'Gübre oranlar'!L$2</f>
        <v>0</v>
      </c>
      <c r="J39">
        <f>'Kullanılan gübre'!J39*'Gübre oranlar'!M$2</f>
        <v>147.96</v>
      </c>
      <c r="K39">
        <f>'Kullanılan gübre'!K39*'Gübre oranlar'!N$2</f>
        <v>90.69</v>
      </c>
      <c r="L39">
        <f>'Kullanılan gübre'!L39*'Gübre oranlar'!O$2</f>
        <v>166.74</v>
      </c>
      <c r="M39">
        <f>'Kullanılan gübre'!M39*'Gübre oranlar'!P$2</f>
        <v>0.44999999999999996</v>
      </c>
      <c r="N39">
        <f>'Kullanılan gübre'!N39*'Gübre oranlar'!Q$2</f>
        <v>0</v>
      </c>
      <c r="O39">
        <f>'Kullanılan gübre'!O39*'Gübre oranlar'!R$2</f>
        <v>0</v>
      </c>
      <c r="P39">
        <f>'Kullanılan gübre'!P39*'Gübre oranlar'!S$2</f>
        <v>7.1500000000000008E-2</v>
      </c>
      <c r="Q39">
        <f>'Kullanılan gübre'!Q39*'Gübre oranlar'!T$2</f>
        <v>2.16</v>
      </c>
      <c r="R39">
        <f>'Kullanılan gübre'!R39*'Gübre oranlar'!U$2</f>
        <v>0</v>
      </c>
      <c r="S39">
        <f>'Kullanılan gübre'!S39*'Gübre oranlar'!V$2</f>
        <v>0</v>
      </c>
      <c r="T39">
        <f>'Kullanılan gübre'!T39*'Gübre oranlar'!W$2</f>
        <v>0</v>
      </c>
      <c r="U39">
        <f>'Kullanılan gübre'!U39*'Gübre oranlar'!X$2</f>
        <v>0</v>
      </c>
      <c r="V39">
        <f>'Kullanılan gübre'!V39*'Gübre oranlar'!Y$2</f>
        <v>0</v>
      </c>
      <c r="W39">
        <f>'Kullanılan gübre'!W39*'Gübre oranlar'!Z$2</f>
        <v>0</v>
      </c>
      <c r="X39">
        <f>'Kullanılan gübre'!X39*'Gübre oranlar'!AA$2</f>
        <v>0</v>
      </c>
      <c r="Y39">
        <f>'Kullanılan gübre'!Y39*'Gübre oranlar'!AB$2</f>
        <v>0</v>
      </c>
      <c r="Z39">
        <f>'Kullanılan gübre'!Z39*'Gübre oranlar'!AC$2</f>
        <v>0</v>
      </c>
      <c r="AA39">
        <f>'Kullanılan gübre'!AA39*'Gübre oranlar'!AD$2</f>
        <v>0</v>
      </c>
      <c r="AB39">
        <f>'Kullanılan gübre'!AB39*'Gübre oranlar'!AE$2</f>
        <v>0</v>
      </c>
      <c r="AC39">
        <f>'Kullanılan gübre'!AC39*'Gübre oranlar'!AF$2</f>
        <v>0</v>
      </c>
      <c r="AD39">
        <f>'Kullanılan gübre'!AD39*'Gübre oranlar'!AG$2</f>
        <v>0</v>
      </c>
      <c r="AE39">
        <f>'Kullanılan gübre'!AE39*'Gübre oranlar'!AH$2</f>
        <v>0</v>
      </c>
      <c r="AF39">
        <f>'Kullanılan gübre'!AF39*'Gübre oranlar'!AI$2</f>
        <v>0</v>
      </c>
      <c r="AG39">
        <f>'Kullanılan gübre'!AG39*'Gübre oranlar'!AJ$2</f>
        <v>0</v>
      </c>
      <c r="AH39">
        <f>'Kullanılan gübre'!AH39*'Gübre oranlar'!AK$2</f>
        <v>0</v>
      </c>
      <c r="AI39">
        <f>'Kullanılan gübre'!AI39*'Gübre oranlar'!AL$2</f>
        <v>0</v>
      </c>
      <c r="AJ39">
        <f>'Kullanılan gübre'!AJ39*'Gübre oranlar'!AM$2</f>
        <v>0</v>
      </c>
      <c r="AK39">
        <f>'Kullanılan gübre'!AK39*'Gübre oranlar'!AN$2</f>
        <v>0</v>
      </c>
      <c r="AL39">
        <f>'Kullanılan gübre'!AL39*'Gübre oranlar'!AO$2</f>
        <v>0</v>
      </c>
      <c r="AM39">
        <f>'Kullanılan gübre'!AM39*'Gübre oranlar'!AP$2</f>
        <v>0</v>
      </c>
      <c r="AN39">
        <f>'Kullanılan gübre'!AN39*'Gübre oranlar'!AQ$2</f>
        <v>0</v>
      </c>
      <c r="AO39">
        <f>'Kullanılan gübre'!AO39*'Gübre oranlar'!AR$2</f>
        <v>0</v>
      </c>
      <c r="AP39">
        <f>'Kullanılan gübre'!AP39*'Gübre oranlar'!AS$2</f>
        <v>0</v>
      </c>
      <c r="AQ39">
        <f>'Kullanılan gübre'!AQ39*'Gübre oranlar'!AT$2</f>
        <v>0</v>
      </c>
      <c r="AR39">
        <f>'Kullanılan gübre'!AR39*'Gübre oranlar'!AU$2</f>
        <v>0</v>
      </c>
      <c r="AS39">
        <f>'Kullanılan gübre'!AS39*'Gübre oranlar'!AV$2</f>
        <v>0</v>
      </c>
      <c r="AT39">
        <f>'Kullanılan gübre'!AT39*'Gübre oranlar'!AW$2</f>
        <v>0</v>
      </c>
      <c r="AU39">
        <f>'Kullanılan gübre'!AU39*'Gübre oranlar'!AX$2</f>
        <v>0</v>
      </c>
      <c r="AV39">
        <f>'Kullanılan gübre'!AV39*'Gübre oranlar'!AY$2</f>
        <v>0</v>
      </c>
      <c r="AW39">
        <f t="shared" si="0"/>
        <v>1012.6180000000001</v>
      </c>
    </row>
    <row r="40" spans="1:49" hidden="1" x14ac:dyDescent="0.25">
      <c r="A40" t="str">
        <f>'Kullanılan gübre'!A40</f>
        <v>AK</v>
      </c>
      <c r="B40" t="str">
        <f>'Kullanılan gübre'!B40</f>
        <v>AFYONKARAHISAR</v>
      </c>
      <c r="C40" t="str">
        <f>'Kullanılan gübre'!C40</f>
        <v>SULTANDAGI</v>
      </c>
      <c r="D40">
        <f>'Kullanılan gübre'!D40</f>
        <v>2009</v>
      </c>
      <c r="E40">
        <f>'Kullanılan gübre'!E40*'Gübre oranlar'!H$2</f>
        <v>61.403999999999996</v>
      </c>
      <c r="F40">
        <f>'Kullanılan gübre'!F40*'Gübre oranlar'!I$2</f>
        <v>17.355</v>
      </c>
      <c r="G40">
        <f>'Kullanılan gübre'!G40*'Gübre oranlar'!J$2</f>
        <v>25.641000000000002</v>
      </c>
      <c r="H40">
        <f>'Kullanılan gübre'!H40*'Gübre oranlar'!K$2</f>
        <v>14.030000000000001</v>
      </c>
      <c r="I40">
        <f>'Kullanılan gübre'!I40*'Gübre oranlar'!L$2</f>
        <v>0</v>
      </c>
      <c r="J40">
        <f>'Kullanılan gübre'!J40*'Gübre oranlar'!M$2</f>
        <v>62.324999999999996</v>
      </c>
      <c r="K40">
        <f>'Kullanılan gübre'!K40*'Gübre oranlar'!N$2</f>
        <v>0</v>
      </c>
      <c r="L40">
        <f>'Kullanılan gübre'!L40*'Gübre oranlar'!O$2</f>
        <v>22.47</v>
      </c>
      <c r="M40">
        <f>'Kullanılan gübre'!M40*'Gübre oranlar'!P$2</f>
        <v>1.08</v>
      </c>
      <c r="N40">
        <f>'Kullanılan gübre'!N40*'Gübre oranlar'!Q$2</f>
        <v>3.3</v>
      </c>
      <c r="O40">
        <f>'Kullanılan gübre'!O40*'Gübre oranlar'!R$2</f>
        <v>0</v>
      </c>
      <c r="P40">
        <f>'Kullanılan gübre'!P40*'Gübre oranlar'!S$2</f>
        <v>0.4849</v>
      </c>
      <c r="Q40">
        <f>'Kullanılan gübre'!Q40*'Gübre oranlar'!T$2</f>
        <v>0</v>
      </c>
      <c r="R40">
        <f>'Kullanılan gübre'!R40*'Gübre oranlar'!U$2</f>
        <v>0</v>
      </c>
      <c r="S40">
        <f>'Kullanılan gübre'!S40*'Gübre oranlar'!V$2</f>
        <v>0</v>
      </c>
      <c r="T40">
        <f>'Kullanılan gübre'!T40*'Gübre oranlar'!W$2</f>
        <v>0</v>
      </c>
      <c r="U40">
        <f>'Kullanılan gübre'!U40*'Gübre oranlar'!X$2</f>
        <v>0</v>
      </c>
      <c r="V40">
        <f>'Kullanılan gübre'!V40*'Gübre oranlar'!Y$2</f>
        <v>0</v>
      </c>
      <c r="W40">
        <f>'Kullanılan gübre'!W40*'Gübre oranlar'!Z$2</f>
        <v>0</v>
      </c>
      <c r="X40">
        <f>'Kullanılan gübre'!X40*'Gübre oranlar'!AA$2</f>
        <v>0</v>
      </c>
      <c r="Y40">
        <f>'Kullanılan gübre'!Y40*'Gübre oranlar'!AB$2</f>
        <v>0</v>
      </c>
      <c r="Z40">
        <f>'Kullanılan gübre'!Z40*'Gübre oranlar'!AC$2</f>
        <v>0</v>
      </c>
      <c r="AA40">
        <f>'Kullanılan gübre'!AA40*'Gübre oranlar'!AD$2</f>
        <v>2.1385000000000001</v>
      </c>
      <c r="AB40">
        <f>'Kullanılan gübre'!AB40*'Gübre oranlar'!AE$2</f>
        <v>0</v>
      </c>
      <c r="AC40">
        <f>'Kullanılan gübre'!AC40*'Gübre oranlar'!AF$2</f>
        <v>0</v>
      </c>
      <c r="AD40">
        <f>'Kullanılan gübre'!AD40*'Gübre oranlar'!AG$2</f>
        <v>0</v>
      </c>
      <c r="AE40">
        <f>'Kullanılan gübre'!AE40*'Gübre oranlar'!AH$2</f>
        <v>0</v>
      </c>
      <c r="AF40">
        <f>'Kullanılan gübre'!AF40*'Gübre oranlar'!AI$2</f>
        <v>0</v>
      </c>
      <c r="AG40">
        <f>'Kullanılan gübre'!AG40*'Gübre oranlar'!AJ$2</f>
        <v>0</v>
      </c>
      <c r="AH40">
        <f>'Kullanılan gübre'!AH40*'Gübre oranlar'!AK$2</f>
        <v>0</v>
      </c>
      <c r="AI40">
        <f>'Kullanılan gübre'!AI40*'Gübre oranlar'!AL$2</f>
        <v>0</v>
      </c>
      <c r="AJ40">
        <f>'Kullanılan gübre'!AJ40*'Gübre oranlar'!AM$2</f>
        <v>0</v>
      </c>
      <c r="AK40">
        <f>'Kullanılan gübre'!AK40*'Gübre oranlar'!AN$2</f>
        <v>0</v>
      </c>
      <c r="AL40">
        <f>'Kullanılan gübre'!AL40*'Gübre oranlar'!AO$2</f>
        <v>0</v>
      </c>
      <c r="AM40">
        <f>'Kullanılan gübre'!AM40*'Gübre oranlar'!AP$2</f>
        <v>0</v>
      </c>
      <c r="AN40">
        <f>'Kullanılan gübre'!AN40*'Gübre oranlar'!AQ$2</f>
        <v>0</v>
      </c>
      <c r="AO40">
        <f>'Kullanılan gübre'!AO40*'Gübre oranlar'!AR$2</f>
        <v>0</v>
      </c>
      <c r="AP40">
        <f>'Kullanılan gübre'!AP40*'Gübre oranlar'!AS$2</f>
        <v>0</v>
      </c>
      <c r="AQ40">
        <f>'Kullanılan gübre'!AQ40*'Gübre oranlar'!AT$2</f>
        <v>0</v>
      </c>
      <c r="AR40">
        <f>'Kullanılan gübre'!AR40*'Gübre oranlar'!AU$2</f>
        <v>0</v>
      </c>
      <c r="AS40">
        <f>'Kullanılan gübre'!AS40*'Gübre oranlar'!AV$2</f>
        <v>0</v>
      </c>
      <c r="AT40">
        <f>'Kullanılan gübre'!AT40*'Gübre oranlar'!AW$2</f>
        <v>0</v>
      </c>
      <c r="AU40">
        <f>'Kullanılan gübre'!AU40*'Gübre oranlar'!AX$2</f>
        <v>0</v>
      </c>
      <c r="AV40">
        <f>'Kullanılan gübre'!AV40*'Gübre oranlar'!AY$2</f>
        <v>0</v>
      </c>
      <c r="AW40">
        <f t="shared" si="0"/>
        <v>210.22840000000002</v>
      </c>
    </row>
    <row r="41" spans="1:49" hidden="1" x14ac:dyDescent="0.25">
      <c r="A41" t="str">
        <f>'Kullanılan gübre'!A41</f>
        <v>AK</v>
      </c>
      <c r="B41" t="str">
        <f>'Kullanılan gübre'!B41</f>
        <v>AFYONKARAHISAR</v>
      </c>
      <c r="C41" t="str">
        <f>'Kullanılan gübre'!C41</f>
        <v>SUHUT</v>
      </c>
      <c r="D41">
        <f>'Kullanılan gübre'!D41</f>
        <v>2009</v>
      </c>
      <c r="E41">
        <f>'Kullanılan gübre'!E41*'Gübre oranlar'!H$2</f>
        <v>342.11099999999999</v>
      </c>
      <c r="F41">
        <f>'Kullanılan gübre'!F41*'Gübre oranlar'!I$2</f>
        <v>34.606000000000002</v>
      </c>
      <c r="G41">
        <f>'Kullanılan gübre'!G41*'Gübre oranlar'!J$2</f>
        <v>600.93000000000006</v>
      </c>
      <c r="H41">
        <f>'Kullanılan gübre'!H41*'Gübre oranlar'!K$2</f>
        <v>630.84400000000005</v>
      </c>
      <c r="I41">
        <f>'Kullanılan gübre'!I41*'Gübre oranlar'!L$2</f>
        <v>0</v>
      </c>
      <c r="J41">
        <f>'Kullanılan gübre'!J41*'Gübre oranlar'!M$2</f>
        <v>303.39</v>
      </c>
      <c r="K41">
        <f>'Kullanılan gübre'!K41*'Gübre oranlar'!N$2</f>
        <v>9.0400000000000009</v>
      </c>
      <c r="L41">
        <f>'Kullanılan gübre'!L41*'Gübre oranlar'!O$2</f>
        <v>67.150000000000006</v>
      </c>
      <c r="M41">
        <f>'Kullanılan gübre'!M41*'Gübre oranlar'!P$2</f>
        <v>10.005000000000001</v>
      </c>
      <c r="N41">
        <f>'Kullanılan gübre'!N41*'Gübre oranlar'!Q$2</f>
        <v>126.21</v>
      </c>
      <c r="O41">
        <f>'Kullanılan gübre'!O41*'Gübre oranlar'!R$2</f>
        <v>0</v>
      </c>
      <c r="P41">
        <f>'Kullanılan gübre'!P41*'Gübre oranlar'!S$2</f>
        <v>10.585900000000001</v>
      </c>
      <c r="Q41">
        <f>'Kullanılan gübre'!Q41*'Gübre oranlar'!T$2</f>
        <v>17.988</v>
      </c>
      <c r="R41">
        <f>'Kullanılan gübre'!R41*'Gübre oranlar'!U$2</f>
        <v>0</v>
      </c>
      <c r="S41">
        <f>'Kullanılan gübre'!S41*'Gübre oranlar'!V$2</f>
        <v>3.1046500000000004</v>
      </c>
      <c r="T41">
        <f>'Kullanılan gübre'!T41*'Gübre oranlar'!W$2</f>
        <v>0</v>
      </c>
      <c r="U41">
        <f>'Kullanılan gübre'!U41*'Gübre oranlar'!X$2</f>
        <v>0</v>
      </c>
      <c r="V41">
        <f>'Kullanılan gübre'!V41*'Gübre oranlar'!Y$2</f>
        <v>0</v>
      </c>
      <c r="W41">
        <f>'Kullanılan gübre'!W41*'Gübre oranlar'!Z$2</f>
        <v>0</v>
      </c>
      <c r="X41">
        <f>'Kullanılan gübre'!X41*'Gübre oranlar'!AA$2</f>
        <v>3.8100000000000005</v>
      </c>
      <c r="Y41">
        <f>'Kullanılan gübre'!Y41*'Gübre oranlar'!AB$2</f>
        <v>0</v>
      </c>
      <c r="Z41">
        <f>'Kullanılan gübre'!Z41*'Gübre oranlar'!AC$2</f>
        <v>0</v>
      </c>
      <c r="AA41">
        <f>'Kullanılan gübre'!AA41*'Gübre oranlar'!AD$2</f>
        <v>16.068000000000001</v>
      </c>
      <c r="AB41">
        <f>'Kullanılan gübre'!AB41*'Gübre oranlar'!AE$2</f>
        <v>0</v>
      </c>
      <c r="AC41">
        <f>'Kullanılan gübre'!AC41*'Gübre oranlar'!AF$2</f>
        <v>0</v>
      </c>
      <c r="AD41">
        <f>'Kullanılan gübre'!AD41*'Gübre oranlar'!AG$2</f>
        <v>0</v>
      </c>
      <c r="AE41">
        <f>'Kullanılan gübre'!AE41*'Gübre oranlar'!AH$2</f>
        <v>0</v>
      </c>
      <c r="AF41">
        <f>'Kullanılan gübre'!AF41*'Gübre oranlar'!AI$2</f>
        <v>0</v>
      </c>
      <c r="AG41">
        <f>'Kullanılan gübre'!AG41*'Gübre oranlar'!AJ$2</f>
        <v>0</v>
      </c>
      <c r="AH41">
        <f>'Kullanılan gübre'!AH41*'Gübre oranlar'!AK$2</f>
        <v>0</v>
      </c>
      <c r="AI41">
        <f>'Kullanılan gübre'!AI41*'Gübre oranlar'!AL$2</f>
        <v>0</v>
      </c>
      <c r="AJ41">
        <f>'Kullanılan gübre'!AJ41*'Gübre oranlar'!AM$2</f>
        <v>0</v>
      </c>
      <c r="AK41">
        <f>'Kullanılan gübre'!AK41*'Gübre oranlar'!AN$2</f>
        <v>0</v>
      </c>
      <c r="AL41">
        <f>'Kullanılan gübre'!AL41*'Gübre oranlar'!AO$2</f>
        <v>0</v>
      </c>
      <c r="AM41">
        <f>'Kullanılan gübre'!AM41*'Gübre oranlar'!AP$2</f>
        <v>0</v>
      </c>
      <c r="AN41">
        <f>'Kullanılan gübre'!AN41*'Gübre oranlar'!AQ$2</f>
        <v>0</v>
      </c>
      <c r="AO41">
        <f>'Kullanılan gübre'!AO41*'Gübre oranlar'!AR$2</f>
        <v>0</v>
      </c>
      <c r="AP41">
        <f>'Kullanılan gübre'!AP41*'Gübre oranlar'!AS$2</f>
        <v>0</v>
      </c>
      <c r="AQ41">
        <f>'Kullanılan gübre'!AQ41*'Gübre oranlar'!AT$2</f>
        <v>0</v>
      </c>
      <c r="AR41">
        <f>'Kullanılan gübre'!AR41*'Gübre oranlar'!AU$2</f>
        <v>0</v>
      </c>
      <c r="AS41">
        <f>'Kullanılan gübre'!AS41*'Gübre oranlar'!AV$2</f>
        <v>0</v>
      </c>
      <c r="AT41">
        <f>'Kullanılan gübre'!AT41*'Gübre oranlar'!AW$2</f>
        <v>0</v>
      </c>
      <c r="AU41">
        <f>'Kullanılan gübre'!AU41*'Gübre oranlar'!AX$2</f>
        <v>0</v>
      </c>
      <c r="AV41">
        <f>'Kullanılan gübre'!AV41*'Gübre oranlar'!AY$2</f>
        <v>0</v>
      </c>
      <c r="AW41">
        <f t="shared" si="0"/>
        <v>2175.8425500000003</v>
      </c>
    </row>
    <row r="42" spans="1:49" hidden="1" x14ac:dyDescent="0.25">
      <c r="A42" t="str">
        <f>'Kullanılan gübre'!A42</f>
        <v>AK</v>
      </c>
      <c r="B42" t="str">
        <f>'Kullanılan gübre'!B42</f>
        <v>AFYONKARAHISAR</v>
      </c>
      <c r="C42" t="str">
        <f>'Kullanılan gübre'!C42</f>
        <v>MERKEZ</v>
      </c>
      <c r="D42">
        <f>'Kullanılan gübre'!D42</f>
        <v>2010</v>
      </c>
      <c r="E42">
        <f>'Kullanılan gübre'!E42*'Gübre oranlar'!H$2</f>
        <v>53.203499999999998</v>
      </c>
      <c r="F42">
        <f>'Kullanılan gübre'!F42*'Gübre oranlar'!I$2</f>
        <v>250.30200000000002</v>
      </c>
      <c r="G42">
        <f>'Kullanılan gübre'!G42*'Gübre oranlar'!J$2</f>
        <v>376.16700000000003</v>
      </c>
      <c r="H42">
        <f>'Kullanılan gübre'!H42*'Gübre oranlar'!K$2</f>
        <v>443.64700000000005</v>
      </c>
      <c r="I42">
        <f>'Kullanılan gübre'!I42*'Gübre oranlar'!L$2</f>
        <v>0</v>
      </c>
      <c r="J42">
        <f>'Kullanılan gübre'!J42*'Gübre oranlar'!M$2</f>
        <v>273.46499999999997</v>
      </c>
      <c r="K42">
        <f>'Kullanılan gübre'!K42*'Gübre oranlar'!N$2</f>
        <v>475.31000000000006</v>
      </c>
      <c r="L42">
        <f>'Kullanılan gübre'!L42*'Gübre oranlar'!O$2</f>
        <v>96.550000000000011</v>
      </c>
      <c r="M42">
        <f>'Kullanılan gübre'!M42*'Gübre oranlar'!P$2</f>
        <v>41.032499999999999</v>
      </c>
      <c r="N42">
        <f>'Kullanılan gübre'!N42*'Gübre oranlar'!Q$2</f>
        <v>74.032499999999999</v>
      </c>
      <c r="O42">
        <f>'Kullanılan gübre'!O42*'Gübre oranlar'!R$2</f>
        <v>0</v>
      </c>
      <c r="P42">
        <f>'Kullanılan gübre'!P42*'Gübre oranlar'!S$2</f>
        <v>1.5925</v>
      </c>
      <c r="Q42">
        <f>'Kullanılan gübre'!Q42*'Gübre oranlar'!T$2</f>
        <v>44.46</v>
      </c>
      <c r="R42">
        <f>'Kullanılan gübre'!R42*'Gübre oranlar'!U$2</f>
        <v>0</v>
      </c>
      <c r="S42">
        <f>'Kullanılan gübre'!S42*'Gübre oranlar'!V$2</f>
        <v>2.0150000000000001E-2</v>
      </c>
      <c r="T42">
        <f>'Kullanılan gübre'!T42*'Gübre oranlar'!W$2</f>
        <v>0</v>
      </c>
      <c r="U42">
        <f>'Kullanılan gübre'!U42*'Gübre oranlar'!X$2</f>
        <v>0</v>
      </c>
      <c r="V42">
        <f>'Kullanılan gübre'!V42*'Gübre oranlar'!Y$2</f>
        <v>0</v>
      </c>
      <c r="W42">
        <f>'Kullanılan gübre'!W42*'Gübre oranlar'!Z$2</f>
        <v>0</v>
      </c>
      <c r="X42">
        <f>'Kullanılan gübre'!X42*'Gübre oranlar'!AA$2</f>
        <v>0</v>
      </c>
      <c r="Y42">
        <f>'Kullanılan gübre'!Y42*'Gübre oranlar'!AB$2</f>
        <v>0</v>
      </c>
      <c r="Z42">
        <f>'Kullanılan gübre'!Z42*'Gübre oranlar'!AC$2</f>
        <v>0</v>
      </c>
      <c r="AA42">
        <f>'Kullanılan gübre'!AA42*'Gübre oranlar'!AD$2</f>
        <v>0</v>
      </c>
      <c r="AB42">
        <f>'Kullanılan gübre'!AB42*'Gübre oranlar'!AE$2</f>
        <v>0</v>
      </c>
      <c r="AC42">
        <f>'Kullanılan gübre'!AC42*'Gübre oranlar'!AF$2</f>
        <v>0</v>
      </c>
      <c r="AD42">
        <f>'Kullanılan gübre'!AD42*'Gübre oranlar'!AG$2</f>
        <v>0</v>
      </c>
      <c r="AE42">
        <f>'Kullanılan gübre'!AE42*'Gübre oranlar'!AH$2</f>
        <v>0.5</v>
      </c>
      <c r="AF42">
        <f>'Kullanılan gübre'!AF42*'Gübre oranlar'!AI$2</f>
        <v>0</v>
      </c>
      <c r="AG42">
        <f>'Kullanılan gübre'!AG42*'Gübre oranlar'!AJ$2</f>
        <v>0</v>
      </c>
      <c r="AH42">
        <f>'Kullanılan gübre'!AH42*'Gübre oranlar'!AK$2</f>
        <v>0</v>
      </c>
      <c r="AI42">
        <f>'Kullanılan gübre'!AI42*'Gübre oranlar'!AL$2</f>
        <v>0</v>
      </c>
      <c r="AJ42">
        <f>'Kullanılan gübre'!AJ42*'Gübre oranlar'!AM$2</f>
        <v>0</v>
      </c>
      <c r="AK42">
        <f>'Kullanılan gübre'!AK42*'Gübre oranlar'!AN$2</f>
        <v>0</v>
      </c>
      <c r="AL42">
        <f>'Kullanılan gübre'!AL42*'Gübre oranlar'!AO$2</f>
        <v>0</v>
      </c>
      <c r="AM42">
        <f>'Kullanılan gübre'!AM42*'Gübre oranlar'!AP$2</f>
        <v>0</v>
      </c>
      <c r="AN42">
        <f>'Kullanılan gübre'!AN42*'Gübre oranlar'!AQ$2</f>
        <v>0</v>
      </c>
      <c r="AO42">
        <f>'Kullanılan gübre'!AO42*'Gübre oranlar'!AR$2</f>
        <v>0</v>
      </c>
      <c r="AP42">
        <f>'Kullanılan gübre'!AP42*'Gübre oranlar'!AS$2</f>
        <v>0</v>
      </c>
      <c r="AQ42">
        <f>'Kullanılan gübre'!AQ42*'Gübre oranlar'!AT$2</f>
        <v>0</v>
      </c>
      <c r="AR42">
        <f>'Kullanılan gübre'!AR42*'Gübre oranlar'!AU$2</f>
        <v>0</v>
      </c>
      <c r="AS42">
        <f>'Kullanılan gübre'!AS42*'Gübre oranlar'!AV$2</f>
        <v>0</v>
      </c>
      <c r="AT42">
        <f>'Kullanılan gübre'!AT42*'Gübre oranlar'!AW$2</f>
        <v>0</v>
      </c>
      <c r="AU42">
        <f>'Kullanılan gübre'!AU42*'Gübre oranlar'!AX$2</f>
        <v>0</v>
      </c>
      <c r="AV42">
        <f>'Kullanılan gübre'!AV42*'Gübre oranlar'!AY$2</f>
        <v>0</v>
      </c>
      <c r="AW42">
        <f t="shared" si="0"/>
        <v>2130.28215</v>
      </c>
    </row>
    <row r="43" spans="1:49" hidden="1" x14ac:dyDescent="0.25">
      <c r="A43" t="str">
        <f>'Kullanılan gübre'!A43</f>
        <v>AK</v>
      </c>
      <c r="B43" t="str">
        <f>'Kullanılan gübre'!B43</f>
        <v>AFYONKARAHISAR</v>
      </c>
      <c r="C43" t="str">
        <f>'Kullanılan gübre'!C43</f>
        <v>BAYAT</v>
      </c>
      <c r="D43">
        <f>'Kullanılan gübre'!D43</f>
        <v>2010</v>
      </c>
      <c r="E43">
        <f>'Kullanılan gübre'!E43*'Gübre oranlar'!H$2</f>
        <v>0</v>
      </c>
      <c r="F43">
        <f>'Kullanılan gübre'!F43*'Gübre oranlar'!I$2</f>
        <v>39.585000000000001</v>
      </c>
      <c r="G43">
        <f>'Kullanılan gübre'!G43*'Gübre oranlar'!J$2</f>
        <v>1.518</v>
      </c>
      <c r="H43">
        <f>'Kullanılan gübre'!H43*'Gübre oranlar'!K$2</f>
        <v>0</v>
      </c>
      <c r="I43">
        <f>'Kullanılan gübre'!I43*'Gübre oranlar'!L$2</f>
        <v>0</v>
      </c>
      <c r="J43">
        <f>'Kullanılan gübre'!J43*'Gübre oranlar'!M$2</f>
        <v>14.264999999999999</v>
      </c>
      <c r="K43">
        <f>'Kullanılan gübre'!K43*'Gübre oranlar'!N$2</f>
        <v>0</v>
      </c>
      <c r="L43">
        <f>'Kullanılan gübre'!L43*'Gübre oranlar'!O$2</f>
        <v>17.98</v>
      </c>
      <c r="M43">
        <f>'Kullanılan gübre'!M43*'Gübre oranlar'!P$2</f>
        <v>0</v>
      </c>
      <c r="N43">
        <f>'Kullanılan gübre'!N43*'Gübre oranlar'!Q$2</f>
        <v>0</v>
      </c>
      <c r="O43">
        <f>'Kullanılan gübre'!O43*'Gübre oranlar'!R$2</f>
        <v>0</v>
      </c>
      <c r="P43">
        <f>'Kullanılan gübre'!P43*'Gübre oranlar'!S$2</f>
        <v>0</v>
      </c>
      <c r="Q43">
        <f>'Kullanılan gübre'!Q43*'Gübre oranlar'!T$2</f>
        <v>0</v>
      </c>
      <c r="R43">
        <f>'Kullanılan gübre'!R43*'Gübre oranlar'!U$2</f>
        <v>0</v>
      </c>
      <c r="S43">
        <f>'Kullanılan gübre'!S43*'Gübre oranlar'!V$2</f>
        <v>0</v>
      </c>
      <c r="T43">
        <f>'Kullanılan gübre'!T43*'Gübre oranlar'!W$2</f>
        <v>0</v>
      </c>
      <c r="U43">
        <f>'Kullanılan gübre'!U43*'Gübre oranlar'!X$2</f>
        <v>0</v>
      </c>
      <c r="V43">
        <f>'Kullanılan gübre'!V43*'Gübre oranlar'!Y$2</f>
        <v>0</v>
      </c>
      <c r="W43">
        <f>'Kullanılan gübre'!W43*'Gübre oranlar'!Z$2</f>
        <v>0</v>
      </c>
      <c r="X43">
        <f>'Kullanılan gübre'!X43*'Gübre oranlar'!AA$2</f>
        <v>0</v>
      </c>
      <c r="Y43">
        <f>'Kullanılan gübre'!Y43*'Gübre oranlar'!AB$2</f>
        <v>0</v>
      </c>
      <c r="Z43">
        <f>'Kullanılan gübre'!Z43*'Gübre oranlar'!AC$2</f>
        <v>0</v>
      </c>
      <c r="AA43">
        <f>'Kullanılan gübre'!AA43*'Gübre oranlar'!AD$2</f>
        <v>0</v>
      </c>
      <c r="AB43">
        <f>'Kullanılan gübre'!AB43*'Gübre oranlar'!AE$2</f>
        <v>0</v>
      </c>
      <c r="AC43">
        <f>'Kullanılan gübre'!AC43*'Gübre oranlar'!AF$2</f>
        <v>0</v>
      </c>
      <c r="AD43">
        <f>'Kullanılan gübre'!AD43*'Gübre oranlar'!AG$2</f>
        <v>0</v>
      </c>
      <c r="AE43">
        <f>'Kullanılan gübre'!AE43*'Gübre oranlar'!AH$2</f>
        <v>0</v>
      </c>
      <c r="AF43">
        <f>'Kullanılan gübre'!AF43*'Gübre oranlar'!AI$2</f>
        <v>0</v>
      </c>
      <c r="AG43">
        <f>'Kullanılan gübre'!AG43*'Gübre oranlar'!AJ$2</f>
        <v>0</v>
      </c>
      <c r="AH43">
        <f>'Kullanılan gübre'!AH43*'Gübre oranlar'!AK$2</f>
        <v>0</v>
      </c>
      <c r="AI43">
        <f>'Kullanılan gübre'!AI43*'Gübre oranlar'!AL$2</f>
        <v>0</v>
      </c>
      <c r="AJ43">
        <f>'Kullanılan gübre'!AJ43*'Gübre oranlar'!AM$2</f>
        <v>0</v>
      </c>
      <c r="AK43">
        <f>'Kullanılan gübre'!AK43*'Gübre oranlar'!AN$2</f>
        <v>0</v>
      </c>
      <c r="AL43">
        <f>'Kullanılan gübre'!AL43*'Gübre oranlar'!AO$2</f>
        <v>0</v>
      </c>
      <c r="AM43">
        <f>'Kullanılan gübre'!AM43*'Gübre oranlar'!AP$2</f>
        <v>0</v>
      </c>
      <c r="AN43">
        <f>'Kullanılan gübre'!AN43*'Gübre oranlar'!AQ$2</f>
        <v>0</v>
      </c>
      <c r="AO43">
        <f>'Kullanılan gübre'!AO43*'Gübre oranlar'!AR$2</f>
        <v>0</v>
      </c>
      <c r="AP43">
        <f>'Kullanılan gübre'!AP43*'Gübre oranlar'!AS$2</f>
        <v>0</v>
      </c>
      <c r="AQ43">
        <f>'Kullanılan gübre'!AQ43*'Gübre oranlar'!AT$2</f>
        <v>0</v>
      </c>
      <c r="AR43">
        <f>'Kullanılan gübre'!AR43*'Gübre oranlar'!AU$2</f>
        <v>0</v>
      </c>
      <c r="AS43">
        <f>'Kullanılan gübre'!AS43*'Gübre oranlar'!AV$2</f>
        <v>0</v>
      </c>
      <c r="AT43">
        <f>'Kullanılan gübre'!AT43*'Gübre oranlar'!AW$2</f>
        <v>0</v>
      </c>
      <c r="AU43">
        <f>'Kullanılan gübre'!AU43*'Gübre oranlar'!AX$2</f>
        <v>0</v>
      </c>
      <c r="AV43">
        <f>'Kullanılan gübre'!AV43*'Gübre oranlar'!AY$2</f>
        <v>0</v>
      </c>
      <c r="AW43">
        <f t="shared" si="0"/>
        <v>73.347999999999999</v>
      </c>
    </row>
    <row r="44" spans="1:49" hidden="1" x14ac:dyDescent="0.25">
      <c r="A44" t="str">
        <f>'Kullanılan gübre'!A44</f>
        <v>AK</v>
      </c>
      <c r="B44" t="str">
        <f>'Kullanılan gübre'!B44</f>
        <v>AFYONKARAHISAR</v>
      </c>
      <c r="C44" t="str">
        <f>'Kullanılan gübre'!C44</f>
        <v>BOLVADIN</v>
      </c>
      <c r="D44">
        <f>'Kullanılan gübre'!D44</f>
        <v>2010</v>
      </c>
      <c r="E44">
        <f>'Kullanılan gübre'!E44*'Gübre oranlar'!H$2</f>
        <v>23.971499999999999</v>
      </c>
      <c r="F44">
        <f>'Kullanılan gübre'!F44*'Gübre oranlar'!I$2</f>
        <v>38.805</v>
      </c>
      <c r="G44">
        <f>'Kullanılan gübre'!G44*'Gübre oranlar'!J$2</f>
        <v>243.2595</v>
      </c>
      <c r="H44">
        <f>'Kullanılan gübre'!H44*'Gübre oranlar'!K$2</f>
        <v>225.124</v>
      </c>
      <c r="I44">
        <f>'Kullanılan gübre'!I44*'Gübre oranlar'!L$2</f>
        <v>0</v>
      </c>
      <c r="J44">
        <f>'Kullanılan gübre'!J44*'Gübre oranlar'!M$2</f>
        <v>180.46799999999999</v>
      </c>
      <c r="K44">
        <f>'Kullanılan gübre'!K44*'Gübre oranlar'!N$2</f>
        <v>16.400000000000002</v>
      </c>
      <c r="L44">
        <f>'Kullanılan gübre'!L44*'Gübre oranlar'!O$2</f>
        <v>81.260000000000005</v>
      </c>
      <c r="M44">
        <f>'Kullanılan gübre'!M44*'Gübre oranlar'!P$2</f>
        <v>4.6499999999999995</v>
      </c>
      <c r="N44">
        <f>'Kullanılan gübre'!N44*'Gübre oranlar'!Q$2</f>
        <v>3.75</v>
      </c>
      <c r="O44">
        <f>'Kullanılan gübre'!O44*'Gübre oranlar'!R$2</f>
        <v>0</v>
      </c>
      <c r="P44">
        <f>'Kullanılan gübre'!P44*'Gübre oranlar'!S$2</f>
        <v>0.22490000000000002</v>
      </c>
      <c r="Q44">
        <f>'Kullanılan gübre'!Q44*'Gübre oranlar'!T$2</f>
        <v>0</v>
      </c>
      <c r="R44">
        <f>'Kullanılan gübre'!R44*'Gübre oranlar'!U$2</f>
        <v>0</v>
      </c>
      <c r="S44">
        <f>'Kullanılan gübre'!S44*'Gübre oranlar'!V$2</f>
        <v>0</v>
      </c>
      <c r="T44">
        <f>'Kullanılan gübre'!T44*'Gübre oranlar'!W$2</f>
        <v>0</v>
      </c>
      <c r="U44">
        <f>'Kullanılan gübre'!U44*'Gübre oranlar'!X$2</f>
        <v>0</v>
      </c>
      <c r="V44">
        <f>'Kullanılan gübre'!V44*'Gübre oranlar'!Y$2</f>
        <v>0.5</v>
      </c>
      <c r="W44">
        <f>'Kullanılan gübre'!W44*'Gübre oranlar'!Z$2</f>
        <v>0</v>
      </c>
      <c r="X44">
        <f>'Kullanılan gübre'!X44*'Gübre oranlar'!AA$2</f>
        <v>0</v>
      </c>
      <c r="Y44">
        <f>'Kullanılan gübre'!Y44*'Gübre oranlar'!AB$2</f>
        <v>0</v>
      </c>
      <c r="Z44">
        <f>'Kullanılan gübre'!Z44*'Gübre oranlar'!AC$2</f>
        <v>0</v>
      </c>
      <c r="AA44">
        <f>'Kullanılan gübre'!AA44*'Gübre oranlar'!AD$2</f>
        <v>0</v>
      </c>
      <c r="AB44">
        <f>'Kullanılan gübre'!AB44*'Gübre oranlar'!AE$2</f>
        <v>0</v>
      </c>
      <c r="AC44">
        <f>'Kullanılan gübre'!AC44*'Gübre oranlar'!AF$2</f>
        <v>0</v>
      </c>
      <c r="AD44">
        <f>'Kullanılan gübre'!AD44*'Gübre oranlar'!AG$2</f>
        <v>0</v>
      </c>
      <c r="AE44">
        <f>'Kullanılan gübre'!AE44*'Gübre oranlar'!AH$2</f>
        <v>0</v>
      </c>
      <c r="AF44">
        <f>'Kullanılan gübre'!AF44*'Gübre oranlar'!AI$2</f>
        <v>0</v>
      </c>
      <c r="AG44">
        <f>'Kullanılan gübre'!AG44*'Gübre oranlar'!AJ$2</f>
        <v>0</v>
      </c>
      <c r="AH44">
        <f>'Kullanılan gübre'!AH44*'Gübre oranlar'!AK$2</f>
        <v>0</v>
      </c>
      <c r="AI44">
        <f>'Kullanılan gübre'!AI44*'Gübre oranlar'!AL$2</f>
        <v>0</v>
      </c>
      <c r="AJ44">
        <f>'Kullanılan gübre'!AJ44*'Gübre oranlar'!AM$2</f>
        <v>0</v>
      </c>
      <c r="AK44">
        <f>'Kullanılan gübre'!AK44*'Gübre oranlar'!AN$2</f>
        <v>0</v>
      </c>
      <c r="AL44">
        <f>'Kullanılan gübre'!AL44*'Gübre oranlar'!AO$2</f>
        <v>0</v>
      </c>
      <c r="AM44">
        <f>'Kullanılan gübre'!AM44*'Gübre oranlar'!AP$2</f>
        <v>0</v>
      </c>
      <c r="AN44">
        <f>'Kullanılan gübre'!AN44*'Gübre oranlar'!AQ$2</f>
        <v>0</v>
      </c>
      <c r="AO44">
        <f>'Kullanılan gübre'!AO44*'Gübre oranlar'!AR$2</f>
        <v>0</v>
      </c>
      <c r="AP44">
        <f>'Kullanılan gübre'!AP44*'Gübre oranlar'!AS$2</f>
        <v>0</v>
      </c>
      <c r="AQ44">
        <f>'Kullanılan gübre'!AQ44*'Gübre oranlar'!AT$2</f>
        <v>0</v>
      </c>
      <c r="AR44">
        <f>'Kullanılan gübre'!AR44*'Gübre oranlar'!AU$2</f>
        <v>0</v>
      </c>
      <c r="AS44">
        <f>'Kullanılan gübre'!AS44*'Gübre oranlar'!AV$2</f>
        <v>0</v>
      </c>
      <c r="AT44">
        <f>'Kullanılan gübre'!AT44*'Gübre oranlar'!AW$2</f>
        <v>0</v>
      </c>
      <c r="AU44">
        <f>'Kullanılan gübre'!AU44*'Gübre oranlar'!AX$2</f>
        <v>0</v>
      </c>
      <c r="AV44">
        <f>'Kullanılan gübre'!AV44*'Gübre oranlar'!AY$2</f>
        <v>0</v>
      </c>
      <c r="AW44">
        <f t="shared" si="0"/>
        <v>818.41289999999992</v>
      </c>
    </row>
    <row r="45" spans="1:49" hidden="1" x14ac:dyDescent="0.25">
      <c r="A45" t="str">
        <f>'Kullanılan gübre'!A45</f>
        <v>AK</v>
      </c>
      <c r="B45" t="str">
        <f>'Kullanılan gübre'!B45</f>
        <v>AFYONKARAHISAR</v>
      </c>
      <c r="C45" t="str">
        <f>'Kullanılan gübre'!C45</f>
        <v>CAY</v>
      </c>
      <c r="D45">
        <f>'Kullanılan gübre'!D45</f>
        <v>2010</v>
      </c>
      <c r="E45">
        <f>'Kullanılan gübre'!E45*'Gübre oranlar'!H$2</f>
        <v>96.075000000000003</v>
      </c>
      <c r="F45">
        <f>'Kullanılan gübre'!F45*'Gübre oranlar'!I$2</f>
        <v>115.11500000000001</v>
      </c>
      <c r="G45">
        <f>'Kullanılan gübre'!G45*'Gübre oranlar'!J$2</f>
        <v>285.58199999999999</v>
      </c>
      <c r="H45">
        <f>'Kullanılan gübre'!H45*'Gübre oranlar'!K$2</f>
        <v>150.673</v>
      </c>
      <c r="I45">
        <f>'Kullanılan gübre'!I45*'Gübre oranlar'!L$2</f>
        <v>0</v>
      </c>
      <c r="J45">
        <f>'Kullanılan gübre'!J45*'Gübre oranlar'!M$2</f>
        <v>110.32199999999999</v>
      </c>
      <c r="K45">
        <f>'Kullanılan gübre'!K45*'Gübre oranlar'!N$2</f>
        <v>17.100000000000001</v>
      </c>
      <c r="L45">
        <f>'Kullanılan gübre'!L45*'Gübre oranlar'!O$2</f>
        <v>129.24</v>
      </c>
      <c r="M45">
        <f>'Kullanılan gübre'!M45*'Gübre oranlar'!P$2</f>
        <v>16.237500000000001</v>
      </c>
      <c r="N45">
        <f>'Kullanılan gübre'!N45*'Gübre oranlar'!Q$2</f>
        <v>27.127499999999998</v>
      </c>
      <c r="O45">
        <f>'Kullanılan gübre'!O45*'Gübre oranlar'!R$2</f>
        <v>0</v>
      </c>
      <c r="P45">
        <f>'Kullanılan gübre'!P45*'Gübre oranlar'!S$2</f>
        <v>0.17550000000000002</v>
      </c>
      <c r="Q45">
        <f>'Kullanılan gübre'!Q45*'Gübre oranlar'!T$2</f>
        <v>0</v>
      </c>
      <c r="R45">
        <f>'Kullanılan gübre'!R45*'Gübre oranlar'!U$2</f>
        <v>0</v>
      </c>
      <c r="S45">
        <f>'Kullanılan gübre'!S45*'Gübre oranlar'!V$2</f>
        <v>0</v>
      </c>
      <c r="T45">
        <f>'Kullanılan gübre'!T45*'Gübre oranlar'!W$2</f>
        <v>0</v>
      </c>
      <c r="U45">
        <f>'Kullanılan gübre'!U45*'Gübre oranlar'!X$2</f>
        <v>0</v>
      </c>
      <c r="V45">
        <f>'Kullanılan gübre'!V45*'Gübre oranlar'!Y$2</f>
        <v>2</v>
      </c>
      <c r="W45">
        <f>'Kullanılan gübre'!W45*'Gübre oranlar'!Z$2</f>
        <v>0</v>
      </c>
      <c r="X45">
        <f>'Kullanılan gübre'!X45*'Gübre oranlar'!AA$2</f>
        <v>0</v>
      </c>
      <c r="Y45">
        <f>'Kullanılan gübre'!Y45*'Gübre oranlar'!AB$2</f>
        <v>0</v>
      </c>
      <c r="Z45">
        <f>'Kullanılan gübre'!Z45*'Gübre oranlar'!AC$2</f>
        <v>0</v>
      </c>
      <c r="AA45">
        <f>'Kullanılan gübre'!AA45*'Gübre oranlar'!AD$2</f>
        <v>1.014</v>
      </c>
      <c r="AB45">
        <f>'Kullanılan gübre'!AB45*'Gübre oranlar'!AE$2</f>
        <v>0</v>
      </c>
      <c r="AC45">
        <f>'Kullanılan gübre'!AC45*'Gübre oranlar'!AF$2</f>
        <v>0</v>
      </c>
      <c r="AD45">
        <f>'Kullanılan gübre'!AD45*'Gübre oranlar'!AG$2</f>
        <v>0</v>
      </c>
      <c r="AE45">
        <f>'Kullanılan gübre'!AE45*'Gübre oranlar'!AH$2</f>
        <v>0</v>
      </c>
      <c r="AF45">
        <f>'Kullanılan gübre'!AF45*'Gübre oranlar'!AI$2</f>
        <v>0</v>
      </c>
      <c r="AG45">
        <f>'Kullanılan gübre'!AG45*'Gübre oranlar'!AJ$2</f>
        <v>0</v>
      </c>
      <c r="AH45">
        <f>'Kullanılan gübre'!AH45*'Gübre oranlar'!AK$2</f>
        <v>0</v>
      </c>
      <c r="AI45">
        <f>'Kullanılan gübre'!AI45*'Gübre oranlar'!AL$2</f>
        <v>0</v>
      </c>
      <c r="AJ45">
        <f>'Kullanılan gübre'!AJ45*'Gübre oranlar'!AM$2</f>
        <v>0</v>
      </c>
      <c r="AK45">
        <f>'Kullanılan gübre'!AK45*'Gübre oranlar'!AN$2</f>
        <v>0</v>
      </c>
      <c r="AL45">
        <f>'Kullanılan gübre'!AL45*'Gübre oranlar'!AO$2</f>
        <v>0</v>
      </c>
      <c r="AM45">
        <f>'Kullanılan gübre'!AM45*'Gübre oranlar'!AP$2</f>
        <v>0</v>
      </c>
      <c r="AN45">
        <f>'Kullanılan gübre'!AN45*'Gübre oranlar'!AQ$2</f>
        <v>0</v>
      </c>
      <c r="AO45">
        <f>'Kullanılan gübre'!AO45*'Gübre oranlar'!AR$2</f>
        <v>0</v>
      </c>
      <c r="AP45">
        <f>'Kullanılan gübre'!AP45*'Gübre oranlar'!AS$2</f>
        <v>0</v>
      </c>
      <c r="AQ45">
        <f>'Kullanılan gübre'!AQ45*'Gübre oranlar'!AT$2</f>
        <v>0</v>
      </c>
      <c r="AR45">
        <f>'Kullanılan gübre'!AR45*'Gübre oranlar'!AU$2</f>
        <v>0</v>
      </c>
      <c r="AS45">
        <f>'Kullanılan gübre'!AS45*'Gübre oranlar'!AV$2</f>
        <v>0</v>
      </c>
      <c r="AT45">
        <f>'Kullanılan gübre'!AT45*'Gübre oranlar'!AW$2</f>
        <v>0</v>
      </c>
      <c r="AU45">
        <f>'Kullanılan gübre'!AU45*'Gübre oranlar'!AX$2</f>
        <v>0</v>
      </c>
      <c r="AV45">
        <f>'Kullanılan gübre'!AV45*'Gübre oranlar'!AY$2</f>
        <v>0</v>
      </c>
      <c r="AW45">
        <f t="shared" si="0"/>
        <v>950.66150000000005</v>
      </c>
    </row>
    <row r="46" spans="1:49" hidden="1" x14ac:dyDescent="0.25">
      <c r="A46" t="str">
        <f>'Kullanılan gübre'!A46</f>
        <v>AK</v>
      </c>
      <c r="B46" t="str">
        <f>'Kullanılan gübre'!B46</f>
        <v>AFYONKARAHISAR</v>
      </c>
      <c r="C46" t="str">
        <f>'Kullanılan gübre'!C46</f>
        <v>COBANLAR</v>
      </c>
      <c r="D46">
        <f>'Kullanılan gübre'!D46</f>
        <v>2010</v>
      </c>
      <c r="E46">
        <f>'Kullanılan gübre'!E46*'Gübre oranlar'!H$2</f>
        <v>22.564499999999999</v>
      </c>
      <c r="F46">
        <f>'Kullanılan gübre'!F46*'Gübre oranlar'!I$2</f>
        <v>10.790000000000001</v>
      </c>
      <c r="G46">
        <f>'Kullanılan gübre'!G46*'Gübre oranlar'!J$2</f>
        <v>46.810499999999998</v>
      </c>
      <c r="H46">
        <f>'Kullanılan gübre'!H46*'Gübre oranlar'!K$2</f>
        <v>121.854</v>
      </c>
      <c r="I46">
        <f>'Kullanılan gübre'!I46*'Gübre oranlar'!L$2</f>
        <v>0</v>
      </c>
      <c r="J46">
        <f>'Kullanılan gübre'!J46*'Gübre oranlar'!M$2</f>
        <v>90.908999999999992</v>
      </c>
      <c r="K46">
        <f>'Kullanılan gübre'!K46*'Gübre oranlar'!N$2</f>
        <v>11.200000000000001</v>
      </c>
      <c r="L46">
        <f>'Kullanılan gübre'!L46*'Gübre oranlar'!O$2</f>
        <v>44.800000000000004</v>
      </c>
      <c r="M46">
        <f>'Kullanılan gübre'!M46*'Gübre oranlar'!P$2</f>
        <v>6</v>
      </c>
      <c r="N46">
        <f>'Kullanılan gübre'!N46*'Gübre oranlar'!Q$2</f>
        <v>9.5699999999999985</v>
      </c>
      <c r="O46">
        <f>'Kullanılan gübre'!O46*'Gübre oranlar'!R$2</f>
        <v>0</v>
      </c>
      <c r="P46">
        <f>'Kullanılan gübre'!P46*'Gübre oranlar'!S$2</f>
        <v>0.34189999999999998</v>
      </c>
      <c r="Q46">
        <f>'Kullanılan gübre'!Q46*'Gübre oranlar'!T$2</f>
        <v>0</v>
      </c>
      <c r="R46">
        <f>'Kullanılan gübre'!R46*'Gübre oranlar'!U$2</f>
        <v>0</v>
      </c>
      <c r="S46">
        <f>'Kullanılan gübre'!S46*'Gübre oranlar'!V$2</f>
        <v>0</v>
      </c>
      <c r="T46">
        <f>'Kullanılan gübre'!T46*'Gübre oranlar'!W$2</f>
        <v>0</v>
      </c>
      <c r="U46">
        <f>'Kullanılan gübre'!U46*'Gübre oranlar'!X$2</f>
        <v>0</v>
      </c>
      <c r="V46">
        <f>'Kullanılan gübre'!V46*'Gübre oranlar'!Y$2</f>
        <v>0</v>
      </c>
      <c r="W46">
        <f>'Kullanılan gübre'!W46*'Gübre oranlar'!Z$2</f>
        <v>0</v>
      </c>
      <c r="X46">
        <f>'Kullanılan gübre'!X46*'Gübre oranlar'!AA$2</f>
        <v>0</v>
      </c>
      <c r="Y46">
        <f>'Kullanılan gübre'!Y46*'Gübre oranlar'!AB$2</f>
        <v>0</v>
      </c>
      <c r="Z46">
        <f>'Kullanılan gübre'!Z46*'Gübre oranlar'!AC$2</f>
        <v>0</v>
      </c>
      <c r="AA46">
        <f>'Kullanılan gübre'!AA46*'Gübre oranlar'!AD$2</f>
        <v>0</v>
      </c>
      <c r="AB46">
        <f>'Kullanılan gübre'!AB46*'Gübre oranlar'!AE$2</f>
        <v>0</v>
      </c>
      <c r="AC46">
        <f>'Kullanılan gübre'!AC46*'Gübre oranlar'!AF$2</f>
        <v>0</v>
      </c>
      <c r="AD46">
        <f>'Kullanılan gübre'!AD46*'Gübre oranlar'!AG$2</f>
        <v>0</v>
      </c>
      <c r="AE46">
        <f>'Kullanılan gübre'!AE46*'Gübre oranlar'!AH$2</f>
        <v>0</v>
      </c>
      <c r="AF46">
        <f>'Kullanılan gübre'!AF46*'Gübre oranlar'!AI$2</f>
        <v>0</v>
      </c>
      <c r="AG46">
        <f>'Kullanılan gübre'!AG46*'Gübre oranlar'!AJ$2</f>
        <v>0</v>
      </c>
      <c r="AH46">
        <f>'Kullanılan gübre'!AH46*'Gübre oranlar'!AK$2</f>
        <v>0</v>
      </c>
      <c r="AI46">
        <f>'Kullanılan gübre'!AI46*'Gübre oranlar'!AL$2</f>
        <v>0</v>
      </c>
      <c r="AJ46">
        <f>'Kullanılan gübre'!AJ46*'Gübre oranlar'!AM$2</f>
        <v>0</v>
      </c>
      <c r="AK46">
        <f>'Kullanılan gübre'!AK46*'Gübre oranlar'!AN$2</f>
        <v>0</v>
      </c>
      <c r="AL46">
        <f>'Kullanılan gübre'!AL46*'Gübre oranlar'!AO$2</f>
        <v>0</v>
      </c>
      <c r="AM46">
        <f>'Kullanılan gübre'!AM46*'Gübre oranlar'!AP$2</f>
        <v>0</v>
      </c>
      <c r="AN46">
        <f>'Kullanılan gübre'!AN46*'Gübre oranlar'!AQ$2</f>
        <v>0</v>
      </c>
      <c r="AO46">
        <f>'Kullanılan gübre'!AO46*'Gübre oranlar'!AR$2</f>
        <v>0</v>
      </c>
      <c r="AP46">
        <f>'Kullanılan gübre'!AP46*'Gübre oranlar'!AS$2</f>
        <v>0</v>
      </c>
      <c r="AQ46">
        <f>'Kullanılan gübre'!AQ46*'Gübre oranlar'!AT$2</f>
        <v>0</v>
      </c>
      <c r="AR46">
        <f>'Kullanılan gübre'!AR46*'Gübre oranlar'!AU$2</f>
        <v>0</v>
      </c>
      <c r="AS46">
        <f>'Kullanılan gübre'!AS46*'Gübre oranlar'!AV$2</f>
        <v>0</v>
      </c>
      <c r="AT46">
        <f>'Kullanılan gübre'!AT46*'Gübre oranlar'!AW$2</f>
        <v>0</v>
      </c>
      <c r="AU46">
        <f>'Kullanılan gübre'!AU46*'Gübre oranlar'!AX$2</f>
        <v>0</v>
      </c>
      <c r="AV46">
        <f>'Kullanılan gübre'!AV46*'Gübre oranlar'!AY$2</f>
        <v>0</v>
      </c>
      <c r="AW46">
        <f t="shared" si="0"/>
        <v>364.8399</v>
      </c>
    </row>
    <row r="47" spans="1:49" hidden="1" x14ac:dyDescent="0.25">
      <c r="A47" t="str">
        <f>'Kullanılan gübre'!A47</f>
        <v>AK</v>
      </c>
      <c r="B47" t="str">
        <f>'Kullanılan gübre'!B47</f>
        <v>AFYONKARAHISAR</v>
      </c>
      <c r="C47" t="str">
        <f>'Kullanılan gübre'!C47</f>
        <v>IHSANIYE</v>
      </c>
      <c r="D47">
        <f>'Kullanılan gübre'!D47</f>
        <v>2010</v>
      </c>
      <c r="E47">
        <f>'Kullanılan gübre'!E47*'Gübre oranlar'!H$2</f>
        <v>3.7275</v>
      </c>
      <c r="F47">
        <f>'Kullanılan gübre'!F47*'Gübre oranlar'!I$2</f>
        <v>67.703999999999994</v>
      </c>
      <c r="G47">
        <f>'Kullanılan gübre'!G47*'Gübre oranlar'!J$2</f>
        <v>95.155500000000018</v>
      </c>
      <c r="H47">
        <f>'Kullanılan gübre'!H47*'Gübre oranlar'!K$2</f>
        <v>179.929</v>
      </c>
      <c r="I47">
        <f>'Kullanılan gübre'!I47*'Gübre oranlar'!L$2</f>
        <v>0</v>
      </c>
      <c r="J47">
        <f>'Kullanılan gübre'!J47*'Gübre oranlar'!M$2</f>
        <v>86.984999999999999</v>
      </c>
      <c r="K47">
        <f>'Kullanılan gübre'!K47*'Gübre oranlar'!N$2</f>
        <v>234.26999999999998</v>
      </c>
      <c r="L47">
        <f>'Kullanılan gübre'!L47*'Gübre oranlar'!O$2</f>
        <v>4</v>
      </c>
      <c r="M47">
        <f>'Kullanılan gübre'!M47*'Gübre oranlar'!P$2</f>
        <v>0</v>
      </c>
      <c r="N47">
        <f>'Kullanılan gübre'!N47*'Gübre oranlar'!Q$2</f>
        <v>0.6</v>
      </c>
      <c r="O47">
        <f>'Kullanılan gübre'!O47*'Gübre oranlar'!R$2</f>
        <v>0</v>
      </c>
      <c r="P47">
        <f>'Kullanılan gübre'!P47*'Gübre oranlar'!S$2</f>
        <v>0</v>
      </c>
      <c r="Q47">
        <f>'Kullanılan gübre'!Q47*'Gübre oranlar'!T$2</f>
        <v>8.16</v>
      </c>
      <c r="R47">
        <f>'Kullanılan gübre'!R47*'Gübre oranlar'!U$2</f>
        <v>0</v>
      </c>
      <c r="S47">
        <f>'Kullanılan gübre'!S47*'Gübre oranlar'!V$2</f>
        <v>0</v>
      </c>
      <c r="T47">
        <f>'Kullanılan gübre'!T47*'Gübre oranlar'!W$2</f>
        <v>0</v>
      </c>
      <c r="U47">
        <f>'Kullanılan gübre'!U47*'Gübre oranlar'!X$2</f>
        <v>0</v>
      </c>
      <c r="V47">
        <f>'Kullanılan gübre'!V47*'Gübre oranlar'!Y$2</f>
        <v>0</v>
      </c>
      <c r="W47">
        <f>'Kullanılan gübre'!W47*'Gübre oranlar'!Z$2</f>
        <v>0</v>
      </c>
      <c r="X47">
        <f>'Kullanılan gübre'!X47*'Gübre oranlar'!AA$2</f>
        <v>0</v>
      </c>
      <c r="Y47">
        <f>'Kullanılan gübre'!Y47*'Gübre oranlar'!AB$2</f>
        <v>0</v>
      </c>
      <c r="Z47">
        <f>'Kullanılan gübre'!Z47*'Gübre oranlar'!AC$2</f>
        <v>0</v>
      </c>
      <c r="AA47">
        <f>'Kullanılan gübre'!AA47*'Gübre oranlar'!AD$2</f>
        <v>0</v>
      </c>
      <c r="AB47">
        <f>'Kullanılan gübre'!AB47*'Gübre oranlar'!AE$2</f>
        <v>0</v>
      </c>
      <c r="AC47">
        <f>'Kullanılan gübre'!AC47*'Gübre oranlar'!AF$2</f>
        <v>0</v>
      </c>
      <c r="AD47">
        <f>'Kullanılan gübre'!AD47*'Gübre oranlar'!AG$2</f>
        <v>0</v>
      </c>
      <c r="AE47">
        <f>'Kullanılan gübre'!AE47*'Gübre oranlar'!AH$2</f>
        <v>0</v>
      </c>
      <c r="AF47">
        <f>'Kullanılan gübre'!AF47*'Gübre oranlar'!AI$2</f>
        <v>0</v>
      </c>
      <c r="AG47">
        <f>'Kullanılan gübre'!AG47*'Gübre oranlar'!AJ$2</f>
        <v>0</v>
      </c>
      <c r="AH47">
        <f>'Kullanılan gübre'!AH47*'Gübre oranlar'!AK$2</f>
        <v>0</v>
      </c>
      <c r="AI47">
        <f>'Kullanılan gübre'!AI47*'Gübre oranlar'!AL$2</f>
        <v>0</v>
      </c>
      <c r="AJ47">
        <f>'Kullanılan gübre'!AJ47*'Gübre oranlar'!AM$2</f>
        <v>0</v>
      </c>
      <c r="AK47">
        <f>'Kullanılan gübre'!AK47*'Gübre oranlar'!AN$2</f>
        <v>0</v>
      </c>
      <c r="AL47">
        <f>'Kullanılan gübre'!AL47*'Gübre oranlar'!AO$2</f>
        <v>0</v>
      </c>
      <c r="AM47">
        <f>'Kullanılan gübre'!AM47*'Gübre oranlar'!AP$2</f>
        <v>0</v>
      </c>
      <c r="AN47">
        <f>'Kullanılan gübre'!AN47*'Gübre oranlar'!AQ$2</f>
        <v>0</v>
      </c>
      <c r="AO47">
        <f>'Kullanılan gübre'!AO47*'Gübre oranlar'!AR$2</f>
        <v>0</v>
      </c>
      <c r="AP47">
        <f>'Kullanılan gübre'!AP47*'Gübre oranlar'!AS$2</f>
        <v>0</v>
      </c>
      <c r="AQ47">
        <f>'Kullanılan gübre'!AQ47*'Gübre oranlar'!AT$2</f>
        <v>0</v>
      </c>
      <c r="AR47">
        <f>'Kullanılan gübre'!AR47*'Gübre oranlar'!AU$2</f>
        <v>0</v>
      </c>
      <c r="AS47">
        <f>'Kullanılan gübre'!AS47*'Gübre oranlar'!AV$2</f>
        <v>0</v>
      </c>
      <c r="AT47">
        <f>'Kullanılan gübre'!AT47*'Gübre oranlar'!AW$2</f>
        <v>0</v>
      </c>
      <c r="AU47">
        <f>'Kullanılan gübre'!AU47*'Gübre oranlar'!AX$2</f>
        <v>0</v>
      </c>
      <c r="AV47">
        <f>'Kullanılan gübre'!AV47*'Gübre oranlar'!AY$2</f>
        <v>0</v>
      </c>
      <c r="AW47">
        <f t="shared" si="0"/>
        <v>680.53099999999995</v>
      </c>
    </row>
    <row r="48" spans="1:49" hidden="1" x14ac:dyDescent="0.25">
      <c r="A48" t="str">
        <f>'Kullanılan gübre'!A48</f>
        <v>AK</v>
      </c>
      <c r="B48" t="str">
        <f>'Kullanılan gübre'!B48</f>
        <v>AFYONKARAHISAR</v>
      </c>
      <c r="C48" t="str">
        <f>'Kullanılan gübre'!C48</f>
        <v>ISCEHISAR</v>
      </c>
      <c r="D48">
        <f>'Kullanılan gübre'!D48</f>
        <v>2010</v>
      </c>
      <c r="E48">
        <f>'Kullanılan gübre'!E48*'Gübre oranlar'!H$2</f>
        <v>0</v>
      </c>
      <c r="F48">
        <f>'Kullanılan gübre'!F48*'Gübre oranlar'!I$2</f>
        <v>43.550000000000004</v>
      </c>
      <c r="G48">
        <f>'Kullanılan gübre'!G48*'Gübre oranlar'!J$2</f>
        <v>0</v>
      </c>
      <c r="H48">
        <f>'Kullanılan gübre'!H48*'Gübre oranlar'!K$2</f>
        <v>0</v>
      </c>
      <c r="I48">
        <f>'Kullanılan gübre'!I48*'Gübre oranlar'!L$2</f>
        <v>0</v>
      </c>
      <c r="J48">
        <f>'Kullanılan gübre'!J48*'Gübre oranlar'!M$2</f>
        <v>33.939</v>
      </c>
      <c r="K48">
        <f>'Kullanılan gübre'!K48*'Gübre oranlar'!N$2</f>
        <v>8.0000000000000016E-2</v>
      </c>
      <c r="L48">
        <f>'Kullanılan gübre'!L48*'Gübre oranlar'!O$2</f>
        <v>24.6</v>
      </c>
      <c r="M48">
        <f>'Kullanılan gübre'!M48*'Gübre oranlar'!P$2</f>
        <v>0</v>
      </c>
      <c r="N48">
        <f>'Kullanılan gübre'!N48*'Gübre oranlar'!Q$2</f>
        <v>0</v>
      </c>
      <c r="O48">
        <f>'Kullanılan gübre'!O48*'Gübre oranlar'!R$2</f>
        <v>0</v>
      </c>
      <c r="P48">
        <f>'Kullanılan gübre'!P48*'Gübre oranlar'!S$2</f>
        <v>0</v>
      </c>
      <c r="Q48">
        <f>'Kullanılan gübre'!Q48*'Gübre oranlar'!T$2</f>
        <v>0</v>
      </c>
      <c r="R48">
        <f>'Kullanılan gübre'!R48*'Gübre oranlar'!U$2</f>
        <v>0</v>
      </c>
      <c r="S48">
        <f>'Kullanılan gübre'!S48*'Gübre oranlar'!V$2</f>
        <v>0</v>
      </c>
      <c r="T48">
        <f>'Kullanılan gübre'!T48*'Gübre oranlar'!W$2</f>
        <v>0</v>
      </c>
      <c r="U48">
        <f>'Kullanılan gübre'!U48*'Gübre oranlar'!X$2</f>
        <v>0</v>
      </c>
      <c r="V48">
        <f>'Kullanılan gübre'!V48*'Gübre oranlar'!Y$2</f>
        <v>0</v>
      </c>
      <c r="W48">
        <f>'Kullanılan gübre'!W48*'Gübre oranlar'!Z$2</f>
        <v>0</v>
      </c>
      <c r="X48">
        <f>'Kullanılan gübre'!X48*'Gübre oranlar'!AA$2</f>
        <v>0</v>
      </c>
      <c r="Y48">
        <f>'Kullanılan gübre'!Y48*'Gübre oranlar'!AB$2</f>
        <v>0</v>
      </c>
      <c r="Z48">
        <f>'Kullanılan gübre'!Z48*'Gübre oranlar'!AC$2</f>
        <v>0</v>
      </c>
      <c r="AA48">
        <f>'Kullanılan gübre'!AA48*'Gübre oranlar'!AD$2</f>
        <v>0</v>
      </c>
      <c r="AB48">
        <f>'Kullanılan gübre'!AB48*'Gübre oranlar'!AE$2</f>
        <v>0</v>
      </c>
      <c r="AC48">
        <f>'Kullanılan gübre'!AC48*'Gübre oranlar'!AF$2</f>
        <v>0</v>
      </c>
      <c r="AD48">
        <f>'Kullanılan gübre'!AD48*'Gübre oranlar'!AG$2</f>
        <v>0</v>
      </c>
      <c r="AE48">
        <f>'Kullanılan gübre'!AE48*'Gübre oranlar'!AH$2</f>
        <v>0</v>
      </c>
      <c r="AF48">
        <f>'Kullanılan gübre'!AF48*'Gübre oranlar'!AI$2</f>
        <v>0</v>
      </c>
      <c r="AG48">
        <f>'Kullanılan gübre'!AG48*'Gübre oranlar'!AJ$2</f>
        <v>0</v>
      </c>
      <c r="AH48">
        <f>'Kullanılan gübre'!AH48*'Gübre oranlar'!AK$2</f>
        <v>0</v>
      </c>
      <c r="AI48">
        <f>'Kullanılan gübre'!AI48*'Gübre oranlar'!AL$2</f>
        <v>0</v>
      </c>
      <c r="AJ48">
        <f>'Kullanılan gübre'!AJ48*'Gübre oranlar'!AM$2</f>
        <v>0</v>
      </c>
      <c r="AK48">
        <f>'Kullanılan gübre'!AK48*'Gübre oranlar'!AN$2</f>
        <v>0</v>
      </c>
      <c r="AL48">
        <f>'Kullanılan gübre'!AL48*'Gübre oranlar'!AO$2</f>
        <v>0</v>
      </c>
      <c r="AM48">
        <f>'Kullanılan gübre'!AM48*'Gübre oranlar'!AP$2</f>
        <v>0</v>
      </c>
      <c r="AN48">
        <f>'Kullanılan gübre'!AN48*'Gübre oranlar'!AQ$2</f>
        <v>0</v>
      </c>
      <c r="AO48">
        <f>'Kullanılan gübre'!AO48*'Gübre oranlar'!AR$2</f>
        <v>0</v>
      </c>
      <c r="AP48">
        <f>'Kullanılan gübre'!AP48*'Gübre oranlar'!AS$2</f>
        <v>0</v>
      </c>
      <c r="AQ48">
        <f>'Kullanılan gübre'!AQ48*'Gübre oranlar'!AT$2</f>
        <v>0</v>
      </c>
      <c r="AR48">
        <f>'Kullanılan gübre'!AR48*'Gübre oranlar'!AU$2</f>
        <v>0</v>
      </c>
      <c r="AS48">
        <f>'Kullanılan gübre'!AS48*'Gübre oranlar'!AV$2</f>
        <v>0</v>
      </c>
      <c r="AT48">
        <f>'Kullanılan gübre'!AT48*'Gübre oranlar'!AW$2</f>
        <v>0</v>
      </c>
      <c r="AU48">
        <f>'Kullanılan gübre'!AU48*'Gübre oranlar'!AX$2</f>
        <v>0</v>
      </c>
      <c r="AV48">
        <f>'Kullanılan gübre'!AV48*'Gübre oranlar'!AY$2</f>
        <v>0</v>
      </c>
      <c r="AW48">
        <f t="shared" si="0"/>
        <v>102.16900000000001</v>
      </c>
    </row>
    <row r="49" spans="1:49" hidden="1" x14ac:dyDescent="0.25">
      <c r="A49" t="str">
        <f>'Kullanılan gübre'!A49</f>
        <v>AK</v>
      </c>
      <c r="B49" t="str">
        <f>'Kullanılan gübre'!B49</f>
        <v>AFYONKARAHISAR</v>
      </c>
      <c r="C49" t="str">
        <f>'Kullanılan gübre'!C49</f>
        <v>SINANPASA</v>
      </c>
      <c r="D49">
        <f>'Kullanılan gübre'!D49</f>
        <v>2010</v>
      </c>
      <c r="E49">
        <f>'Kullanılan gübre'!E49*'Gübre oranlar'!H$2</f>
        <v>0</v>
      </c>
      <c r="F49">
        <f>'Kullanılan gübre'!F49*'Gübre oranlar'!I$2</f>
        <v>372.09900000000005</v>
      </c>
      <c r="G49">
        <f>'Kullanılan gübre'!G49*'Gübre oranlar'!J$2</f>
        <v>227.35350000000003</v>
      </c>
      <c r="H49">
        <f>'Kullanılan gübre'!H49*'Gübre oranlar'!K$2</f>
        <v>61.387</v>
      </c>
      <c r="I49">
        <f>'Kullanılan gübre'!I49*'Gübre oranlar'!L$2</f>
        <v>0</v>
      </c>
      <c r="J49">
        <f>'Kullanılan gübre'!J49*'Gübre oranlar'!M$2</f>
        <v>132.273</v>
      </c>
      <c r="K49">
        <f>'Kullanılan gübre'!K49*'Gübre oranlar'!N$2</f>
        <v>101.02000000000001</v>
      </c>
      <c r="L49">
        <f>'Kullanılan gübre'!L49*'Gübre oranlar'!O$2</f>
        <v>179.07000000000002</v>
      </c>
      <c r="M49">
        <f>'Kullanılan gübre'!M49*'Gübre oranlar'!P$2</f>
        <v>4.6499999999999995</v>
      </c>
      <c r="N49">
        <f>'Kullanılan gübre'!N49*'Gübre oranlar'!Q$2</f>
        <v>5.6475</v>
      </c>
      <c r="O49">
        <f>'Kullanılan gübre'!O49*'Gübre oranlar'!R$2</f>
        <v>0</v>
      </c>
      <c r="P49">
        <f>'Kullanılan gübre'!P49*'Gübre oranlar'!S$2</f>
        <v>0</v>
      </c>
      <c r="Q49">
        <f>'Kullanılan gübre'!Q49*'Gübre oranlar'!T$2</f>
        <v>2.88</v>
      </c>
      <c r="R49">
        <f>'Kullanılan gübre'!R49*'Gübre oranlar'!U$2</f>
        <v>0</v>
      </c>
      <c r="S49">
        <f>'Kullanılan gübre'!S49*'Gübre oranlar'!V$2</f>
        <v>0</v>
      </c>
      <c r="T49">
        <f>'Kullanılan gübre'!T49*'Gübre oranlar'!W$2</f>
        <v>0</v>
      </c>
      <c r="U49">
        <f>'Kullanılan gübre'!U49*'Gübre oranlar'!X$2</f>
        <v>0</v>
      </c>
      <c r="V49">
        <f>'Kullanılan gübre'!V49*'Gübre oranlar'!Y$2</f>
        <v>0</v>
      </c>
      <c r="W49">
        <f>'Kullanılan gübre'!W49*'Gübre oranlar'!Z$2</f>
        <v>0</v>
      </c>
      <c r="X49">
        <f>'Kullanılan gübre'!X49*'Gübre oranlar'!AA$2</f>
        <v>0</v>
      </c>
      <c r="Y49">
        <f>'Kullanılan gübre'!Y49*'Gübre oranlar'!AB$2</f>
        <v>0</v>
      </c>
      <c r="Z49">
        <f>'Kullanılan gübre'!Z49*'Gübre oranlar'!AC$2</f>
        <v>0</v>
      </c>
      <c r="AA49">
        <f>'Kullanılan gübre'!AA49*'Gübre oranlar'!AD$2</f>
        <v>3.5100000000000002</v>
      </c>
      <c r="AB49">
        <f>'Kullanılan gübre'!AB49*'Gübre oranlar'!AE$2</f>
        <v>0</v>
      </c>
      <c r="AC49">
        <f>'Kullanılan gübre'!AC49*'Gübre oranlar'!AF$2</f>
        <v>0</v>
      </c>
      <c r="AD49">
        <f>'Kullanılan gübre'!AD49*'Gübre oranlar'!AG$2</f>
        <v>0</v>
      </c>
      <c r="AE49">
        <f>'Kullanılan gübre'!AE49*'Gübre oranlar'!AH$2</f>
        <v>0</v>
      </c>
      <c r="AF49">
        <f>'Kullanılan gübre'!AF49*'Gübre oranlar'!AI$2</f>
        <v>0</v>
      </c>
      <c r="AG49">
        <f>'Kullanılan gübre'!AG49*'Gübre oranlar'!AJ$2</f>
        <v>0</v>
      </c>
      <c r="AH49">
        <f>'Kullanılan gübre'!AH49*'Gübre oranlar'!AK$2</f>
        <v>0</v>
      </c>
      <c r="AI49">
        <f>'Kullanılan gübre'!AI49*'Gübre oranlar'!AL$2</f>
        <v>0</v>
      </c>
      <c r="AJ49">
        <f>'Kullanılan gübre'!AJ49*'Gübre oranlar'!AM$2</f>
        <v>0</v>
      </c>
      <c r="AK49">
        <f>'Kullanılan gübre'!AK49*'Gübre oranlar'!AN$2</f>
        <v>0</v>
      </c>
      <c r="AL49">
        <f>'Kullanılan gübre'!AL49*'Gübre oranlar'!AO$2</f>
        <v>0</v>
      </c>
      <c r="AM49">
        <f>'Kullanılan gübre'!AM49*'Gübre oranlar'!AP$2</f>
        <v>0</v>
      </c>
      <c r="AN49">
        <f>'Kullanılan gübre'!AN49*'Gübre oranlar'!AQ$2</f>
        <v>0</v>
      </c>
      <c r="AO49">
        <f>'Kullanılan gübre'!AO49*'Gübre oranlar'!AR$2</f>
        <v>0</v>
      </c>
      <c r="AP49">
        <f>'Kullanılan gübre'!AP49*'Gübre oranlar'!AS$2</f>
        <v>0</v>
      </c>
      <c r="AQ49">
        <f>'Kullanılan gübre'!AQ49*'Gübre oranlar'!AT$2</f>
        <v>0</v>
      </c>
      <c r="AR49">
        <f>'Kullanılan gübre'!AR49*'Gübre oranlar'!AU$2</f>
        <v>0</v>
      </c>
      <c r="AS49">
        <f>'Kullanılan gübre'!AS49*'Gübre oranlar'!AV$2</f>
        <v>0</v>
      </c>
      <c r="AT49">
        <f>'Kullanılan gübre'!AT49*'Gübre oranlar'!AW$2</f>
        <v>0</v>
      </c>
      <c r="AU49">
        <f>'Kullanılan gübre'!AU49*'Gübre oranlar'!AX$2</f>
        <v>0</v>
      </c>
      <c r="AV49">
        <f>'Kullanılan gübre'!AV49*'Gübre oranlar'!AY$2</f>
        <v>0</v>
      </c>
      <c r="AW49">
        <f t="shared" si="0"/>
        <v>1089.8900000000003</v>
      </c>
    </row>
    <row r="50" spans="1:49" hidden="1" x14ac:dyDescent="0.25">
      <c r="A50" t="str">
        <f>'Kullanılan gübre'!A50</f>
        <v>AK</v>
      </c>
      <c r="B50" t="str">
        <f>'Kullanılan gübre'!B50</f>
        <v>AFYONKARAHISAR</v>
      </c>
      <c r="C50" t="str">
        <f>'Kullanılan gübre'!C50</f>
        <v>SULTANDAGI</v>
      </c>
      <c r="D50">
        <f>'Kullanılan gübre'!D50</f>
        <v>2010</v>
      </c>
      <c r="E50">
        <f>'Kullanılan gübre'!E50*'Gübre oranlar'!H$2</f>
        <v>68.4495</v>
      </c>
      <c r="F50">
        <f>'Kullanılan gübre'!F50*'Gübre oranlar'!I$2</f>
        <v>50.505000000000003</v>
      </c>
      <c r="G50">
        <f>'Kullanılan gübre'!G50*'Gübre oranlar'!J$2</f>
        <v>78.375</v>
      </c>
      <c r="H50">
        <f>'Kullanılan gübre'!H50*'Gübre oranlar'!K$2</f>
        <v>17.157999999999998</v>
      </c>
      <c r="I50">
        <f>'Kullanılan gübre'!I50*'Gübre oranlar'!L$2</f>
        <v>0</v>
      </c>
      <c r="J50">
        <f>'Kullanılan gübre'!J50*'Gübre oranlar'!M$2</f>
        <v>48.905999999999999</v>
      </c>
      <c r="K50">
        <f>'Kullanılan gübre'!K50*'Gübre oranlar'!N$2</f>
        <v>4</v>
      </c>
      <c r="L50">
        <f>'Kullanılan gübre'!L50*'Gübre oranlar'!O$2</f>
        <v>48.760000000000005</v>
      </c>
      <c r="M50">
        <f>'Kullanılan gübre'!M50*'Gübre oranlar'!P$2</f>
        <v>1.2</v>
      </c>
      <c r="N50">
        <f>'Kullanılan gübre'!N50*'Gübre oranlar'!Q$2</f>
        <v>12.3675</v>
      </c>
      <c r="O50">
        <f>'Kullanılan gübre'!O50*'Gübre oranlar'!R$2</f>
        <v>0</v>
      </c>
      <c r="P50">
        <f>'Kullanılan gübre'!P50*'Gübre oranlar'!S$2</f>
        <v>0.80600000000000005</v>
      </c>
      <c r="Q50">
        <f>'Kullanılan gübre'!Q50*'Gübre oranlar'!T$2</f>
        <v>0</v>
      </c>
      <c r="R50">
        <f>'Kullanılan gübre'!R50*'Gübre oranlar'!U$2</f>
        <v>0</v>
      </c>
      <c r="S50">
        <f>'Kullanılan gübre'!S50*'Gübre oranlar'!V$2</f>
        <v>0</v>
      </c>
      <c r="T50">
        <f>'Kullanılan gübre'!T50*'Gübre oranlar'!W$2</f>
        <v>0</v>
      </c>
      <c r="U50">
        <f>'Kullanılan gübre'!U50*'Gübre oranlar'!X$2</f>
        <v>0</v>
      </c>
      <c r="V50">
        <f>'Kullanılan gübre'!V50*'Gübre oranlar'!Y$2</f>
        <v>6</v>
      </c>
      <c r="W50">
        <f>'Kullanılan gübre'!W50*'Gübre oranlar'!Z$2</f>
        <v>0</v>
      </c>
      <c r="X50">
        <f>'Kullanılan gübre'!X50*'Gübre oranlar'!AA$2</f>
        <v>0</v>
      </c>
      <c r="Y50">
        <f>'Kullanılan gübre'!Y50*'Gübre oranlar'!AB$2</f>
        <v>0</v>
      </c>
      <c r="Z50">
        <f>'Kullanılan gübre'!Z50*'Gübre oranlar'!AC$2</f>
        <v>0</v>
      </c>
      <c r="AA50">
        <f>'Kullanılan gübre'!AA50*'Gübre oranlar'!AD$2</f>
        <v>8.8335000000000008</v>
      </c>
      <c r="AB50">
        <f>'Kullanılan gübre'!AB50*'Gübre oranlar'!AE$2</f>
        <v>0</v>
      </c>
      <c r="AC50">
        <f>'Kullanılan gübre'!AC50*'Gübre oranlar'!AF$2</f>
        <v>0</v>
      </c>
      <c r="AD50">
        <f>'Kullanılan gübre'!AD50*'Gübre oranlar'!AG$2</f>
        <v>0</v>
      </c>
      <c r="AE50">
        <f>'Kullanılan gübre'!AE50*'Gübre oranlar'!AH$2</f>
        <v>0</v>
      </c>
      <c r="AF50">
        <f>'Kullanılan gübre'!AF50*'Gübre oranlar'!AI$2</f>
        <v>0</v>
      </c>
      <c r="AG50">
        <f>'Kullanılan gübre'!AG50*'Gübre oranlar'!AJ$2</f>
        <v>0</v>
      </c>
      <c r="AH50">
        <f>'Kullanılan gübre'!AH50*'Gübre oranlar'!AK$2</f>
        <v>0</v>
      </c>
      <c r="AI50">
        <f>'Kullanılan gübre'!AI50*'Gübre oranlar'!AL$2</f>
        <v>0</v>
      </c>
      <c r="AJ50">
        <f>'Kullanılan gübre'!AJ50*'Gübre oranlar'!AM$2</f>
        <v>0</v>
      </c>
      <c r="AK50">
        <f>'Kullanılan gübre'!AK50*'Gübre oranlar'!AN$2</f>
        <v>0</v>
      </c>
      <c r="AL50">
        <f>'Kullanılan gübre'!AL50*'Gübre oranlar'!AO$2</f>
        <v>0</v>
      </c>
      <c r="AM50">
        <f>'Kullanılan gübre'!AM50*'Gübre oranlar'!AP$2</f>
        <v>0</v>
      </c>
      <c r="AN50">
        <f>'Kullanılan gübre'!AN50*'Gübre oranlar'!AQ$2</f>
        <v>0</v>
      </c>
      <c r="AO50">
        <f>'Kullanılan gübre'!AO50*'Gübre oranlar'!AR$2</f>
        <v>0</v>
      </c>
      <c r="AP50">
        <f>'Kullanılan gübre'!AP50*'Gübre oranlar'!AS$2</f>
        <v>0</v>
      </c>
      <c r="AQ50">
        <f>'Kullanılan gübre'!AQ50*'Gübre oranlar'!AT$2</f>
        <v>0</v>
      </c>
      <c r="AR50">
        <f>'Kullanılan gübre'!AR50*'Gübre oranlar'!AU$2</f>
        <v>0</v>
      </c>
      <c r="AS50">
        <f>'Kullanılan gübre'!AS50*'Gübre oranlar'!AV$2</f>
        <v>0</v>
      </c>
      <c r="AT50">
        <f>'Kullanılan gübre'!AT50*'Gübre oranlar'!AW$2</f>
        <v>0</v>
      </c>
      <c r="AU50">
        <f>'Kullanılan gübre'!AU50*'Gübre oranlar'!AX$2</f>
        <v>0</v>
      </c>
      <c r="AV50">
        <f>'Kullanılan gübre'!AV50*'Gübre oranlar'!AY$2</f>
        <v>0</v>
      </c>
      <c r="AW50">
        <f t="shared" si="0"/>
        <v>345.36049999999994</v>
      </c>
    </row>
    <row r="51" spans="1:49" hidden="1" x14ac:dyDescent="0.25">
      <c r="A51" t="str">
        <f>'Kullanılan gübre'!A51</f>
        <v>AK</v>
      </c>
      <c r="B51" t="str">
        <f>'Kullanılan gübre'!B51</f>
        <v>AFYONKARAHISAR</v>
      </c>
      <c r="C51" t="str">
        <f>'Kullanılan gübre'!C51</f>
        <v>SUHUT</v>
      </c>
      <c r="D51">
        <f>'Kullanılan gübre'!D51</f>
        <v>2010</v>
      </c>
      <c r="E51">
        <f>'Kullanılan gübre'!E51*'Gübre oranlar'!H$2</f>
        <v>346.37400000000002</v>
      </c>
      <c r="F51">
        <f>'Kullanılan gübre'!F51*'Gübre oranlar'!I$2</f>
        <v>82.277000000000001</v>
      </c>
      <c r="G51">
        <f>'Kullanılan gübre'!G51*'Gübre oranlar'!J$2</f>
        <v>486.05700000000007</v>
      </c>
      <c r="H51">
        <f>'Kullanılan gübre'!H51*'Gübre oranlar'!K$2</f>
        <v>546.27300000000002</v>
      </c>
      <c r="I51">
        <f>'Kullanılan gübre'!I51*'Gübre oranlar'!L$2</f>
        <v>0</v>
      </c>
      <c r="J51">
        <f>'Kullanılan gübre'!J51*'Gübre oranlar'!M$2</f>
        <v>211.995</v>
      </c>
      <c r="K51">
        <f>'Kullanılan gübre'!K51*'Gübre oranlar'!N$2</f>
        <v>7.6099999999999994</v>
      </c>
      <c r="L51">
        <f>'Kullanılan gübre'!L51*'Gübre oranlar'!O$2</f>
        <v>69.290000000000006</v>
      </c>
      <c r="M51">
        <f>'Kullanılan gübre'!M51*'Gübre oranlar'!P$2</f>
        <v>2.0924999999999998</v>
      </c>
      <c r="N51">
        <f>'Kullanılan gübre'!N51*'Gübre oranlar'!Q$2</f>
        <v>165.75</v>
      </c>
      <c r="O51">
        <f>'Kullanılan gübre'!O51*'Gübre oranlar'!R$2</f>
        <v>0</v>
      </c>
      <c r="P51">
        <f>'Kullanılan gübre'!P51*'Gübre oranlar'!S$2</f>
        <v>9.8592000000000013</v>
      </c>
      <c r="Q51">
        <f>'Kullanılan gübre'!Q51*'Gübre oranlar'!T$2</f>
        <v>63.599999999999994</v>
      </c>
      <c r="R51">
        <f>'Kullanılan gübre'!R51*'Gübre oranlar'!U$2</f>
        <v>0</v>
      </c>
      <c r="S51">
        <f>'Kullanılan gübre'!S51*'Gübre oranlar'!V$2</f>
        <v>0</v>
      </c>
      <c r="T51">
        <f>'Kullanılan gübre'!T51*'Gübre oranlar'!W$2</f>
        <v>0</v>
      </c>
      <c r="U51">
        <f>'Kullanılan gübre'!U51*'Gübre oranlar'!X$2</f>
        <v>0</v>
      </c>
      <c r="V51">
        <f>'Kullanılan gübre'!V51*'Gübre oranlar'!Y$2</f>
        <v>0</v>
      </c>
      <c r="W51">
        <f>'Kullanılan gübre'!W51*'Gübre oranlar'!Z$2</f>
        <v>0</v>
      </c>
      <c r="X51">
        <f>'Kullanılan gübre'!X51*'Gübre oranlar'!AA$2</f>
        <v>4.9250000000000007</v>
      </c>
      <c r="Y51">
        <f>'Kullanılan gübre'!Y51*'Gübre oranlar'!AB$2</f>
        <v>0</v>
      </c>
      <c r="Z51">
        <f>'Kullanılan gübre'!Z51*'Gübre oranlar'!AC$2</f>
        <v>0</v>
      </c>
      <c r="AA51">
        <f>'Kullanılan gübre'!AA51*'Gübre oranlar'!AD$2</f>
        <v>27.274000000000001</v>
      </c>
      <c r="AB51">
        <f>'Kullanılan gübre'!AB51*'Gübre oranlar'!AE$2</f>
        <v>0</v>
      </c>
      <c r="AC51">
        <f>'Kullanılan gübre'!AC51*'Gübre oranlar'!AF$2</f>
        <v>0</v>
      </c>
      <c r="AD51">
        <f>'Kullanılan gübre'!AD51*'Gübre oranlar'!AG$2</f>
        <v>0</v>
      </c>
      <c r="AE51">
        <f>'Kullanılan gübre'!AE51*'Gübre oranlar'!AH$2</f>
        <v>0.38</v>
      </c>
      <c r="AF51">
        <f>'Kullanılan gübre'!AF51*'Gübre oranlar'!AI$2</f>
        <v>0</v>
      </c>
      <c r="AG51">
        <f>'Kullanılan gübre'!AG51*'Gübre oranlar'!AJ$2</f>
        <v>0</v>
      </c>
      <c r="AH51">
        <f>'Kullanılan gübre'!AH51*'Gübre oranlar'!AK$2</f>
        <v>0</v>
      </c>
      <c r="AI51">
        <f>'Kullanılan gübre'!AI51*'Gübre oranlar'!AL$2</f>
        <v>0</v>
      </c>
      <c r="AJ51">
        <f>'Kullanılan gübre'!AJ51*'Gübre oranlar'!AM$2</f>
        <v>0</v>
      </c>
      <c r="AK51">
        <f>'Kullanılan gübre'!AK51*'Gübre oranlar'!AN$2</f>
        <v>0</v>
      </c>
      <c r="AL51">
        <f>'Kullanılan gübre'!AL51*'Gübre oranlar'!AO$2</f>
        <v>0</v>
      </c>
      <c r="AM51">
        <f>'Kullanılan gübre'!AM51*'Gübre oranlar'!AP$2</f>
        <v>0</v>
      </c>
      <c r="AN51">
        <f>'Kullanılan gübre'!AN51*'Gübre oranlar'!AQ$2</f>
        <v>0</v>
      </c>
      <c r="AO51">
        <f>'Kullanılan gübre'!AO51*'Gübre oranlar'!AR$2</f>
        <v>0</v>
      </c>
      <c r="AP51">
        <f>'Kullanılan gübre'!AP51*'Gübre oranlar'!AS$2</f>
        <v>0</v>
      </c>
      <c r="AQ51">
        <f>'Kullanılan gübre'!AQ51*'Gübre oranlar'!AT$2</f>
        <v>0</v>
      </c>
      <c r="AR51">
        <f>'Kullanılan gübre'!AR51*'Gübre oranlar'!AU$2</f>
        <v>0</v>
      </c>
      <c r="AS51">
        <f>'Kullanılan gübre'!AS51*'Gübre oranlar'!AV$2</f>
        <v>0</v>
      </c>
      <c r="AT51">
        <f>'Kullanılan gübre'!AT51*'Gübre oranlar'!AW$2</f>
        <v>0</v>
      </c>
      <c r="AU51">
        <f>'Kullanılan gübre'!AU51*'Gübre oranlar'!AX$2</f>
        <v>0</v>
      </c>
      <c r="AV51">
        <f>'Kullanılan gübre'!AV51*'Gübre oranlar'!AY$2</f>
        <v>0</v>
      </c>
      <c r="AW51">
        <f t="shared" si="0"/>
        <v>2023.7566999999999</v>
      </c>
    </row>
    <row r="52" spans="1:49" hidden="1" x14ac:dyDescent="0.25">
      <c r="A52" t="str">
        <f>'Kullanılan gübre'!A52</f>
        <v>AK</v>
      </c>
      <c r="B52" t="str">
        <f>'Kullanılan gübre'!B52</f>
        <v>AFYONKARAHISAR</v>
      </c>
      <c r="C52" t="str">
        <f>'Kullanılan gübre'!C52</f>
        <v>MERKEZ</v>
      </c>
      <c r="D52">
        <f>'Kullanılan gübre'!D52</f>
        <v>2011</v>
      </c>
      <c r="E52">
        <f>'Kullanılan gübre'!E52*'Gübre oranlar'!H$2</f>
        <v>46.504499999999993</v>
      </c>
      <c r="F52">
        <f>'Kullanılan gübre'!F52*'Gübre oranlar'!I$2</f>
        <v>207.41500000000002</v>
      </c>
      <c r="G52">
        <f>'Kullanılan gübre'!G52*'Gübre oranlar'!J$2</f>
        <v>457.16550000000001</v>
      </c>
      <c r="H52">
        <f>'Kullanılan gübre'!H52*'Gübre oranlar'!K$2</f>
        <v>293.66399999999999</v>
      </c>
      <c r="I52">
        <f>'Kullanılan gübre'!I52*'Gübre oranlar'!L$2</f>
        <v>0</v>
      </c>
      <c r="J52">
        <f>'Kullanılan gübre'!J52*'Gübre oranlar'!M$2</f>
        <v>128.22300000000001</v>
      </c>
      <c r="K52">
        <f>'Kullanılan gübre'!K52*'Gübre oranlar'!N$2</f>
        <v>336.23</v>
      </c>
      <c r="L52">
        <f>'Kullanılan gübre'!L52*'Gübre oranlar'!O$2</f>
        <v>86.350000000000009</v>
      </c>
      <c r="M52">
        <f>'Kullanılan gübre'!M52*'Gübre oranlar'!P$2</f>
        <v>45.945</v>
      </c>
      <c r="N52">
        <f>'Kullanılan gübre'!N52*'Gübre oranlar'!Q$2</f>
        <v>53.542499999999997</v>
      </c>
      <c r="O52">
        <f>'Kullanılan gübre'!O52*'Gübre oranlar'!R$2</f>
        <v>0</v>
      </c>
      <c r="P52">
        <f>'Kullanılan gübre'!P52*'Gübre oranlar'!S$2</f>
        <v>4.9569000000000001</v>
      </c>
      <c r="Q52">
        <f>'Kullanılan gübre'!Q52*'Gübre oranlar'!T$2</f>
        <v>0</v>
      </c>
      <c r="R52">
        <f>'Kullanılan gübre'!R52*'Gübre oranlar'!U$2</f>
        <v>0</v>
      </c>
      <c r="S52">
        <f>'Kullanılan gübre'!S52*'Gübre oranlar'!V$2</f>
        <v>0</v>
      </c>
      <c r="T52">
        <f>'Kullanılan gübre'!T52*'Gübre oranlar'!W$2</f>
        <v>3.3344999999999998</v>
      </c>
      <c r="U52">
        <f>'Kullanılan gübre'!U52*'Gübre oranlar'!X$2</f>
        <v>0</v>
      </c>
      <c r="V52">
        <f>'Kullanılan gübre'!V52*'Gübre oranlar'!Y$2</f>
        <v>4</v>
      </c>
      <c r="W52">
        <f>'Kullanılan gübre'!W52*'Gübre oranlar'!Z$2</f>
        <v>0</v>
      </c>
      <c r="X52">
        <f>'Kullanılan gübre'!X52*'Gübre oranlar'!AA$2</f>
        <v>0</v>
      </c>
      <c r="Y52">
        <f>'Kullanılan gübre'!Y52*'Gübre oranlar'!AB$2</f>
        <v>0</v>
      </c>
      <c r="Z52">
        <f>'Kullanılan gübre'!Z52*'Gübre oranlar'!AC$2</f>
        <v>0</v>
      </c>
      <c r="AA52">
        <f>'Kullanılan gübre'!AA52*'Gübre oranlar'!AD$2</f>
        <v>49.900500000000008</v>
      </c>
      <c r="AB52">
        <f>'Kullanılan gübre'!AB52*'Gübre oranlar'!AE$2</f>
        <v>0</v>
      </c>
      <c r="AC52">
        <f>'Kullanılan gübre'!AC52*'Gübre oranlar'!AF$2</f>
        <v>0</v>
      </c>
      <c r="AD52">
        <f>'Kullanılan gübre'!AD52*'Gübre oranlar'!AG$2</f>
        <v>0</v>
      </c>
      <c r="AE52">
        <f>'Kullanılan gübre'!AE52*'Gübre oranlar'!AH$2</f>
        <v>7.1000000000000005</v>
      </c>
      <c r="AF52">
        <f>'Kullanılan gübre'!AF52*'Gübre oranlar'!AI$2</f>
        <v>0</v>
      </c>
      <c r="AG52">
        <f>'Kullanılan gübre'!AG52*'Gübre oranlar'!AJ$2</f>
        <v>0</v>
      </c>
      <c r="AH52">
        <f>'Kullanılan gübre'!AH52*'Gübre oranlar'!AK$2</f>
        <v>0</v>
      </c>
      <c r="AI52">
        <f>'Kullanılan gübre'!AI52*'Gübre oranlar'!AL$2</f>
        <v>0</v>
      </c>
      <c r="AJ52">
        <f>'Kullanılan gübre'!AJ52*'Gübre oranlar'!AM$2</f>
        <v>0</v>
      </c>
      <c r="AK52">
        <f>'Kullanılan gübre'!AK52*'Gübre oranlar'!AN$2</f>
        <v>0</v>
      </c>
      <c r="AL52">
        <f>'Kullanılan gübre'!AL52*'Gübre oranlar'!AO$2</f>
        <v>0</v>
      </c>
      <c r="AM52">
        <f>'Kullanılan gübre'!AM52*'Gübre oranlar'!AP$2</f>
        <v>0</v>
      </c>
      <c r="AN52">
        <f>'Kullanılan gübre'!AN52*'Gübre oranlar'!AQ$2</f>
        <v>0</v>
      </c>
      <c r="AO52">
        <f>'Kullanılan gübre'!AO52*'Gübre oranlar'!AR$2</f>
        <v>0</v>
      </c>
      <c r="AP52">
        <f>'Kullanılan gübre'!AP52*'Gübre oranlar'!AS$2</f>
        <v>0</v>
      </c>
      <c r="AQ52">
        <f>'Kullanılan gübre'!AQ52*'Gübre oranlar'!AT$2</f>
        <v>0</v>
      </c>
      <c r="AR52">
        <f>'Kullanılan gübre'!AR52*'Gübre oranlar'!AU$2</f>
        <v>0</v>
      </c>
      <c r="AS52">
        <f>'Kullanılan gübre'!AS52*'Gübre oranlar'!AV$2</f>
        <v>0</v>
      </c>
      <c r="AT52">
        <f>'Kullanılan gübre'!AT52*'Gübre oranlar'!AW$2</f>
        <v>0</v>
      </c>
      <c r="AU52">
        <f>'Kullanılan gübre'!AU52*'Gübre oranlar'!AX$2</f>
        <v>0</v>
      </c>
      <c r="AV52">
        <f>'Kullanılan gübre'!AV52*'Gübre oranlar'!AY$2</f>
        <v>0</v>
      </c>
      <c r="AW52">
        <f t="shared" si="0"/>
        <v>1724.3313999999996</v>
      </c>
    </row>
    <row r="53" spans="1:49" hidden="1" x14ac:dyDescent="0.25">
      <c r="A53" t="str">
        <f>'Kullanılan gübre'!A53</f>
        <v>AK</v>
      </c>
      <c r="B53" t="str">
        <f>'Kullanılan gübre'!B53</f>
        <v>AFYONKARAHISAR</v>
      </c>
      <c r="C53" t="str">
        <f>'Kullanılan gübre'!C53</f>
        <v>BAYAT</v>
      </c>
      <c r="D53">
        <f>'Kullanılan gübre'!D53</f>
        <v>2011</v>
      </c>
      <c r="E53">
        <f>'Kullanılan gübre'!E53*'Gübre oranlar'!H$2</f>
        <v>9.1664999999999992</v>
      </c>
      <c r="F53">
        <f>'Kullanılan gübre'!F53*'Gübre oranlar'!I$2</f>
        <v>6.3960000000000008</v>
      </c>
      <c r="G53">
        <f>'Kullanılan gübre'!G53*'Gübre oranlar'!J$2</f>
        <v>41.332500000000003</v>
      </c>
      <c r="H53">
        <f>'Kullanılan gübre'!H53*'Gübre oranlar'!K$2</f>
        <v>0</v>
      </c>
      <c r="I53">
        <f>'Kullanılan gübre'!I53*'Gübre oranlar'!L$2</f>
        <v>0</v>
      </c>
      <c r="J53">
        <f>'Kullanılan gübre'!J53*'Gübre oranlar'!M$2</f>
        <v>9.7199999999999989</v>
      </c>
      <c r="K53">
        <f>'Kullanılan gübre'!K53*'Gübre oranlar'!N$2</f>
        <v>0</v>
      </c>
      <c r="L53">
        <f>'Kullanılan gübre'!L53*'Gübre oranlar'!O$2</f>
        <v>13.600000000000001</v>
      </c>
      <c r="M53">
        <f>'Kullanılan gübre'!M53*'Gübre oranlar'!P$2</f>
        <v>0</v>
      </c>
      <c r="N53">
        <f>'Kullanılan gübre'!N53*'Gübre oranlar'!Q$2</f>
        <v>0</v>
      </c>
      <c r="O53">
        <f>'Kullanılan gübre'!O53*'Gübre oranlar'!R$2</f>
        <v>0</v>
      </c>
      <c r="P53">
        <f>'Kullanılan gübre'!P53*'Gübre oranlar'!S$2</f>
        <v>0</v>
      </c>
      <c r="Q53">
        <f>'Kullanılan gübre'!Q53*'Gübre oranlar'!T$2</f>
        <v>0</v>
      </c>
      <c r="R53">
        <f>'Kullanılan gübre'!R53*'Gübre oranlar'!U$2</f>
        <v>0</v>
      </c>
      <c r="S53">
        <f>'Kullanılan gübre'!S53*'Gübre oranlar'!V$2</f>
        <v>0</v>
      </c>
      <c r="T53">
        <f>'Kullanılan gübre'!T53*'Gübre oranlar'!W$2</f>
        <v>0</v>
      </c>
      <c r="U53">
        <f>'Kullanılan gübre'!U53*'Gübre oranlar'!X$2</f>
        <v>0</v>
      </c>
      <c r="V53">
        <f>'Kullanılan gübre'!V53*'Gübre oranlar'!Y$2</f>
        <v>7.5000000000000011E-2</v>
      </c>
      <c r="W53">
        <f>'Kullanılan gübre'!W53*'Gübre oranlar'!Z$2</f>
        <v>0</v>
      </c>
      <c r="X53">
        <f>'Kullanılan gübre'!X53*'Gübre oranlar'!AA$2</f>
        <v>0</v>
      </c>
      <c r="Y53">
        <f>'Kullanılan gübre'!Y53*'Gübre oranlar'!AB$2</f>
        <v>0</v>
      </c>
      <c r="Z53">
        <f>'Kullanılan gübre'!Z53*'Gübre oranlar'!AC$2</f>
        <v>0</v>
      </c>
      <c r="AA53">
        <f>'Kullanılan gübre'!AA53*'Gübre oranlar'!AD$2</f>
        <v>0</v>
      </c>
      <c r="AB53">
        <f>'Kullanılan gübre'!AB53*'Gübre oranlar'!AE$2</f>
        <v>0</v>
      </c>
      <c r="AC53">
        <f>'Kullanılan gübre'!AC53*'Gübre oranlar'!AF$2</f>
        <v>0</v>
      </c>
      <c r="AD53">
        <f>'Kullanılan gübre'!AD53*'Gübre oranlar'!AG$2</f>
        <v>0</v>
      </c>
      <c r="AE53">
        <f>'Kullanılan gübre'!AE53*'Gübre oranlar'!AH$2</f>
        <v>0</v>
      </c>
      <c r="AF53">
        <f>'Kullanılan gübre'!AF53*'Gübre oranlar'!AI$2</f>
        <v>0</v>
      </c>
      <c r="AG53">
        <f>'Kullanılan gübre'!AG53*'Gübre oranlar'!AJ$2</f>
        <v>0</v>
      </c>
      <c r="AH53">
        <f>'Kullanılan gübre'!AH53*'Gübre oranlar'!AK$2</f>
        <v>0</v>
      </c>
      <c r="AI53">
        <f>'Kullanılan gübre'!AI53*'Gübre oranlar'!AL$2</f>
        <v>0</v>
      </c>
      <c r="AJ53">
        <f>'Kullanılan gübre'!AJ53*'Gübre oranlar'!AM$2</f>
        <v>0</v>
      </c>
      <c r="AK53">
        <f>'Kullanılan gübre'!AK53*'Gübre oranlar'!AN$2</f>
        <v>0</v>
      </c>
      <c r="AL53">
        <f>'Kullanılan gübre'!AL53*'Gübre oranlar'!AO$2</f>
        <v>0</v>
      </c>
      <c r="AM53">
        <f>'Kullanılan gübre'!AM53*'Gübre oranlar'!AP$2</f>
        <v>0</v>
      </c>
      <c r="AN53">
        <f>'Kullanılan gübre'!AN53*'Gübre oranlar'!AQ$2</f>
        <v>0</v>
      </c>
      <c r="AO53">
        <f>'Kullanılan gübre'!AO53*'Gübre oranlar'!AR$2</f>
        <v>0</v>
      </c>
      <c r="AP53">
        <f>'Kullanılan gübre'!AP53*'Gübre oranlar'!AS$2</f>
        <v>0</v>
      </c>
      <c r="AQ53">
        <f>'Kullanılan gübre'!AQ53*'Gübre oranlar'!AT$2</f>
        <v>0</v>
      </c>
      <c r="AR53">
        <f>'Kullanılan gübre'!AR53*'Gübre oranlar'!AU$2</f>
        <v>0</v>
      </c>
      <c r="AS53">
        <f>'Kullanılan gübre'!AS53*'Gübre oranlar'!AV$2</f>
        <v>0</v>
      </c>
      <c r="AT53">
        <f>'Kullanılan gübre'!AT53*'Gübre oranlar'!AW$2</f>
        <v>0</v>
      </c>
      <c r="AU53">
        <f>'Kullanılan gübre'!AU53*'Gübre oranlar'!AX$2</f>
        <v>0</v>
      </c>
      <c r="AV53">
        <f>'Kullanılan gübre'!AV53*'Gübre oranlar'!AY$2</f>
        <v>0</v>
      </c>
      <c r="AW53">
        <f t="shared" si="0"/>
        <v>80.290000000000006</v>
      </c>
    </row>
    <row r="54" spans="1:49" hidden="1" x14ac:dyDescent="0.25">
      <c r="A54" t="str">
        <f>'Kullanılan gübre'!A54</f>
        <v>AK</v>
      </c>
      <c r="B54" t="str">
        <f>'Kullanılan gübre'!B54</f>
        <v>AFYONKARAHISAR</v>
      </c>
      <c r="C54" t="str">
        <f>'Kullanılan gübre'!C54</f>
        <v>BOLVADIN</v>
      </c>
      <c r="D54">
        <f>'Kullanılan gübre'!D54</f>
        <v>2011</v>
      </c>
      <c r="E54">
        <f>'Kullanılan gübre'!E54*'Gübre oranlar'!H$2</f>
        <v>19.634999999999998</v>
      </c>
      <c r="F54">
        <f>'Kullanılan gübre'!F54*'Gübre oranlar'!I$2</f>
        <v>42.575000000000003</v>
      </c>
      <c r="G54">
        <f>'Kullanılan gübre'!G54*'Gübre oranlar'!J$2</f>
        <v>322.93800000000005</v>
      </c>
      <c r="H54">
        <f>'Kullanılan gübre'!H54*'Gübre oranlar'!K$2</f>
        <v>139.54100000000003</v>
      </c>
      <c r="I54">
        <f>'Kullanılan gübre'!I54*'Gübre oranlar'!L$2</f>
        <v>0</v>
      </c>
      <c r="J54">
        <f>'Kullanılan gübre'!J54*'Gübre oranlar'!M$2</f>
        <v>128.46600000000001</v>
      </c>
      <c r="K54">
        <f>'Kullanılan gübre'!K54*'Gübre oranlar'!N$2</f>
        <v>5</v>
      </c>
      <c r="L54">
        <f>'Kullanılan gübre'!L54*'Gübre oranlar'!O$2</f>
        <v>56.24</v>
      </c>
      <c r="M54">
        <f>'Kullanılan gübre'!M54*'Gübre oranlar'!P$2</f>
        <v>0</v>
      </c>
      <c r="N54">
        <f>'Kullanılan gübre'!N54*'Gübre oranlar'!Q$2</f>
        <v>4.05</v>
      </c>
      <c r="O54">
        <f>'Kullanılan gübre'!O54*'Gübre oranlar'!R$2</f>
        <v>0</v>
      </c>
      <c r="P54">
        <f>'Kullanılan gübre'!P54*'Gübre oranlar'!S$2</f>
        <v>0.34189999999999998</v>
      </c>
      <c r="Q54">
        <f>'Kullanılan gübre'!Q54*'Gübre oranlar'!T$2</f>
        <v>0</v>
      </c>
      <c r="R54">
        <f>'Kullanılan gübre'!R54*'Gübre oranlar'!U$2</f>
        <v>0</v>
      </c>
      <c r="S54">
        <f>'Kullanılan gübre'!S54*'Gübre oranlar'!V$2</f>
        <v>0</v>
      </c>
      <c r="T54">
        <f>'Kullanılan gübre'!T54*'Gübre oranlar'!W$2</f>
        <v>0</v>
      </c>
      <c r="U54">
        <f>'Kullanılan gübre'!U54*'Gübre oranlar'!X$2</f>
        <v>0</v>
      </c>
      <c r="V54">
        <f>'Kullanılan gübre'!V54*'Gübre oranlar'!Y$2</f>
        <v>0</v>
      </c>
      <c r="W54">
        <f>'Kullanılan gübre'!W54*'Gübre oranlar'!Z$2</f>
        <v>0</v>
      </c>
      <c r="X54">
        <f>'Kullanılan gübre'!X54*'Gübre oranlar'!AA$2</f>
        <v>0</v>
      </c>
      <c r="Y54">
        <f>'Kullanılan gübre'!Y54*'Gübre oranlar'!AB$2</f>
        <v>0</v>
      </c>
      <c r="Z54">
        <f>'Kullanılan gübre'!Z54*'Gübre oranlar'!AC$2</f>
        <v>0</v>
      </c>
      <c r="AA54">
        <f>'Kullanılan gübre'!AA54*'Gübre oranlar'!AD$2</f>
        <v>2.21</v>
      </c>
      <c r="AB54">
        <f>'Kullanılan gübre'!AB54*'Gübre oranlar'!AE$2</f>
        <v>0</v>
      </c>
      <c r="AC54">
        <f>'Kullanılan gübre'!AC54*'Gübre oranlar'!AF$2</f>
        <v>0</v>
      </c>
      <c r="AD54">
        <f>'Kullanılan gübre'!AD54*'Gübre oranlar'!AG$2</f>
        <v>0</v>
      </c>
      <c r="AE54">
        <f>'Kullanılan gübre'!AE54*'Gübre oranlar'!AH$2</f>
        <v>0</v>
      </c>
      <c r="AF54">
        <f>'Kullanılan gübre'!AF54*'Gübre oranlar'!AI$2</f>
        <v>0</v>
      </c>
      <c r="AG54">
        <f>'Kullanılan gübre'!AG54*'Gübre oranlar'!AJ$2</f>
        <v>0</v>
      </c>
      <c r="AH54">
        <f>'Kullanılan gübre'!AH54*'Gübre oranlar'!AK$2</f>
        <v>0</v>
      </c>
      <c r="AI54">
        <f>'Kullanılan gübre'!AI54*'Gübre oranlar'!AL$2</f>
        <v>0</v>
      </c>
      <c r="AJ54">
        <f>'Kullanılan gübre'!AJ54*'Gübre oranlar'!AM$2</f>
        <v>0</v>
      </c>
      <c r="AK54">
        <f>'Kullanılan gübre'!AK54*'Gübre oranlar'!AN$2</f>
        <v>0</v>
      </c>
      <c r="AL54">
        <f>'Kullanılan gübre'!AL54*'Gübre oranlar'!AO$2</f>
        <v>0</v>
      </c>
      <c r="AM54">
        <f>'Kullanılan gübre'!AM54*'Gübre oranlar'!AP$2</f>
        <v>0</v>
      </c>
      <c r="AN54">
        <f>'Kullanılan gübre'!AN54*'Gübre oranlar'!AQ$2</f>
        <v>0</v>
      </c>
      <c r="AO54">
        <f>'Kullanılan gübre'!AO54*'Gübre oranlar'!AR$2</f>
        <v>0</v>
      </c>
      <c r="AP54">
        <f>'Kullanılan gübre'!AP54*'Gübre oranlar'!AS$2</f>
        <v>0</v>
      </c>
      <c r="AQ54">
        <f>'Kullanılan gübre'!AQ54*'Gübre oranlar'!AT$2</f>
        <v>0</v>
      </c>
      <c r="AR54">
        <f>'Kullanılan gübre'!AR54*'Gübre oranlar'!AU$2</f>
        <v>0</v>
      </c>
      <c r="AS54">
        <f>'Kullanılan gübre'!AS54*'Gübre oranlar'!AV$2</f>
        <v>0</v>
      </c>
      <c r="AT54">
        <f>'Kullanılan gübre'!AT54*'Gübre oranlar'!AW$2</f>
        <v>0</v>
      </c>
      <c r="AU54">
        <f>'Kullanılan gübre'!AU54*'Gübre oranlar'!AX$2</f>
        <v>0</v>
      </c>
      <c r="AV54">
        <f>'Kullanılan gübre'!AV54*'Gübre oranlar'!AY$2</f>
        <v>0</v>
      </c>
      <c r="AW54">
        <f t="shared" si="0"/>
        <v>720.9969000000001</v>
      </c>
    </row>
    <row r="55" spans="1:49" hidden="1" x14ac:dyDescent="0.25">
      <c r="A55" t="str">
        <f>'Kullanılan gübre'!A55</f>
        <v>AK</v>
      </c>
      <c r="B55" t="str">
        <f>'Kullanılan gübre'!B55</f>
        <v>AFYONKARAHISAR</v>
      </c>
      <c r="C55" t="str">
        <f>'Kullanılan gübre'!C55</f>
        <v>CAY</v>
      </c>
      <c r="D55">
        <f>'Kullanılan gübre'!D55</f>
        <v>2011</v>
      </c>
      <c r="E55">
        <f>'Kullanılan gübre'!E55*'Gübre oranlar'!H$2</f>
        <v>69.531000000000006</v>
      </c>
      <c r="F55">
        <f>'Kullanılan gübre'!F55*'Gübre oranlar'!I$2</f>
        <v>101.985</v>
      </c>
      <c r="G55">
        <f>'Kullanılan gübre'!G55*'Gübre oranlar'!J$2</f>
        <v>340.56</v>
      </c>
      <c r="H55">
        <f>'Kullanılan gübre'!H55*'Gübre oranlar'!K$2</f>
        <v>97.405000000000001</v>
      </c>
      <c r="I55">
        <f>'Kullanılan gübre'!I55*'Gübre oranlar'!L$2</f>
        <v>0</v>
      </c>
      <c r="J55">
        <f>'Kullanılan gübre'!J55*'Gübre oranlar'!M$2</f>
        <v>94.113</v>
      </c>
      <c r="K55">
        <f>'Kullanılan gübre'!K55*'Gübre oranlar'!N$2</f>
        <v>11.05</v>
      </c>
      <c r="L55">
        <f>'Kullanılan gübre'!L55*'Gübre oranlar'!O$2</f>
        <v>137.66</v>
      </c>
      <c r="M55">
        <f>'Kullanılan gübre'!M55*'Gübre oranlar'!P$2</f>
        <v>15.067499999999999</v>
      </c>
      <c r="N55">
        <f>'Kullanılan gübre'!N55*'Gübre oranlar'!Q$2</f>
        <v>24.1875</v>
      </c>
      <c r="O55">
        <f>'Kullanılan gübre'!O55*'Gübre oranlar'!R$2</f>
        <v>0</v>
      </c>
      <c r="P55">
        <f>'Kullanılan gübre'!P55*'Gübre oranlar'!S$2</f>
        <v>0.18329999999999999</v>
      </c>
      <c r="Q55">
        <f>'Kullanılan gübre'!Q55*'Gübre oranlar'!T$2</f>
        <v>0</v>
      </c>
      <c r="R55">
        <f>'Kullanılan gübre'!R55*'Gübre oranlar'!U$2</f>
        <v>0</v>
      </c>
      <c r="S55">
        <f>'Kullanılan gübre'!S55*'Gübre oranlar'!V$2</f>
        <v>0</v>
      </c>
      <c r="T55">
        <f>'Kullanılan gübre'!T55*'Gübre oranlar'!W$2</f>
        <v>0</v>
      </c>
      <c r="U55">
        <f>'Kullanılan gübre'!U55*'Gübre oranlar'!X$2</f>
        <v>0</v>
      </c>
      <c r="V55">
        <f>'Kullanılan gübre'!V55*'Gübre oranlar'!Y$2</f>
        <v>2.5000000000000001E-2</v>
      </c>
      <c r="W55">
        <f>'Kullanılan gübre'!W55*'Gübre oranlar'!Z$2</f>
        <v>0</v>
      </c>
      <c r="X55">
        <f>'Kullanılan gübre'!X55*'Gübre oranlar'!AA$2</f>
        <v>0</v>
      </c>
      <c r="Y55">
        <f>'Kullanılan gübre'!Y55*'Gübre oranlar'!AB$2</f>
        <v>0</v>
      </c>
      <c r="Z55">
        <f>'Kullanılan gübre'!Z55*'Gübre oranlar'!AC$2</f>
        <v>0</v>
      </c>
      <c r="AA55">
        <f>'Kullanılan gübre'!AA55*'Gübre oranlar'!AD$2</f>
        <v>4.3810000000000002</v>
      </c>
      <c r="AB55">
        <f>'Kullanılan gübre'!AB55*'Gübre oranlar'!AE$2</f>
        <v>0</v>
      </c>
      <c r="AC55">
        <f>'Kullanılan gübre'!AC55*'Gübre oranlar'!AF$2</f>
        <v>0</v>
      </c>
      <c r="AD55">
        <f>'Kullanılan gübre'!AD55*'Gübre oranlar'!AG$2</f>
        <v>0</v>
      </c>
      <c r="AE55">
        <f>'Kullanılan gübre'!AE55*'Gübre oranlar'!AH$2</f>
        <v>7.1450000000000005</v>
      </c>
      <c r="AF55">
        <f>'Kullanılan gübre'!AF55*'Gübre oranlar'!AI$2</f>
        <v>0</v>
      </c>
      <c r="AG55">
        <f>'Kullanılan gübre'!AG55*'Gübre oranlar'!AJ$2</f>
        <v>0</v>
      </c>
      <c r="AH55">
        <f>'Kullanılan gübre'!AH55*'Gübre oranlar'!AK$2</f>
        <v>0</v>
      </c>
      <c r="AI55">
        <f>'Kullanılan gübre'!AI55*'Gübre oranlar'!AL$2</f>
        <v>0</v>
      </c>
      <c r="AJ55">
        <f>'Kullanılan gübre'!AJ55*'Gübre oranlar'!AM$2</f>
        <v>0</v>
      </c>
      <c r="AK55">
        <f>'Kullanılan gübre'!AK55*'Gübre oranlar'!AN$2</f>
        <v>0</v>
      </c>
      <c r="AL55">
        <f>'Kullanılan gübre'!AL55*'Gübre oranlar'!AO$2</f>
        <v>0</v>
      </c>
      <c r="AM55">
        <f>'Kullanılan gübre'!AM55*'Gübre oranlar'!AP$2</f>
        <v>0</v>
      </c>
      <c r="AN55">
        <f>'Kullanılan gübre'!AN55*'Gübre oranlar'!AQ$2</f>
        <v>0</v>
      </c>
      <c r="AO55">
        <f>'Kullanılan gübre'!AO55*'Gübre oranlar'!AR$2</f>
        <v>0</v>
      </c>
      <c r="AP55">
        <f>'Kullanılan gübre'!AP55*'Gübre oranlar'!AS$2</f>
        <v>0</v>
      </c>
      <c r="AQ55">
        <f>'Kullanılan gübre'!AQ55*'Gübre oranlar'!AT$2</f>
        <v>0</v>
      </c>
      <c r="AR55">
        <f>'Kullanılan gübre'!AR55*'Gübre oranlar'!AU$2</f>
        <v>0</v>
      </c>
      <c r="AS55">
        <f>'Kullanılan gübre'!AS55*'Gübre oranlar'!AV$2</f>
        <v>0</v>
      </c>
      <c r="AT55">
        <f>'Kullanılan gübre'!AT55*'Gübre oranlar'!AW$2</f>
        <v>0</v>
      </c>
      <c r="AU55">
        <f>'Kullanılan gübre'!AU55*'Gübre oranlar'!AX$2</f>
        <v>0</v>
      </c>
      <c r="AV55">
        <f>'Kullanılan gübre'!AV55*'Gübre oranlar'!AY$2</f>
        <v>0</v>
      </c>
      <c r="AW55">
        <f t="shared" si="0"/>
        <v>903.29329999999993</v>
      </c>
    </row>
    <row r="56" spans="1:49" hidden="1" x14ac:dyDescent="0.25">
      <c r="A56" t="str">
        <f>'Kullanılan gübre'!A56</f>
        <v>AK</v>
      </c>
      <c r="B56" t="str">
        <f>'Kullanılan gübre'!B56</f>
        <v>AFYONKARAHISAR</v>
      </c>
      <c r="C56" t="str">
        <f>'Kullanılan gübre'!C56</f>
        <v>COBANLAR</v>
      </c>
      <c r="D56">
        <f>'Kullanılan gübre'!D56</f>
        <v>2011</v>
      </c>
      <c r="E56">
        <f>'Kullanılan gübre'!E56*'Gübre oranlar'!H$2</f>
        <v>19.550999999999998</v>
      </c>
      <c r="F56">
        <f>'Kullanılan gübre'!F56*'Gübre oranlar'!I$2</f>
        <v>5.33</v>
      </c>
      <c r="G56">
        <f>'Kullanılan gübre'!G56*'Gübre oranlar'!J$2</f>
        <v>62.567999999999998</v>
      </c>
      <c r="H56">
        <f>'Kullanılan gübre'!H56*'Gübre oranlar'!K$2</f>
        <v>101.637</v>
      </c>
      <c r="I56">
        <f>'Kullanılan gübre'!I56*'Gübre oranlar'!L$2</f>
        <v>0</v>
      </c>
      <c r="J56">
        <f>'Kullanılan gübre'!J56*'Gübre oranlar'!M$2</f>
        <v>70.974000000000004</v>
      </c>
      <c r="K56">
        <f>'Kullanılan gübre'!K56*'Gübre oranlar'!N$2</f>
        <v>0</v>
      </c>
      <c r="L56">
        <f>'Kullanılan gübre'!L56*'Gübre oranlar'!O$2</f>
        <v>72.040000000000006</v>
      </c>
      <c r="M56">
        <f>'Kullanılan gübre'!M56*'Gübre oranlar'!P$2</f>
        <v>3.51</v>
      </c>
      <c r="N56">
        <f>'Kullanılan gübre'!N56*'Gübre oranlar'!Q$2</f>
        <v>7.125</v>
      </c>
      <c r="O56">
        <f>'Kullanılan gübre'!O56*'Gübre oranlar'!R$2</f>
        <v>0</v>
      </c>
      <c r="P56">
        <f>'Kullanılan gübre'!P56*'Gübre oranlar'!S$2</f>
        <v>0.31330000000000002</v>
      </c>
      <c r="Q56">
        <f>'Kullanılan gübre'!Q56*'Gübre oranlar'!T$2</f>
        <v>0</v>
      </c>
      <c r="R56">
        <f>'Kullanılan gübre'!R56*'Gübre oranlar'!U$2</f>
        <v>0</v>
      </c>
      <c r="S56">
        <f>'Kullanılan gübre'!S56*'Gübre oranlar'!V$2</f>
        <v>0</v>
      </c>
      <c r="T56">
        <f>'Kullanılan gübre'!T56*'Gübre oranlar'!W$2</f>
        <v>5.9735000000000005</v>
      </c>
      <c r="U56">
        <f>'Kullanılan gübre'!U56*'Gübre oranlar'!X$2</f>
        <v>0</v>
      </c>
      <c r="V56">
        <f>'Kullanılan gübre'!V56*'Gübre oranlar'!Y$2</f>
        <v>2.2749999999999999</v>
      </c>
      <c r="W56">
        <f>'Kullanılan gübre'!W56*'Gübre oranlar'!Z$2</f>
        <v>0</v>
      </c>
      <c r="X56">
        <f>'Kullanılan gübre'!X56*'Gübre oranlar'!AA$2</f>
        <v>0</v>
      </c>
      <c r="Y56">
        <f>'Kullanılan gübre'!Y56*'Gübre oranlar'!AB$2</f>
        <v>0</v>
      </c>
      <c r="Z56">
        <f>'Kullanılan gübre'!Z56*'Gübre oranlar'!AC$2</f>
        <v>0</v>
      </c>
      <c r="AA56">
        <f>'Kullanılan gübre'!AA56*'Gübre oranlar'!AD$2</f>
        <v>0</v>
      </c>
      <c r="AB56">
        <f>'Kullanılan gübre'!AB56*'Gübre oranlar'!AE$2</f>
        <v>0</v>
      </c>
      <c r="AC56">
        <f>'Kullanılan gübre'!AC56*'Gübre oranlar'!AF$2</f>
        <v>0</v>
      </c>
      <c r="AD56">
        <f>'Kullanılan gübre'!AD56*'Gübre oranlar'!AG$2</f>
        <v>0</v>
      </c>
      <c r="AE56">
        <f>'Kullanılan gübre'!AE56*'Gübre oranlar'!AH$2</f>
        <v>0</v>
      </c>
      <c r="AF56">
        <f>'Kullanılan gübre'!AF56*'Gübre oranlar'!AI$2</f>
        <v>0</v>
      </c>
      <c r="AG56">
        <f>'Kullanılan gübre'!AG56*'Gübre oranlar'!AJ$2</f>
        <v>0</v>
      </c>
      <c r="AH56">
        <f>'Kullanılan gübre'!AH56*'Gübre oranlar'!AK$2</f>
        <v>0</v>
      </c>
      <c r="AI56">
        <f>'Kullanılan gübre'!AI56*'Gübre oranlar'!AL$2</f>
        <v>0</v>
      </c>
      <c r="AJ56">
        <f>'Kullanılan gübre'!AJ56*'Gübre oranlar'!AM$2</f>
        <v>0</v>
      </c>
      <c r="AK56">
        <f>'Kullanılan gübre'!AK56*'Gübre oranlar'!AN$2</f>
        <v>0</v>
      </c>
      <c r="AL56">
        <f>'Kullanılan gübre'!AL56*'Gübre oranlar'!AO$2</f>
        <v>0</v>
      </c>
      <c r="AM56">
        <f>'Kullanılan gübre'!AM56*'Gübre oranlar'!AP$2</f>
        <v>0</v>
      </c>
      <c r="AN56">
        <f>'Kullanılan gübre'!AN56*'Gübre oranlar'!AQ$2</f>
        <v>0</v>
      </c>
      <c r="AO56">
        <f>'Kullanılan gübre'!AO56*'Gübre oranlar'!AR$2</f>
        <v>0</v>
      </c>
      <c r="AP56">
        <f>'Kullanılan gübre'!AP56*'Gübre oranlar'!AS$2</f>
        <v>0</v>
      </c>
      <c r="AQ56">
        <f>'Kullanılan gübre'!AQ56*'Gübre oranlar'!AT$2</f>
        <v>0</v>
      </c>
      <c r="AR56">
        <f>'Kullanılan gübre'!AR56*'Gübre oranlar'!AU$2</f>
        <v>0</v>
      </c>
      <c r="AS56">
        <f>'Kullanılan gübre'!AS56*'Gübre oranlar'!AV$2</f>
        <v>0</v>
      </c>
      <c r="AT56">
        <f>'Kullanılan gübre'!AT56*'Gübre oranlar'!AW$2</f>
        <v>0</v>
      </c>
      <c r="AU56">
        <f>'Kullanılan gübre'!AU56*'Gübre oranlar'!AX$2</f>
        <v>0</v>
      </c>
      <c r="AV56">
        <f>'Kullanılan gübre'!AV56*'Gübre oranlar'!AY$2</f>
        <v>0</v>
      </c>
      <c r="AW56">
        <f t="shared" si="0"/>
        <v>351.29680000000002</v>
      </c>
    </row>
    <row r="57" spans="1:49" hidden="1" x14ac:dyDescent="0.25">
      <c r="A57" t="str">
        <f>'Kullanılan gübre'!A57</f>
        <v>AK</v>
      </c>
      <c r="B57" t="str">
        <f>'Kullanılan gübre'!B57</f>
        <v>AFYONKARAHISAR</v>
      </c>
      <c r="C57" t="str">
        <f>'Kullanılan gübre'!C57</f>
        <v>IHSANIYE</v>
      </c>
      <c r="D57">
        <f>'Kullanılan gübre'!D57</f>
        <v>2011</v>
      </c>
      <c r="E57">
        <f>'Kullanılan gübre'!E57*'Gübre oranlar'!H$2</f>
        <v>4.9349999999999996</v>
      </c>
      <c r="F57">
        <f>'Kullanılan gübre'!F57*'Gübre oranlar'!I$2</f>
        <v>74.152000000000001</v>
      </c>
      <c r="G57">
        <f>'Kullanılan gübre'!G57*'Gübre oranlar'!J$2</f>
        <v>175.56</v>
      </c>
      <c r="H57">
        <f>'Kullanılan gübre'!H57*'Gübre oranlar'!K$2</f>
        <v>171.87899999999999</v>
      </c>
      <c r="I57">
        <f>'Kullanılan gübre'!I57*'Gübre oranlar'!L$2</f>
        <v>0</v>
      </c>
      <c r="J57">
        <f>'Kullanılan gübre'!J57*'Gübre oranlar'!M$2</f>
        <v>51.948</v>
      </c>
      <c r="K57">
        <f>'Kullanılan gübre'!K57*'Gübre oranlar'!N$2</f>
        <v>218.20000000000002</v>
      </c>
      <c r="L57">
        <f>'Kullanılan gübre'!L57*'Gübre oranlar'!O$2</f>
        <v>3.5200000000000005</v>
      </c>
      <c r="M57">
        <f>'Kullanılan gübre'!M57*'Gübre oranlar'!P$2</f>
        <v>0.24</v>
      </c>
      <c r="N57">
        <f>'Kullanılan gübre'!N57*'Gübre oranlar'!Q$2</f>
        <v>3</v>
      </c>
      <c r="O57">
        <f>'Kullanılan gübre'!O57*'Gübre oranlar'!R$2</f>
        <v>0</v>
      </c>
      <c r="P57">
        <f>'Kullanılan gübre'!P57*'Gübre oranlar'!S$2</f>
        <v>0</v>
      </c>
      <c r="Q57">
        <f>'Kullanılan gübre'!Q57*'Gübre oranlar'!T$2</f>
        <v>0</v>
      </c>
      <c r="R57">
        <f>'Kullanılan gübre'!R57*'Gübre oranlar'!U$2</f>
        <v>0</v>
      </c>
      <c r="S57">
        <f>'Kullanılan gübre'!S57*'Gübre oranlar'!V$2</f>
        <v>0</v>
      </c>
      <c r="T57">
        <f>'Kullanılan gübre'!T57*'Gübre oranlar'!W$2</f>
        <v>0</v>
      </c>
      <c r="U57">
        <f>'Kullanılan gübre'!U57*'Gübre oranlar'!X$2</f>
        <v>0</v>
      </c>
      <c r="V57">
        <f>'Kullanılan gübre'!V57*'Gübre oranlar'!Y$2</f>
        <v>2</v>
      </c>
      <c r="W57">
        <f>'Kullanılan gübre'!W57*'Gübre oranlar'!Z$2</f>
        <v>0</v>
      </c>
      <c r="X57">
        <f>'Kullanılan gübre'!X57*'Gübre oranlar'!AA$2</f>
        <v>0</v>
      </c>
      <c r="Y57">
        <f>'Kullanılan gübre'!Y57*'Gübre oranlar'!AB$2</f>
        <v>0</v>
      </c>
      <c r="Z57">
        <f>'Kullanılan gübre'!Z57*'Gübre oranlar'!AC$2</f>
        <v>0</v>
      </c>
      <c r="AA57">
        <f>'Kullanılan gübre'!AA57*'Gübre oranlar'!AD$2</f>
        <v>0</v>
      </c>
      <c r="AB57">
        <f>'Kullanılan gübre'!AB57*'Gübre oranlar'!AE$2</f>
        <v>0</v>
      </c>
      <c r="AC57">
        <f>'Kullanılan gübre'!AC57*'Gübre oranlar'!AF$2</f>
        <v>0</v>
      </c>
      <c r="AD57">
        <f>'Kullanılan gübre'!AD57*'Gübre oranlar'!AG$2</f>
        <v>0</v>
      </c>
      <c r="AE57">
        <f>'Kullanılan gübre'!AE57*'Gübre oranlar'!AH$2</f>
        <v>8.7000000000000011</v>
      </c>
      <c r="AF57">
        <f>'Kullanılan gübre'!AF57*'Gübre oranlar'!AI$2</f>
        <v>0</v>
      </c>
      <c r="AG57">
        <f>'Kullanılan gübre'!AG57*'Gübre oranlar'!AJ$2</f>
        <v>0</v>
      </c>
      <c r="AH57">
        <f>'Kullanılan gübre'!AH57*'Gübre oranlar'!AK$2</f>
        <v>0</v>
      </c>
      <c r="AI57">
        <f>'Kullanılan gübre'!AI57*'Gübre oranlar'!AL$2</f>
        <v>0</v>
      </c>
      <c r="AJ57">
        <f>'Kullanılan gübre'!AJ57*'Gübre oranlar'!AM$2</f>
        <v>0</v>
      </c>
      <c r="AK57">
        <f>'Kullanılan gübre'!AK57*'Gübre oranlar'!AN$2</f>
        <v>0</v>
      </c>
      <c r="AL57">
        <f>'Kullanılan gübre'!AL57*'Gübre oranlar'!AO$2</f>
        <v>0</v>
      </c>
      <c r="AM57">
        <f>'Kullanılan gübre'!AM57*'Gübre oranlar'!AP$2</f>
        <v>0</v>
      </c>
      <c r="AN57">
        <f>'Kullanılan gübre'!AN57*'Gübre oranlar'!AQ$2</f>
        <v>0</v>
      </c>
      <c r="AO57">
        <f>'Kullanılan gübre'!AO57*'Gübre oranlar'!AR$2</f>
        <v>0</v>
      </c>
      <c r="AP57">
        <f>'Kullanılan gübre'!AP57*'Gübre oranlar'!AS$2</f>
        <v>0</v>
      </c>
      <c r="AQ57">
        <f>'Kullanılan gübre'!AQ57*'Gübre oranlar'!AT$2</f>
        <v>0</v>
      </c>
      <c r="AR57">
        <f>'Kullanılan gübre'!AR57*'Gübre oranlar'!AU$2</f>
        <v>0</v>
      </c>
      <c r="AS57">
        <f>'Kullanılan gübre'!AS57*'Gübre oranlar'!AV$2</f>
        <v>0</v>
      </c>
      <c r="AT57">
        <f>'Kullanılan gübre'!AT57*'Gübre oranlar'!AW$2</f>
        <v>0</v>
      </c>
      <c r="AU57">
        <f>'Kullanılan gübre'!AU57*'Gübre oranlar'!AX$2</f>
        <v>0</v>
      </c>
      <c r="AV57">
        <f>'Kullanılan gübre'!AV57*'Gübre oranlar'!AY$2</f>
        <v>0</v>
      </c>
      <c r="AW57">
        <f t="shared" si="0"/>
        <v>714.13400000000001</v>
      </c>
    </row>
    <row r="58" spans="1:49" hidden="1" x14ac:dyDescent="0.25">
      <c r="A58" t="str">
        <f>'Kullanılan gübre'!A58</f>
        <v>AK</v>
      </c>
      <c r="B58" t="str">
        <f>'Kullanılan gübre'!B58</f>
        <v>AFYONKARAHISAR</v>
      </c>
      <c r="C58" t="str">
        <f>'Kullanılan gübre'!C58</f>
        <v>ISCEHISAR</v>
      </c>
      <c r="D58">
        <f>'Kullanılan gübre'!D58</f>
        <v>2011</v>
      </c>
      <c r="E58">
        <f>'Kullanılan gübre'!E58*'Gübre oranlar'!H$2</f>
        <v>0</v>
      </c>
      <c r="F58">
        <f>'Kullanılan gübre'!F58*'Gübre oranlar'!I$2</f>
        <v>53.481999999999999</v>
      </c>
      <c r="G58">
        <f>'Kullanılan gübre'!G58*'Gübre oranlar'!J$2</f>
        <v>0</v>
      </c>
      <c r="H58">
        <f>'Kullanılan gübre'!H58*'Gübre oranlar'!K$2</f>
        <v>0</v>
      </c>
      <c r="I58">
        <f>'Kullanılan gübre'!I58*'Gübre oranlar'!L$2</f>
        <v>0</v>
      </c>
      <c r="J58">
        <f>'Kullanılan gübre'!J58*'Gübre oranlar'!M$2</f>
        <v>31.870799999999999</v>
      </c>
      <c r="K58">
        <f>'Kullanılan gübre'!K58*'Gübre oranlar'!N$2</f>
        <v>0</v>
      </c>
      <c r="L58">
        <f>'Kullanılan gübre'!L58*'Gübre oranlar'!O$2</f>
        <v>24.6</v>
      </c>
      <c r="M58">
        <f>'Kullanılan gübre'!M58*'Gübre oranlar'!P$2</f>
        <v>0</v>
      </c>
      <c r="N58">
        <f>'Kullanılan gübre'!N58*'Gübre oranlar'!Q$2</f>
        <v>0</v>
      </c>
      <c r="O58">
        <f>'Kullanılan gübre'!O58*'Gübre oranlar'!R$2</f>
        <v>0</v>
      </c>
      <c r="P58">
        <f>'Kullanılan gübre'!P58*'Gübre oranlar'!S$2</f>
        <v>0</v>
      </c>
      <c r="Q58">
        <f>'Kullanılan gübre'!Q58*'Gübre oranlar'!T$2</f>
        <v>0</v>
      </c>
      <c r="R58">
        <f>'Kullanılan gübre'!R58*'Gübre oranlar'!U$2</f>
        <v>0</v>
      </c>
      <c r="S58">
        <f>'Kullanılan gübre'!S58*'Gübre oranlar'!V$2</f>
        <v>0</v>
      </c>
      <c r="T58">
        <f>'Kullanılan gübre'!T58*'Gübre oranlar'!W$2</f>
        <v>0</v>
      </c>
      <c r="U58">
        <f>'Kullanılan gübre'!U58*'Gübre oranlar'!X$2</f>
        <v>0</v>
      </c>
      <c r="V58">
        <f>'Kullanılan gübre'!V58*'Gübre oranlar'!Y$2</f>
        <v>0</v>
      </c>
      <c r="W58">
        <f>'Kullanılan gübre'!W58*'Gübre oranlar'!Z$2</f>
        <v>0</v>
      </c>
      <c r="X58">
        <f>'Kullanılan gübre'!X58*'Gübre oranlar'!AA$2</f>
        <v>0</v>
      </c>
      <c r="Y58">
        <f>'Kullanılan gübre'!Y58*'Gübre oranlar'!AB$2</f>
        <v>0</v>
      </c>
      <c r="Z58">
        <f>'Kullanılan gübre'!Z58*'Gübre oranlar'!AC$2</f>
        <v>0</v>
      </c>
      <c r="AA58">
        <f>'Kullanılan gübre'!AA58*'Gübre oranlar'!AD$2</f>
        <v>0</v>
      </c>
      <c r="AB58">
        <f>'Kullanılan gübre'!AB58*'Gübre oranlar'!AE$2</f>
        <v>0</v>
      </c>
      <c r="AC58">
        <f>'Kullanılan gübre'!AC58*'Gübre oranlar'!AF$2</f>
        <v>0</v>
      </c>
      <c r="AD58">
        <f>'Kullanılan gübre'!AD58*'Gübre oranlar'!AG$2</f>
        <v>0</v>
      </c>
      <c r="AE58">
        <f>'Kullanılan gübre'!AE58*'Gübre oranlar'!AH$2</f>
        <v>0</v>
      </c>
      <c r="AF58">
        <f>'Kullanılan gübre'!AF58*'Gübre oranlar'!AI$2</f>
        <v>0</v>
      </c>
      <c r="AG58">
        <f>'Kullanılan gübre'!AG58*'Gübre oranlar'!AJ$2</f>
        <v>0</v>
      </c>
      <c r="AH58">
        <f>'Kullanılan gübre'!AH58*'Gübre oranlar'!AK$2</f>
        <v>0</v>
      </c>
      <c r="AI58">
        <f>'Kullanılan gübre'!AI58*'Gübre oranlar'!AL$2</f>
        <v>0</v>
      </c>
      <c r="AJ58">
        <f>'Kullanılan gübre'!AJ58*'Gübre oranlar'!AM$2</f>
        <v>0</v>
      </c>
      <c r="AK58">
        <f>'Kullanılan gübre'!AK58*'Gübre oranlar'!AN$2</f>
        <v>0</v>
      </c>
      <c r="AL58">
        <f>'Kullanılan gübre'!AL58*'Gübre oranlar'!AO$2</f>
        <v>0</v>
      </c>
      <c r="AM58">
        <f>'Kullanılan gübre'!AM58*'Gübre oranlar'!AP$2</f>
        <v>0</v>
      </c>
      <c r="AN58">
        <f>'Kullanılan gübre'!AN58*'Gübre oranlar'!AQ$2</f>
        <v>0</v>
      </c>
      <c r="AO58">
        <f>'Kullanılan gübre'!AO58*'Gübre oranlar'!AR$2</f>
        <v>0</v>
      </c>
      <c r="AP58">
        <f>'Kullanılan gübre'!AP58*'Gübre oranlar'!AS$2</f>
        <v>0</v>
      </c>
      <c r="AQ58">
        <f>'Kullanılan gübre'!AQ58*'Gübre oranlar'!AT$2</f>
        <v>0</v>
      </c>
      <c r="AR58">
        <f>'Kullanılan gübre'!AR58*'Gübre oranlar'!AU$2</f>
        <v>0</v>
      </c>
      <c r="AS58">
        <f>'Kullanılan gübre'!AS58*'Gübre oranlar'!AV$2</f>
        <v>0</v>
      </c>
      <c r="AT58">
        <f>'Kullanılan gübre'!AT58*'Gübre oranlar'!AW$2</f>
        <v>0</v>
      </c>
      <c r="AU58">
        <f>'Kullanılan gübre'!AU58*'Gübre oranlar'!AX$2</f>
        <v>0</v>
      </c>
      <c r="AV58">
        <f>'Kullanılan gübre'!AV58*'Gübre oranlar'!AY$2</f>
        <v>0</v>
      </c>
      <c r="AW58">
        <f t="shared" si="0"/>
        <v>109.9528</v>
      </c>
    </row>
    <row r="59" spans="1:49" hidden="1" x14ac:dyDescent="0.25">
      <c r="A59" t="str">
        <f>'Kullanılan gübre'!A59</f>
        <v>AK</v>
      </c>
      <c r="B59" t="str">
        <f>'Kullanılan gübre'!B59</f>
        <v>AFYONKARAHISAR</v>
      </c>
      <c r="C59" t="str">
        <f>'Kullanılan gübre'!C59</f>
        <v>SINANPASA</v>
      </c>
      <c r="D59">
        <f>'Kullanılan gübre'!D59</f>
        <v>2011</v>
      </c>
      <c r="E59">
        <f>'Kullanılan gübre'!E59*'Gübre oranlar'!H$2</f>
        <v>1.05</v>
      </c>
      <c r="F59">
        <f>'Kullanılan gübre'!F59*'Gübre oranlar'!I$2</f>
        <v>414.661</v>
      </c>
      <c r="G59">
        <f>'Kullanılan gübre'!G59*'Gübre oranlar'!J$2</f>
        <v>216.11699999999999</v>
      </c>
      <c r="H59">
        <f>'Kullanılan gübre'!H59*'Gübre oranlar'!K$2</f>
        <v>60.260000000000005</v>
      </c>
      <c r="I59">
        <f>'Kullanılan gübre'!I59*'Gübre oranlar'!L$2</f>
        <v>0</v>
      </c>
      <c r="J59">
        <f>'Kullanılan gübre'!J59*'Gübre oranlar'!M$2</f>
        <v>82.269000000000005</v>
      </c>
      <c r="K59">
        <f>'Kullanılan gübre'!K59*'Gübre oranlar'!N$2</f>
        <v>87.53</v>
      </c>
      <c r="L59">
        <f>'Kullanılan gübre'!L59*'Gübre oranlar'!O$2</f>
        <v>146.82000000000002</v>
      </c>
      <c r="M59">
        <f>'Kullanılan gübre'!M59*'Gübre oranlar'!P$2</f>
        <v>2.6999999999999997</v>
      </c>
      <c r="N59">
        <f>'Kullanılan gübre'!N59*'Gübre oranlar'!Q$2</f>
        <v>6.5025000000000004</v>
      </c>
      <c r="O59">
        <f>'Kullanılan gübre'!O59*'Gübre oranlar'!R$2</f>
        <v>0</v>
      </c>
      <c r="P59">
        <f>'Kullanılan gübre'!P59*'Gübre oranlar'!S$2</f>
        <v>3.2500000000000001E-2</v>
      </c>
      <c r="Q59">
        <f>'Kullanılan gübre'!Q59*'Gübre oranlar'!T$2</f>
        <v>2.16</v>
      </c>
      <c r="R59">
        <f>'Kullanılan gübre'!R59*'Gübre oranlar'!U$2</f>
        <v>0</v>
      </c>
      <c r="S59">
        <f>'Kullanılan gübre'!S59*'Gübre oranlar'!V$2</f>
        <v>3.875E-2</v>
      </c>
      <c r="T59">
        <f>'Kullanılan gübre'!T59*'Gübre oranlar'!W$2</f>
        <v>0</v>
      </c>
      <c r="U59">
        <f>'Kullanılan gübre'!U59*'Gübre oranlar'!X$2</f>
        <v>0</v>
      </c>
      <c r="V59">
        <f>'Kullanılan gübre'!V59*'Gübre oranlar'!Y$2</f>
        <v>5.5500000000000007</v>
      </c>
      <c r="W59">
        <f>'Kullanılan gübre'!W59*'Gübre oranlar'!Z$2</f>
        <v>0</v>
      </c>
      <c r="X59">
        <f>'Kullanılan gübre'!X59*'Gübre oranlar'!AA$2</f>
        <v>0</v>
      </c>
      <c r="Y59">
        <f>'Kullanılan gübre'!Y59*'Gübre oranlar'!AB$2</f>
        <v>0</v>
      </c>
      <c r="Z59">
        <f>'Kullanılan gübre'!Z59*'Gübre oranlar'!AC$2</f>
        <v>0</v>
      </c>
      <c r="AA59">
        <f>'Kullanılan gübre'!AA59*'Gübre oranlar'!AD$2</f>
        <v>0</v>
      </c>
      <c r="AB59">
        <f>'Kullanılan gübre'!AB59*'Gübre oranlar'!AE$2</f>
        <v>0</v>
      </c>
      <c r="AC59">
        <f>'Kullanılan gübre'!AC59*'Gübre oranlar'!AF$2</f>
        <v>0</v>
      </c>
      <c r="AD59">
        <f>'Kullanılan gübre'!AD59*'Gübre oranlar'!AG$2</f>
        <v>0</v>
      </c>
      <c r="AE59">
        <f>'Kullanılan gübre'!AE59*'Gübre oranlar'!AH$2</f>
        <v>5.5500000000000007</v>
      </c>
      <c r="AF59">
        <f>'Kullanılan gübre'!AF59*'Gübre oranlar'!AI$2</f>
        <v>0</v>
      </c>
      <c r="AG59">
        <f>'Kullanılan gübre'!AG59*'Gübre oranlar'!AJ$2</f>
        <v>0</v>
      </c>
      <c r="AH59">
        <f>'Kullanılan gübre'!AH59*'Gübre oranlar'!AK$2</f>
        <v>0</v>
      </c>
      <c r="AI59">
        <f>'Kullanılan gübre'!AI59*'Gübre oranlar'!AL$2</f>
        <v>0</v>
      </c>
      <c r="AJ59">
        <f>'Kullanılan gübre'!AJ59*'Gübre oranlar'!AM$2</f>
        <v>0</v>
      </c>
      <c r="AK59">
        <f>'Kullanılan gübre'!AK59*'Gübre oranlar'!AN$2</f>
        <v>0</v>
      </c>
      <c r="AL59">
        <f>'Kullanılan gübre'!AL59*'Gübre oranlar'!AO$2</f>
        <v>0</v>
      </c>
      <c r="AM59">
        <f>'Kullanılan gübre'!AM59*'Gübre oranlar'!AP$2</f>
        <v>0</v>
      </c>
      <c r="AN59">
        <f>'Kullanılan gübre'!AN59*'Gübre oranlar'!AQ$2</f>
        <v>0</v>
      </c>
      <c r="AO59">
        <f>'Kullanılan gübre'!AO59*'Gübre oranlar'!AR$2</f>
        <v>0</v>
      </c>
      <c r="AP59">
        <f>'Kullanılan gübre'!AP59*'Gübre oranlar'!AS$2</f>
        <v>0</v>
      </c>
      <c r="AQ59">
        <f>'Kullanılan gübre'!AQ59*'Gübre oranlar'!AT$2</f>
        <v>0</v>
      </c>
      <c r="AR59">
        <f>'Kullanılan gübre'!AR59*'Gübre oranlar'!AU$2</f>
        <v>0</v>
      </c>
      <c r="AS59">
        <f>'Kullanılan gübre'!AS59*'Gübre oranlar'!AV$2</f>
        <v>0</v>
      </c>
      <c r="AT59">
        <f>'Kullanılan gübre'!AT59*'Gübre oranlar'!AW$2</f>
        <v>0</v>
      </c>
      <c r="AU59">
        <f>'Kullanılan gübre'!AU59*'Gübre oranlar'!AX$2</f>
        <v>0</v>
      </c>
      <c r="AV59">
        <f>'Kullanılan gübre'!AV59*'Gübre oranlar'!AY$2</f>
        <v>0</v>
      </c>
      <c r="AW59">
        <f t="shared" si="0"/>
        <v>1031.2407500000002</v>
      </c>
    </row>
    <row r="60" spans="1:49" hidden="1" x14ac:dyDescent="0.25">
      <c r="A60" t="str">
        <f>'Kullanılan gübre'!A60</f>
        <v>AK</v>
      </c>
      <c r="B60" t="str">
        <f>'Kullanılan gübre'!B60</f>
        <v>AFYONKARAHISAR</v>
      </c>
      <c r="C60" t="str">
        <f>'Kullanılan gübre'!C60</f>
        <v>SULTANDAGI</v>
      </c>
      <c r="D60">
        <f>'Kullanılan gübre'!D60</f>
        <v>2011</v>
      </c>
      <c r="E60">
        <f>'Kullanılan gübre'!E60*'Gübre oranlar'!H$2</f>
        <v>68.628</v>
      </c>
      <c r="F60">
        <f>'Kullanılan gübre'!F60*'Gübre oranlar'!I$2</f>
        <v>42.38</v>
      </c>
      <c r="G60">
        <f>'Kullanılan gübre'!G60*'Gübre oranlar'!J$2</f>
        <v>81.378</v>
      </c>
      <c r="H60">
        <f>'Kullanılan gübre'!H60*'Gübre oranlar'!K$2</f>
        <v>20.998999999999999</v>
      </c>
      <c r="I60">
        <f>'Kullanılan gübre'!I60*'Gübre oranlar'!L$2</f>
        <v>0</v>
      </c>
      <c r="J60">
        <f>'Kullanılan gübre'!J60*'Gübre oranlar'!M$2</f>
        <v>40.220999999999997</v>
      </c>
      <c r="K60">
        <f>'Kullanılan gübre'!K60*'Gübre oranlar'!N$2</f>
        <v>3.8600000000000003</v>
      </c>
      <c r="L60">
        <f>'Kullanılan gübre'!L60*'Gübre oranlar'!O$2</f>
        <v>38.700000000000003</v>
      </c>
      <c r="M60">
        <f>'Kullanılan gübre'!M60*'Gübre oranlar'!P$2</f>
        <v>1.2</v>
      </c>
      <c r="N60">
        <f>'Kullanılan gübre'!N60*'Gübre oranlar'!Q$2</f>
        <v>16.619999999999997</v>
      </c>
      <c r="O60">
        <f>'Kullanılan gübre'!O60*'Gübre oranlar'!R$2</f>
        <v>0</v>
      </c>
      <c r="P60">
        <f>'Kullanılan gübre'!P60*'Gübre oranlar'!S$2</f>
        <v>0</v>
      </c>
      <c r="Q60">
        <f>'Kullanılan gübre'!Q60*'Gübre oranlar'!T$2</f>
        <v>0</v>
      </c>
      <c r="R60">
        <f>'Kullanılan gübre'!R60*'Gübre oranlar'!U$2</f>
        <v>0</v>
      </c>
      <c r="S60">
        <f>'Kullanılan gübre'!S60*'Gübre oranlar'!V$2</f>
        <v>0</v>
      </c>
      <c r="T60">
        <f>'Kullanılan gübre'!T60*'Gübre oranlar'!W$2</f>
        <v>0</v>
      </c>
      <c r="U60">
        <f>'Kullanılan gübre'!U60*'Gübre oranlar'!X$2</f>
        <v>0</v>
      </c>
      <c r="V60">
        <f>'Kullanılan gübre'!V60*'Gübre oranlar'!Y$2</f>
        <v>0.48499999999999999</v>
      </c>
      <c r="W60">
        <f>'Kullanılan gübre'!W60*'Gübre oranlar'!Z$2</f>
        <v>0</v>
      </c>
      <c r="X60">
        <f>'Kullanılan gübre'!X60*'Gübre oranlar'!AA$2</f>
        <v>0</v>
      </c>
      <c r="Y60">
        <f>'Kullanılan gübre'!Y60*'Gübre oranlar'!AB$2</f>
        <v>0</v>
      </c>
      <c r="Z60">
        <f>'Kullanılan gübre'!Z60*'Gübre oranlar'!AC$2</f>
        <v>0</v>
      </c>
      <c r="AA60">
        <f>'Kullanılan gübre'!AA60*'Gübre oranlar'!AD$2</f>
        <v>14.885</v>
      </c>
      <c r="AB60">
        <f>'Kullanılan gübre'!AB60*'Gübre oranlar'!AE$2</f>
        <v>0</v>
      </c>
      <c r="AC60">
        <f>'Kullanılan gübre'!AC60*'Gübre oranlar'!AF$2</f>
        <v>0</v>
      </c>
      <c r="AD60">
        <f>'Kullanılan gübre'!AD60*'Gübre oranlar'!AG$2</f>
        <v>0</v>
      </c>
      <c r="AE60">
        <f>'Kullanılan gübre'!AE60*'Gübre oranlar'!AH$2</f>
        <v>1.4850000000000001</v>
      </c>
      <c r="AF60">
        <f>'Kullanılan gübre'!AF60*'Gübre oranlar'!AI$2</f>
        <v>0</v>
      </c>
      <c r="AG60">
        <f>'Kullanılan gübre'!AG60*'Gübre oranlar'!AJ$2</f>
        <v>0</v>
      </c>
      <c r="AH60">
        <f>'Kullanılan gübre'!AH60*'Gübre oranlar'!AK$2</f>
        <v>0</v>
      </c>
      <c r="AI60">
        <f>'Kullanılan gübre'!AI60*'Gübre oranlar'!AL$2</f>
        <v>0</v>
      </c>
      <c r="AJ60">
        <f>'Kullanılan gübre'!AJ60*'Gübre oranlar'!AM$2</f>
        <v>0</v>
      </c>
      <c r="AK60">
        <f>'Kullanılan gübre'!AK60*'Gübre oranlar'!AN$2</f>
        <v>0</v>
      </c>
      <c r="AL60">
        <f>'Kullanılan gübre'!AL60*'Gübre oranlar'!AO$2</f>
        <v>0</v>
      </c>
      <c r="AM60">
        <f>'Kullanılan gübre'!AM60*'Gübre oranlar'!AP$2</f>
        <v>0</v>
      </c>
      <c r="AN60">
        <f>'Kullanılan gübre'!AN60*'Gübre oranlar'!AQ$2</f>
        <v>0</v>
      </c>
      <c r="AO60">
        <f>'Kullanılan gübre'!AO60*'Gübre oranlar'!AR$2</f>
        <v>0</v>
      </c>
      <c r="AP60">
        <f>'Kullanılan gübre'!AP60*'Gübre oranlar'!AS$2</f>
        <v>0</v>
      </c>
      <c r="AQ60">
        <f>'Kullanılan gübre'!AQ60*'Gübre oranlar'!AT$2</f>
        <v>0</v>
      </c>
      <c r="AR60">
        <f>'Kullanılan gübre'!AR60*'Gübre oranlar'!AU$2</f>
        <v>0</v>
      </c>
      <c r="AS60">
        <f>'Kullanılan gübre'!AS60*'Gübre oranlar'!AV$2</f>
        <v>0</v>
      </c>
      <c r="AT60">
        <f>'Kullanılan gübre'!AT60*'Gübre oranlar'!AW$2</f>
        <v>0</v>
      </c>
      <c r="AU60">
        <f>'Kullanılan gübre'!AU60*'Gübre oranlar'!AX$2</f>
        <v>0</v>
      </c>
      <c r="AV60">
        <f>'Kullanılan gübre'!AV60*'Gübre oranlar'!AY$2</f>
        <v>0</v>
      </c>
      <c r="AW60">
        <f t="shared" si="0"/>
        <v>330.84100000000001</v>
      </c>
    </row>
    <row r="61" spans="1:49" hidden="1" x14ac:dyDescent="0.25">
      <c r="A61" t="str">
        <f>'Kullanılan gübre'!A61</f>
        <v>AK</v>
      </c>
      <c r="B61" t="str">
        <f>'Kullanılan gübre'!B61</f>
        <v>AFYONKARAHISAR</v>
      </c>
      <c r="C61" t="str">
        <f>'Kullanılan gübre'!C61</f>
        <v>SUHUT</v>
      </c>
      <c r="D61">
        <f>'Kullanılan gübre'!D61</f>
        <v>2011</v>
      </c>
      <c r="E61">
        <f>'Kullanılan gübre'!E61*'Gübre oranlar'!H$2</f>
        <v>457.65300000000002</v>
      </c>
      <c r="F61">
        <f>'Kullanılan gübre'!F61*'Gübre oranlar'!I$2</f>
        <v>117.80600000000001</v>
      </c>
      <c r="G61">
        <f>'Kullanılan gübre'!G61*'Gübre oranlar'!J$2</f>
        <v>531.74549999999999</v>
      </c>
      <c r="H61">
        <f>'Kullanılan gübre'!H61*'Gübre oranlar'!K$2</f>
        <v>504.298</v>
      </c>
      <c r="I61">
        <f>'Kullanılan gübre'!I61*'Gübre oranlar'!L$2</f>
        <v>0</v>
      </c>
      <c r="J61">
        <f>'Kullanılan gübre'!J61*'Gübre oranlar'!M$2</f>
        <v>133.31699999999998</v>
      </c>
      <c r="K61">
        <f>'Kullanılan gübre'!K61*'Gübre oranlar'!N$2</f>
        <v>26.430000000000003</v>
      </c>
      <c r="L61">
        <f>'Kullanılan gübre'!L61*'Gübre oranlar'!O$2</f>
        <v>59.710000000000008</v>
      </c>
      <c r="M61">
        <f>'Kullanılan gübre'!M61*'Gübre oranlar'!P$2</f>
        <v>52.709999999999994</v>
      </c>
      <c r="N61">
        <f>'Kullanılan gübre'!N61*'Gübre oranlar'!Q$2</f>
        <v>95.482499999999987</v>
      </c>
      <c r="O61">
        <f>'Kullanılan gübre'!O61*'Gübre oranlar'!R$2</f>
        <v>0</v>
      </c>
      <c r="P61">
        <f>'Kullanılan gübre'!P61*'Gübre oranlar'!S$2</f>
        <v>16.1096</v>
      </c>
      <c r="Q61">
        <f>'Kullanılan gübre'!Q61*'Gübre oranlar'!T$2</f>
        <v>0</v>
      </c>
      <c r="R61">
        <f>'Kullanılan gübre'!R61*'Gübre oranlar'!U$2</f>
        <v>0</v>
      </c>
      <c r="S61">
        <f>'Kullanılan gübre'!S61*'Gübre oranlar'!V$2</f>
        <v>9.9773500000000013</v>
      </c>
      <c r="T61">
        <f>'Kullanılan gübre'!T61*'Gübre oranlar'!W$2</f>
        <v>0</v>
      </c>
      <c r="U61">
        <f>'Kullanılan gübre'!U61*'Gübre oranlar'!X$2</f>
        <v>0</v>
      </c>
      <c r="V61">
        <f>'Kullanılan gübre'!V61*'Gübre oranlar'!Y$2</f>
        <v>0</v>
      </c>
      <c r="W61">
        <f>'Kullanılan gübre'!W61*'Gübre oranlar'!Z$2</f>
        <v>0</v>
      </c>
      <c r="X61">
        <f>'Kullanılan gübre'!X61*'Gübre oranlar'!AA$2</f>
        <v>7.5549999999999997</v>
      </c>
      <c r="Y61">
        <f>'Kullanılan gübre'!Y61*'Gübre oranlar'!AB$2</f>
        <v>0</v>
      </c>
      <c r="Z61">
        <f>'Kullanılan gübre'!Z61*'Gübre oranlar'!AC$2</f>
        <v>0</v>
      </c>
      <c r="AA61">
        <f>'Kullanılan gübre'!AA61*'Gübre oranlar'!AD$2</f>
        <v>75.5625</v>
      </c>
      <c r="AB61">
        <f>'Kullanılan gübre'!AB61*'Gübre oranlar'!AE$2</f>
        <v>0</v>
      </c>
      <c r="AC61">
        <f>'Kullanılan gübre'!AC61*'Gübre oranlar'!AF$2</f>
        <v>0</v>
      </c>
      <c r="AD61">
        <f>'Kullanılan gübre'!AD61*'Gübre oranlar'!AG$2</f>
        <v>0</v>
      </c>
      <c r="AE61">
        <f>'Kullanılan gübre'!AE61*'Gübre oranlar'!AH$2</f>
        <v>6.4</v>
      </c>
      <c r="AF61">
        <f>'Kullanılan gübre'!AF61*'Gübre oranlar'!AI$2</f>
        <v>0</v>
      </c>
      <c r="AG61">
        <f>'Kullanılan gübre'!AG61*'Gübre oranlar'!AJ$2</f>
        <v>0</v>
      </c>
      <c r="AH61">
        <f>'Kullanılan gübre'!AH61*'Gübre oranlar'!AK$2</f>
        <v>0</v>
      </c>
      <c r="AI61">
        <f>'Kullanılan gübre'!AI61*'Gübre oranlar'!AL$2</f>
        <v>0</v>
      </c>
      <c r="AJ61">
        <f>'Kullanılan gübre'!AJ61*'Gübre oranlar'!AM$2</f>
        <v>0</v>
      </c>
      <c r="AK61">
        <f>'Kullanılan gübre'!AK61*'Gübre oranlar'!AN$2</f>
        <v>0</v>
      </c>
      <c r="AL61">
        <f>'Kullanılan gübre'!AL61*'Gübre oranlar'!AO$2</f>
        <v>0</v>
      </c>
      <c r="AM61">
        <f>'Kullanılan gübre'!AM61*'Gübre oranlar'!AP$2</f>
        <v>0</v>
      </c>
      <c r="AN61">
        <f>'Kullanılan gübre'!AN61*'Gübre oranlar'!AQ$2</f>
        <v>0</v>
      </c>
      <c r="AO61">
        <f>'Kullanılan gübre'!AO61*'Gübre oranlar'!AR$2</f>
        <v>0</v>
      </c>
      <c r="AP61">
        <f>'Kullanılan gübre'!AP61*'Gübre oranlar'!AS$2</f>
        <v>0</v>
      </c>
      <c r="AQ61">
        <f>'Kullanılan gübre'!AQ61*'Gübre oranlar'!AT$2</f>
        <v>0</v>
      </c>
      <c r="AR61">
        <f>'Kullanılan gübre'!AR61*'Gübre oranlar'!AU$2</f>
        <v>0</v>
      </c>
      <c r="AS61">
        <f>'Kullanılan gübre'!AS61*'Gübre oranlar'!AV$2</f>
        <v>0</v>
      </c>
      <c r="AT61">
        <f>'Kullanılan gübre'!AT61*'Gübre oranlar'!AW$2</f>
        <v>0</v>
      </c>
      <c r="AU61">
        <f>'Kullanılan gübre'!AU61*'Gübre oranlar'!AX$2</f>
        <v>0</v>
      </c>
      <c r="AV61">
        <f>'Kullanılan gübre'!AV61*'Gübre oranlar'!AY$2</f>
        <v>0</v>
      </c>
      <c r="AW61">
        <f t="shared" si="0"/>
        <v>2094.7564500000003</v>
      </c>
    </row>
    <row r="62" spans="1:49" hidden="1" x14ac:dyDescent="0.25">
      <c r="A62" t="str">
        <f>'Kullanılan gübre'!A62</f>
        <v>AK</v>
      </c>
      <c r="B62" t="str">
        <f>'Kullanılan gübre'!B62</f>
        <v>AFYONKARAHISAR</v>
      </c>
      <c r="C62" t="str">
        <f>'Kullanılan gübre'!C62</f>
        <v>MERKEZ</v>
      </c>
      <c r="D62">
        <f>'Kullanılan gübre'!D62</f>
        <v>2012</v>
      </c>
      <c r="E62">
        <f>'Kullanılan gübre'!E62*'Gübre oranlar'!H$2</f>
        <v>56.805</v>
      </c>
      <c r="F62">
        <f>'Kullanılan gübre'!F62*'Gübre oranlar'!I$2</f>
        <v>132.70400000000001</v>
      </c>
      <c r="G62">
        <f>'Kullanılan gübre'!G62*'Gübre oranlar'!J$2</f>
        <v>408.72149999999999</v>
      </c>
      <c r="H62">
        <f>'Kullanılan gübre'!H62*'Gübre oranlar'!K$2</f>
        <v>435.36700000000002</v>
      </c>
      <c r="I62">
        <f>'Kullanılan gübre'!I62*'Gübre oranlar'!L$2</f>
        <v>0</v>
      </c>
      <c r="J62">
        <f>'Kullanılan gübre'!J62*'Gübre oranlar'!M$2</f>
        <v>149.499</v>
      </c>
      <c r="K62">
        <f>'Kullanılan gübre'!K62*'Gübre oranlar'!N$2</f>
        <v>289.36399999999998</v>
      </c>
      <c r="L62">
        <f>'Kullanılan gübre'!L62*'Gübre oranlar'!O$2</f>
        <v>101.15</v>
      </c>
      <c r="M62">
        <f>'Kullanılan gübre'!M62*'Gübre oranlar'!P$2</f>
        <v>20.8155</v>
      </c>
      <c r="N62">
        <f>'Kullanılan gübre'!N62*'Gübre oranlar'!Q$2</f>
        <v>72.127499999999998</v>
      </c>
      <c r="O62">
        <f>'Kullanılan gübre'!O62*'Gübre oranlar'!R$2</f>
        <v>0</v>
      </c>
      <c r="P62">
        <f>'Kullanılan gübre'!P62*'Gübre oranlar'!S$2</f>
        <v>2.8834</v>
      </c>
      <c r="Q62">
        <f>'Kullanılan gübre'!Q62*'Gübre oranlar'!T$2</f>
        <v>62.465999999999994</v>
      </c>
      <c r="R62">
        <f>'Kullanılan gübre'!R62*'Gübre oranlar'!U$2</f>
        <v>0</v>
      </c>
      <c r="S62">
        <f>'Kullanılan gübre'!S62*'Gübre oranlar'!V$2</f>
        <v>0</v>
      </c>
      <c r="T62">
        <f>'Kullanılan gübre'!T62*'Gübre oranlar'!W$2</f>
        <v>0</v>
      </c>
      <c r="U62">
        <f>'Kullanılan gübre'!U62*'Gübre oranlar'!X$2</f>
        <v>0</v>
      </c>
      <c r="V62">
        <f>'Kullanılan gübre'!V62*'Gübre oranlar'!Y$2</f>
        <v>8.2099999999999991</v>
      </c>
      <c r="W62">
        <f>'Kullanılan gübre'!W62*'Gübre oranlar'!Z$2</f>
        <v>0</v>
      </c>
      <c r="X62">
        <f>'Kullanılan gübre'!X62*'Gübre oranlar'!AA$2</f>
        <v>7.5000000000000011E-2</v>
      </c>
      <c r="Y62">
        <f>'Kullanılan gübre'!Y62*'Gübre oranlar'!AB$2</f>
        <v>0</v>
      </c>
      <c r="Z62">
        <f>'Kullanılan gübre'!Z62*'Gübre oranlar'!AC$2</f>
        <v>0</v>
      </c>
      <c r="AA62">
        <f>'Kullanılan gübre'!AA62*'Gübre oranlar'!AD$2</f>
        <v>1.573</v>
      </c>
      <c r="AB62">
        <f>'Kullanılan gübre'!AB62*'Gübre oranlar'!AE$2</f>
        <v>0</v>
      </c>
      <c r="AC62">
        <f>'Kullanılan gübre'!AC62*'Gübre oranlar'!AF$2</f>
        <v>0</v>
      </c>
      <c r="AD62">
        <f>'Kullanılan gübre'!AD62*'Gübre oranlar'!AG$2</f>
        <v>0</v>
      </c>
      <c r="AE62">
        <f>'Kullanılan gübre'!AE62*'Gübre oranlar'!AH$2</f>
        <v>8.2099999999999991</v>
      </c>
      <c r="AF62">
        <f>'Kullanılan gübre'!AF62*'Gübre oranlar'!AI$2</f>
        <v>0</v>
      </c>
      <c r="AG62">
        <f>'Kullanılan gübre'!AG62*'Gübre oranlar'!AJ$2</f>
        <v>0</v>
      </c>
      <c r="AH62">
        <f>'Kullanılan gübre'!AH62*'Gübre oranlar'!AK$2</f>
        <v>0</v>
      </c>
      <c r="AI62">
        <f>'Kullanılan gübre'!AI62*'Gübre oranlar'!AL$2</f>
        <v>0</v>
      </c>
      <c r="AJ62">
        <f>'Kullanılan gübre'!AJ62*'Gübre oranlar'!AM$2</f>
        <v>0</v>
      </c>
      <c r="AK62">
        <f>'Kullanılan gübre'!AK62*'Gübre oranlar'!AN$2</f>
        <v>0</v>
      </c>
      <c r="AL62">
        <f>'Kullanılan gübre'!AL62*'Gübre oranlar'!AO$2</f>
        <v>0</v>
      </c>
      <c r="AM62">
        <f>'Kullanılan gübre'!AM62*'Gübre oranlar'!AP$2</f>
        <v>0</v>
      </c>
      <c r="AN62">
        <f>'Kullanılan gübre'!AN62*'Gübre oranlar'!AQ$2</f>
        <v>0</v>
      </c>
      <c r="AO62">
        <f>'Kullanılan gübre'!AO62*'Gübre oranlar'!AR$2</f>
        <v>0</v>
      </c>
      <c r="AP62">
        <f>'Kullanılan gübre'!AP62*'Gübre oranlar'!AS$2</f>
        <v>0</v>
      </c>
      <c r="AQ62">
        <f>'Kullanılan gübre'!AQ62*'Gübre oranlar'!AT$2</f>
        <v>0</v>
      </c>
      <c r="AR62">
        <f>'Kullanılan gübre'!AR62*'Gübre oranlar'!AU$2</f>
        <v>0</v>
      </c>
      <c r="AS62">
        <f>'Kullanılan gübre'!AS62*'Gübre oranlar'!AV$2</f>
        <v>0</v>
      </c>
      <c r="AT62">
        <f>'Kullanılan gübre'!AT62*'Gübre oranlar'!AW$2</f>
        <v>0</v>
      </c>
      <c r="AU62">
        <f>'Kullanılan gübre'!AU62*'Gübre oranlar'!AX$2</f>
        <v>0</v>
      </c>
      <c r="AV62">
        <f>'Kullanılan gübre'!AV62*'Gübre oranlar'!AY$2</f>
        <v>0</v>
      </c>
      <c r="AW62">
        <f t="shared" si="0"/>
        <v>1749.9709000000003</v>
      </c>
    </row>
    <row r="63" spans="1:49" hidden="1" x14ac:dyDescent="0.25">
      <c r="A63" t="str">
        <f>'Kullanılan gübre'!A63</f>
        <v>AK</v>
      </c>
      <c r="B63" t="str">
        <f>'Kullanılan gübre'!B63</f>
        <v>AFYONKARAHISAR</v>
      </c>
      <c r="C63" t="str">
        <f>'Kullanılan gübre'!C63</f>
        <v>BAYAT</v>
      </c>
      <c r="D63">
        <f>'Kullanılan gübre'!D63</f>
        <v>2012</v>
      </c>
      <c r="E63">
        <f>'Kullanılan gübre'!E63*'Gübre oranlar'!H$2</f>
        <v>11.969999999999999</v>
      </c>
      <c r="F63">
        <f>'Kullanılan gübre'!F63*'Gübre oranlar'!I$2</f>
        <v>0.33800000000000002</v>
      </c>
      <c r="G63">
        <f>'Kullanılan gübre'!G63*'Gübre oranlar'!J$2</f>
        <v>43.065000000000005</v>
      </c>
      <c r="H63">
        <f>'Kullanılan gübre'!H63*'Gübre oranlar'!K$2</f>
        <v>0</v>
      </c>
      <c r="I63">
        <f>'Kullanılan gübre'!I63*'Gübre oranlar'!L$2</f>
        <v>0</v>
      </c>
      <c r="J63">
        <f>'Kullanılan gübre'!J63*'Gübre oranlar'!M$2</f>
        <v>14.04</v>
      </c>
      <c r="K63">
        <f>'Kullanılan gübre'!K63*'Gübre oranlar'!N$2</f>
        <v>0</v>
      </c>
      <c r="L63">
        <f>'Kullanılan gübre'!L63*'Gübre oranlar'!O$2</f>
        <v>15.600000000000001</v>
      </c>
      <c r="M63">
        <f>'Kullanılan gübre'!M63*'Gübre oranlar'!P$2</f>
        <v>0</v>
      </c>
      <c r="N63">
        <f>'Kullanılan gübre'!N63*'Gübre oranlar'!Q$2</f>
        <v>3.7650000000000001</v>
      </c>
      <c r="O63">
        <f>'Kullanılan gübre'!O63*'Gübre oranlar'!R$2</f>
        <v>0</v>
      </c>
      <c r="P63">
        <f>'Kullanılan gübre'!P63*'Gübre oranlar'!S$2</f>
        <v>0</v>
      </c>
      <c r="Q63">
        <f>'Kullanılan gübre'!Q63*'Gübre oranlar'!T$2</f>
        <v>0</v>
      </c>
      <c r="R63">
        <f>'Kullanılan gübre'!R63*'Gübre oranlar'!U$2</f>
        <v>0</v>
      </c>
      <c r="S63">
        <f>'Kullanılan gübre'!S63*'Gübre oranlar'!V$2</f>
        <v>0</v>
      </c>
      <c r="T63">
        <f>'Kullanılan gübre'!T63*'Gübre oranlar'!W$2</f>
        <v>0</v>
      </c>
      <c r="U63">
        <f>'Kullanılan gübre'!U63*'Gübre oranlar'!X$2</f>
        <v>0</v>
      </c>
      <c r="V63">
        <f>'Kullanılan gübre'!V63*'Gübre oranlar'!Y$2</f>
        <v>0</v>
      </c>
      <c r="W63">
        <f>'Kullanılan gübre'!W63*'Gübre oranlar'!Z$2</f>
        <v>0</v>
      </c>
      <c r="X63">
        <f>'Kullanılan gübre'!X63*'Gübre oranlar'!AA$2</f>
        <v>0</v>
      </c>
      <c r="Y63">
        <f>'Kullanılan gübre'!Y63*'Gübre oranlar'!AB$2</f>
        <v>0</v>
      </c>
      <c r="Z63">
        <f>'Kullanılan gübre'!Z63*'Gübre oranlar'!AC$2</f>
        <v>0</v>
      </c>
      <c r="AA63">
        <f>'Kullanılan gübre'!AA63*'Gübre oranlar'!AD$2</f>
        <v>0</v>
      </c>
      <c r="AB63">
        <f>'Kullanılan gübre'!AB63*'Gübre oranlar'!AE$2</f>
        <v>0</v>
      </c>
      <c r="AC63">
        <f>'Kullanılan gübre'!AC63*'Gübre oranlar'!AF$2</f>
        <v>0</v>
      </c>
      <c r="AD63">
        <f>'Kullanılan gübre'!AD63*'Gübre oranlar'!AG$2</f>
        <v>0</v>
      </c>
      <c r="AE63">
        <f>'Kullanılan gübre'!AE63*'Gübre oranlar'!AH$2</f>
        <v>0</v>
      </c>
      <c r="AF63">
        <f>'Kullanılan gübre'!AF63*'Gübre oranlar'!AI$2</f>
        <v>0</v>
      </c>
      <c r="AG63">
        <f>'Kullanılan gübre'!AG63*'Gübre oranlar'!AJ$2</f>
        <v>0</v>
      </c>
      <c r="AH63">
        <f>'Kullanılan gübre'!AH63*'Gübre oranlar'!AK$2</f>
        <v>0</v>
      </c>
      <c r="AI63">
        <f>'Kullanılan gübre'!AI63*'Gübre oranlar'!AL$2</f>
        <v>0</v>
      </c>
      <c r="AJ63">
        <f>'Kullanılan gübre'!AJ63*'Gübre oranlar'!AM$2</f>
        <v>0</v>
      </c>
      <c r="AK63">
        <f>'Kullanılan gübre'!AK63*'Gübre oranlar'!AN$2</f>
        <v>0</v>
      </c>
      <c r="AL63">
        <f>'Kullanılan gübre'!AL63*'Gübre oranlar'!AO$2</f>
        <v>0</v>
      </c>
      <c r="AM63">
        <f>'Kullanılan gübre'!AM63*'Gübre oranlar'!AP$2</f>
        <v>0</v>
      </c>
      <c r="AN63">
        <f>'Kullanılan gübre'!AN63*'Gübre oranlar'!AQ$2</f>
        <v>0</v>
      </c>
      <c r="AO63">
        <f>'Kullanılan gübre'!AO63*'Gübre oranlar'!AR$2</f>
        <v>0</v>
      </c>
      <c r="AP63">
        <f>'Kullanılan gübre'!AP63*'Gübre oranlar'!AS$2</f>
        <v>0</v>
      </c>
      <c r="AQ63">
        <f>'Kullanılan gübre'!AQ63*'Gübre oranlar'!AT$2</f>
        <v>0</v>
      </c>
      <c r="AR63">
        <f>'Kullanılan gübre'!AR63*'Gübre oranlar'!AU$2</f>
        <v>0</v>
      </c>
      <c r="AS63">
        <f>'Kullanılan gübre'!AS63*'Gübre oranlar'!AV$2</f>
        <v>0</v>
      </c>
      <c r="AT63">
        <f>'Kullanılan gübre'!AT63*'Gübre oranlar'!AW$2</f>
        <v>0</v>
      </c>
      <c r="AU63">
        <f>'Kullanılan gübre'!AU63*'Gübre oranlar'!AX$2</f>
        <v>0</v>
      </c>
      <c r="AV63">
        <f>'Kullanılan gübre'!AV63*'Gübre oranlar'!AY$2</f>
        <v>0</v>
      </c>
      <c r="AW63">
        <f t="shared" si="0"/>
        <v>88.778000000000006</v>
      </c>
    </row>
    <row r="64" spans="1:49" hidden="1" x14ac:dyDescent="0.25">
      <c r="A64" t="str">
        <f>'Kullanılan gübre'!A64</f>
        <v>AK</v>
      </c>
      <c r="B64" t="str">
        <f>'Kullanılan gübre'!B64</f>
        <v>AFYONKARAHISAR</v>
      </c>
      <c r="C64" t="str">
        <f>'Kullanılan gübre'!C64</f>
        <v>BOLVADIN</v>
      </c>
      <c r="D64">
        <f>'Kullanılan gübre'!D64</f>
        <v>2012</v>
      </c>
      <c r="E64">
        <f>'Kullanılan gübre'!E64*'Gübre oranlar'!H$2</f>
        <v>8.82</v>
      </c>
      <c r="F64">
        <f>'Kullanılan gübre'!F64*'Gübre oranlar'!I$2</f>
        <v>33.28</v>
      </c>
      <c r="G64">
        <f>'Kullanılan gübre'!G64*'Gübre oranlar'!J$2</f>
        <v>313.59899999999999</v>
      </c>
      <c r="H64">
        <f>'Kullanılan gübre'!H64*'Gübre oranlar'!K$2</f>
        <v>88.918000000000006</v>
      </c>
      <c r="I64">
        <f>'Kullanılan gübre'!I64*'Gübre oranlar'!L$2</f>
        <v>0</v>
      </c>
      <c r="J64">
        <f>'Kullanılan gübre'!J64*'Gübre oranlar'!M$2</f>
        <v>174.86099999999999</v>
      </c>
      <c r="K64">
        <f>'Kullanılan gübre'!K64*'Gübre oranlar'!N$2</f>
        <v>0</v>
      </c>
      <c r="L64">
        <f>'Kullanılan gübre'!L64*'Gübre oranlar'!O$2</f>
        <v>51.7</v>
      </c>
      <c r="M64">
        <f>'Kullanılan gübre'!M64*'Gübre oranlar'!P$2</f>
        <v>0</v>
      </c>
      <c r="N64">
        <f>'Kullanılan gübre'!N64*'Gübre oranlar'!Q$2</f>
        <v>3.1274999999999999</v>
      </c>
      <c r="O64">
        <f>'Kullanılan gübre'!O64*'Gübre oranlar'!R$2</f>
        <v>0</v>
      </c>
      <c r="P64">
        <f>'Kullanılan gübre'!P64*'Gübre oranlar'!S$2</f>
        <v>0.4914</v>
      </c>
      <c r="Q64">
        <f>'Kullanılan gübre'!Q64*'Gübre oranlar'!T$2</f>
        <v>0</v>
      </c>
      <c r="R64">
        <f>'Kullanılan gübre'!R64*'Gübre oranlar'!U$2</f>
        <v>0</v>
      </c>
      <c r="S64">
        <f>'Kullanılan gübre'!S64*'Gübre oranlar'!V$2</f>
        <v>0</v>
      </c>
      <c r="T64">
        <f>'Kullanılan gübre'!T64*'Gübre oranlar'!W$2</f>
        <v>16.25</v>
      </c>
      <c r="U64">
        <f>'Kullanılan gübre'!U64*'Gübre oranlar'!X$2</f>
        <v>0</v>
      </c>
      <c r="V64">
        <f>'Kullanılan gübre'!V64*'Gübre oranlar'!Y$2</f>
        <v>0</v>
      </c>
      <c r="W64">
        <f>'Kullanılan gübre'!W64*'Gübre oranlar'!Z$2</f>
        <v>0</v>
      </c>
      <c r="X64">
        <f>'Kullanılan gübre'!X64*'Gübre oranlar'!AA$2</f>
        <v>0</v>
      </c>
      <c r="Y64">
        <f>'Kullanılan gübre'!Y64*'Gübre oranlar'!AB$2</f>
        <v>0</v>
      </c>
      <c r="Z64">
        <f>'Kullanılan gübre'!Z64*'Gübre oranlar'!AC$2</f>
        <v>0</v>
      </c>
      <c r="AA64">
        <f>'Kullanılan gübre'!AA64*'Gübre oranlar'!AD$2</f>
        <v>0</v>
      </c>
      <c r="AB64">
        <f>'Kullanılan gübre'!AB64*'Gübre oranlar'!AE$2</f>
        <v>0</v>
      </c>
      <c r="AC64">
        <f>'Kullanılan gübre'!AC64*'Gübre oranlar'!AF$2</f>
        <v>0</v>
      </c>
      <c r="AD64">
        <f>'Kullanılan gübre'!AD64*'Gübre oranlar'!AG$2</f>
        <v>0</v>
      </c>
      <c r="AE64">
        <f>'Kullanılan gübre'!AE64*'Gübre oranlar'!AH$2</f>
        <v>0</v>
      </c>
      <c r="AF64">
        <f>'Kullanılan gübre'!AF64*'Gübre oranlar'!AI$2</f>
        <v>0</v>
      </c>
      <c r="AG64">
        <f>'Kullanılan gübre'!AG64*'Gübre oranlar'!AJ$2</f>
        <v>0</v>
      </c>
      <c r="AH64">
        <f>'Kullanılan gübre'!AH64*'Gübre oranlar'!AK$2</f>
        <v>0</v>
      </c>
      <c r="AI64">
        <f>'Kullanılan gübre'!AI64*'Gübre oranlar'!AL$2</f>
        <v>0</v>
      </c>
      <c r="AJ64">
        <f>'Kullanılan gübre'!AJ64*'Gübre oranlar'!AM$2</f>
        <v>0</v>
      </c>
      <c r="AK64">
        <f>'Kullanılan gübre'!AK64*'Gübre oranlar'!AN$2</f>
        <v>0</v>
      </c>
      <c r="AL64">
        <f>'Kullanılan gübre'!AL64*'Gübre oranlar'!AO$2</f>
        <v>0</v>
      </c>
      <c r="AM64">
        <f>'Kullanılan gübre'!AM64*'Gübre oranlar'!AP$2</f>
        <v>0</v>
      </c>
      <c r="AN64">
        <f>'Kullanılan gübre'!AN64*'Gübre oranlar'!AQ$2</f>
        <v>0</v>
      </c>
      <c r="AO64">
        <f>'Kullanılan gübre'!AO64*'Gübre oranlar'!AR$2</f>
        <v>0</v>
      </c>
      <c r="AP64">
        <f>'Kullanılan gübre'!AP64*'Gübre oranlar'!AS$2</f>
        <v>0</v>
      </c>
      <c r="AQ64">
        <f>'Kullanılan gübre'!AQ64*'Gübre oranlar'!AT$2</f>
        <v>0</v>
      </c>
      <c r="AR64">
        <f>'Kullanılan gübre'!AR64*'Gübre oranlar'!AU$2</f>
        <v>0</v>
      </c>
      <c r="AS64">
        <f>'Kullanılan gübre'!AS64*'Gübre oranlar'!AV$2</f>
        <v>0</v>
      </c>
      <c r="AT64">
        <f>'Kullanılan gübre'!AT64*'Gübre oranlar'!AW$2</f>
        <v>0</v>
      </c>
      <c r="AU64">
        <f>'Kullanılan gübre'!AU64*'Gübre oranlar'!AX$2</f>
        <v>0</v>
      </c>
      <c r="AV64">
        <f>'Kullanılan gübre'!AV64*'Gübre oranlar'!AY$2</f>
        <v>0</v>
      </c>
      <c r="AW64">
        <f t="shared" si="0"/>
        <v>691.04690000000016</v>
      </c>
    </row>
    <row r="65" spans="1:49" hidden="1" x14ac:dyDescent="0.25">
      <c r="A65" t="str">
        <f>'Kullanılan gübre'!A65</f>
        <v>AK</v>
      </c>
      <c r="B65" t="str">
        <f>'Kullanılan gübre'!B65</f>
        <v>AFYONKARAHISAR</v>
      </c>
      <c r="C65" t="str">
        <f>'Kullanılan gübre'!C65</f>
        <v>CAY</v>
      </c>
      <c r="D65">
        <f>'Kullanılan gübre'!D65</f>
        <v>2012</v>
      </c>
      <c r="E65">
        <f>'Kullanılan gübre'!E65*'Gübre oranlar'!H$2</f>
        <v>44.771999999999998</v>
      </c>
      <c r="F65">
        <f>'Kullanılan gübre'!F65*'Gübre oranlar'!I$2</f>
        <v>75.179000000000002</v>
      </c>
      <c r="G65">
        <f>'Kullanılan gübre'!G65*'Gübre oranlar'!J$2</f>
        <v>341.18700000000007</v>
      </c>
      <c r="H65">
        <f>'Kullanılan gübre'!H65*'Gübre oranlar'!K$2</f>
        <v>317.65300000000002</v>
      </c>
      <c r="I65">
        <f>'Kullanılan gübre'!I65*'Gübre oranlar'!L$2</f>
        <v>0</v>
      </c>
      <c r="J65">
        <f>'Kullanılan gübre'!J65*'Gübre oranlar'!M$2</f>
        <v>104.967</v>
      </c>
      <c r="K65">
        <f>'Kullanılan gübre'!K65*'Gübre oranlar'!N$2</f>
        <v>7.6000000000000005</v>
      </c>
      <c r="L65">
        <f>'Kullanılan gübre'!L65*'Gübre oranlar'!O$2</f>
        <v>145.97</v>
      </c>
      <c r="M65">
        <f>'Kullanılan gübre'!M65*'Gübre oranlar'!P$2</f>
        <v>19.8</v>
      </c>
      <c r="N65">
        <f>'Kullanılan gübre'!N65*'Gübre oranlar'!Q$2</f>
        <v>21.322500000000002</v>
      </c>
      <c r="O65">
        <f>'Kullanılan gübre'!O65*'Gübre oranlar'!R$2</f>
        <v>0</v>
      </c>
      <c r="P65">
        <f>'Kullanılan gübre'!P65*'Gübre oranlar'!S$2</f>
        <v>0.58499999999999996</v>
      </c>
      <c r="Q65">
        <f>'Kullanılan gübre'!Q65*'Gübre oranlar'!T$2</f>
        <v>76.001999999999995</v>
      </c>
      <c r="R65">
        <f>'Kullanılan gübre'!R65*'Gübre oranlar'!U$2</f>
        <v>0</v>
      </c>
      <c r="S65">
        <f>'Kullanılan gübre'!S65*'Gübre oranlar'!V$2</f>
        <v>0</v>
      </c>
      <c r="T65">
        <f>'Kullanılan gübre'!T65*'Gübre oranlar'!W$2</f>
        <v>0</v>
      </c>
      <c r="U65">
        <f>'Kullanılan gübre'!U65*'Gübre oranlar'!X$2</f>
        <v>0</v>
      </c>
      <c r="V65">
        <f>'Kullanılan gübre'!V65*'Gübre oranlar'!Y$2</f>
        <v>2.5000000000000001E-2</v>
      </c>
      <c r="W65">
        <f>'Kullanılan gübre'!W65*'Gübre oranlar'!Z$2</f>
        <v>0</v>
      </c>
      <c r="X65">
        <f>'Kullanılan gübre'!X65*'Gübre oranlar'!AA$2</f>
        <v>0</v>
      </c>
      <c r="Y65">
        <f>'Kullanılan gübre'!Y65*'Gübre oranlar'!AB$2</f>
        <v>0</v>
      </c>
      <c r="Z65">
        <f>'Kullanılan gübre'!Z65*'Gübre oranlar'!AC$2</f>
        <v>0</v>
      </c>
      <c r="AA65">
        <f>'Kullanılan gübre'!AA65*'Gübre oranlar'!AD$2</f>
        <v>15.580499999999999</v>
      </c>
      <c r="AB65">
        <f>'Kullanılan gübre'!AB65*'Gübre oranlar'!AE$2</f>
        <v>0</v>
      </c>
      <c r="AC65">
        <f>'Kullanılan gübre'!AC65*'Gübre oranlar'!AF$2</f>
        <v>0</v>
      </c>
      <c r="AD65">
        <f>'Kullanılan gübre'!AD65*'Gübre oranlar'!AG$2</f>
        <v>0</v>
      </c>
      <c r="AE65">
        <f>'Kullanılan gübre'!AE65*'Gübre oranlar'!AH$2</f>
        <v>4.2050000000000001</v>
      </c>
      <c r="AF65">
        <f>'Kullanılan gübre'!AF65*'Gübre oranlar'!AI$2</f>
        <v>0</v>
      </c>
      <c r="AG65">
        <f>'Kullanılan gübre'!AG65*'Gübre oranlar'!AJ$2</f>
        <v>0</v>
      </c>
      <c r="AH65">
        <f>'Kullanılan gübre'!AH65*'Gübre oranlar'!AK$2</f>
        <v>0</v>
      </c>
      <c r="AI65">
        <f>'Kullanılan gübre'!AI65*'Gübre oranlar'!AL$2</f>
        <v>0</v>
      </c>
      <c r="AJ65">
        <f>'Kullanılan gübre'!AJ65*'Gübre oranlar'!AM$2</f>
        <v>0</v>
      </c>
      <c r="AK65">
        <f>'Kullanılan gübre'!AK65*'Gübre oranlar'!AN$2</f>
        <v>0</v>
      </c>
      <c r="AL65">
        <f>'Kullanılan gübre'!AL65*'Gübre oranlar'!AO$2</f>
        <v>0</v>
      </c>
      <c r="AM65">
        <f>'Kullanılan gübre'!AM65*'Gübre oranlar'!AP$2</f>
        <v>0</v>
      </c>
      <c r="AN65">
        <f>'Kullanılan gübre'!AN65*'Gübre oranlar'!AQ$2</f>
        <v>0</v>
      </c>
      <c r="AO65">
        <f>'Kullanılan gübre'!AO65*'Gübre oranlar'!AR$2</f>
        <v>0</v>
      </c>
      <c r="AP65">
        <f>'Kullanılan gübre'!AP65*'Gübre oranlar'!AS$2</f>
        <v>0</v>
      </c>
      <c r="AQ65">
        <f>'Kullanılan gübre'!AQ65*'Gübre oranlar'!AT$2</f>
        <v>0</v>
      </c>
      <c r="AR65">
        <f>'Kullanılan gübre'!AR65*'Gübre oranlar'!AU$2</f>
        <v>0</v>
      </c>
      <c r="AS65">
        <f>'Kullanılan gübre'!AS65*'Gübre oranlar'!AV$2</f>
        <v>0</v>
      </c>
      <c r="AT65">
        <f>'Kullanılan gübre'!AT65*'Gübre oranlar'!AW$2</f>
        <v>0</v>
      </c>
      <c r="AU65">
        <f>'Kullanılan gübre'!AU65*'Gübre oranlar'!AX$2</f>
        <v>0</v>
      </c>
      <c r="AV65">
        <f>'Kullanılan gübre'!AV65*'Gübre oranlar'!AY$2</f>
        <v>0</v>
      </c>
      <c r="AW65">
        <f t="shared" si="0"/>
        <v>1174.848</v>
      </c>
    </row>
    <row r="66" spans="1:49" hidden="1" x14ac:dyDescent="0.25">
      <c r="A66" t="str">
        <f>'Kullanılan gübre'!A66</f>
        <v>AK</v>
      </c>
      <c r="B66" t="str">
        <f>'Kullanılan gübre'!B66</f>
        <v>AFYONKARAHISAR</v>
      </c>
      <c r="C66" t="str">
        <f>'Kullanılan gübre'!C66</f>
        <v>COBANLAR</v>
      </c>
      <c r="D66">
        <f>'Kullanılan gübre'!D66</f>
        <v>2012</v>
      </c>
      <c r="E66">
        <f>'Kullanılan gübre'!E66*'Gübre oranlar'!H$2</f>
        <v>18.521999999999998</v>
      </c>
      <c r="F66">
        <f>'Kullanılan gübre'!F66*'Gübre oranlar'!I$2</f>
        <v>7.0200000000000005</v>
      </c>
      <c r="G66">
        <f>'Kullanılan gübre'!G66*'Gübre oranlar'!J$2</f>
        <v>105.765</v>
      </c>
      <c r="H66">
        <f>'Kullanılan gübre'!H66*'Gübre oranlar'!K$2</f>
        <v>80.454000000000008</v>
      </c>
      <c r="I66">
        <f>'Kullanılan gübre'!I66*'Gübre oranlar'!L$2</f>
        <v>0</v>
      </c>
      <c r="J66">
        <f>'Kullanılan gübre'!J66*'Gübre oranlar'!M$2</f>
        <v>116.13600000000001</v>
      </c>
      <c r="K66">
        <f>'Kullanılan gübre'!K66*'Gübre oranlar'!N$2</f>
        <v>0</v>
      </c>
      <c r="L66">
        <f>'Kullanılan gübre'!L66*'Gübre oranlar'!O$2</f>
        <v>63.670000000000009</v>
      </c>
      <c r="M66">
        <f>'Kullanılan gübre'!M66*'Gübre oranlar'!P$2</f>
        <v>2.5950000000000002</v>
      </c>
      <c r="N66">
        <f>'Kullanılan gübre'!N66*'Gübre oranlar'!Q$2</f>
        <v>12.074999999999999</v>
      </c>
      <c r="O66">
        <f>'Kullanılan gübre'!O66*'Gübre oranlar'!R$2</f>
        <v>0</v>
      </c>
      <c r="P66">
        <f>'Kullanılan gübre'!P66*'Gübre oranlar'!S$2</f>
        <v>1.6900000000000002E-2</v>
      </c>
      <c r="Q66">
        <f>'Kullanılan gübre'!Q66*'Gübre oranlar'!T$2</f>
        <v>0</v>
      </c>
      <c r="R66">
        <f>'Kullanılan gübre'!R66*'Gübre oranlar'!U$2</f>
        <v>0</v>
      </c>
      <c r="S66">
        <f>'Kullanılan gübre'!S66*'Gübre oranlar'!V$2</f>
        <v>0</v>
      </c>
      <c r="T66">
        <f>'Kullanılan gübre'!T66*'Gübre oranlar'!W$2</f>
        <v>11.7455</v>
      </c>
      <c r="U66">
        <f>'Kullanılan gübre'!U66*'Gübre oranlar'!X$2</f>
        <v>0</v>
      </c>
      <c r="V66">
        <f>'Kullanılan gübre'!V66*'Gübre oranlar'!Y$2</f>
        <v>0</v>
      </c>
      <c r="W66">
        <f>'Kullanılan gübre'!W66*'Gübre oranlar'!Z$2</f>
        <v>0</v>
      </c>
      <c r="X66">
        <f>'Kullanılan gübre'!X66*'Gübre oranlar'!AA$2</f>
        <v>0</v>
      </c>
      <c r="Y66">
        <f>'Kullanılan gübre'!Y66*'Gübre oranlar'!AB$2</f>
        <v>0</v>
      </c>
      <c r="Z66">
        <f>'Kullanılan gübre'!Z66*'Gübre oranlar'!AC$2</f>
        <v>0</v>
      </c>
      <c r="AA66">
        <f>'Kullanılan gübre'!AA66*'Gübre oranlar'!AD$2</f>
        <v>0</v>
      </c>
      <c r="AB66">
        <f>'Kullanılan gübre'!AB66*'Gübre oranlar'!AE$2</f>
        <v>0</v>
      </c>
      <c r="AC66">
        <f>'Kullanılan gübre'!AC66*'Gübre oranlar'!AF$2</f>
        <v>0</v>
      </c>
      <c r="AD66">
        <f>'Kullanılan gübre'!AD66*'Gübre oranlar'!AG$2</f>
        <v>0</v>
      </c>
      <c r="AE66">
        <f>'Kullanılan gübre'!AE66*'Gübre oranlar'!AH$2</f>
        <v>4.5</v>
      </c>
      <c r="AF66">
        <f>'Kullanılan gübre'!AF66*'Gübre oranlar'!AI$2</f>
        <v>0</v>
      </c>
      <c r="AG66">
        <f>'Kullanılan gübre'!AG66*'Gübre oranlar'!AJ$2</f>
        <v>0</v>
      </c>
      <c r="AH66">
        <f>'Kullanılan gübre'!AH66*'Gübre oranlar'!AK$2</f>
        <v>0</v>
      </c>
      <c r="AI66">
        <f>'Kullanılan gübre'!AI66*'Gübre oranlar'!AL$2</f>
        <v>0</v>
      </c>
      <c r="AJ66">
        <f>'Kullanılan gübre'!AJ66*'Gübre oranlar'!AM$2</f>
        <v>0</v>
      </c>
      <c r="AK66">
        <f>'Kullanılan gübre'!AK66*'Gübre oranlar'!AN$2</f>
        <v>0</v>
      </c>
      <c r="AL66">
        <f>'Kullanılan gübre'!AL66*'Gübre oranlar'!AO$2</f>
        <v>0</v>
      </c>
      <c r="AM66">
        <f>'Kullanılan gübre'!AM66*'Gübre oranlar'!AP$2</f>
        <v>0</v>
      </c>
      <c r="AN66">
        <f>'Kullanılan gübre'!AN66*'Gübre oranlar'!AQ$2</f>
        <v>0</v>
      </c>
      <c r="AO66">
        <f>'Kullanılan gübre'!AO66*'Gübre oranlar'!AR$2</f>
        <v>0</v>
      </c>
      <c r="AP66">
        <f>'Kullanılan gübre'!AP66*'Gübre oranlar'!AS$2</f>
        <v>0</v>
      </c>
      <c r="AQ66">
        <f>'Kullanılan gübre'!AQ66*'Gübre oranlar'!AT$2</f>
        <v>0</v>
      </c>
      <c r="AR66">
        <f>'Kullanılan gübre'!AR66*'Gübre oranlar'!AU$2</f>
        <v>0</v>
      </c>
      <c r="AS66">
        <f>'Kullanılan gübre'!AS66*'Gübre oranlar'!AV$2</f>
        <v>0</v>
      </c>
      <c r="AT66">
        <f>'Kullanılan gübre'!AT66*'Gübre oranlar'!AW$2</f>
        <v>0</v>
      </c>
      <c r="AU66">
        <f>'Kullanılan gübre'!AU66*'Gübre oranlar'!AX$2</f>
        <v>0</v>
      </c>
      <c r="AV66">
        <f>'Kullanılan gübre'!AV66*'Gübre oranlar'!AY$2</f>
        <v>0</v>
      </c>
      <c r="AW66">
        <f t="shared" si="0"/>
        <v>422.49940000000004</v>
      </c>
    </row>
    <row r="67" spans="1:49" hidden="1" x14ac:dyDescent="0.25">
      <c r="A67" t="str">
        <f>'Kullanılan gübre'!A67</f>
        <v>AK</v>
      </c>
      <c r="B67" t="str">
        <f>'Kullanılan gübre'!B67</f>
        <v>AFYONKARAHISAR</v>
      </c>
      <c r="C67" t="str">
        <f>'Kullanılan gübre'!C67</f>
        <v>IHSANIYE</v>
      </c>
      <c r="D67">
        <f>'Kullanılan gübre'!D67</f>
        <v>2012</v>
      </c>
      <c r="E67">
        <f>'Kullanılan gübre'!E67*'Gübre oranlar'!H$2</f>
        <v>6.6149999999999993</v>
      </c>
      <c r="F67">
        <f>'Kullanılan gübre'!F67*'Gübre oranlar'!I$2</f>
        <v>56.667000000000002</v>
      </c>
      <c r="G67">
        <f>'Kullanılan gübre'!G67*'Gübre oranlar'!J$2</f>
        <v>170.577</v>
      </c>
      <c r="H67">
        <f>'Kullanılan gübre'!H67*'Gübre oranlar'!K$2</f>
        <v>145.49800000000002</v>
      </c>
      <c r="I67">
        <f>'Kullanılan gübre'!I67*'Gübre oranlar'!L$2</f>
        <v>0</v>
      </c>
      <c r="J67">
        <f>'Kullanılan gübre'!J67*'Gübre oranlar'!M$2</f>
        <v>67.085999999999999</v>
      </c>
      <c r="K67">
        <f>'Kullanılan gübre'!K67*'Gübre oranlar'!N$2</f>
        <v>201.21</v>
      </c>
      <c r="L67">
        <f>'Kullanılan gübre'!L67*'Gübre oranlar'!O$2</f>
        <v>34.200000000000003</v>
      </c>
      <c r="M67">
        <f>'Kullanılan gübre'!M67*'Gübre oranlar'!P$2</f>
        <v>2.9849999999999999</v>
      </c>
      <c r="N67">
        <f>'Kullanılan gübre'!N67*'Gübre oranlar'!Q$2</f>
        <v>3</v>
      </c>
      <c r="O67">
        <f>'Kullanılan gübre'!O67*'Gübre oranlar'!R$2</f>
        <v>0</v>
      </c>
      <c r="P67">
        <f>'Kullanılan gübre'!P67*'Gübre oranlar'!S$2</f>
        <v>0</v>
      </c>
      <c r="Q67">
        <f>'Kullanılan gübre'!Q67*'Gübre oranlar'!T$2</f>
        <v>9.9599999999999991</v>
      </c>
      <c r="R67">
        <f>'Kullanılan gübre'!R67*'Gübre oranlar'!U$2</f>
        <v>0</v>
      </c>
      <c r="S67">
        <f>'Kullanılan gübre'!S67*'Gübre oranlar'!V$2</f>
        <v>0</v>
      </c>
      <c r="T67">
        <f>'Kullanılan gübre'!T67*'Gübre oranlar'!W$2</f>
        <v>7.28</v>
      </c>
      <c r="U67">
        <f>'Kullanılan gübre'!U67*'Gübre oranlar'!X$2</f>
        <v>0</v>
      </c>
      <c r="V67">
        <f>'Kullanılan gübre'!V67*'Gübre oranlar'!Y$2</f>
        <v>2.8450000000000002</v>
      </c>
      <c r="W67">
        <f>'Kullanılan gübre'!W67*'Gübre oranlar'!Z$2</f>
        <v>0</v>
      </c>
      <c r="X67">
        <f>'Kullanılan gübre'!X67*'Gübre oranlar'!AA$2</f>
        <v>0.125</v>
      </c>
      <c r="Y67">
        <f>'Kullanılan gübre'!Y67*'Gübre oranlar'!AB$2</f>
        <v>0</v>
      </c>
      <c r="Z67">
        <f>'Kullanılan gübre'!Z67*'Gübre oranlar'!AC$2</f>
        <v>0</v>
      </c>
      <c r="AA67">
        <f>'Kullanılan gübre'!AA67*'Gübre oranlar'!AD$2</f>
        <v>0</v>
      </c>
      <c r="AB67">
        <f>'Kullanılan gübre'!AB67*'Gübre oranlar'!AE$2</f>
        <v>0</v>
      </c>
      <c r="AC67">
        <f>'Kullanılan gübre'!AC67*'Gübre oranlar'!AF$2</f>
        <v>0</v>
      </c>
      <c r="AD67">
        <f>'Kullanılan gübre'!AD67*'Gübre oranlar'!AG$2</f>
        <v>0</v>
      </c>
      <c r="AE67">
        <f>'Kullanılan gübre'!AE67*'Gübre oranlar'!AH$2</f>
        <v>0</v>
      </c>
      <c r="AF67">
        <f>'Kullanılan gübre'!AF67*'Gübre oranlar'!AI$2</f>
        <v>0</v>
      </c>
      <c r="AG67">
        <f>'Kullanılan gübre'!AG67*'Gübre oranlar'!AJ$2</f>
        <v>0</v>
      </c>
      <c r="AH67">
        <f>'Kullanılan gübre'!AH67*'Gübre oranlar'!AK$2</f>
        <v>0</v>
      </c>
      <c r="AI67">
        <f>'Kullanılan gübre'!AI67*'Gübre oranlar'!AL$2</f>
        <v>0</v>
      </c>
      <c r="AJ67">
        <f>'Kullanılan gübre'!AJ67*'Gübre oranlar'!AM$2</f>
        <v>0</v>
      </c>
      <c r="AK67">
        <f>'Kullanılan gübre'!AK67*'Gübre oranlar'!AN$2</f>
        <v>0</v>
      </c>
      <c r="AL67">
        <f>'Kullanılan gübre'!AL67*'Gübre oranlar'!AO$2</f>
        <v>0</v>
      </c>
      <c r="AM67">
        <f>'Kullanılan gübre'!AM67*'Gübre oranlar'!AP$2</f>
        <v>0</v>
      </c>
      <c r="AN67">
        <f>'Kullanılan gübre'!AN67*'Gübre oranlar'!AQ$2</f>
        <v>0</v>
      </c>
      <c r="AO67">
        <f>'Kullanılan gübre'!AO67*'Gübre oranlar'!AR$2</f>
        <v>0</v>
      </c>
      <c r="AP67">
        <f>'Kullanılan gübre'!AP67*'Gübre oranlar'!AS$2</f>
        <v>0</v>
      </c>
      <c r="AQ67">
        <f>'Kullanılan gübre'!AQ67*'Gübre oranlar'!AT$2</f>
        <v>0</v>
      </c>
      <c r="AR67">
        <f>'Kullanılan gübre'!AR67*'Gübre oranlar'!AU$2</f>
        <v>0</v>
      </c>
      <c r="AS67">
        <f>'Kullanılan gübre'!AS67*'Gübre oranlar'!AV$2</f>
        <v>0</v>
      </c>
      <c r="AT67">
        <f>'Kullanılan gübre'!AT67*'Gübre oranlar'!AW$2</f>
        <v>0</v>
      </c>
      <c r="AU67">
        <f>'Kullanılan gübre'!AU67*'Gübre oranlar'!AX$2</f>
        <v>0</v>
      </c>
      <c r="AV67">
        <f>'Kullanılan gübre'!AV67*'Gübre oranlar'!AY$2</f>
        <v>0</v>
      </c>
      <c r="AW67">
        <f t="shared" ref="AW67:AW130" si="1">SUM(E67:AV67)</f>
        <v>708.04800000000012</v>
      </c>
    </row>
    <row r="68" spans="1:49" hidden="1" x14ac:dyDescent="0.25">
      <c r="A68" t="str">
        <f>'Kullanılan gübre'!A68</f>
        <v>AK</v>
      </c>
      <c r="B68" t="str">
        <f>'Kullanılan gübre'!B68</f>
        <v>AFYONKARAHISAR</v>
      </c>
      <c r="C68" t="str">
        <f>'Kullanılan gübre'!C68</f>
        <v>ISCEHISAR</v>
      </c>
      <c r="D68">
        <f>'Kullanılan gübre'!D68</f>
        <v>2012</v>
      </c>
      <c r="E68">
        <f>'Kullanılan gübre'!E68*'Gübre oranlar'!H$2</f>
        <v>0</v>
      </c>
      <c r="F68">
        <f>'Kullanılan gübre'!F68*'Gübre oranlar'!I$2</f>
        <v>50.518000000000008</v>
      </c>
      <c r="G68">
        <f>'Kullanılan gübre'!G68*'Gübre oranlar'!J$2</f>
        <v>0</v>
      </c>
      <c r="H68">
        <f>'Kullanılan gübre'!H68*'Gübre oranlar'!K$2</f>
        <v>0</v>
      </c>
      <c r="I68">
        <f>'Kullanılan gübre'!I68*'Gübre oranlar'!L$2</f>
        <v>0</v>
      </c>
      <c r="J68">
        <f>'Kullanılan gübre'!J68*'Gübre oranlar'!M$2</f>
        <v>33.355800000000002</v>
      </c>
      <c r="K68">
        <f>'Kullanılan gübre'!K68*'Gübre oranlar'!N$2</f>
        <v>0</v>
      </c>
      <c r="L68">
        <f>'Kullanılan gübre'!L68*'Gübre oranlar'!O$2</f>
        <v>27.54</v>
      </c>
      <c r="M68">
        <f>'Kullanılan gübre'!M68*'Gübre oranlar'!P$2</f>
        <v>0</v>
      </c>
      <c r="N68">
        <f>'Kullanılan gübre'!N68*'Gübre oranlar'!Q$2</f>
        <v>0</v>
      </c>
      <c r="O68">
        <f>'Kullanılan gübre'!O68*'Gübre oranlar'!R$2</f>
        <v>0</v>
      </c>
      <c r="P68">
        <f>'Kullanılan gübre'!P68*'Gübre oranlar'!S$2</f>
        <v>0</v>
      </c>
      <c r="Q68">
        <f>'Kullanılan gübre'!Q68*'Gübre oranlar'!T$2</f>
        <v>0</v>
      </c>
      <c r="R68">
        <f>'Kullanılan gübre'!R68*'Gübre oranlar'!U$2</f>
        <v>0</v>
      </c>
      <c r="S68">
        <f>'Kullanılan gübre'!S68*'Gübre oranlar'!V$2</f>
        <v>0</v>
      </c>
      <c r="T68">
        <f>'Kullanılan gübre'!T68*'Gübre oranlar'!W$2</f>
        <v>3.5165000000000002</v>
      </c>
      <c r="U68">
        <f>'Kullanılan gübre'!U68*'Gübre oranlar'!X$2</f>
        <v>0</v>
      </c>
      <c r="V68">
        <f>'Kullanılan gübre'!V68*'Gübre oranlar'!Y$2</f>
        <v>0</v>
      </c>
      <c r="W68">
        <f>'Kullanılan gübre'!W68*'Gübre oranlar'!Z$2</f>
        <v>0</v>
      </c>
      <c r="X68">
        <f>'Kullanılan gübre'!X68*'Gübre oranlar'!AA$2</f>
        <v>0</v>
      </c>
      <c r="Y68">
        <f>'Kullanılan gübre'!Y68*'Gübre oranlar'!AB$2</f>
        <v>0</v>
      </c>
      <c r="Z68">
        <f>'Kullanılan gübre'!Z68*'Gübre oranlar'!AC$2</f>
        <v>0</v>
      </c>
      <c r="AA68">
        <f>'Kullanılan gübre'!AA68*'Gübre oranlar'!AD$2</f>
        <v>0</v>
      </c>
      <c r="AB68">
        <f>'Kullanılan gübre'!AB68*'Gübre oranlar'!AE$2</f>
        <v>0</v>
      </c>
      <c r="AC68">
        <f>'Kullanılan gübre'!AC68*'Gübre oranlar'!AF$2</f>
        <v>0</v>
      </c>
      <c r="AD68">
        <f>'Kullanılan gübre'!AD68*'Gübre oranlar'!AG$2</f>
        <v>0</v>
      </c>
      <c r="AE68">
        <f>'Kullanılan gübre'!AE68*'Gübre oranlar'!AH$2</f>
        <v>0</v>
      </c>
      <c r="AF68">
        <f>'Kullanılan gübre'!AF68*'Gübre oranlar'!AI$2</f>
        <v>0</v>
      </c>
      <c r="AG68">
        <f>'Kullanılan gübre'!AG68*'Gübre oranlar'!AJ$2</f>
        <v>0</v>
      </c>
      <c r="AH68">
        <f>'Kullanılan gübre'!AH68*'Gübre oranlar'!AK$2</f>
        <v>0</v>
      </c>
      <c r="AI68">
        <f>'Kullanılan gübre'!AI68*'Gübre oranlar'!AL$2</f>
        <v>0</v>
      </c>
      <c r="AJ68">
        <f>'Kullanılan gübre'!AJ68*'Gübre oranlar'!AM$2</f>
        <v>0</v>
      </c>
      <c r="AK68">
        <f>'Kullanılan gübre'!AK68*'Gübre oranlar'!AN$2</f>
        <v>0</v>
      </c>
      <c r="AL68">
        <f>'Kullanılan gübre'!AL68*'Gübre oranlar'!AO$2</f>
        <v>0</v>
      </c>
      <c r="AM68">
        <f>'Kullanılan gübre'!AM68*'Gübre oranlar'!AP$2</f>
        <v>0</v>
      </c>
      <c r="AN68">
        <f>'Kullanılan gübre'!AN68*'Gübre oranlar'!AQ$2</f>
        <v>0</v>
      </c>
      <c r="AO68">
        <f>'Kullanılan gübre'!AO68*'Gübre oranlar'!AR$2</f>
        <v>0</v>
      </c>
      <c r="AP68">
        <f>'Kullanılan gübre'!AP68*'Gübre oranlar'!AS$2</f>
        <v>0</v>
      </c>
      <c r="AQ68">
        <f>'Kullanılan gübre'!AQ68*'Gübre oranlar'!AT$2</f>
        <v>0</v>
      </c>
      <c r="AR68">
        <f>'Kullanılan gübre'!AR68*'Gübre oranlar'!AU$2</f>
        <v>0</v>
      </c>
      <c r="AS68">
        <f>'Kullanılan gübre'!AS68*'Gübre oranlar'!AV$2</f>
        <v>0</v>
      </c>
      <c r="AT68">
        <f>'Kullanılan gübre'!AT68*'Gübre oranlar'!AW$2</f>
        <v>0</v>
      </c>
      <c r="AU68">
        <f>'Kullanılan gübre'!AU68*'Gübre oranlar'!AX$2</f>
        <v>0</v>
      </c>
      <c r="AV68">
        <f>'Kullanılan gübre'!AV68*'Gübre oranlar'!AY$2</f>
        <v>0</v>
      </c>
      <c r="AW68">
        <f t="shared" si="1"/>
        <v>114.9303</v>
      </c>
    </row>
    <row r="69" spans="1:49" hidden="1" x14ac:dyDescent="0.25">
      <c r="A69" t="str">
        <f>'Kullanılan gübre'!A69</f>
        <v>AK</v>
      </c>
      <c r="B69" t="str">
        <f>'Kullanılan gübre'!B69</f>
        <v>AFYONKARAHISAR</v>
      </c>
      <c r="C69" t="str">
        <f>'Kullanılan gübre'!C69</f>
        <v>SINANPASA</v>
      </c>
      <c r="D69">
        <f>'Kullanılan gübre'!D69</f>
        <v>2012</v>
      </c>
      <c r="E69">
        <f>'Kullanılan gübre'!E69*'Gübre oranlar'!H$2</f>
        <v>0</v>
      </c>
      <c r="F69">
        <f>'Kullanılan gübre'!F69*'Gübre oranlar'!I$2</f>
        <v>323.90800000000002</v>
      </c>
      <c r="G69">
        <f>'Kullanılan gübre'!G69*'Gübre oranlar'!J$2</f>
        <v>211.39800000000002</v>
      </c>
      <c r="H69">
        <f>'Kullanılan gübre'!H69*'Gübre oranlar'!K$2</f>
        <v>0</v>
      </c>
      <c r="I69">
        <f>'Kullanılan gübre'!I69*'Gübre oranlar'!L$2</f>
        <v>0</v>
      </c>
      <c r="J69">
        <f>'Kullanılan gübre'!J69*'Gübre oranlar'!M$2</f>
        <v>83.924999999999997</v>
      </c>
      <c r="K69">
        <f>'Kullanılan gübre'!K69*'Gübre oranlar'!N$2</f>
        <v>68.37</v>
      </c>
      <c r="L69">
        <f>'Kullanılan gübre'!L69*'Gübre oranlar'!O$2</f>
        <v>140.6</v>
      </c>
      <c r="M69">
        <f>'Kullanılan gübre'!M69*'Gübre oranlar'!P$2</f>
        <v>0</v>
      </c>
      <c r="N69">
        <f>'Kullanılan gübre'!N69*'Gübre oranlar'!Q$2</f>
        <v>3.9</v>
      </c>
      <c r="O69">
        <f>'Kullanılan gübre'!O69*'Gübre oranlar'!R$2</f>
        <v>0</v>
      </c>
      <c r="P69">
        <f>'Kullanılan gübre'!P69*'Gübre oranlar'!S$2</f>
        <v>3.2500000000000001E-2</v>
      </c>
      <c r="Q69">
        <f>'Kullanılan gübre'!Q69*'Gübre oranlar'!T$2</f>
        <v>0</v>
      </c>
      <c r="R69">
        <f>'Kullanılan gübre'!R69*'Gübre oranlar'!U$2</f>
        <v>0</v>
      </c>
      <c r="S69">
        <f>'Kullanılan gübre'!S69*'Gübre oranlar'!V$2</f>
        <v>0</v>
      </c>
      <c r="T69">
        <f>'Kullanılan gübre'!T69*'Gübre oranlar'!W$2</f>
        <v>0</v>
      </c>
      <c r="U69">
        <f>'Kullanılan gübre'!U69*'Gübre oranlar'!X$2</f>
        <v>0</v>
      </c>
      <c r="V69">
        <f>'Kullanılan gübre'!V69*'Gübre oranlar'!Y$2</f>
        <v>0</v>
      </c>
      <c r="W69">
        <f>'Kullanılan gübre'!W69*'Gübre oranlar'!Z$2</f>
        <v>0</v>
      </c>
      <c r="X69">
        <f>'Kullanılan gübre'!X69*'Gübre oranlar'!AA$2</f>
        <v>0</v>
      </c>
      <c r="Y69">
        <f>'Kullanılan gübre'!Y69*'Gübre oranlar'!AB$2</f>
        <v>0</v>
      </c>
      <c r="Z69">
        <f>'Kullanılan gübre'!Z69*'Gübre oranlar'!AC$2</f>
        <v>0</v>
      </c>
      <c r="AA69">
        <f>'Kullanılan gübre'!AA69*'Gübre oranlar'!AD$2</f>
        <v>57.564</v>
      </c>
      <c r="AB69">
        <f>'Kullanılan gübre'!AB69*'Gübre oranlar'!AE$2</f>
        <v>0</v>
      </c>
      <c r="AC69">
        <f>'Kullanılan gübre'!AC69*'Gübre oranlar'!AF$2</f>
        <v>0</v>
      </c>
      <c r="AD69">
        <f>'Kullanılan gübre'!AD69*'Gübre oranlar'!AG$2</f>
        <v>0</v>
      </c>
      <c r="AE69">
        <f>'Kullanılan gübre'!AE69*'Gübre oranlar'!AH$2</f>
        <v>1.4100000000000001</v>
      </c>
      <c r="AF69">
        <f>'Kullanılan gübre'!AF69*'Gübre oranlar'!AI$2</f>
        <v>0</v>
      </c>
      <c r="AG69">
        <f>'Kullanılan gübre'!AG69*'Gübre oranlar'!AJ$2</f>
        <v>0</v>
      </c>
      <c r="AH69">
        <f>'Kullanılan gübre'!AH69*'Gübre oranlar'!AK$2</f>
        <v>0</v>
      </c>
      <c r="AI69">
        <f>'Kullanılan gübre'!AI69*'Gübre oranlar'!AL$2</f>
        <v>0</v>
      </c>
      <c r="AJ69">
        <f>'Kullanılan gübre'!AJ69*'Gübre oranlar'!AM$2</f>
        <v>0</v>
      </c>
      <c r="AK69">
        <f>'Kullanılan gübre'!AK69*'Gübre oranlar'!AN$2</f>
        <v>0</v>
      </c>
      <c r="AL69">
        <f>'Kullanılan gübre'!AL69*'Gübre oranlar'!AO$2</f>
        <v>0</v>
      </c>
      <c r="AM69">
        <f>'Kullanılan gübre'!AM69*'Gübre oranlar'!AP$2</f>
        <v>0</v>
      </c>
      <c r="AN69">
        <f>'Kullanılan gübre'!AN69*'Gübre oranlar'!AQ$2</f>
        <v>0</v>
      </c>
      <c r="AO69">
        <f>'Kullanılan gübre'!AO69*'Gübre oranlar'!AR$2</f>
        <v>0</v>
      </c>
      <c r="AP69">
        <f>'Kullanılan gübre'!AP69*'Gübre oranlar'!AS$2</f>
        <v>0</v>
      </c>
      <c r="AQ69">
        <f>'Kullanılan gübre'!AQ69*'Gübre oranlar'!AT$2</f>
        <v>0</v>
      </c>
      <c r="AR69">
        <f>'Kullanılan gübre'!AR69*'Gübre oranlar'!AU$2</f>
        <v>0</v>
      </c>
      <c r="AS69">
        <f>'Kullanılan gübre'!AS69*'Gübre oranlar'!AV$2</f>
        <v>0</v>
      </c>
      <c r="AT69">
        <f>'Kullanılan gübre'!AT69*'Gübre oranlar'!AW$2</f>
        <v>0</v>
      </c>
      <c r="AU69">
        <f>'Kullanılan gübre'!AU69*'Gübre oranlar'!AX$2</f>
        <v>0</v>
      </c>
      <c r="AV69">
        <f>'Kullanılan gübre'!AV69*'Gübre oranlar'!AY$2</f>
        <v>0</v>
      </c>
      <c r="AW69">
        <f t="shared" si="1"/>
        <v>891.10749999999996</v>
      </c>
    </row>
    <row r="70" spans="1:49" hidden="1" x14ac:dyDescent="0.25">
      <c r="A70" t="str">
        <f>'Kullanılan gübre'!A70</f>
        <v>AK</v>
      </c>
      <c r="B70" t="str">
        <f>'Kullanılan gübre'!B70</f>
        <v>AFYONKARAHISAR</v>
      </c>
      <c r="C70" t="str">
        <f>'Kullanılan gübre'!C70</f>
        <v>SULTANDAGI</v>
      </c>
      <c r="D70">
        <f>'Kullanılan gübre'!D70</f>
        <v>2012</v>
      </c>
      <c r="E70">
        <f>'Kullanılan gübre'!E70*'Gübre oranlar'!H$2</f>
        <v>52.762499999999996</v>
      </c>
      <c r="F70">
        <f>'Kullanılan gübre'!F70*'Gübre oranlar'!I$2</f>
        <v>46.410000000000004</v>
      </c>
      <c r="G70">
        <f>'Kullanılan gübre'!G70*'Gübre oranlar'!J$2</f>
        <v>92.169000000000011</v>
      </c>
      <c r="H70">
        <f>'Kullanılan gübre'!H70*'Gübre oranlar'!K$2</f>
        <v>16.251799999999999</v>
      </c>
      <c r="I70">
        <f>'Kullanılan gübre'!I70*'Gübre oranlar'!L$2</f>
        <v>0</v>
      </c>
      <c r="J70">
        <f>'Kullanılan gübre'!J70*'Gübre oranlar'!M$2</f>
        <v>53.478000000000002</v>
      </c>
      <c r="K70">
        <f>'Kullanılan gübre'!K70*'Gübre oranlar'!N$2</f>
        <v>0</v>
      </c>
      <c r="L70">
        <f>'Kullanılan gübre'!L70*'Gübre oranlar'!O$2</f>
        <v>19.690000000000001</v>
      </c>
      <c r="M70">
        <f>'Kullanılan gübre'!M70*'Gübre oranlar'!P$2</f>
        <v>1.5299999999999998</v>
      </c>
      <c r="N70">
        <f>'Kullanılan gübre'!N70*'Gübre oranlar'!Q$2</f>
        <v>16.814999999999998</v>
      </c>
      <c r="O70">
        <f>'Kullanılan gübre'!O70*'Gübre oranlar'!R$2</f>
        <v>0</v>
      </c>
      <c r="P70">
        <f>'Kullanılan gübre'!P70*'Gübre oranlar'!S$2</f>
        <v>1.2194</v>
      </c>
      <c r="Q70">
        <f>'Kullanılan gübre'!Q70*'Gübre oranlar'!T$2</f>
        <v>0</v>
      </c>
      <c r="R70">
        <f>'Kullanılan gübre'!R70*'Gübre oranlar'!U$2</f>
        <v>0</v>
      </c>
      <c r="S70">
        <f>'Kullanılan gübre'!S70*'Gübre oranlar'!V$2</f>
        <v>0</v>
      </c>
      <c r="T70">
        <f>'Kullanılan gübre'!T70*'Gübre oranlar'!W$2</f>
        <v>16.77</v>
      </c>
      <c r="U70">
        <f>'Kullanılan gübre'!U70*'Gübre oranlar'!X$2</f>
        <v>0</v>
      </c>
      <c r="V70">
        <f>'Kullanılan gübre'!V70*'Gübre oranlar'!Y$2</f>
        <v>0</v>
      </c>
      <c r="W70">
        <f>'Kullanılan gübre'!W70*'Gübre oranlar'!Z$2</f>
        <v>0</v>
      </c>
      <c r="X70">
        <f>'Kullanılan gübre'!X70*'Gübre oranlar'!AA$2</f>
        <v>0</v>
      </c>
      <c r="Y70">
        <f>'Kullanılan gübre'!Y70*'Gübre oranlar'!AB$2</f>
        <v>0</v>
      </c>
      <c r="Z70">
        <f>'Kullanılan gübre'!Z70*'Gübre oranlar'!AC$2</f>
        <v>0</v>
      </c>
      <c r="AA70">
        <f>'Kullanılan gübre'!AA70*'Gübre oranlar'!AD$2</f>
        <v>10.347999999999999</v>
      </c>
      <c r="AB70">
        <f>'Kullanılan gübre'!AB70*'Gübre oranlar'!AE$2</f>
        <v>0</v>
      </c>
      <c r="AC70">
        <f>'Kullanılan gübre'!AC70*'Gübre oranlar'!AF$2</f>
        <v>0</v>
      </c>
      <c r="AD70">
        <f>'Kullanılan gübre'!AD70*'Gübre oranlar'!AG$2</f>
        <v>0</v>
      </c>
      <c r="AE70">
        <f>'Kullanılan gübre'!AE70*'Gübre oranlar'!AH$2</f>
        <v>0</v>
      </c>
      <c r="AF70">
        <f>'Kullanılan gübre'!AF70*'Gübre oranlar'!AI$2</f>
        <v>0</v>
      </c>
      <c r="AG70">
        <f>'Kullanılan gübre'!AG70*'Gübre oranlar'!AJ$2</f>
        <v>0</v>
      </c>
      <c r="AH70">
        <f>'Kullanılan gübre'!AH70*'Gübre oranlar'!AK$2</f>
        <v>0</v>
      </c>
      <c r="AI70">
        <f>'Kullanılan gübre'!AI70*'Gübre oranlar'!AL$2</f>
        <v>0</v>
      </c>
      <c r="AJ70">
        <f>'Kullanılan gübre'!AJ70*'Gübre oranlar'!AM$2</f>
        <v>0</v>
      </c>
      <c r="AK70">
        <f>'Kullanılan gübre'!AK70*'Gübre oranlar'!AN$2</f>
        <v>0</v>
      </c>
      <c r="AL70">
        <f>'Kullanılan gübre'!AL70*'Gübre oranlar'!AO$2</f>
        <v>0</v>
      </c>
      <c r="AM70">
        <f>'Kullanılan gübre'!AM70*'Gübre oranlar'!AP$2</f>
        <v>0</v>
      </c>
      <c r="AN70">
        <f>'Kullanılan gübre'!AN70*'Gübre oranlar'!AQ$2</f>
        <v>0</v>
      </c>
      <c r="AO70">
        <f>'Kullanılan gübre'!AO70*'Gübre oranlar'!AR$2</f>
        <v>0</v>
      </c>
      <c r="AP70">
        <f>'Kullanılan gübre'!AP70*'Gübre oranlar'!AS$2</f>
        <v>0</v>
      </c>
      <c r="AQ70">
        <f>'Kullanılan gübre'!AQ70*'Gübre oranlar'!AT$2</f>
        <v>0</v>
      </c>
      <c r="AR70">
        <f>'Kullanılan gübre'!AR70*'Gübre oranlar'!AU$2</f>
        <v>0</v>
      </c>
      <c r="AS70">
        <f>'Kullanılan gübre'!AS70*'Gübre oranlar'!AV$2</f>
        <v>0</v>
      </c>
      <c r="AT70">
        <f>'Kullanılan gübre'!AT70*'Gübre oranlar'!AW$2</f>
        <v>0</v>
      </c>
      <c r="AU70">
        <f>'Kullanılan gübre'!AU70*'Gübre oranlar'!AX$2</f>
        <v>0</v>
      </c>
      <c r="AV70">
        <f>'Kullanılan gübre'!AV70*'Gübre oranlar'!AY$2</f>
        <v>0</v>
      </c>
      <c r="AW70">
        <f t="shared" si="1"/>
        <v>327.44369999999998</v>
      </c>
    </row>
    <row r="71" spans="1:49" hidden="1" x14ac:dyDescent="0.25">
      <c r="A71" t="str">
        <f>'Kullanılan gübre'!A71</f>
        <v>AK</v>
      </c>
      <c r="B71" t="str">
        <f>'Kullanılan gübre'!B71</f>
        <v>AFYONKARAHISAR</v>
      </c>
      <c r="C71" t="str">
        <f>'Kullanılan gübre'!C71</f>
        <v>SUHUT</v>
      </c>
      <c r="D71">
        <f>'Kullanılan gübre'!D71</f>
        <v>2012</v>
      </c>
      <c r="E71">
        <f>'Kullanılan gübre'!E71*'Gübre oranlar'!H$2</f>
        <v>339.1395</v>
      </c>
      <c r="F71">
        <f>'Kullanılan gübre'!F71*'Gübre oranlar'!I$2</f>
        <v>121.173</v>
      </c>
      <c r="G71">
        <f>'Kullanılan gübre'!G71*'Gübre oranlar'!J$2</f>
        <v>396.92399999999998</v>
      </c>
      <c r="H71">
        <f>'Kullanılan gübre'!H71*'Gübre oranlar'!K$2</f>
        <v>370.32299999999998</v>
      </c>
      <c r="I71">
        <f>'Kullanılan gübre'!I71*'Gübre oranlar'!L$2</f>
        <v>0</v>
      </c>
      <c r="J71">
        <f>'Kullanılan gübre'!J71*'Gübre oranlar'!M$2</f>
        <v>138.6</v>
      </c>
      <c r="K71">
        <f>'Kullanılan gübre'!K71*'Gübre oranlar'!N$2</f>
        <v>6.19</v>
      </c>
      <c r="L71">
        <f>'Kullanılan gübre'!L71*'Gübre oranlar'!O$2</f>
        <v>61.050000000000004</v>
      </c>
      <c r="M71">
        <f>'Kullanılan gübre'!M71*'Gübre oranlar'!P$2</f>
        <v>87</v>
      </c>
      <c r="N71">
        <f>'Kullanılan gübre'!N71*'Gübre oranlar'!Q$2</f>
        <v>79.627499999999998</v>
      </c>
      <c r="O71">
        <f>'Kullanılan gübre'!O71*'Gübre oranlar'!R$2</f>
        <v>0</v>
      </c>
      <c r="P71">
        <f>'Kullanılan gübre'!P71*'Gübre oranlar'!S$2</f>
        <v>3.302</v>
      </c>
      <c r="Q71">
        <f>'Kullanılan gübre'!Q71*'Gübre oranlar'!T$2</f>
        <v>120.72</v>
      </c>
      <c r="R71">
        <f>'Kullanılan gübre'!R71*'Gübre oranlar'!U$2</f>
        <v>0</v>
      </c>
      <c r="S71">
        <f>'Kullanılan gübre'!S71*'Gübre oranlar'!V$2</f>
        <v>5.4714999999999998</v>
      </c>
      <c r="T71">
        <f>'Kullanılan gübre'!T71*'Gübre oranlar'!W$2</f>
        <v>0</v>
      </c>
      <c r="U71">
        <f>'Kullanılan gübre'!U71*'Gübre oranlar'!X$2</f>
        <v>0</v>
      </c>
      <c r="V71">
        <f>'Kullanılan gübre'!V71*'Gübre oranlar'!Y$2</f>
        <v>0</v>
      </c>
      <c r="W71">
        <f>'Kullanılan gübre'!W71*'Gübre oranlar'!Z$2</f>
        <v>0</v>
      </c>
      <c r="X71">
        <f>'Kullanılan gübre'!X71*'Gübre oranlar'!AA$2</f>
        <v>40.935000000000002</v>
      </c>
      <c r="Y71">
        <f>'Kullanılan gübre'!Y71*'Gübre oranlar'!AB$2</f>
        <v>0</v>
      </c>
      <c r="Z71">
        <f>'Kullanılan gübre'!Z71*'Gübre oranlar'!AC$2</f>
        <v>0</v>
      </c>
      <c r="AA71">
        <f>'Kullanılan gübre'!AA71*'Gübre oranlar'!AD$2</f>
        <v>10.01</v>
      </c>
      <c r="AB71">
        <f>'Kullanılan gübre'!AB71*'Gübre oranlar'!AE$2</f>
        <v>0</v>
      </c>
      <c r="AC71">
        <f>'Kullanılan gübre'!AC71*'Gübre oranlar'!AF$2</f>
        <v>0</v>
      </c>
      <c r="AD71">
        <f>'Kullanılan gübre'!AD71*'Gübre oranlar'!AG$2</f>
        <v>0</v>
      </c>
      <c r="AE71">
        <f>'Kullanılan gübre'!AE71*'Gübre oranlar'!AH$2</f>
        <v>1.175</v>
      </c>
      <c r="AF71">
        <f>'Kullanılan gübre'!AF71*'Gübre oranlar'!AI$2</f>
        <v>0</v>
      </c>
      <c r="AG71">
        <f>'Kullanılan gübre'!AG71*'Gübre oranlar'!AJ$2</f>
        <v>0</v>
      </c>
      <c r="AH71">
        <f>'Kullanılan gübre'!AH71*'Gübre oranlar'!AK$2</f>
        <v>0</v>
      </c>
      <c r="AI71">
        <f>'Kullanılan gübre'!AI71*'Gübre oranlar'!AL$2</f>
        <v>0</v>
      </c>
      <c r="AJ71">
        <f>'Kullanılan gübre'!AJ71*'Gübre oranlar'!AM$2</f>
        <v>0</v>
      </c>
      <c r="AK71">
        <f>'Kullanılan gübre'!AK71*'Gübre oranlar'!AN$2</f>
        <v>0</v>
      </c>
      <c r="AL71">
        <f>'Kullanılan gübre'!AL71*'Gübre oranlar'!AO$2</f>
        <v>0</v>
      </c>
      <c r="AM71">
        <f>'Kullanılan gübre'!AM71*'Gübre oranlar'!AP$2</f>
        <v>0</v>
      </c>
      <c r="AN71">
        <f>'Kullanılan gübre'!AN71*'Gübre oranlar'!AQ$2</f>
        <v>0</v>
      </c>
      <c r="AO71">
        <f>'Kullanılan gübre'!AO71*'Gübre oranlar'!AR$2</f>
        <v>0</v>
      </c>
      <c r="AP71">
        <f>'Kullanılan gübre'!AP71*'Gübre oranlar'!AS$2</f>
        <v>0</v>
      </c>
      <c r="AQ71">
        <f>'Kullanılan gübre'!AQ71*'Gübre oranlar'!AT$2</f>
        <v>0</v>
      </c>
      <c r="AR71">
        <f>'Kullanılan gübre'!AR71*'Gübre oranlar'!AU$2</f>
        <v>0</v>
      </c>
      <c r="AS71">
        <f>'Kullanılan gübre'!AS71*'Gübre oranlar'!AV$2</f>
        <v>0</v>
      </c>
      <c r="AT71">
        <f>'Kullanılan gübre'!AT71*'Gübre oranlar'!AW$2</f>
        <v>0</v>
      </c>
      <c r="AU71">
        <f>'Kullanılan gübre'!AU71*'Gübre oranlar'!AX$2</f>
        <v>0</v>
      </c>
      <c r="AV71">
        <f>'Kullanılan gübre'!AV71*'Gübre oranlar'!AY$2</f>
        <v>0</v>
      </c>
      <c r="AW71">
        <f t="shared" si="1"/>
        <v>1781.6404999999997</v>
      </c>
    </row>
    <row r="72" spans="1:49" hidden="1" x14ac:dyDescent="0.25">
      <c r="A72" t="str">
        <f>'Kullanılan gübre'!A72</f>
        <v>AK</v>
      </c>
      <c r="B72" t="str">
        <f>'Kullanılan gübre'!B72</f>
        <v>AFYONKARAHISAR</v>
      </c>
      <c r="C72" t="str">
        <f>'Kullanılan gübre'!C72</f>
        <v>MERKEZ</v>
      </c>
      <c r="D72">
        <f>'Kullanılan gübre'!D72</f>
        <v>2013</v>
      </c>
      <c r="E72">
        <f>'Kullanılan gübre'!E72*'Gübre oranlar'!H$2</f>
        <v>57.876000000000005</v>
      </c>
      <c r="F72">
        <f>'Kullanılan gübre'!F72*'Gübre oranlar'!I$2</f>
        <v>121.628</v>
      </c>
      <c r="G72">
        <f>'Kullanılan gübre'!G72*'Gübre oranlar'!J$2</f>
        <v>411.97200000000004</v>
      </c>
      <c r="H72">
        <f>'Kullanılan gübre'!H72*'Gübre oranlar'!K$2</f>
        <v>336.23700000000002</v>
      </c>
      <c r="I72">
        <f>'Kullanılan gübre'!I72*'Gübre oranlar'!L$2</f>
        <v>0</v>
      </c>
      <c r="J72">
        <f>'Kullanılan gübre'!J72*'Gübre oranlar'!M$2</f>
        <v>130.59</v>
      </c>
      <c r="K72">
        <f>'Kullanılan gübre'!K72*'Gübre oranlar'!N$2</f>
        <v>229.56</v>
      </c>
      <c r="L72">
        <f>'Kullanılan gübre'!L72*'Gübre oranlar'!O$2</f>
        <v>98.910000000000011</v>
      </c>
      <c r="M72">
        <f>'Kullanılan gübre'!M72*'Gübre oranlar'!P$2</f>
        <v>31.395</v>
      </c>
      <c r="N72">
        <f>'Kullanılan gübre'!N72*'Gübre oranlar'!Q$2</f>
        <v>71.887500000000003</v>
      </c>
      <c r="O72">
        <f>'Kullanılan gübre'!O72*'Gübre oranlar'!R$2</f>
        <v>0</v>
      </c>
      <c r="P72">
        <f>'Kullanılan gübre'!P72*'Gübre oranlar'!S$2</f>
        <v>1.7290000000000001</v>
      </c>
      <c r="Q72">
        <f>'Kullanılan gübre'!Q72*'Gübre oranlar'!T$2</f>
        <v>0</v>
      </c>
      <c r="R72">
        <f>'Kullanılan gübre'!R72*'Gübre oranlar'!U$2</f>
        <v>0</v>
      </c>
      <c r="S72">
        <f>'Kullanılan gübre'!S72*'Gübre oranlar'!V$2</f>
        <v>0</v>
      </c>
      <c r="T72">
        <f>'Kullanılan gübre'!T72*'Gübre oranlar'!W$2</f>
        <v>44.986499999999999</v>
      </c>
      <c r="U72">
        <f>'Kullanılan gübre'!U72*'Gübre oranlar'!X$2</f>
        <v>0</v>
      </c>
      <c r="V72">
        <f>'Kullanılan gübre'!V72*'Gübre oranlar'!Y$2</f>
        <v>3.4000000000000004</v>
      </c>
      <c r="W72">
        <f>'Kullanılan gübre'!W72*'Gübre oranlar'!Z$2</f>
        <v>0</v>
      </c>
      <c r="X72">
        <f>'Kullanılan gübre'!X72*'Gübre oranlar'!AA$2</f>
        <v>0</v>
      </c>
      <c r="Y72">
        <f>'Kullanılan gübre'!Y72*'Gübre oranlar'!AB$2</f>
        <v>0</v>
      </c>
      <c r="Z72">
        <f>'Kullanılan gübre'!Z72*'Gübre oranlar'!AC$2</f>
        <v>0</v>
      </c>
      <c r="AA72">
        <f>'Kullanılan gübre'!AA72*'Gübre oranlar'!AD$2</f>
        <v>3.1069999999999998</v>
      </c>
      <c r="AB72">
        <f>'Kullanılan gübre'!AB72*'Gübre oranlar'!AE$2</f>
        <v>0</v>
      </c>
      <c r="AC72">
        <f>'Kullanılan gübre'!AC72*'Gübre oranlar'!AF$2</f>
        <v>0</v>
      </c>
      <c r="AD72">
        <f>'Kullanılan gübre'!AD72*'Gübre oranlar'!AG$2</f>
        <v>0</v>
      </c>
      <c r="AE72">
        <f>'Kullanılan gübre'!AE72*'Gübre oranlar'!AH$2</f>
        <v>4.6450000000000005</v>
      </c>
      <c r="AF72">
        <f>'Kullanılan gübre'!AF72*'Gübre oranlar'!AI$2</f>
        <v>0</v>
      </c>
      <c r="AG72">
        <f>'Kullanılan gübre'!AG72*'Gübre oranlar'!AJ$2</f>
        <v>0</v>
      </c>
      <c r="AH72">
        <f>'Kullanılan gübre'!AH72*'Gübre oranlar'!AK$2</f>
        <v>0</v>
      </c>
      <c r="AI72">
        <f>'Kullanılan gübre'!AI72*'Gübre oranlar'!AL$2</f>
        <v>0</v>
      </c>
      <c r="AJ72">
        <f>'Kullanılan gübre'!AJ72*'Gübre oranlar'!AM$2</f>
        <v>0</v>
      </c>
      <c r="AK72">
        <f>'Kullanılan gübre'!AK72*'Gübre oranlar'!AN$2</f>
        <v>0</v>
      </c>
      <c r="AL72">
        <f>'Kullanılan gübre'!AL72*'Gübre oranlar'!AO$2</f>
        <v>0</v>
      </c>
      <c r="AM72">
        <f>'Kullanılan gübre'!AM72*'Gübre oranlar'!AP$2</f>
        <v>0</v>
      </c>
      <c r="AN72">
        <f>'Kullanılan gübre'!AN72*'Gübre oranlar'!AQ$2</f>
        <v>0</v>
      </c>
      <c r="AO72">
        <f>'Kullanılan gübre'!AO72*'Gübre oranlar'!AR$2</f>
        <v>0</v>
      </c>
      <c r="AP72">
        <f>'Kullanılan gübre'!AP72*'Gübre oranlar'!AS$2</f>
        <v>0</v>
      </c>
      <c r="AQ72">
        <f>'Kullanılan gübre'!AQ72*'Gübre oranlar'!AT$2</f>
        <v>0</v>
      </c>
      <c r="AR72">
        <f>'Kullanılan gübre'!AR72*'Gübre oranlar'!AU$2</f>
        <v>0</v>
      </c>
      <c r="AS72">
        <f>'Kullanılan gübre'!AS72*'Gübre oranlar'!AV$2</f>
        <v>0</v>
      </c>
      <c r="AT72">
        <f>'Kullanılan gübre'!AT72*'Gübre oranlar'!AW$2</f>
        <v>0</v>
      </c>
      <c r="AU72">
        <f>'Kullanılan gübre'!AU72*'Gübre oranlar'!AX$2</f>
        <v>0</v>
      </c>
      <c r="AV72">
        <f>'Kullanılan gübre'!AV72*'Gübre oranlar'!AY$2</f>
        <v>0</v>
      </c>
      <c r="AW72">
        <f t="shared" si="1"/>
        <v>1547.9230000000002</v>
      </c>
    </row>
    <row r="73" spans="1:49" hidden="1" x14ac:dyDescent="0.25">
      <c r="A73" t="str">
        <f>'Kullanılan gübre'!A73</f>
        <v>AK</v>
      </c>
      <c r="B73" t="str">
        <f>'Kullanılan gübre'!B73</f>
        <v>AFYONKARAHISAR</v>
      </c>
      <c r="C73" t="str">
        <f>'Kullanılan gübre'!C73</f>
        <v>BAYAT</v>
      </c>
      <c r="D73">
        <f>'Kullanılan gübre'!D73</f>
        <v>2013</v>
      </c>
      <c r="E73">
        <f>'Kullanılan gübre'!E73*'Gübre oranlar'!H$2</f>
        <v>9.66</v>
      </c>
      <c r="F73">
        <f>'Kullanılan gübre'!F73*'Gübre oranlar'!I$2</f>
        <v>0</v>
      </c>
      <c r="G73">
        <f>'Kullanılan gübre'!G73*'Gübre oranlar'!J$2</f>
        <v>39.6</v>
      </c>
      <c r="H73">
        <f>'Kullanılan gübre'!H73*'Gübre oranlar'!K$2</f>
        <v>0</v>
      </c>
      <c r="I73">
        <f>'Kullanılan gübre'!I73*'Gübre oranlar'!L$2</f>
        <v>0</v>
      </c>
      <c r="J73">
        <f>'Kullanılan gübre'!J73*'Gübre oranlar'!M$2</f>
        <v>11.7</v>
      </c>
      <c r="K73">
        <f>'Kullanılan gübre'!K73*'Gübre oranlar'!N$2</f>
        <v>0</v>
      </c>
      <c r="L73">
        <f>'Kullanılan gübre'!L73*'Gübre oranlar'!O$2</f>
        <v>14.940000000000001</v>
      </c>
      <c r="M73">
        <f>'Kullanılan gübre'!M73*'Gübre oranlar'!P$2</f>
        <v>0</v>
      </c>
      <c r="N73">
        <f>'Kullanılan gübre'!N73*'Gübre oranlar'!Q$2</f>
        <v>0.315</v>
      </c>
      <c r="O73">
        <f>'Kullanılan gübre'!O73*'Gübre oranlar'!R$2</f>
        <v>0</v>
      </c>
      <c r="P73">
        <f>'Kullanılan gübre'!P73*'Gübre oranlar'!S$2</f>
        <v>3.8999999999999998E-3</v>
      </c>
      <c r="Q73">
        <f>'Kullanılan gübre'!Q73*'Gübre oranlar'!T$2</f>
        <v>0</v>
      </c>
      <c r="R73">
        <f>'Kullanılan gübre'!R73*'Gübre oranlar'!U$2</f>
        <v>0</v>
      </c>
      <c r="S73">
        <f>'Kullanılan gübre'!S73*'Gübre oranlar'!V$2</f>
        <v>0</v>
      </c>
      <c r="T73">
        <f>'Kullanılan gübre'!T73*'Gübre oranlar'!W$2</f>
        <v>0</v>
      </c>
      <c r="U73">
        <f>'Kullanılan gübre'!U73*'Gübre oranlar'!X$2</f>
        <v>0</v>
      </c>
      <c r="V73">
        <f>'Kullanılan gübre'!V73*'Gübre oranlar'!Y$2</f>
        <v>0</v>
      </c>
      <c r="W73">
        <f>'Kullanılan gübre'!W73*'Gübre oranlar'!Z$2</f>
        <v>0</v>
      </c>
      <c r="X73">
        <f>'Kullanılan gübre'!X73*'Gübre oranlar'!AA$2</f>
        <v>0</v>
      </c>
      <c r="Y73">
        <f>'Kullanılan gübre'!Y73*'Gübre oranlar'!AB$2</f>
        <v>0</v>
      </c>
      <c r="Z73">
        <f>'Kullanılan gübre'!Z73*'Gübre oranlar'!AC$2</f>
        <v>0</v>
      </c>
      <c r="AA73">
        <f>'Kullanılan gübre'!AA73*'Gübre oranlar'!AD$2</f>
        <v>0</v>
      </c>
      <c r="AB73">
        <f>'Kullanılan gübre'!AB73*'Gübre oranlar'!AE$2</f>
        <v>0</v>
      </c>
      <c r="AC73">
        <f>'Kullanılan gübre'!AC73*'Gübre oranlar'!AF$2</f>
        <v>0</v>
      </c>
      <c r="AD73">
        <f>'Kullanılan gübre'!AD73*'Gübre oranlar'!AG$2</f>
        <v>0</v>
      </c>
      <c r="AE73">
        <f>'Kullanılan gübre'!AE73*'Gübre oranlar'!AH$2</f>
        <v>0.49000000000000005</v>
      </c>
      <c r="AF73">
        <f>'Kullanılan gübre'!AF73*'Gübre oranlar'!AI$2</f>
        <v>0</v>
      </c>
      <c r="AG73">
        <f>'Kullanılan gübre'!AG73*'Gübre oranlar'!AJ$2</f>
        <v>0</v>
      </c>
      <c r="AH73">
        <f>'Kullanılan gübre'!AH73*'Gübre oranlar'!AK$2</f>
        <v>0</v>
      </c>
      <c r="AI73">
        <f>'Kullanılan gübre'!AI73*'Gübre oranlar'!AL$2</f>
        <v>0</v>
      </c>
      <c r="AJ73">
        <f>'Kullanılan gübre'!AJ73*'Gübre oranlar'!AM$2</f>
        <v>0</v>
      </c>
      <c r="AK73">
        <f>'Kullanılan gübre'!AK73*'Gübre oranlar'!AN$2</f>
        <v>0</v>
      </c>
      <c r="AL73">
        <f>'Kullanılan gübre'!AL73*'Gübre oranlar'!AO$2</f>
        <v>0</v>
      </c>
      <c r="AM73">
        <f>'Kullanılan gübre'!AM73*'Gübre oranlar'!AP$2</f>
        <v>0</v>
      </c>
      <c r="AN73">
        <f>'Kullanılan gübre'!AN73*'Gübre oranlar'!AQ$2</f>
        <v>0</v>
      </c>
      <c r="AO73">
        <f>'Kullanılan gübre'!AO73*'Gübre oranlar'!AR$2</f>
        <v>0</v>
      </c>
      <c r="AP73">
        <f>'Kullanılan gübre'!AP73*'Gübre oranlar'!AS$2</f>
        <v>0</v>
      </c>
      <c r="AQ73">
        <f>'Kullanılan gübre'!AQ73*'Gübre oranlar'!AT$2</f>
        <v>0</v>
      </c>
      <c r="AR73">
        <f>'Kullanılan gübre'!AR73*'Gübre oranlar'!AU$2</f>
        <v>0</v>
      </c>
      <c r="AS73">
        <f>'Kullanılan gübre'!AS73*'Gübre oranlar'!AV$2</f>
        <v>0</v>
      </c>
      <c r="AT73">
        <f>'Kullanılan gübre'!AT73*'Gübre oranlar'!AW$2</f>
        <v>0</v>
      </c>
      <c r="AU73">
        <f>'Kullanılan gübre'!AU73*'Gübre oranlar'!AX$2</f>
        <v>0</v>
      </c>
      <c r="AV73">
        <f>'Kullanılan gübre'!AV73*'Gübre oranlar'!AY$2</f>
        <v>0</v>
      </c>
      <c r="AW73">
        <f t="shared" si="1"/>
        <v>76.7089</v>
      </c>
    </row>
    <row r="74" spans="1:49" hidden="1" x14ac:dyDescent="0.25">
      <c r="A74" t="str">
        <f>'Kullanılan gübre'!A74</f>
        <v>AK</v>
      </c>
      <c r="B74" t="str">
        <f>'Kullanılan gübre'!B74</f>
        <v>AFYONKARAHISAR</v>
      </c>
      <c r="C74" t="str">
        <f>'Kullanılan gübre'!C74</f>
        <v>BOLVADIN</v>
      </c>
      <c r="D74">
        <f>'Kullanılan gübre'!D74</f>
        <v>2013</v>
      </c>
      <c r="E74">
        <f>'Kullanılan gübre'!E74*'Gübre oranlar'!H$2</f>
        <v>15.729000000000001</v>
      </c>
      <c r="F74">
        <f>'Kullanılan gübre'!F74*'Gübre oranlar'!I$2</f>
        <v>27.469000000000001</v>
      </c>
      <c r="G74">
        <f>'Kullanılan gübre'!G74*'Gübre oranlar'!J$2</f>
        <v>278.23950000000002</v>
      </c>
      <c r="H74">
        <f>'Kullanılan gübre'!H74*'Gübre oranlar'!K$2</f>
        <v>136.78100000000001</v>
      </c>
      <c r="I74">
        <f>'Kullanılan gübre'!I74*'Gübre oranlar'!L$2</f>
        <v>0</v>
      </c>
      <c r="J74">
        <f>'Kullanılan gübre'!J74*'Gübre oranlar'!M$2</f>
        <v>167.886</v>
      </c>
      <c r="K74">
        <f>'Kullanılan gübre'!K74*'Gübre oranlar'!N$2</f>
        <v>4.2</v>
      </c>
      <c r="L74">
        <f>'Kullanılan gübre'!L74*'Gübre oranlar'!O$2</f>
        <v>60.900000000000006</v>
      </c>
      <c r="M74">
        <f>'Kullanılan gübre'!M74*'Gübre oranlar'!P$2</f>
        <v>0</v>
      </c>
      <c r="N74">
        <f>'Kullanılan gübre'!N74*'Gübre oranlar'!Q$2</f>
        <v>2.2049999999999996</v>
      </c>
      <c r="O74">
        <f>'Kullanılan gübre'!O74*'Gübre oranlar'!R$2</f>
        <v>0</v>
      </c>
      <c r="P74">
        <f>'Kullanılan gübre'!P74*'Gübre oranlar'!S$2</f>
        <v>9.0999999999999998E-2</v>
      </c>
      <c r="Q74">
        <f>'Kullanılan gübre'!Q74*'Gübre oranlar'!T$2</f>
        <v>0</v>
      </c>
      <c r="R74">
        <f>'Kullanılan gübre'!R74*'Gübre oranlar'!U$2</f>
        <v>0</v>
      </c>
      <c r="S74">
        <f>'Kullanılan gübre'!S74*'Gübre oranlar'!V$2</f>
        <v>0</v>
      </c>
      <c r="T74">
        <f>'Kullanılan gübre'!T74*'Gübre oranlar'!W$2</f>
        <v>27.117999999999999</v>
      </c>
      <c r="U74">
        <f>'Kullanılan gübre'!U74*'Gübre oranlar'!X$2</f>
        <v>0</v>
      </c>
      <c r="V74">
        <f>'Kullanılan gübre'!V74*'Gübre oranlar'!Y$2</f>
        <v>1.8800000000000001</v>
      </c>
      <c r="W74">
        <f>'Kullanılan gübre'!W74*'Gübre oranlar'!Z$2</f>
        <v>0</v>
      </c>
      <c r="X74">
        <f>'Kullanılan gübre'!X74*'Gübre oranlar'!AA$2</f>
        <v>0</v>
      </c>
      <c r="Y74">
        <f>'Kullanılan gübre'!Y74*'Gübre oranlar'!AB$2</f>
        <v>0</v>
      </c>
      <c r="Z74">
        <f>'Kullanılan gübre'!Z74*'Gübre oranlar'!AC$2</f>
        <v>0</v>
      </c>
      <c r="AA74">
        <f>'Kullanılan gübre'!AA74*'Gübre oranlar'!AD$2</f>
        <v>0</v>
      </c>
      <c r="AB74">
        <f>'Kullanılan gübre'!AB74*'Gübre oranlar'!AE$2</f>
        <v>0</v>
      </c>
      <c r="AC74">
        <f>'Kullanılan gübre'!AC74*'Gübre oranlar'!AF$2</f>
        <v>0</v>
      </c>
      <c r="AD74">
        <f>'Kullanılan gübre'!AD74*'Gübre oranlar'!AG$2</f>
        <v>0</v>
      </c>
      <c r="AE74">
        <f>'Kullanılan gübre'!AE74*'Gübre oranlar'!AH$2</f>
        <v>0</v>
      </c>
      <c r="AF74">
        <f>'Kullanılan gübre'!AF74*'Gübre oranlar'!AI$2</f>
        <v>0</v>
      </c>
      <c r="AG74">
        <f>'Kullanılan gübre'!AG74*'Gübre oranlar'!AJ$2</f>
        <v>0</v>
      </c>
      <c r="AH74">
        <f>'Kullanılan gübre'!AH74*'Gübre oranlar'!AK$2</f>
        <v>0</v>
      </c>
      <c r="AI74">
        <f>'Kullanılan gübre'!AI74*'Gübre oranlar'!AL$2</f>
        <v>0</v>
      </c>
      <c r="AJ74">
        <f>'Kullanılan gübre'!AJ74*'Gübre oranlar'!AM$2</f>
        <v>0</v>
      </c>
      <c r="AK74">
        <f>'Kullanılan gübre'!AK74*'Gübre oranlar'!AN$2</f>
        <v>0</v>
      </c>
      <c r="AL74">
        <f>'Kullanılan gübre'!AL74*'Gübre oranlar'!AO$2</f>
        <v>0</v>
      </c>
      <c r="AM74">
        <f>'Kullanılan gübre'!AM74*'Gübre oranlar'!AP$2</f>
        <v>0</v>
      </c>
      <c r="AN74">
        <f>'Kullanılan gübre'!AN74*'Gübre oranlar'!AQ$2</f>
        <v>0</v>
      </c>
      <c r="AO74">
        <f>'Kullanılan gübre'!AO74*'Gübre oranlar'!AR$2</f>
        <v>0</v>
      </c>
      <c r="AP74">
        <f>'Kullanılan gübre'!AP74*'Gübre oranlar'!AS$2</f>
        <v>0</v>
      </c>
      <c r="AQ74">
        <f>'Kullanılan gübre'!AQ74*'Gübre oranlar'!AT$2</f>
        <v>0</v>
      </c>
      <c r="AR74">
        <f>'Kullanılan gübre'!AR74*'Gübre oranlar'!AU$2</f>
        <v>0</v>
      </c>
      <c r="AS74">
        <f>'Kullanılan gübre'!AS74*'Gübre oranlar'!AV$2</f>
        <v>0</v>
      </c>
      <c r="AT74">
        <f>'Kullanılan gübre'!AT74*'Gübre oranlar'!AW$2</f>
        <v>0</v>
      </c>
      <c r="AU74">
        <f>'Kullanılan gübre'!AU74*'Gübre oranlar'!AX$2</f>
        <v>0</v>
      </c>
      <c r="AV74">
        <f>'Kullanılan gübre'!AV74*'Gübre oranlar'!AY$2</f>
        <v>0</v>
      </c>
      <c r="AW74">
        <f t="shared" si="1"/>
        <v>722.49850000000015</v>
      </c>
    </row>
    <row r="75" spans="1:49" hidden="1" x14ac:dyDescent="0.25">
      <c r="A75" t="str">
        <f>'Kullanılan gübre'!A75</f>
        <v>AK</v>
      </c>
      <c r="B75" t="str">
        <f>'Kullanılan gübre'!B75</f>
        <v>AFYONKARAHISAR</v>
      </c>
      <c r="C75" t="str">
        <f>'Kullanılan gübre'!C75</f>
        <v>CAY</v>
      </c>
      <c r="D75">
        <f>'Kullanılan gübre'!D75</f>
        <v>2013</v>
      </c>
      <c r="E75">
        <f>'Kullanılan gübre'!E75*'Gübre oranlar'!H$2</f>
        <v>79.41149999999999</v>
      </c>
      <c r="F75">
        <f>'Kullanılan gübre'!F75*'Gübre oranlar'!I$2</f>
        <v>98.67</v>
      </c>
      <c r="G75">
        <f>'Kullanılan gübre'!G75*'Gübre oranlar'!J$2</f>
        <v>335.37900000000002</v>
      </c>
      <c r="H75">
        <f>'Kullanılan gübre'!H75*'Gübre oranlar'!K$2</f>
        <v>333.79899999999998</v>
      </c>
      <c r="I75">
        <f>'Kullanılan gübre'!I75*'Gübre oranlar'!L$2</f>
        <v>0</v>
      </c>
      <c r="J75">
        <f>'Kullanılan gübre'!J75*'Gübre oranlar'!M$2</f>
        <v>126.738</v>
      </c>
      <c r="K75">
        <f>'Kullanılan gübre'!K75*'Gübre oranlar'!N$2</f>
        <v>17.990000000000002</v>
      </c>
      <c r="L75">
        <f>'Kullanılan gübre'!L75*'Gübre oranlar'!O$2</f>
        <v>117.12</v>
      </c>
      <c r="M75">
        <f>'Kullanılan gübre'!M75*'Gübre oranlar'!P$2</f>
        <v>5.0999999999999996</v>
      </c>
      <c r="N75">
        <f>'Kullanılan gübre'!N75*'Gübre oranlar'!Q$2</f>
        <v>19.664999999999999</v>
      </c>
      <c r="O75">
        <f>'Kullanılan gübre'!O75*'Gübre oranlar'!R$2</f>
        <v>0</v>
      </c>
      <c r="P75">
        <f>'Kullanılan gübre'!P75*'Gübre oranlar'!S$2</f>
        <v>0.72540000000000004</v>
      </c>
      <c r="Q75">
        <f>'Kullanılan gübre'!Q75*'Gübre oranlar'!T$2</f>
        <v>90</v>
      </c>
      <c r="R75">
        <f>'Kullanılan gübre'!R75*'Gübre oranlar'!U$2</f>
        <v>0</v>
      </c>
      <c r="S75">
        <f>'Kullanılan gübre'!S75*'Gübre oranlar'!V$2</f>
        <v>0</v>
      </c>
      <c r="T75">
        <f>'Kullanılan gübre'!T75*'Gübre oranlar'!W$2</f>
        <v>16.217500000000001</v>
      </c>
      <c r="U75">
        <f>'Kullanılan gübre'!U75*'Gübre oranlar'!X$2</f>
        <v>0</v>
      </c>
      <c r="V75">
        <f>'Kullanılan gübre'!V75*'Gübre oranlar'!Y$2</f>
        <v>0</v>
      </c>
      <c r="W75">
        <f>'Kullanılan gübre'!W75*'Gübre oranlar'!Z$2</f>
        <v>0</v>
      </c>
      <c r="X75">
        <f>'Kullanılan gübre'!X75*'Gübre oranlar'!AA$2</f>
        <v>0.70000000000000007</v>
      </c>
      <c r="Y75">
        <f>'Kullanılan gübre'!Y75*'Gübre oranlar'!AB$2</f>
        <v>0</v>
      </c>
      <c r="Z75">
        <f>'Kullanılan gübre'!Z75*'Gübre oranlar'!AC$2</f>
        <v>0</v>
      </c>
      <c r="AA75">
        <f>'Kullanılan gübre'!AA75*'Gübre oranlar'!AD$2</f>
        <v>14.677000000000001</v>
      </c>
      <c r="AB75">
        <f>'Kullanılan gübre'!AB75*'Gübre oranlar'!AE$2</f>
        <v>0</v>
      </c>
      <c r="AC75">
        <f>'Kullanılan gübre'!AC75*'Gübre oranlar'!AF$2</f>
        <v>0</v>
      </c>
      <c r="AD75">
        <f>'Kullanılan gübre'!AD75*'Gübre oranlar'!AG$2</f>
        <v>0</v>
      </c>
      <c r="AE75">
        <f>'Kullanılan gübre'!AE75*'Gübre oranlar'!AH$2</f>
        <v>12.06</v>
      </c>
      <c r="AF75">
        <f>'Kullanılan gübre'!AF75*'Gübre oranlar'!AI$2</f>
        <v>0</v>
      </c>
      <c r="AG75">
        <f>'Kullanılan gübre'!AG75*'Gübre oranlar'!AJ$2</f>
        <v>0</v>
      </c>
      <c r="AH75">
        <f>'Kullanılan gübre'!AH75*'Gübre oranlar'!AK$2</f>
        <v>0</v>
      </c>
      <c r="AI75">
        <f>'Kullanılan gübre'!AI75*'Gübre oranlar'!AL$2</f>
        <v>0</v>
      </c>
      <c r="AJ75">
        <f>'Kullanılan gübre'!AJ75*'Gübre oranlar'!AM$2</f>
        <v>0</v>
      </c>
      <c r="AK75">
        <f>'Kullanılan gübre'!AK75*'Gübre oranlar'!AN$2</f>
        <v>0</v>
      </c>
      <c r="AL75">
        <f>'Kullanılan gübre'!AL75*'Gübre oranlar'!AO$2</f>
        <v>0</v>
      </c>
      <c r="AM75">
        <f>'Kullanılan gübre'!AM75*'Gübre oranlar'!AP$2</f>
        <v>0</v>
      </c>
      <c r="AN75">
        <f>'Kullanılan gübre'!AN75*'Gübre oranlar'!AQ$2</f>
        <v>0</v>
      </c>
      <c r="AO75">
        <f>'Kullanılan gübre'!AO75*'Gübre oranlar'!AR$2</f>
        <v>0</v>
      </c>
      <c r="AP75">
        <f>'Kullanılan gübre'!AP75*'Gübre oranlar'!AS$2</f>
        <v>0</v>
      </c>
      <c r="AQ75">
        <f>'Kullanılan gübre'!AQ75*'Gübre oranlar'!AT$2</f>
        <v>0</v>
      </c>
      <c r="AR75">
        <f>'Kullanılan gübre'!AR75*'Gübre oranlar'!AU$2</f>
        <v>0</v>
      </c>
      <c r="AS75">
        <f>'Kullanılan gübre'!AS75*'Gübre oranlar'!AV$2</f>
        <v>0</v>
      </c>
      <c r="AT75">
        <f>'Kullanılan gübre'!AT75*'Gübre oranlar'!AW$2</f>
        <v>0</v>
      </c>
      <c r="AU75">
        <f>'Kullanılan gübre'!AU75*'Gübre oranlar'!AX$2</f>
        <v>0</v>
      </c>
      <c r="AV75">
        <f>'Kullanılan gübre'!AV75*'Gübre oranlar'!AY$2</f>
        <v>0</v>
      </c>
      <c r="AW75">
        <f t="shared" si="1"/>
        <v>1268.2523999999999</v>
      </c>
    </row>
    <row r="76" spans="1:49" hidden="1" x14ac:dyDescent="0.25">
      <c r="A76" t="str">
        <f>'Kullanılan gübre'!A76</f>
        <v>AK</v>
      </c>
      <c r="B76" t="str">
        <f>'Kullanılan gübre'!B76</f>
        <v>AFYONKARAHISAR</v>
      </c>
      <c r="C76" t="str">
        <f>'Kullanılan gübre'!C76</f>
        <v>COBANLAR</v>
      </c>
      <c r="D76">
        <f>'Kullanılan gübre'!D76</f>
        <v>2013</v>
      </c>
      <c r="E76">
        <f>'Kullanılan gübre'!E76*'Gübre oranlar'!H$2</f>
        <v>18.669</v>
      </c>
      <c r="F76">
        <f>'Kullanılan gübre'!F76*'Gübre oranlar'!I$2</f>
        <v>15.34</v>
      </c>
      <c r="G76">
        <f>'Kullanılan gübre'!G76*'Gübre oranlar'!J$2</f>
        <v>52.437000000000005</v>
      </c>
      <c r="H76">
        <f>'Kullanılan gübre'!H76*'Gübre oranlar'!K$2</f>
        <v>172.54600000000002</v>
      </c>
      <c r="I76">
        <f>'Kullanılan gübre'!I76*'Gübre oranlar'!L$2</f>
        <v>0</v>
      </c>
      <c r="J76">
        <f>'Kullanılan gübre'!J76*'Gübre oranlar'!M$2</f>
        <v>120.96</v>
      </c>
      <c r="K76">
        <f>'Kullanılan gübre'!K76*'Gübre oranlar'!N$2</f>
        <v>0</v>
      </c>
      <c r="L76">
        <f>'Kullanılan gübre'!L76*'Gübre oranlar'!O$2</f>
        <v>49.580000000000005</v>
      </c>
      <c r="M76">
        <f>'Kullanılan gübre'!M76*'Gübre oranlar'!P$2</f>
        <v>1.845</v>
      </c>
      <c r="N76">
        <f>'Kullanılan gübre'!N76*'Gübre oranlar'!Q$2</f>
        <v>12.299999999999999</v>
      </c>
      <c r="O76">
        <f>'Kullanılan gübre'!O76*'Gübre oranlar'!R$2</f>
        <v>0</v>
      </c>
      <c r="P76">
        <f>'Kullanılan gübre'!P76*'Gübre oranlar'!S$2</f>
        <v>0.29899999999999999</v>
      </c>
      <c r="Q76">
        <f>'Kullanılan gübre'!Q76*'Gübre oranlar'!T$2</f>
        <v>0</v>
      </c>
      <c r="R76">
        <f>'Kullanılan gübre'!R76*'Gübre oranlar'!U$2</f>
        <v>0</v>
      </c>
      <c r="S76">
        <f>'Kullanılan gübre'!S76*'Gübre oranlar'!V$2</f>
        <v>0</v>
      </c>
      <c r="T76">
        <f>'Kullanılan gübre'!T76*'Gübre oranlar'!W$2</f>
        <v>11.154</v>
      </c>
      <c r="U76">
        <f>'Kullanılan gübre'!U76*'Gübre oranlar'!X$2</f>
        <v>0</v>
      </c>
      <c r="V76">
        <f>'Kullanılan gübre'!V76*'Gübre oranlar'!Y$2</f>
        <v>0</v>
      </c>
      <c r="W76">
        <f>'Kullanılan gübre'!W76*'Gübre oranlar'!Z$2</f>
        <v>0</v>
      </c>
      <c r="X76">
        <f>'Kullanılan gübre'!X76*'Gübre oranlar'!AA$2</f>
        <v>0</v>
      </c>
      <c r="Y76">
        <f>'Kullanılan gübre'!Y76*'Gübre oranlar'!AB$2</f>
        <v>0</v>
      </c>
      <c r="Z76">
        <f>'Kullanılan gübre'!Z76*'Gübre oranlar'!AC$2</f>
        <v>0</v>
      </c>
      <c r="AA76">
        <f>'Kullanılan gübre'!AA76*'Gübre oranlar'!AD$2</f>
        <v>0</v>
      </c>
      <c r="AB76">
        <f>'Kullanılan gübre'!AB76*'Gübre oranlar'!AE$2</f>
        <v>0</v>
      </c>
      <c r="AC76">
        <f>'Kullanılan gübre'!AC76*'Gübre oranlar'!AF$2</f>
        <v>0</v>
      </c>
      <c r="AD76">
        <f>'Kullanılan gübre'!AD76*'Gübre oranlar'!AG$2</f>
        <v>0</v>
      </c>
      <c r="AE76">
        <f>'Kullanılan gübre'!AE76*'Gübre oranlar'!AH$2</f>
        <v>4.32</v>
      </c>
      <c r="AF76">
        <f>'Kullanılan gübre'!AF76*'Gübre oranlar'!AI$2</f>
        <v>0</v>
      </c>
      <c r="AG76">
        <f>'Kullanılan gübre'!AG76*'Gübre oranlar'!AJ$2</f>
        <v>0</v>
      </c>
      <c r="AH76">
        <f>'Kullanılan gübre'!AH76*'Gübre oranlar'!AK$2</f>
        <v>0</v>
      </c>
      <c r="AI76">
        <f>'Kullanılan gübre'!AI76*'Gübre oranlar'!AL$2</f>
        <v>0</v>
      </c>
      <c r="AJ76">
        <f>'Kullanılan gübre'!AJ76*'Gübre oranlar'!AM$2</f>
        <v>0</v>
      </c>
      <c r="AK76">
        <f>'Kullanılan gübre'!AK76*'Gübre oranlar'!AN$2</f>
        <v>0</v>
      </c>
      <c r="AL76">
        <f>'Kullanılan gübre'!AL76*'Gübre oranlar'!AO$2</f>
        <v>0</v>
      </c>
      <c r="AM76">
        <f>'Kullanılan gübre'!AM76*'Gübre oranlar'!AP$2</f>
        <v>0</v>
      </c>
      <c r="AN76">
        <f>'Kullanılan gübre'!AN76*'Gübre oranlar'!AQ$2</f>
        <v>0</v>
      </c>
      <c r="AO76">
        <f>'Kullanılan gübre'!AO76*'Gübre oranlar'!AR$2</f>
        <v>0</v>
      </c>
      <c r="AP76">
        <f>'Kullanılan gübre'!AP76*'Gübre oranlar'!AS$2</f>
        <v>0</v>
      </c>
      <c r="AQ76">
        <f>'Kullanılan gübre'!AQ76*'Gübre oranlar'!AT$2</f>
        <v>0</v>
      </c>
      <c r="AR76">
        <f>'Kullanılan gübre'!AR76*'Gübre oranlar'!AU$2</f>
        <v>0</v>
      </c>
      <c r="AS76">
        <f>'Kullanılan gübre'!AS76*'Gübre oranlar'!AV$2</f>
        <v>0</v>
      </c>
      <c r="AT76">
        <f>'Kullanılan gübre'!AT76*'Gübre oranlar'!AW$2</f>
        <v>0</v>
      </c>
      <c r="AU76">
        <f>'Kullanılan gübre'!AU76*'Gübre oranlar'!AX$2</f>
        <v>0</v>
      </c>
      <c r="AV76">
        <f>'Kullanılan gübre'!AV76*'Gübre oranlar'!AY$2</f>
        <v>0</v>
      </c>
      <c r="AW76">
        <f t="shared" si="1"/>
        <v>459.45</v>
      </c>
    </row>
    <row r="77" spans="1:49" hidden="1" x14ac:dyDescent="0.25">
      <c r="A77" t="str">
        <f>'Kullanılan gübre'!A77</f>
        <v>AK</v>
      </c>
      <c r="B77" t="str">
        <f>'Kullanılan gübre'!B77</f>
        <v>AFYONKARAHISAR</v>
      </c>
      <c r="C77" t="str">
        <f>'Kullanılan gübre'!C77</f>
        <v>IHSANIYE</v>
      </c>
      <c r="D77">
        <f>'Kullanılan gübre'!D77</f>
        <v>2013</v>
      </c>
      <c r="E77">
        <f>'Kullanılan gübre'!E77*'Gübre oranlar'!H$2</f>
        <v>16.8</v>
      </c>
      <c r="F77">
        <f>'Kullanılan gübre'!F77*'Gübre oranlar'!I$2</f>
        <v>49.426000000000002</v>
      </c>
      <c r="G77">
        <f>'Kullanılan gübre'!G77*'Gübre oranlar'!J$2</f>
        <v>156.66750000000002</v>
      </c>
      <c r="H77">
        <f>'Kullanılan gübre'!H77*'Gübre oranlar'!K$2</f>
        <v>282.76200000000006</v>
      </c>
      <c r="I77">
        <f>'Kullanılan gübre'!I77*'Gübre oranlar'!L$2</f>
        <v>0</v>
      </c>
      <c r="J77">
        <f>'Kullanılan gübre'!J77*'Gübre oranlar'!M$2</f>
        <v>71.64</v>
      </c>
      <c r="K77">
        <f>'Kullanılan gübre'!K77*'Gübre oranlar'!N$2</f>
        <v>161.16</v>
      </c>
      <c r="L77">
        <f>'Kullanılan gübre'!L77*'Gübre oranlar'!O$2</f>
        <v>54.09</v>
      </c>
      <c r="M77">
        <f>'Kullanılan gübre'!M77*'Gübre oranlar'!P$2</f>
        <v>0</v>
      </c>
      <c r="N77">
        <f>'Kullanılan gübre'!N77*'Gübre oranlar'!Q$2</f>
        <v>1.4624999999999999</v>
      </c>
      <c r="O77">
        <f>'Kullanılan gübre'!O77*'Gübre oranlar'!R$2</f>
        <v>0</v>
      </c>
      <c r="P77">
        <f>'Kullanılan gübre'!P77*'Gübre oranlar'!S$2</f>
        <v>0</v>
      </c>
      <c r="Q77">
        <f>'Kullanılan gübre'!Q77*'Gübre oranlar'!T$2</f>
        <v>9.4079999999999995</v>
      </c>
      <c r="R77">
        <f>'Kullanılan gübre'!R77*'Gübre oranlar'!U$2</f>
        <v>0</v>
      </c>
      <c r="S77">
        <f>'Kullanılan gübre'!S77*'Gübre oranlar'!V$2</f>
        <v>0</v>
      </c>
      <c r="T77">
        <f>'Kullanılan gübre'!T77*'Gübre oranlar'!W$2</f>
        <v>15.964</v>
      </c>
      <c r="U77">
        <f>'Kullanılan gübre'!U77*'Gübre oranlar'!X$2</f>
        <v>0</v>
      </c>
      <c r="V77">
        <f>'Kullanılan gübre'!V77*'Gübre oranlar'!Y$2</f>
        <v>2.84</v>
      </c>
      <c r="W77">
        <f>'Kullanılan gübre'!W77*'Gübre oranlar'!Z$2</f>
        <v>0</v>
      </c>
      <c r="X77">
        <f>'Kullanılan gübre'!X77*'Gübre oranlar'!AA$2</f>
        <v>0</v>
      </c>
      <c r="Y77">
        <f>'Kullanılan gübre'!Y77*'Gübre oranlar'!AB$2</f>
        <v>0</v>
      </c>
      <c r="Z77">
        <f>'Kullanılan gübre'!Z77*'Gübre oranlar'!AC$2</f>
        <v>0</v>
      </c>
      <c r="AA77">
        <f>'Kullanılan gübre'!AA77*'Gübre oranlar'!AD$2</f>
        <v>0</v>
      </c>
      <c r="AB77">
        <f>'Kullanılan gübre'!AB77*'Gübre oranlar'!AE$2</f>
        <v>0</v>
      </c>
      <c r="AC77">
        <f>'Kullanılan gübre'!AC77*'Gübre oranlar'!AF$2</f>
        <v>0</v>
      </c>
      <c r="AD77">
        <f>'Kullanılan gübre'!AD77*'Gübre oranlar'!AG$2</f>
        <v>0</v>
      </c>
      <c r="AE77">
        <f>'Kullanılan gübre'!AE77*'Gübre oranlar'!AH$2</f>
        <v>0</v>
      </c>
      <c r="AF77">
        <f>'Kullanılan gübre'!AF77*'Gübre oranlar'!AI$2</f>
        <v>0</v>
      </c>
      <c r="AG77">
        <f>'Kullanılan gübre'!AG77*'Gübre oranlar'!AJ$2</f>
        <v>0</v>
      </c>
      <c r="AH77">
        <f>'Kullanılan gübre'!AH77*'Gübre oranlar'!AK$2</f>
        <v>0</v>
      </c>
      <c r="AI77">
        <f>'Kullanılan gübre'!AI77*'Gübre oranlar'!AL$2</f>
        <v>0</v>
      </c>
      <c r="AJ77">
        <f>'Kullanılan gübre'!AJ77*'Gübre oranlar'!AM$2</f>
        <v>0</v>
      </c>
      <c r="AK77">
        <f>'Kullanılan gübre'!AK77*'Gübre oranlar'!AN$2</f>
        <v>0</v>
      </c>
      <c r="AL77">
        <f>'Kullanılan gübre'!AL77*'Gübre oranlar'!AO$2</f>
        <v>0</v>
      </c>
      <c r="AM77">
        <f>'Kullanılan gübre'!AM77*'Gübre oranlar'!AP$2</f>
        <v>0</v>
      </c>
      <c r="AN77">
        <f>'Kullanılan gübre'!AN77*'Gübre oranlar'!AQ$2</f>
        <v>0</v>
      </c>
      <c r="AO77">
        <f>'Kullanılan gübre'!AO77*'Gübre oranlar'!AR$2</f>
        <v>0</v>
      </c>
      <c r="AP77">
        <f>'Kullanılan gübre'!AP77*'Gübre oranlar'!AS$2</f>
        <v>0</v>
      </c>
      <c r="AQ77">
        <f>'Kullanılan gübre'!AQ77*'Gübre oranlar'!AT$2</f>
        <v>0</v>
      </c>
      <c r="AR77">
        <f>'Kullanılan gübre'!AR77*'Gübre oranlar'!AU$2</f>
        <v>0</v>
      </c>
      <c r="AS77">
        <f>'Kullanılan gübre'!AS77*'Gübre oranlar'!AV$2</f>
        <v>0</v>
      </c>
      <c r="AT77">
        <f>'Kullanılan gübre'!AT77*'Gübre oranlar'!AW$2</f>
        <v>0</v>
      </c>
      <c r="AU77">
        <f>'Kullanılan gübre'!AU77*'Gübre oranlar'!AX$2</f>
        <v>0</v>
      </c>
      <c r="AV77">
        <f>'Kullanılan gübre'!AV77*'Gübre oranlar'!AY$2</f>
        <v>0</v>
      </c>
      <c r="AW77">
        <f t="shared" si="1"/>
        <v>822.22000000000014</v>
      </c>
    </row>
    <row r="78" spans="1:49" hidden="1" x14ac:dyDescent="0.25">
      <c r="A78" t="str">
        <f>'Kullanılan gübre'!A78</f>
        <v>AK</v>
      </c>
      <c r="B78" t="str">
        <f>'Kullanılan gübre'!B78</f>
        <v>AFYONKARAHISAR</v>
      </c>
      <c r="C78" t="str">
        <f>'Kullanılan gübre'!C78</f>
        <v>ISCEHISAR</v>
      </c>
      <c r="D78">
        <f>'Kullanılan gübre'!D78</f>
        <v>2013</v>
      </c>
      <c r="E78">
        <f>'Kullanılan gübre'!E78*'Gübre oranlar'!H$2</f>
        <v>6.3E-2</v>
      </c>
      <c r="F78">
        <f>'Kullanılan gübre'!F78*'Gübre oranlar'!I$2</f>
        <v>55.549000000000007</v>
      </c>
      <c r="G78">
        <f>'Kullanılan gübre'!G78*'Gübre oranlar'!J$2</f>
        <v>1.155</v>
      </c>
      <c r="H78">
        <f>'Kullanılan gübre'!H78*'Gübre oranlar'!K$2</f>
        <v>0</v>
      </c>
      <c r="I78">
        <f>'Kullanılan gübre'!I78*'Gübre oranlar'!L$2</f>
        <v>0</v>
      </c>
      <c r="J78">
        <f>'Kullanılan gübre'!J78*'Gübre oranlar'!M$2</f>
        <v>32.525999999999996</v>
      </c>
      <c r="K78">
        <f>'Kullanılan gübre'!K78*'Gübre oranlar'!N$2</f>
        <v>0</v>
      </c>
      <c r="L78">
        <f>'Kullanılan gübre'!L78*'Gübre oranlar'!O$2</f>
        <v>28.14</v>
      </c>
      <c r="M78">
        <f>'Kullanılan gübre'!M78*'Gübre oranlar'!P$2</f>
        <v>0</v>
      </c>
      <c r="N78">
        <f>'Kullanılan gübre'!N78*'Gübre oranlar'!Q$2</f>
        <v>0</v>
      </c>
      <c r="O78">
        <f>'Kullanılan gübre'!O78*'Gübre oranlar'!R$2</f>
        <v>0</v>
      </c>
      <c r="P78">
        <f>'Kullanılan gübre'!P78*'Gübre oranlar'!S$2</f>
        <v>0</v>
      </c>
      <c r="Q78">
        <f>'Kullanılan gübre'!Q78*'Gübre oranlar'!T$2</f>
        <v>0</v>
      </c>
      <c r="R78">
        <f>'Kullanılan gübre'!R78*'Gübre oranlar'!U$2</f>
        <v>0</v>
      </c>
      <c r="S78">
        <f>'Kullanılan gübre'!S78*'Gübre oranlar'!V$2</f>
        <v>0</v>
      </c>
      <c r="T78">
        <f>'Kullanılan gübre'!T78*'Gübre oranlar'!W$2</f>
        <v>4.056</v>
      </c>
      <c r="U78">
        <f>'Kullanılan gübre'!U78*'Gübre oranlar'!X$2</f>
        <v>0</v>
      </c>
      <c r="V78">
        <f>'Kullanılan gübre'!V78*'Gübre oranlar'!Y$2</f>
        <v>0</v>
      </c>
      <c r="W78">
        <f>'Kullanılan gübre'!W78*'Gübre oranlar'!Z$2</f>
        <v>0</v>
      </c>
      <c r="X78">
        <f>'Kullanılan gübre'!X78*'Gübre oranlar'!AA$2</f>
        <v>0</v>
      </c>
      <c r="Y78">
        <f>'Kullanılan gübre'!Y78*'Gübre oranlar'!AB$2</f>
        <v>0</v>
      </c>
      <c r="Z78">
        <f>'Kullanılan gübre'!Z78*'Gübre oranlar'!AC$2</f>
        <v>0</v>
      </c>
      <c r="AA78">
        <f>'Kullanılan gübre'!AA78*'Gübre oranlar'!AD$2</f>
        <v>0</v>
      </c>
      <c r="AB78">
        <f>'Kullanılan gübre'!AB78*'Gübre oranlar'!AE$2</f>
        <v>0</v>
      </c>
      <c r="AC78">
        <f>'Kullanılan gübre'!AC78*'Gübre oranlar'!AF$2</f>
        <v>0</v>
      </c>
      <c r="AD78">
        <f>'Kullanılan gübre'!AD78*'Gübre oranlar'!AG$2</f>
        <v>0</v>
      </c>
      <c r="AE78">
        <f>'Kullanılan gübre'!AE78*'Gübre oranlar'!AH$2</f>
        <v>0</v>
      </c>
      <c r="AF78">
        <f>'Kullanılan gübre'!AF78*'Gübre oranlar'!AI$2</f>
        <v>0</v>
      </c>
      <c r="AG78">
        <f>'Kullanılan gübre'!AG78*'Gübre oranlar'!AJ$2</f>
        <v>0</v>
      </c>
      <c r="AH78">
        <f>'Kullanılan gübre'!AH78*'Gübre oranlar'!AK$2</f>
        <v>0</v>
      </c>
      <c r="AI78">
        <f>'Kullanılan gübre'!AI78*'Gübre oranlar'!AL$2</f>
        <v>0</v>
      </c>
      <c r="AJ78">
        <f>'Kullanılan gübre'!AJ78*'Gübre oranlar'!AM$2</f>
        <v>0</v>
      </c>
      <c r="AK78">
        <f>'Kullanılan gübre'!AK78*'Gübre oranlar'!AN$2</f>
        <v>0</v>
      </c>
      <c r="AL78">
        <f>'Kullanılan gübre'!AL78*'Gübre oranlar'!AO$2</f>
        <v>0</v>
      </c>
      <c r="AM78">
        <f>'Kullanılan gübre'!AM78*'Gübre oranlar'!AP$2</f>
        <v>0</v>
      </c>
      <c r="AN78">
        <f>'Kullanılan gübre'!AN78*'Gübre oranlar'!AQ$2</f>
        <v>0</v>
      </c>
      <c r="AO78">
        <f>'Kullanılan gübre'!AO78*'Gübre oranlar'!AR$2</f>
        <v>0</v>
      </c>
      <c r="AP78">
        <f>'Kullanılan gübre'!AP78*'Gübre oranlar'!AS$2</f>
        <v>0</v>
      </c>
      <c r="AQ78">
        <f>'Kullanılan gübre'!AQ78*'Gübre oranlar'!AT$2</f>
        <v>0</v>
      </c>
      <c r="AR78">
        <f>'Kullanılan gübre'!AR78*'Gübre oranlar'!AU$2</f>
        <v>0</v>
      </c>
      <c r="AS78">
        <f>'Kullanılan gübre'!AS78*'Gübre oranlar'!AV$2</f>
        <v>0</v>
      </c>
      <c r="AT78">
        <f>'Kullanılan gübre'!AT78*'Gübre oranlar'!AW$2</f>
        <v>0</v>
      </c>
      <c r="AU78">
        <f>'Kullanılan gübre'!AU78*'Gübre oranlar'!AX$2</f>
        <v>0</v>
      </c>
      <c r="AV78">
        <f>'Kullanılan gübre'!AV78*'Gübre oranlar'!AY$2</f>
        <v>0</v>
      </c>
      <c r="AW78">
        <f t="shared" si="1"/>
        <v>121.489</v>
      </c>
    </row>
    <row r="79" spans="1:49" hidden="1" x14ac:dyDescent="0.25">
      <c r="A79" t="str">
        <f>'Kullanılan gübre'!A79</f>
        <v>AK</v>
      </c>
      <c r="B79" t="str">
        <f>'Kullanılan gübre'!B79</f>
        <v>AFYONKARAHISAR</v>
      </c>
      <c r="C79" t="str">
        <f>'Kullanılan gübre'!C79</f>
        <v>SINANPASA</v>
      </c>
      <c r="D79">
        <f>'Kullanılan gübre'!D79</f>
        <v>2013</v>
      </c>
      <c r="E79">
        <f>'Kullanılan gübre'!E79*'Gübre oranlar'!H$2</f>
        <v>9.6809999999999992</v>
      </c>
      <c r="F79">
        <f>'Kullanılan gübre'!F79*'Gübre oranlar'!I$2</f>
        <v>394.05599999999998</v>
      </c>
      <c r="G79">
        <f>'Kullanılan gübre'!G79*'Gübre oranlar'!J$2</f>
        <v>157.98750000000001</v>
      </c>
      <c r="H79">
        <f>'Kullanılan gübre'!H79*'Gübre oranlar'!K$2</f>
        <v>119.623</v>
      </c>
      <c r="I79">
        <f>'Kullanılan gübre'!I79*'Gübre oranlar'!L$2</f>
        <v>0</v>
      </c>
      <c r="J79">
        <f>'Kullanılan gübre'!J79*'Gübre oranlar'!M$2</f>
        <v>113.03999999999999</v>
      </c>
      <c r="K79">
        <f>'Kullanılan gübre'!K79*'Gübre oranlar'!N$2</f>
        <v>27.77</v>
      </c>
      <c r="L79">
        <f>'Kullanılan gübre'!L79*'Gübre oranlar'!O$2</f>
        <v>180.65</v>
      </c>
      <c r="M79">
        <f>'Kullanılan gübre'!M79*'Gübre oranlar'!P$2</f>
        <v>4.6499999999999995</v>
      </c>
      <c r="N79">
        <f>'Kullanılan gübre'!N79*'Gübre oranlar'!Q$2</f>
        <v>3.8474999999999997</v>
      </c>
      <c r="O79">
        <f>'Kullanılan gübre'!O79*'Gübre oranlar'!R$2</f>
        <v>0</v>
      </c>
      <c r="P79">
        <f>'Kullanılan gübre'!P79*'Gübre oranlar'!S$2</f>
        <v>8.1900000000000001E-2</v>
      </c>
      <c r="Q79">
        <f>'Kullanılan gübre'!Q79*'Gübre oranlar'!T$2</f>
        <v>0</v>
      </c>
      <c r="R79">
        <f>'Kullanılan gübre'!R79*'Gübre oranlar'!U$2</f>
        <v>0</v>
      </c>
      <c r="S79">
        <f>'Kullanılan gübre'!S79*'Gübre oranlar'!V$2</f>
        <v>0</v>
      </c>
      <c r="T79">
        <f>'Kullanılan gübre'!T79*'Gübre oranlar'!W$2</f>
        <v>0</v>
      </c>
      <c r="U79">
        <f>'Kullanılan gübre'!U79*'Gübre oranlar'!X$2</f>
        <v>0</v>
      </c>
      <c r="V79">
        <f>'Kullanılan gübre'!V79*'Gübre oranlar'!Y$2</f>
        <v>0</v>
      </c>
      <c r="W79">
        <f>'Kullanılan gübre'!W79*'Gübre oranlar'!Z$2</f>
        <v>0</v>
      </c>
      <c r="X79">
        <f>'Kullanılan gübre'!X79*'Gübre oranlar'!AA$2</f>
        <v>0</v>
      </c>
      <c r="Y79">
        <f>'Kullanılan gübre'!Y79*'Gübre oranlar'!AB$2</f>
        <v>0</v>
      </c>
      <c r="Z79">
        <f>'Kullanılan gübre'!Z79*'Gübre oranlar'!AC$2</f>
        <v>0</v>
      </c>
      <c r="AA79">
        <f>'Kullanılan gübre'!AA79*'Gübre oranlar'!AD$2</f>
        <v>79.118000000000009</v>
      </c>
      <c r="AB79">
        <f>'Kullanılan gübre'!AB79*'Gübre oranlar'!AE$2</f>
        <v>0</v>
      </c>
      <c r="AC79">
        <f>'Kullanılan gübre'!AC79*'Gübre oranlar'!AF$2</f>
        <v>0</v>
      </c>
      <c r="AD79">
        <f>'Kullanılan gübre'!AD79*'Gübre oranlar'!AG$2</f>
        <v>0</v>
      </c>
      <c r="AE79">
        <f>'Kullanılan gübre'!AE79*'Gübre oranlar'!AH$2</f>
        <v>1.29</v>
      </c>
      <c r="AF79">
        <f>'Kullanılan gübre'!AF79*'Gübre oranlar'!AI$2</f>
        <v>0</v>
      </c>
      <c r="AG79">
        <f>'Kullanılan gübre'!AG79*'Gübre oranlar'!AJ$2</f>
        <v>0</v>
      </c>
      <c r="AH79">
        <f>'Kullanılan gübre'!AH79*'Gübre oranlar'!AK$2</f>
        <v>0</v>
      </c>
      <c r="AI79">
        <f>'Kullanılan gübre'!AI79*'Gübre oranlar'!AL$2</f>
        <v>0</v>
      </c>
      <c r="AJ79">
        <f>'Kullanılan gübre'!AJ79*'Gübre oranlar'!AM$2</f>
        <v>0</v>
      </c>
      <c r="AK79">
        <f>'Kullanılan gübre'!AK79*'Gübre oranlar'!AN$2</f>
        <v>0</v>
      </c>
      <c r="AL79">
        <f>'Kullanılan gübre'!AL79*'Gübre oranlar'!AO$2</f>
        <v>0</v>
      </c>
      <c r="AM79">
        <f>'Kullanılan gübre'!AM79*'Gübre oranlar'!AP$2</f>
        <v>0</v>
      </c>
      <c r="AN79">
        <f>'Kullanılan gübre'!AN79*'Gübre oranlar'!AQ$2</f>
        <v>0</v>
      </c>
      <c r="AO79">
        <f>'Kullanılan gübre'!AO79*'Gübre oranlar'!AR$2</f>
        <v>0</v>
      </c>
      <c r="AP79">
        <f>'Kullanılan gübre'!AP79*'Gübre oranlar'!AS$2</f>
        <v>0</v>
      </c>
      <c r="AQ79">
        <f>'Kullanılan gübre'!AQ79*'Gübre oranlar'!AT$2</f>
        <v>0</v>
      </c>
      <c r="AR79">
        <f>'Kullanılan gübre'!AR79*'Gübre oranlar'!AU$2</f>
        <v>0</v>
      </c>
      <c r="AS79">
        <f>'Kullanılan gübre'!AS79*'Gübre oranlar'!AV$2</f>
        <v>0</v>
      </c>
      <c r="AT79">
        <f>'Kullanılan gübre'!AT79*'Gübre oranlar'!AW$2</f>
        <v>0</v>
      </c>
      <c r="AU79">
        <f>'Kullanılan gübre'!AU79*'Gübre oranlar'!AX$2</f>
        <v>0</v>
      </c>
      <c r="AV79">
        <f>'Kullanılan gübre'!AV79*'Gübre oranlar'!AY$2</f>
        <v>0</v>
      </c>
      <c r="AW79">
        <f t="shared" si="1"/>
        <v>1091.7948999999999</v>
      </c>
    </row>
    <row r="80" spans="1:49" hidden="1" x14ac:dyDescent="0.25">
      <c r="A80" t="str">
        <f>'Kullanılan gübre'!A80</f>
        <v>AK</v>
      </c>
      <c r="B80" t="str">
        <f>'Kullanılan gübre'!B80</f>
        <v>AFYONKARAHISAR</v>
      </c>
      <c r="C80" t="str">
        <f>'Kullanılan gübre'!C80</f>
        <v>SULTANDAGI</v>
      </c>
      <c r="D80">
        <f>'Kullanılan gübre'!D80</f>
        <v>2013</v>
      </c>
      <c r="E80">
        <f>'Kullanılan gübre'!E80*'Gübre oranlar'!H$2</f>
        <v>58.905000000000001</v>
      </c>
      <c r="F80">
        <f>'Kullanılan gübre'!F80*'Gübre oranlar'!I$2</f>
        <v>47.97</v>
      </c>
      <c r="G80">
        <f>'Kullanılan gübre'!G80*'Gübre oranlar'!J$2</f>
        <v>60.1755</v>
      </c>
      <c r="H80">
        <f>'Kullanılan gübre'!H80*'Gübre oranlar'!K$2</f>
        <v>27.186000000000003</v>
      </c>
      <c r="I80">
        <f>'Kullanılan gübre'!I80*'Gübre oranlar'!L$2</f>
        <v>0</v>
      </c>
      <c r="J80">
        <f>'Kullanılan gübre'!J80*'Gübre oranlar'!M$2</f>
        <v>67.203000000000003</v>
      </c>
      <c r="K80">
        <f>'Kullanılan gübre'!K80*'Gübre oranlar'!N$2</f>
        <v>0</v>
      </c>
      <c r="L80">
        <f>'Kullanılan gübre'!L80*'Gübre oranlar'!O$2</f>
        <v>56.420000000000009</v>
      </c>
      <c r="M80">
        <f>'Kullanılan gübre'!M80*'Gübre oranlar'!P$2</f>
        <v>2.2200000000000002</v>
      </c>
      <c r="N80">
        <f>'Kullanılan gübre'!N80*'Gübre oranlar'!Q$2</f>
        <v>17.010000000000002</v>
      </c>
      <c r="O80">
        <f>'Kullanılan gübre'!O80*'Gübre oranlar'!R$2</f>
        <v>0</v>
      </c>
      <c r="P80">
        <f>'Kullanılan gübre'!P80*'Gübre oranlar'!S$2</f>
        <v>1.2844000000000002</v>
      </c>
      <c r="Q80">
        <f>'Kullanılan gübre'!Q80*'Gübre oranlar'!T$2</f>
        <v>0</v>
      </c>
      <c r="R80">
        <f>'Kullanılan gübre'!R80*'Gübre oranlar'!U$2</f>
        <v>0</v>
      </c>
      <c r="S80">
        <f>'Kullanılan gübre'!S80*'Gübre oranlar'!V$2</f>
        <v>0</v>
      </c>
      <c r="T80">
        <f>'Kullanılan gübre'!T80*'Gübre oranlar'!W$2</f>
        <v>14.2675</v>
      </c>
      <c r="U80">
        <f>'Kullanılan gübre'!U80*'Gübre oranlar'!X$2</f>
        <v>0</v>
      </c>
      <c r="V80">
        <f>'Kullanılan gübre'!V80*'Gübre oranlar'!Y$2</f>
        <v>0</v>
      </c>
      <c r="W80">
        <f>'Kullanılan gübre'!W80*'Gübre oranlar'!Z$2</f>
        <v>0</v>
      </c>
      <c r="X80">
        <f>'Kullanılan gübre'!X80*'Gübre oranlar'!AA$2</f>
        <v>0</v>
      </c>
      <c r="Y80">
        <f>'Kullanılan gübre'!Y80*'Gübre oranlar'!AB$2</f>
        <v>0</v>
      </c>
      <c r="Z80">
        <f>'Kullanılan gübre'!Z80*'Gübre oranlar'!AC$2</f>
        <v>0</v>
      </c>
      <c r="AA80">
        <f>'Kullanılan gübre'!AA80*'Gübre oranlar'!AD$2</f>
        <v>26.130000000000003</v>
      </c>
      <c r="AB80">
        <f>'Kullanılan gübre'!AB80*'Gübre oranlar'!AE$2</f>
        <v>0</v>
      </c>
      <c r="AC80">
        <f>'Kullanılan gübre'!AC80*'Gübre oranlar'!AF$2</f>
        <v>0</v>
      </c>
      <c r="AD80">
        <f>'Kullanılan gübre'!AD80*'Gübre oranlar'!AG$2</f>
        <v>0</v>
      </c>
      <c r="AE80">
        <f>'Kullanılan gübre'!AE80*'Gübre oranlar'!AH$2</f>
        <v>0</v>
      </c>
      <c r="AF80">
        <f>'Kullanılan gübre'!AF80*'Gübre oranlar'!AI$2</f>
        <v>0</v>
      </c>
      <c r="AG80">
        <f>'Kullanılan gübre'!AG80*'Gübre oranlar'!AJ$2</f>
        <v>0</v>
      </c>
      <c r="AH80">
        <f>'Kullanılan gübre'!AH80*'Gübre oranlar'!AK$2</f>
        <v>0</v>
      </c>
      <c r="AI80">
        <f>'Kullanılan gübre'!AI80*'Gübre oranlar'!AL$2</f>
        <v>0</v>
      </c>
      <c r="AJ80">
        <f>'Kullanılan gübre'!AJ80*'Gübre oranlar'!AM$2</f>
        <v>0</v>
      </c>
      <c r="AK80">
        <f>'Kullanılan gübre'!AK80*'Gübre oranlar'!AN$2</f>
        <v>0</v>
      </c>
      <c r="AL80">
        <f>'Kullanılan gübre'!AL80*'Gübre oranlar'!AO$2</f>
        <v>0</v>
      </c>
      <c r="AM80">
        <f>'Kullanılan gübre'!AM80*'Gübre oranlar'!AP$2</f>
        <v>0</v>
      </c>
      <c r="AN80">
        <f>'Kullanılan gübre'!AN80*'Gübre oranlar'!AQ$2</f>
        <v>0</v>
      </c>
      <c r="AO80">
        <f>'Kullanılan gübre'!AO80*'Gübre oranlar'!AR$2</f>
        <v>0</v>
      </c>
      <c r="AP80">
        <f>'Kullanılan gübre'!AP80*'Gübre oranlar'!AS$2</f>
        <v>0</v>
      </c>
      <c r="AQ80">
        <f>'Kullanılan gübre'!AQ80*'Gübre oranlar'!AT$2</f>
        <v>0</v>
      </c>
      <c r="AR80">
        <f>'Kullanılan gübre'!AR80*'Gübre oranlar'!AU$2</f>
        <v>0</v>
      </c>
      <c r="AS80">
        <f>'Kullanılan gübre'!AS80*'Gübre oranlar'!AV$2</f>
        <v>0</v>
      </c>
      <c r="AT80">
        <f>'Kullanılan gübre'!AT80*'Gübre oranlar'!AW$2</f>
        <v>0</v>
      </c>
      <c r="AU80">
        <f>'Kullanılan gübre'!AU80*'Gübre oranlar'!AX$2</f>
        <v>0</v>
      </c>
      <c r="AV80">
        <f>'Kullanılan gübre'!AV80*'Gübre oranlar'!AY$2</f>
        <v>0</v>
      </c>
      <c r="AW80">
        <f t="shared" si="1"/>
        <v>378.77140000000003</v>
      </c>
    </row>
    <row r="81" spans="1:49" hidden="1" x14ac:dyDescent="0.25">
      <c r="A81" t="str">
        <f>'Kullanılan gübre'!A81</f>
        <v>AK</v>
      </c>
      <c r="B81" t="str">
        <f>'Kullanılan gübre'!B81</f>
        <v>AFYONKARAHISAR</v>
      </c>
      <c r="C81" t="str">
        <f>'Kullanılan gübre'!C81</f>
        <v>SUHUT</v>
      </c>
      <c r="D81">
        <f>'Kullanılan gübre'!D81</f>
        <v>2013</v>
      </c>
      <c r="E81">
        <f>'Kullanılan gübre'!E81*'Gübre oranlar'!H$2</f>
        <v>210.24149999999997</v>
      </c>
      <c r="F81">
        <f>'Kullanılan gübre'!F81*'Gübre oranlar'!I$2</f>
        <v>112.41100000000002</v>
      </c>
      <c r="G81">
        <f>'Kullanılan gübre'!G81*'Gübre oranlar'!J$2</f>
        <v>423.62100000000004</v>
      </c>
      <c r="H81">
        <f>'Kullanılan gübre'!H81*'Gübre oranlar'!K$2</f>
        <v>540.61500000000001</v>
      </c>
      <c r="I81">
        <f>'Kullanılan gübre'!I81*'Gübre oranlar'!L$2</f>
        <v>0</v>
      </c>
      <c r="J81">
        <f>'Kullanılan gübre'!J81*'Gübre oranlar'!M$2</f>
        <v>147.52799999999999</v>
      </c>
      <c r="K81">
        <f>'Kullanılan gübre'!K81*'Gübre oranlar'!N$2</f>
        <v>14.830000000000002</v>
      </c>
      <c r="L81">
        <f>'Kullanılan gübre'!L81*'Gübre oranlar'!O$2</f>
        <v>18</v>
      </c>
      <c r="M81">
        <f>'Kullanılan gübre'!M81*'Gübre oranlar'!P$2</f>
        <v>52.942499999999995</v>
      </c>
      <c r="N81">
        <f>'Kullanılan gübre'!N81*'Gübre oranlar'!Q$2</f>
        <v>33.022500000000001</v>
      </c>
      <c r="O81">
        <f>'Kullanılan gübre'!O81*'Gübre oranlar'!R$2</f>
        <v>0</v>
      </c>
      <c r="P81">
        <f>'Kullanılan gübre'!P81*'Gübre oranlar'!S$2</f>
        <v>2.4115000000000002</v>
      </c>
      <c r="Q81">
        <f>'Kullanılan gübre'!Q81*'Gübre oranlar'!T$2</f>
        <v>75.599999999999994</v>
      </c>
      <c r="R81">
        <f>'Kullanılan gübre'!R81*'Gübre oranlar'!U$2</f>
        <v>0</v>
      </c>
      <c r="S81">
        <f>'Kullanılan gübre'!S81*'Gübre oranlar'!V$2</f>
        <v>3.2829000000000002</v>
      </c>
      <c r="T81">
        <f>'Kullanılan gübre'!T81*'Gübre oranlar'!W$2</f>
        <v>22.672000000000001</v>
      </c>
      <c r="U81">
        <f>'Kullanılan gübre'!U81*'Gübre oranlar'!X$2</f>
        <v>0</v>
      </c>
      <c r="V81">
        <f>'Kullanılan gübre'!V81*'Gübre oranlar'!Y$2</f>
        <v>0</v>
      </c>
      <c r="W81">
        <f>'Kullanılan gübre'!W81*'Gübre oranlar'!Z$2</f>
        <v>0</v>
      </c>
      <c r="X81">
        <f>'Kullanılan gübre'!X81*'Gübre oranlar'!AA$2</f>
        <v>36.29</v>
      </c>
      <c r="Y81">
        <f>'Kullanılan gübre'!Y81*'Gübre oranlar'!AB$2</f>
        <v>0</v>
      </c>
      <c r="Z81">
        <f>'Kullanılan gübre'!Z81*'Gübre oranlar'!AC$2</f>
        <v>0</v>
      </c>
      <c r="AA81">
        <f>'Kullanılan gübre'!AA81*'Gübre oranlar'!AD$2</f>
        <v>9.6785000000000014</v>
      </c>
      <c r="AB81">
        <f>'Kullanılan gübre'!AB81*'Gübre oranlar'!AE$2</f>
        <v>0</v>
      </c>
      <c r="AC81">
        <f>'Kullanılan gübre'!AC81*'Gübre oranlar'!AF$2</f>
        <v>0</v>
      </c>
      <c r="AD81">
        <f>'Kullanılan gübre'!AD81*'Gübre oranlar'!AG$2</f>
        <v>0</v>
      </c>
      <c r="AE81">
        <f>'Kullanılan gübre'!AE81*'Gübre oranlar'!AH$2</f>
        <v>27.485000000000003</v>
      </c>
      <c r="AF81">
        <f>'Kullanılan gübre'!AF81*'Gübre oranlar'!AI$2</f>
        <v>0</v>
      </c>
      <c r="AG81">
        <f>'Kullanılan gübre'!AG81*'Gübre oranlar'!AJ$2</f>
        <v>0</v>
      </c>
      <c r="AH81">
        <f>'Kullanılan gübre'!AH81*'Gübre oranlar'!AK$2</f>
        <v>0</v>
      </c>
      <c r="AI81">
        <f>'Kullanılan gübre'!AI81*'Gübre oranlar'!AL$2</f>
        <v>0</v>
      </c>
      <c r="AJ81">
        <f>'Kullanılan gübre'!AJ81*'Gübre oranlar'!AM$2</f>
        <v>0</v>
      </c>
      <c r="AK81">
        <f>'Kullanılan gübre'!AK81*'Gübre oranlar'!AN$2</f>
        <v>0</v>
      </c>
      <c r="AL81">
        <f>'Kullanılan gübre'!AL81*'Gübre oranlar'!AO$2</f>
        <v>0</v>
      </c>
      <c r="AM81">
        <f>'Kullanılan gübre'!AM81*'Gübre oranlar'!AP$2</f>
        <v>0</v>
      </c>
      <c r="AN81">
        <f>'Kullanılan gübre'!AN81*'Gübre oranlar'!AQ$2</f>
        <v>0</v>
      </c>
      <c r="AO81">
        <f>'Kullanılan gübre'!AO81*'Gübre oranlar'!AR$2</f>
        <v>0</v>
      </c>
      <c r="AP81">
        <f>'Kullanılan gübre'!AP81*'Gübre oranlar'!AS$2</f>
        <v>0</v>
      </c>
      <c r="AQ81">
        <f>'Kullanılan gübre'!AQ81*'Gübre oranlar'!AT$2</f>
        <v>0</v>
      </c>
      <c r="AR81">
        <f>'Kullanılan gübre'!AR81*'Gübre oranlar'!AU$2</f>
        <v>0</v>
      </c>
      <c r="AS81">
        <f>'Kullanılan gübre'!AS81*'Gübre oranlar'!AV$2</f>
        <v>0</v>
      </c>
      <c r="AT81">
        <f>'Kullanılan gübre'!AT81*'Gübre oranlar'!AW$2</f>
        <v>0</v>
      </c>
      <c r="AU81">
        <f>'Kullanılan gübre'!AU81*'Gübre oranlar'!AX$2</f>
        <v>0</v>
      </c>
      <c r="AV81">
        <f>'Kullanılan gübre'!AV81*'Gübre oranlar'!AY$2</f>
        <v>0</v>
      </c>
      <c r="AW81">
        <f t="shared" si="1"/>
        <v>1730.6313999999995</v>
      </c>
    </row>
    <row r="82" spans="1:49" hidden="1" x14ac:dyDescent="0.25">
      <c r="A82" t="str">
        <f>'Kullanılan gübre'!A82</f>
        <v>AK</v>
      </c>
      <c r="B82" t="str">
        <f>'Kullanılan gübre'!B82</f>
        <v>AFYONKARAHISAR</v>
      </c>
      <c r="C82" t="str">
        <f>'Kullanılan gübre'!C82</f>
        <v>MERKEZ</v>
      </c>
      <c r="D82">
        <f>'Kullanılan gübre'!D82</f>
        <v>2014</v>
      </c>
      <c r="E82">
        <f>'Kullanılan gübre'!E82*'Gübre oranlar'!H$2</f>
        <v>34.618499999999997</v>
      </c>
      <c r="F82">
        <f>'Kullanılan gübre'!F82*'Gübre oranlar'!I$2</f>
        <v>143.68899999999999</v>
      </c>
      <c r="G82">
        <f>'Kullanılan gübre'!G82*'Gübre oranlar'!J$2</f>
        <v>430.32</v>
      </c>
      <c r="H82">
        <f>'Kullanılan gübre'!H82*'Gübre oranlar'!K$2</f>
        <v>313.65100000000001</v>
      </c>
      <c r="I82">
        <f>'Kullanılan gübre'!I82*'Gübre oranlar'!L$2</f>
        <v>0</v>
      </c>
      <c r="J82">
        <f>'Kullanılan gübre'!J82*'Gübre oranlar'!M$2</f>
        <v>129.08519999999999</v>
      </c>
      <c r="K82">
        <f>'Kullanılan gübre'!K82*'Gübre oranlar'!N$2</f>
        <v>331.07</v>
      </c>
      <c r="L82">
        <f>'Kullanılan gübre'!L82*'Gübre oranlar'!O$2</f>
        <v>97.15</v>
      </c>
      <c r="M82">
        <f>'Kullanılan gübre'!M82*'Gübre oranlar'!P$2</f>
        <v>18.555</v>
      </c>
      <c r="N82">
        <f>'Kullanılan gübre'!N82*'Gübre oranlar'!Q$2</f>
        <v>85.087499999999991</v>
      </c>
      <c r="O82">
        <f>'Kullanılan gübre'!O82*'Gübre oranlar'!R$2</f>
        <v>0</v>
      </c>
      <c r="P82">
        <f>'Kullanılan gübre'!P82*'Gübre oranlar'!S$2</f>
        <v>5.1480000000000006</v>
      </c>
      <c r="Q82">
        <f>'Kullanılan gübre'!Q82*'Gübre oranlar'!T$2</f>
        <v>60.239999999999995</v>
      </c>
      <c r="R82">
        <f>'Kullanılan gübre'!R82*'Gübre oranlar'!U$2</f>
        <v>0</v>
      </c>
      <c r="S82">
        <f>'Kullanılan gübre'!S82*'Gübre oranlar'!V$2</f>
        <v>0.13950000000000001</v>
      </c>
      <c r="T82">
        <f>'Kullanılan gübre'!T82*'Gübre oranlar'!W$2</f>
        <v>66.956499999999991</v>
      </c>
      <c r="U82">
        <f>'Kullanılan gübre'!U82*'Gübre oranlar'!X$2</f>
        <v>0</v>
      </c>
      <c r="V82">
        <f>'Kullanılan gübre'!V82*'Gübre oranlar'!Y$2</f>
        <v>3.9250000000000003</v>
      </c>
      <c r="W82">
        <f>'Kullanılan gübre'!W82*'Gübre oranlar'!Z$2</f>
        <v>0</v>
      </c>
      <c r="X82">
        <f>'Kullanılan gübre'!X82*'Gübre oranlar'!AA$2</f>
        <v>0</v>
      </c>
      <c r="Y82">
        <f>'Kullanılan gübre'!Y82*'Gübre oranlar'!AB$2</f>
        <v>0</v>
      </c>
      <c r="Z82">
        <f>'Kullanılan gübre'!Z82*'Gübre oranlar'!AC$2</f>
        <v>0</v>
      </c>
      <c r="AA82">
        <f>'Kullanılan gübre'!AA82*'Gübre oranlar'!AD$2</f>
        <v>0</v>
      </c>
      <c r="AB82">
        <f>'Kullanılan gübre'!AB82*'Gübre oranlar'!AE$2</f>
        <v>0.27</v>
      </c>
      <c r="AC82">
        <f>'Kullanılan gübre'!AC82*'Gübre oranlar'!AF$2</f>
        <v>0</v>
      </c>
      <c r="AD82">
        <f>'Kullanılan gübre'!AD82*'Gübre oranlar'!AG$2</f>
        <v>0</v>
      </c>
      <c r="AE82">
        <f>'Kullanılan gübre'!AE82*'Gübre oranlar'!AH$2</f>
        <v>3.4550000000000001</v>
      </c>
      <c r="AF82">
        <f>'Kullanılan gübre'!AF82*'Gübre oranlar'!AI$2</f>
        <v>0</v>
      </c>
      <c r="AG82">
        <f>'Kullanılan gübre'!AG82*'Gübre oranlar'!AJ$2</f>
        <v>0</v>
      </c>
      <c r="AH82">
        <f>'Kullanılan gübre'!AH82*'Gübre oranlar'!AK$2</f>
        <v>0</v>
      </c>
      <c r="AI82">
        <f>'Kullanılan gübre'!AI82*'Gübre oranlar'!AL$2</f>
        <v>0</v>
      </c>
      <c r="AJ82">
        <f>'Kullanılan gübre'!AJ82*'Gübre oranlar'!AM$2</f>
        <v>0</v>
      </c>
      <c r="AK82">
        <f>'Kullanılan gübre'!AK82*'Gübre oranlar'!AN$2</f>
        <v>0</v>
      </c>
      <c r="AL82">
        <f>'Kullanılan gübre'!AL82*'Gübre oranlar'!AO$2</f>
        <v>0</v>
      </c>
      <c r="AM82">
        <f>'Kullanılan gübre'!AM82*'Gübre oranlar'!AP$2</f>
        <v>0</v>
      </c>
      <c r="AN82">
        <f>'Kullanılan gübre'!AN82*'Gübre oranlar'!AQ$2</f>
        <v>0</v>
      </c>
      <c r="AO82">
        <f>'Kullanılan gübre'!AO82*'Gübre oranlar'!AR$2</f>
        <v>0</v>
      </c>
      <c r="AP82">
        <f>'Kullanılan gübre'!AP82*'Gübre oranlar'!AS$2</f>
        <v>0</v>
      </c>
      <c r="AQ82">
        <f>'Kullanılan gübre'!AQ82*'Gübre oranlar'!AT$2</f>
        <v>0</v>
      </c>
      <c r="AR82">
        <f>'Kullanılan gübre'!AR82*'Gübre oranlar'!AU$2</f>
        <v>0</v>
      </c>
      <c r="AS82">
        <f>'Kullanılan gübre'!AS82*'Gübre oranlar'!AV$2</f>
        <v>0</v>
      </c>
      <c r="AT82">
        <f>'Kullanılan gübre'!AT82*'Gübre oranlar'!AW$2</f>
        <v>0</v>
      </c>
      <c r="AU82">
        <f>'Kullanılan gübre'!AU82*'Gübre oranlar'!AX$2</f>
        <v>0</v>
      </c>
      <c r="AV82">
        <f>'Kullanılan gübre'!AV82*'Gübre oranlar'!AY$2</f>
        <v>0</v>
      </c>
      <c r="AW82">
        <f t="shared" si="1"/>
        <v>1723.3602000000001</v>
      </c>
    </row>
    <row r="83" spans="1:49" hidden="1" x14ac:dyDescent="0.25">
      <c r="A83" t="str">
        <f>'Kullanılan gübre'!A83</f>
        <v>AK</v>
      </c>
      <c r="B83" t="str">
        <f>'Kullanılan gübre'!B83</f>
        <v>AFYONKARAHISAR</v>
      </c>
      <c r="C83" t="str">
        <f>'Kullanılan gübre'!C83</f>
        <v>BAYAT</v>
      </c>
      <c r="D83">
        <f>'Kullanılan gübre'!D83</f>
        <v>2014</v>
      </c>
      <c r="E83">
        <f>'Kullanılan gübre'!E83*'Gübre oranlar'!H$2</f>
        <v>9.4499999999999993</v>
      </c>
      <c r="F83">
        <f>'Kullanılan gübre'!F83*'Gübre oranlar'!I$2</f>
        <v>0</v>
      </c>
      <c r="G83">
        <f>'Kullanılan gübre'!G83*'Gübre oranlar'!J$2</f>
        <v>47.190000000000005</v>
      </c>
      <c r="H83">
        <f>'Kullanılan gübre'!H83*'Gübre oranlar'!K$2</f>
        <v>0</v>
      </c>
      <c r="I83">
        <f>'Kullanılan gübre'!I83*'Gübre oranlar'!L$2</f>
        <v>0</v>
      </c>
      <c r="J83">
        <f>'Kullanılan gübre'!J83*'Gübre oranlar'!M$2</f>
        <v>9</v>
      </c>
      <c r="K83">
        <f>'Kullanılan gübre'!K83*'Gübre oranlar'!N$2</f>
        <v>0</v>
      </c>
      <c r="L83">
        <f>'Kullanılan gübre'!L83*'Gübre oranlar'!O$2</f>
        <v>16.150000000000002</v>
      </c>
      <c r="M83">
        <f>'Kullanılan gübre'!M83*'Gübre oranlar'!P$2</f>
        <v>0</v>
      </c>
      <c r="N83">
        <f>'Kullanılan gübre'!N83*'Gübre oranlar'!Q$2</f>
        <v>0</v>
      </c>
      <c r="O83">
        <f>'Kullanılan gübre'!O83*'Gübre oranlar'!R$2</f>
        <v>0</v>
      </c>
      <c r="P83">
        <f>'Kullanılan gübre'!P83*'Gübre oranlar'!S$2</f>
        <v>0</v>
      </c>
      <c r="Q83">
        <f>'Kullanılan gübre'!Q83*'Gübre oranlar'!T$2</f>
        <v>0</v>
      </c>
      <c r="R83">
        <f>'Kullanılan gübre'!R83*'Gübre oranlar'!U$2</f>
        <v>0</v>
      </c>
      <c r="S83">
        <f>'Kullanılan gübre'!S83*'Gübre oranlar'!V$2</f>
        <v>0</v>
      </c>
      <c r="T83">
        <f>'Kullanılan gübre'!T83*'Gübre oranlar'!W$2</f>
        <v>7.0200000000000005</v>
      </c>
      <c r="U83">
        <f>'Kullanılan gübre'!U83*'Gübre oranlar'!X$2</f>
        <v>0</v>
      </c>
      <c r="V83">
        <f>'Kullanılan gübre'!V83*'Gübre oranlar'!Y$2</f>
        <v>0</v>
      </c>
      <c r="W83">
        <f>'Kullanılan gübre'!W83*'Gübre oranlar'!Z$2</f>
        <v>0</v>
      </c>
      <c r="X83">
        <f>'Kullanılan gübre'!X83*'Gübre oranlar'!AA$2</f>
        <v>0</v>
      </c>
      <c r="Y83">
        <f>'Kullanılan gübre'!Y83*'Gübre oranlar'!AB$2</f>
        <v>0</v>
      </c>
      <c r="Z83">
        <f>'Kullanılan gübre'!Z83*'Gübre oranlar'!AC$2</f>
        <v>0</v>
      </c>
      <c r="AA83">
        <f>'Kullanılan gübre'!AA83*'Gübre oranlar'!AD$2</f>
        <v>0</v>
      </c>
      <c r="AB83">
        <f>'Kullanılan gübre'!AB83*'Gübre oranlar'!AE$2</f>
        <v>0</v>
      </c>
      <c r="AC83">
        <f>'Kullanılan gübre'!AC83*'Gübre oranlar'!AF$2</f>
        <v>0</v>
      </c>
      <c r="AD83">
        <f>'Kullanılan gübre'!AD83*'Gübre oranlar'!AG$2</f>
        <v>0</v>
      </c>
      <c r="AE83">
        <f>'Kullanılan gübre'!AE83*'Gübre oranlar'!AH$2</f>
        <v>0</v>
      </c>
      <c r="AF83">
        <f>'Kullanılan gübre'!AF83*'Gübre oranlar'!AI$2</f>
        <v>0</v>
      </c>
      <c r="AG83">
        <f>'Kullanılan gübre'!AG83*'Gübre oranlar'!AJ$2</f>
        <v>0</v>
      </c>
      <c r="AH83">
        <f>'Kullanılan gübre'!AH83*'Gübre oranlar'!AK$2</f>
        <v>0</v>
      </c>
      <c r="AI83">
        <f>'Kullanılan gübre'!AI83*'Gübre oranlar'!AL$2</f>
        <v>0</v>
      </c>
      <c r="AJ83">
        <f>'Kullanılan gübre'!AJ83*'Gübre oranlar'!AM$2</f>
        <v>0</v>
      </c>
      <c r="AK83">
        <f>'Kullanılan gübre'!AK83*'Gübre oranlar'!AN$2</f>
        <v>0</v>
      </c>
      <c r="AL83">
        <f>'Kullanılan gübre'!AL83*'Gübre oranlar'!AO$2</f>
        <v>0</v>
      </c>
      <c r="AM83">
        <f>'Kullanılan gübre'!AM83*'Gübre oranlar'!AP$2</f>
        <v>0</v>
      </c>
      <c r="AN83">
        <f>'Kullanılan gübre'!AN83*'Gübre oranlar'!AQ$2</f>
        <v>0</v>
      </c>
      <c r="AO83">
        <f>'Kullanılan gübre'!AO83*'Gübre oranlar'!AR$2</f>
        <v>0</v>
      </c>
      <c r="AP83">
        <f>'Kullanılan gübre'!AP83*'Gübre oranlar'!AS$2</f>
        <v>0</v>
      </c>
      <c r="AQ83">
        <f>'Kullanılan gübre'!AQ83*'Gübre oranlar'!AT$2</f>
        <v>0</v>
      </c>
      <c r="AR83">
        <f>'Kullanılan gübre'!AR83*'Gübre oranlar'!AU$2</f>
        <v>0</v>
      </c>
      <c r="AS83">
        <f>'Kullanılan gübre'!AS83*'Gübre oranlar'!AV$2</f>
        <v>0</v>
      </c>
      <c r="AT83">
        <f>'Kullanılan gübre'!AT83*'Gübre oranlar'!AW$2</f>
        <v>0</v>
      </c>
      <c r="AU83">
        <f>'Kullanılan gübre'!AU83*'Gübre oranlar'!AX$2</f>
        <v>0</v>
      </c>
      <c r="AV83">
        <f>'Kullanılan gübre'!AV83*'Gübre oranlar'!AY$2</f>
        <v>0</v>
      </c>
      <c r="AW83">
        <f t="shared" si="1"/>
        <v>88.81</v>
      </c>
    </row>
    <row r="84" spans="1:49" hidden="1" x14ac:dyDescent="0.25">
      <c r="A84" t="str">
        <f>'Kullanılan gübre'!A84</f>
        <v>AK</v>
      </c>
      <c r="B84" t="str">
        <f>'Kullanılan gübre'!B84</f>
        <v>AFYONKARAHISAR</v>
      </c>
      <c r="C84" t="str">
        <f>'Kullanılan gübre'!C84</f>
        <v>BOLVADIN</v>
      </c>
      <c r="D84">
        <f>'Kullanılan gübre'!D84</f>
        <v>2014</v>
      </c>
      <c r="E84">
        <f>'Kullanılan gübre'!E84*'Gübre oranlar'!H$2</f>
        <v>16.369499999999999</v>
      </c>
      <c r="F84">
        <f>'Kullanılan gübre'!F84*'Gübre oranlar'!I$2</f>
        <v>8.8660000000000014</v>
      </c>
      <c r="G84">
        <f>'Kullanılan gübre'!G84*'Gübre oranlar'!J$2</f>
        <v>291.27449999999999</v>
      </c>
      <c r="H84">
        <f>'Kullanılan gübre'!H84*'Gübre oranlar'!K$2</f>
        <v>131.03100000000001</v>
      </c>
      <c r="I84">
        <f>'Kullanılan gübre'!I84*'Gübre oranlar'!L$2</f>
        <v>0</v>
      </c>
      <c r="J84">
        <f>'Kullanılan gübre'!J84*'Gübre oranlar'!M$2</f>
        <v>129.87</v>
      </c>
      <c r="K84">
        <f>'Kullanılan gübre'!K84*'Gübre oranlar'!N$2</f>
        <v>0</v>
      </c>
      <c r="L84">
        <f>'Kullanılan gübre'!L84*'Gübre oranlar'!O$2</f>
        <v>55.53</v>
      </c>
      <c r="M84">
        <f>'Kullanılan gübre'!M84*'Gübre oranlar'!P$2</f>
        <v>0</v>
      </c>
      <c r="N84">
        <f>'Kullanılan gübre'!N84*'Gübre oranlar'!Q$2</f>
        <v>0</v>
      </c>
      <c r="O84">
        <f>'Kullanılan gübre'!O84*'Gübre oranlar'!R$2</f>
        <v>0</v>
      </c>
      <c r="P84">
        <f>'Kullanılan gübre'!P84*'Gübre oranlar'!S$2</f>
        <v>0.27300000000000002</v>
      </c>
      <c r="Q84">
        <f>'Kullanılan gübre'!Q84*'Gübre oranlar'!T$2</f>
        <v>0</v>
      </c>
      <c r="R84">
        <f>'Kullanılan gübre'!R84*'Gübre oranlar'!U$2</f>
        <v>0</v>
      </c>
      <c r="S84">
        <f>'Kullanılan gübre'!S84*'Gübre oranlar'!V$2</f>
        <v>0</v>
      </c>
      <c r="T84">
        <f>'Kullanılan gübre'!T84*'Gübre oranlar'!W$2</f>
        <v>51.343499999999999</v>
      </c>
      <c r="U84">
        <f>'Kullanılan gübre'!U84*'Gübre oranlar'!X$2</f>
        <v>0</v>
      </c>
      <c r="V84">
        <f>'Kullanılan gübre'!V84*'Gübre oranlar'!Y$2</f>
        <v>3.7200000000000006</v>
      </c>
      <c r="W84">
        <f>'Kullanılan gübre'!W84*'Gübre oranlar'!Z$2</f>
        <v>0</v>
      </c>
      <c r="X84">
        <f>'Kullanılan gübre'!X84*'Gübre oranlar'!AA$2</f>
        <v>0</v>
      </c>
      <c r="Y84">
        <f>'Kullanılan gübre'!Y84*'Gübre oranlar'!AB$2</f>
        <v>0</v>
      </c>
      <c r="Z84">
        <f>'Kullanılan gübre'!Z84*'Gübre oranlar'!AC$2</f>
        <v>0</v>
      </c>
      <c r="AA84">
        <f>'Kullanılan gübre'!AA84*'Gübre oranlar'!AD$2</f>
        <v>0</v>
      </c>
      <c r="AB84">
        <f>'Kullanılan gübre'!AB84*'Gübre oranlar'!AE$2</f>
        <v>0</v>
      </c>
      <c r="AC84">
        <f>'Kullanılan gübre'!AC84*'Gübre oranlar'!AF$2</f>
        <v>0</v>
      </c>
      <c r="AD84">
        <f>'Kullanılan gübre'!AD84*'Gübre oranlar'!AG$2</f>
        <v>0</v>
      </c>
      <c r="AE84">
        <f>'Kullanılan gübre'!AE84*'Gübre oranlar'!AH$2</f>
        <v>0</v>
      </c>
      <c r="AF84">
        <f>'Kullanılan gübre'!AF84*'Gübre oranlar'!AI$2</f>
        <v>0</v>
      </c>
      <c r="AG84">
        <f>'Kullanılan gübre'!AG84*'Gübre oranlar'!AJ$2</f>
        <v>0</v>
      </c>
      <c r="AH84">
        <f>'Kullanılan gübre'!AH84*'Gübre oranlar'!AK$2</f>
        <v>0</v>
      </c>
      <c r="AI84">
        <f>'Kullanılan gübre'!AI84*'Gübre oranlar'!AL$2</f>
        <v>0</v>
      </c>
      <c r="AJ84">
        <f>'Kullanılan gübre'!AJ84*'Gübre oranlar'!AM$2</f>
        <v>0</v>
      </c>
      <c r="AK84">
        <f>'Kullanılan gübre'!AK84*'Gübre oranlar'!AN$2</f>
        <v>0</v>
      </c>
      <c r="AL84">
        <f>'Kullanılan gübre'!AL84*'Gübre oranlar'!AO$2</f>
        <v>0</v>
      </c>
      <c r="AM84">
        <f>'Kullanılan gübre'!AM84*'Gübre oranlar'!AP$2</f>
        <v>0</v>
      </c>
      <c r="AN84">
        <f>'Kullanılan gübre'!AN84*'Gübre oranlar'!AQ$2</f>
        <v>0</v>
      </c>
      <c r="AO84">
        <f>'Kullanılan gübre'!AO84*'Gübre oranlar'!AR$2</f>
        <v>0</v>
      </c>
      <c r="AP84">
        <f>'Kullanılan gübre'!AP84*'Gübre oranlar'!AS$2</f>
        <v>0</v>
      </c>
      <c r="AQ84">
        <f>'Kullanılan gübre'!AQ84*'Gübre oranlar'!AT$2</f>
        <v>0</v>
      </c>
      <c r="AR84">
        <f>'Kullanılan gübre'!AR84*'Gübre oranlar'!AU$2</f>
        <v>0</v>
      </c>
      <c r="AS84">
        <f>'Kullanılan gübre'!AS84*'Gübre oranlar'!AV$2</f>
        <v>0</v>
      </c>
      <c r="AT84">
        <f>'Kullanılan gübre'!AT84*'Gübre oranlar'!AW$2</f>
        <v>0</v>
      </c>
      <c r="AU84">
        <f>'Kullanılan gübre'!AU84*'Gübre oranlar'!AX$2</f>
        <v>0</v>
      </c>
      <c r="AV84">
        <f>'Kullanılan gübre'!AV84*'Gübre oranlar'!AY$2</f>
        <v>0</v>
      </c>
      <c r="AW84">
        <f t="shared" si="1"/>
        <v>688.27750000000003</v>
      </c>
    </row>
    <row r="85" spans="1:49" hidden="1" x14ac:dyDescent="0.25">
      <c r="A85" t="str">
        <f>'Kullanılan gübre'!A85</f>
        <v>AK</v>
      </c>
      <c r="B85" t="str">
        <f>'Kullanılan gübre'!B85</f>
        <v>AFYONKARAHISAR</v>
      </c>
      <c r="C85" t="str">
        <f>'Kullanılan gübre'!C85</f>
        <v>CAY</v>
      </c>
      <c r="D85">
        <f>'Kullanılan gübre'!D85</f>
        <v>2014</v>
      </c>
      <c r="E85">
        <f>'Kullanılan gübre'!E85*'Gübre oranlar'!H$2</f>
        <v>78.235500000000002</v>
      </c>
      <c r="F85">
        <f>'Kullanılan gübre'!F85*'Gübre oranlar'!I$2</f>
        <v>69.16</v>
      </c>
      <c r="G85">
        <f>'Kullanılan gübre'!G85*'Gübre oranlar'!J$2</f>
        <v>397.93049999999999</v>
      </c>
      <c r="H85">
        <f>'Kullanılan gübre'!H85*'Gübre oranlar'!K$2</f>
        <v>156.05500000000001</v>
      </c>
      <c r="I85">
        <f>'Kullanılan gübre'!I85*'Gübre oranlar'!L$2</f>
        <v>0</v>
      </c>
      <c r="J85">
        <f>'Kullanılan gübre'!J85*'Gübre oranlar'!M$2</f>
        <v>100.206</v>
      </c>
      <c r="K85">
        <f>'Kullanılan gübre'!K85*'Gübre oranlar'!N$2</f>
        <v>0.38</v>
      </c>
      <c r="L85">
        <f>'Kullanılan gübre'!L85*'Gübre oranlar'!O$2</f>
        <v>148.77000000000001</v>
      </c>
      <c r="M85">
        <f>'Kullanılan gübre'!M85*'Gübre oranlar'!P$2</f>
        <v>5.3250000000000002</v>
      </c>
      <c r="N85">
        <f>'Kullanılan gübre'!N85*'Gübre oranlar'!Q$2</f>
        <v>22.154999999999998</v>
      </c>
      <c r="O85">
        <f>'Kullanılan gübre'!O85*'Gübre oranlar'!R$2</f>
        <v>0</v>
      </c>
      <c r="P85">
        <f>'Kullanılan gübre'!P85*'Gübre oranlar'!S$2</f>
        <v>1.2284999999999999</v>
      </c>
      <c r="Q85">
        <f>'Kullanılan gübre'!Q85*'Gübre oranlar'!T$2</f>
        <v>7.8E-2</v>
      </c>
      <c r="R85">
        <f>'Kullanılan gübre'!R85*'Gübre oranlar'!U$2</f>
        <v>0</v>
      </c>
      <c r="S85">
        <f>'Kullanılan gübre'!S85*'Gübre oranlar'!V$2</f>
        <v>0</v>
      </c>
      <c r="T85">
        <f>'Kullanılan gübre'!T85*'Gübre oranlar'!W$2</f>
        <v>31.375499999999999</v>
      </c>
      <c r="U85">
        <f>'Kullanılan gübre'!U85*'Gübre oranlar'!X$2</f>
        <v>0</v>
      </c>
      <c r="V85">
        <f>'Kullanılan gübre'!V85*'Gübre oranlar'!Y$2</f>
        <v>0</v>
      </c>
      <c r="W85">
        <f>'Kullanılan gübre'!W85*'Gübre oranlar'!Z$2</f>
        <v>0</v>
      </c>
      <c r="X85">
        <f>'Kullanılan gübre'!X85*'Gübre oranlar'!AA$2</f>
        <v>0.30000000000000004</v>
      </c>
      <c r="Y85">
        <f>'Kullanılan gübre'!Y85*'Gübre oranlar'!AB$2</f>
        <v>0</v>
      </c>
      <c r="Z85">
        <f>'Kullanılan gübre'!Z85*'Gübre oranlar'!AC$2</f>
        <v>0</v>
      </c>
      <c r="AA85">
        <f>'Kullanılan gübre'!AA85*'Gübre oranlar'!AD$2</f>
        <v>0</v>
      </c>
      <c r="AB85">
        <f>'Kullanılan gübre'!AB85*'Gübre oranlar'!AE$2</f>
        <v>6.9599999999999995E-2</v>
      </c>
      <c r="AC85">
        <f>'Kullanılan gübre'!AC85*'Gübre oranlar'!AF$2</f>
        <v>0</v>
      </c>
      <c r="AD85">
        <f>'Kullanılan gübre'!AD85*'Gübre oranlar'!AG$2</f>
        <v>0</v>
      </c>
      <c r="AE85">
        <f>'Kullanılan gübre'!AE85*'Gübre oranlar'!AH$2</f>
        <v>4.79</v>
      </c>
      <c r="AF85">
        <f>'Kullanılan gübre'!AF85*'Gübre oranlar'!AI$2</f>
        <v>0</v>
      </c>
      <c r="AG85">
        <f>'Kullanılan gübre'!AG85*'Gübre oranlar'!AJ$2</f>
        <v>0</v>
      </c>
      <c r="AH85">
        <f>'Kullanılan gübre'!AH85*'Gübre oranlar'!AK$2</f>
        <v>0</v>
      </c>
      <c r="AI85">
        <f>'Kullanılan gübre'!AI85*'Gübre oranlar'!AL$2</f>
        <v>0</v>
      </c>
      <c r="AJ85">
        <f>'Kullanılan gübre'!AJ85*'Gübre oranlar'!AM$2</f>
        <v>0</v>
      </c>
      <c r="AK85">
        <f>'Kullanılan gübre'!AK85*'Gübre oranlar'!AN$2</f>
        <v>0</v>
      </c>
      <c r="AL85">
        <f>'Kullanılan gübre'!AL85*'Gübre oranlar'!AO$2</f>
        <v>0</v>
      </c>
      <c r="AM85">
        <f>'Kullanılan gübre'!AM85*'Gübre oranlar'!AP$2</f>
        <v>0</v>
      </c>
      <c r="AN85">
        <f>'Kullanılan gübre'!AN85*'Gübre oranlar'!AQ$2</f>
        <v>0</v>
      </c>
      <c r="AO85">
        <f>'Kullanılan gübre'!AO85*'Gübre oranlar'!AR$2</f>
        <v>0</v>
      </c>
      <c r="AP85">
        <f>'Kullanılan gübre'!AP85*'Gübre oranlar'!AS$2</f>
        <v>0</v>
      </c>
      <c r="AQ85">
        <f>'Kullanılan gübre'!AQ85*'Gübre oranlar'!AT$2</f>
        <v>0</v>
      </c>
      <c r="AR85">
        <f>'Kullanılan gübre'!AR85*'Gübre oranlar'!AU$2</f>
        <v>0</v>
      </c>
      <c r="AS85">
        <f>'Kullanılan gübre'!AS85*'Gübre oranlar'!AV$2</f>
        <v>0</v>
      </c>
      <c r="AT85">
        <f>'Kullanılan gübre'!AT85*'Gübre oranlar'!AW$2</f>
        <v>0</v>
      </c>
      <c r="AU85">
        <f>'Kullanılan gübre'!AU85*'Gübre oranlar'!AX$2</f>
        <v>0</v>
      </c>
      <c r="AV85">
        <f>'Kullanılan gübre'!AV85*'Gübre oranlar'!AY$2</f>
        <v>0</v>
      </c>
      <c r="AW85">
        <f t="shared" si="1"/>
        <v>1016.0586000000001</v>
      </c>
    </row>
    <row r="86" spans="1:49" hidden="1" x14ac:dyDescent="0.25">
      <c r="A86" t="str">
        <f>'Kullanılan gübre'!A86</f>
        <v>AK</v>
      </c>
      <c r="B86" t="str">
        <f>'Kullanılan gübre'!B86</f>
        <v>AFYONKARAHISAR</v>
      </c>
      <c r="C86" t="str">
        <f>'Kullanılan gübre'!C86</f>
        <v>COBANLAR</v>
      </c>
      <c r="D86">
        <f>'Kullanılan gübre'!D86</f>
        <v>2014</v>
      </c>
      <c r="E86">
        <f>'Kullanılan gübre'!E86*'Gübre oranlar'!H$2</f>
        <v>14.4375</v>
      </c>
      <c r="F86">
        <f>'Kullanılan gübre'!F86*'Gübre oranlar'!I$2</f>
        <v>8.8270000000000017</v>
      </c>
      <c r="G86">
        <f>'Kullanılan gübre'!G86*'Gübre oranlar'!J$2</f>
        <v>93.439499999999995</v>
      </c>
      <c r="H86">
        <f>'Kullanılan gübre'!H86*'Gübre oranlar'!K$2</f>
        <v>114.977</v>
      </c>
      <c r="I86">
        <f>'Kullanılan gübre'!I86*'Gübre oranlar'!L$2</f>
        <v>0</v>
      </c>
      <c r="J86">
        <f>'Kullanılan gübre'!J86*'Gübre oranlar'!M$2</f>
        <v>95.759999999999991</v>
      </c>
      <c r="K86">
        <f>'Kullanılan gübre'!K86*'Gübre oranlar'!N$2</f>
        <v>4.4000000000000004</v>
      </c>
      <c r="L86">
        <f>'Kullanılan gübre'!L86*'Gübre oranlar'!O$2</f>
        <v>42.410000000000004</v>
      </c>
      <c r="M86">
        <f>'Kullanılan gübre'!M86*'Gübre oranlar'!P$2</f>
        <v>0</v>
      </c>
      <c r="N86">
        <f>'Kullanılan gübre'!N86*'Gübre oranlar'!Q$2</f>
        <v>21.599999999999998</v>
      </c>
      <c r="O86">
        <f>'Kullanılan gübre'!O86*'Gübre oranlar'!R$2</f>
        <v>0</v>
      </c>
      <c r="P86">
        <f>'Kullanılan gübre'!P86*'Gübre oranlar'!S$2</f>
        <v>0.38610000000000005</v>
      </c>
      <c r="Q86">
        <f>'Kullanılan gübre'!Q86*'Gübre oranlar'!T$2</f>
        <v>0</v>
      </c>
      <c r="R86">
        <f>'Kullanılan gübre'!R86*'Gübre oranlar'!U$2</f>
        <v>0</v>
      </c>
      <c r="S86">
        <f>'Kullanılan gübre'!S86*'Gübre oranlar'!V$2</f>
        <v>0</v>
      </c>
      <c r="T86">
        <f>'Kullanılan gübre'!T86*'Gübre oranlar'!W$2</f>
        <v>17.264000000000003</v>
      </c>
      <c r="U86">
        <f>'Kullanılan gübre'!U86*'Gübre oranlar'!X$2</f>
        <v>0</v>
      </c>
      <c r="V86">
        <f>'Kullanılan gübre'!V86*'Gübre oranlar'!Y$2</f>
        <v>0</v>
      </c>
      <c r="W86">
        <f>'Kullanılan gübre'!W86*'Gübre oranlar'!Z$2</f>
        <v>0</v>
      </c>
      <c r="X86">
        <f>'Kullanılan gübre'!X86*'Gübre oranlar'!AA$2</f>
        <v>0</v>
      </c>
      <c r="Y86">
        <f>'Kullanılan gübre'!Y86*'Gübre oranlar'!AB$2</f>
        <v>0</v>
      </c>
      <c r="Z86">
        <f>'Kullanılan gübre'!Z86*'Gübre oranlar'!AC$2</f>
        <v>0</v>
      </c>
      <c r="AA86">
        <f>'Kullanılan gübre'!AA86*'Gübre oranlar'!AD$2</f>
        <v>0</v>
      </c>
      <c r="AB86">
        <f>'Kullanılan gübre'!AB86*'Gübre oranlar'!AE$2</f>
        <v>0</v>
      </c>
      <c r="AC86">
        <f>'Kullanılan gübre'!AC86*'Gübre oranlar'!AF$2</f>
        <v>0</v>
      </c>
      <c r="AD86">
        <f>'Kullanılan gübre'!AD86*'Gübre oranlar'!AG$2</f>
        <v>0</v>
      </c>
      <c r="AE86">
        <f>'Kullanılan gübre'!AE86*'Gübre oranlar'!AH$2</f>
        <v>3.18</v>
      </c>
      <c r="AF86">
        <f>'Kullanılan gübre'!AF86*'Gübre oranlar'!AI$2</f>
        <v>0</v>
      </c>
      <c r="AG86">
        <f>'Kullanılan gübre'!AG86*'Gübre oranlar'!AJ$2</f>
        <v>0</v>
      </c>
      <c r="AH86">
        <f>'Kullanılan gübre'!AH86*'Gübre oranlar'!AK$2</f>
        <v>0</v>
      </c>
      <c r="AI86">
        <f>'Kullanılan gübre'!AI86*'Gübre oranlar'!AL$2</f>
        <v>0</v>
      </c>
      <c r="AJ86">
        <f>'Kullanılan gübre'!AJ86*'Gübre oranlar'!AM$2</f>
        <v>0</v>
      </c>
      <c r="AK86">
        <f>'Kullanılan gübre'!AK86*'Gübre oranlar'!AN$2</f>
        <v>0</v>
      </c>
      <c r="AL86">
        <f>'Kullanılan gübre'!AL86*'Gübre oranlar'!AO$2</f>
        <v>0</v>
      </c>
      <c r="AM86">
        <f>'Kullanılan gübre'!AM86*'Gübre oranlar'!AP$2</f>
        <v>0</v>
      </c>
      <c r="AN86">
        <f>'Kullanılan gübre'!AN86*'Gübre oranlar'!AQ$2</f>
        <v>0</v>
      </c>
      <c r="AO86">
        <f>'Kullanılan gübre'!AO86*'Gübre oranlar'!AR$2</f>
        <v>0</v>
      </c>
      <c r="AP86">
        <f>'Kullanılan gübre'!AP86*'Gübre oranlar'!AS$2</f>
        <v>0</v>
      </c>
      <c r="AQ86">
        <f>'Kullanılan gübre'!AQ86*'Gübre oranlar'!AT$2</f>
        <v>0</v>
      </c>
      <c r="AR86">
        <f>'Kullanılan gübre'!AR86*'Gübre oranlar'!AU$2</f>
        <v>0</v>
      </c>
      <c r="AS86">
        <f>'Kullanılan gübre'!AS86*'Gübre oranlar'!AV$2</f>
        <v>0</v>
      </c>
      <c r="AT86">
        <f>'Kullanılan gübre'!AT86*'Gübre oranlar'!AW$2</f>
        <v>0</v>
      </c>
      <c r="AU86">
        <f>'Kullanılan gübre'!AU86*'Gübre oranlar'!AX$2</f>
        <v>0</v>
      </c>
      <c r="AV86">
        <f>'Kullanılan gübre'!AV86*'Gübre oranlar'!AY$2</f>
        <v>0</v>
      </c>
      <c r="AW86">
        <f t="shared" si="1"/>
        <v>416.68110000000001</v>
      </c>
    </row>
    <row r="87" spans="1:49" hidden="1" x14ac:dyDescent="0.25">
      <c r="A87" t="str">
        <f>'Kullanılan gübre'!A87</f>
        <v>AK</v>
      </c>
      <c r="B87" t="str">
        <f>'Kullanılan gübre'!B87</f>
        <v>AFYONKARAHISAR</v>
      </c>
      <c r="C87" t="str">
        <f>'Kullanılan gübre'!C87</f>
        <v>IHSANIYE</v>
      </c>
      <c r="D87">
        <f>'Kullanılan gübre'!D87</f>
        <v>2014</v>
      </c>
      <c r="E87">
        <f>'Kullanılan gübre'!E87*'Gübre oranlar'!H$2</f>
        <v>12.242999999999999</v>
      </c>
      <c r="F87">
        <f>'Kullanılan gübre'!F87*'Gübre oranlar'!I$2</f>
        <v>40.456000000000003</v>
      </c>
      <c r="G87">
        <f>'Kullanılan gübre'!G87*'Gübre oranlar'!J$2</f>
        <v>175.39500000000001</v>
      </c>
      <c r="H87">
        <f>'Kullanılan gübre'!H87*'Gübre oranlar'!K$2</f>
        <v>224.15800000000002</v>
      </c>
      <c r="I87">
        <f>'Kullanılan gübre'!I87*'Gübre oranlar'!L$2</f>
        <v>0</v>
      </c>
      <c r="J87">
        <f>'Kullanılan gübre'!J87*'Gübre oranlar'!M$2</f>
        <v>54.72</v>
      </c>
      <c r="K87">
        <f>'Kullanılan gübre'!K87*'Gübre oranlar'!N$2</f>
        <v>116.74000000000001</v>
      </c>
      <c r="L87">
        <f>'Kullanılan gübre'!L87*'Gübre oranlar'!O$2</f>
        <v>83.800000000000011</v>
      </c>
      <c r="M87">
        <f>'Kullanılan gübre'!M87*'Gübre oranlar'!P$2</f>
        <v>1.5</v>
      </c>
      <c r="N87">
        <f>'Kullanılan gübre'!N87*'Gübre oranlar'!Q$2</f>
        <v>2.085</v>
      </c>
      <c r="O87">
        <f>'Kullanılan gübre'!O87*'Gübre oranlar'!R$2</f>
        <v>0</v>
      </c>
      <c r="P87">
        <f>'Kullanılan gübre'!P87*'Gübre oranlar'!S$2</f>
        <v>0</v>
      </c>
      <c r="Q87">
        <f>'Kullanılan gübre'!Q87*'Gübre oranlar'!T$2</f>
        <v>9.6</v>
      </c>
      <c r="R87">
        <f>'Kullanılan gübre'!R87*'Gübre oranlar'!U$2</f>
        <v>0</v>
      </c>
      <c r="S87">
        <f>'Kullanılan gübre'!S87*'Gübre oranlar'!V$2</f>
        <v>0</v>
      </c>
      <c r="T87">
        <f>'Kullanılan gübre'!T87*'Gübre oranlar'!W$2</f>
        <v>44.505500000000005</v>
      </c>
      <c r="U87">
        <f>'Kullanılan gübre'!U87*'Gübre oranlar'!X$2</f>
        <v>0</v>
      </c>
      <c r="V87">
        <f>'Kullanılan gübre'!V87*'Gübre oranlar'!Y$2</f>
        <v>8.0150000000000006</v>
      </c>
      <c r="W87">
        <f>'Kullanılan gübre'!W87*'Gübre oranlar'!Z$2</f>
        <v>0</v>
      </c>
      <c r="X87">
        <f>'Kullanılan gübre'!X87*'Gübre oranlar'!AA$2</f>
        <v>0</v>
      </c>
      <c r="Y87">
        <f>'Kullanılan gübre'!Y87*'Gübre oranlar'!AB$2</f>
        <v>0</v>
      </c>
      <c r="Z87">
        <f>'Kullanılan gübre'!Z87*'Gübre oranlar'!AC$2</f>
        <v>0</v>
      </c>
      <c r="AA87">
        <f>'Kullanılan gübre'!AA87*'Gübre oranlar'!AD$2</f>
        <v>0</v>
      </c>
      <c r="AB87">
        <f>'Kullanılan gübre'!AB87*'Gübre oranlar'!AE$2</f>
        <v>0</v>
      </c>
      <c r="AC87">
        <f>'Kullanılan gübre'!AC87*'Gübre oranlar'!AF$2</f>
        <v>0</v>
      </c>
      <c r="AD87">
        <f>'Kullanılan gübre'!AD87*'Gübre oranlar'!AG$2</f>
        <v>0</v>
      </c>
      <c r="AE87">
        <f>'Kullanılan gübre'!AE87*'Gübre oranlar'!AH$2</f>
        <v>0</v>
      </c>
      <c r="AF87">
        <f>'Kullanılan gübre'!AF87*'Gübre oranlar'!AI$2</f>
        <v>0</v>
      </c>
      <c r="AG87">
        <f>'Kullanılan gübre'!AG87*'Gübre oranlar'!AJ$2</f>
        <v>0</v>
      </c>
      <c r="AH87">
        <f>'Kullanılan gübre'!AH87*'Gübre oranlar'!AK$2</f>
        <v>0</v>
      </c>
      <c r="AI87">
        <f>'Kullanılan gübre'!AI87*'Gübre oranlar'!AL$2</f>
        <v>0</v>
      </c>
      <c r="AJ87">
        <f>'Kullanılan gübre'!AJ87*'Gübre oranlar'!AM$2</f>
        <v>0</v>
      </c>
      <c r="AK87">
        <f>'Kullanılan gübre'!AK87*'Gübre oranlar'!AN$2</f>
        <v>0</v>
      </c>
      <c r="AL87">
        <f>'Kullanılan gübre'!AL87*'Gübre oranlar'!AO$2</f>
        <v>0</v>
      </c>
      <c r="AM87">
        <f>'Kullanılan gübre'!AM87*'Gübre oranlar'!AP$2</f>
        <v>0</v>
      </c>
      <c r="AN87">
        <f>'Kullanılan gübre'!AN87*'Gübre oranlar'!AQ$2</f>
        <v>0</v>
      </c>
      <c r="AO87">
        <f>'Kullanılan gübre'!AO87*'Gübre oranlar'!AR$2</f>
        <v>0</v>
      </c>
      <c r="AP87">
        <f>'Kullanılan gübre'!AP87*'Gübre oranlar'!AS$2</f>
        <v>0</v>
      </c>
      <c r="AQ87">
        <f>'Kullanılan gübre'!AQ87*'Gübre oranlar'!AT$2</f>
        <v>0</v>
      </c>
      <c r="AR87">
        <f>'Kullanılan gübre'!AR87*'Gübre oranlar'!AU$2</f>
        <v>0</v>
      </c>
      <c r="AS87">
        <f>'Kullanılan gübre'!AS87*'Gübre oranlar'!AV$2</f>
        <v>0</v>
      </c>
      <c r="AT87">
        <f>'Kullanılan gübre'!AT87*'Gübre oranlar'!AW$2</f>
        <v>0</v>
      </c>
      <c r="AU87">
        <f>'Kullanılan gübre'!AU87*'Gübre oranlar'!AX$2</f>
        <v>0</v>
      </c>
      <c r="AV87">
        <f>'Kullanılan gübre'!AV87*'Gübre oranlar'!AY$2</f>
        <v>0</v>
      </c>
      <c r="AW87">
        <f t="shared" si="1"/>
        <v>773.21749999999997</v>
      </c>
    </row>
    <row r="88" spans="1:49" hidden="1" x14ac:dyDescent="0.25">
      <c r="A88" t="str">
        <f>'Kullanılan gübre'!A88</f>
        <v>AK</v>
      </c>
      <c r="B88" t="str">
        <f>'Kullanılan gübre'!B88</f>
        <v>AFYONKARAHISAR</v>
      </c>
      <c r="C88" t="str">
        <f>'Kullanılan gübre'!C88</f>
        <v>ISCEHISAR</v>
      </c>
      <c r="D88">
        <f>'Kullanılan gübre'!D88</f>
        <v>2014</v>
      </c>
      <c r="E88">
        <f>'Kullanılan gübre'!E88*'Gübre oranlar'!H$2</f>
        <v>0.441</v>
      </c>
      <c r="F88">
        <f>'Kullanılan gübre'!F88*'Gübre oranlar'!I$2</f>
        <v>50.895000000000003</v>
      </c>
      <c r="G88">
        <f>'Kullanılan gübre'!G88*'Gübre oranlar'!J$2</f>
        <v>0</v>
      </c>
      <c r="H88">
        <f>'Kullanılan gübre'!H88*'Gübre oranlar'!K$2</f>
        <v>0</v>
      </c>
      <c r="I88">
        <f>'Kullanılan gübre'!I88*'Gübre oranlar'!L$2</f>
        <v>0</v>
      </c>
      <c r="J88">
        <f>'Kullanılan gübre'!J88*'Gübre oranlar'!M$2</f>
        <v>15.03</v>
      </c>
      <c r="K88">
        <f>'Kullanılan gübre'!K88*'Gübre oranlar'!N$2</f>
        <v>0</v>
      </c>
      <c r="L88">
        <f>'Kullanılan gübre'!L88*'Gübre oranlar'!O$2</f>
        <v>16.830000000000002</v>
      </c>
      <c r="M88">
        <f>'Kullanılan gübre'!M88*'Gübre oranlar'!P$2</f>
        <v>0</v>
      </c>
      <c r="N88">
        <f>'Kullanılan gübre'!N88*'Gübre oranlar'!Q$2</f>
        <v>0</v>
      </c>
      <c r="O88">
        <f>'Kullanılan gübre'!O88*'Gübre oranlar'!R$2</f>
        <v>0</v>
      </c>
      <c r="P88">
        <f>'Kullanılan gübre'!P88*'Gübre oranlar'!S$2</f>
        <v>0</v>
      </c>
      <c r="Q88">
        <f>'Kullanılan gübre'!Q88*'Gübre oranlar'!T$2</f>
        <v>0</v>
      </c>
      <c r="R88">
        <f>'Kullanılan gübre'!R88*'Gübre oranlar'!U$2</f>
        <v>0</v>
      </c>
      <c r="S88">
        <f>'Kullanılan gübre'!S88*'Gübre oranlar'!V$2</f>
        <v>0</v>
      </c>
      <c r="T88">
        <f>'Kullanılan gübre'!T88*'Gübre oranlar'!W$2</f>
        <v>21.066500000000001</v>
      </c>
      <c r="U88">
        <f>'Kullanılan gübre'!U88*'Gübre oranlar'!X$2</f>
        <v>0</v>
      </c>
      <c r="V88">
        <f>'Kullanılan gübre'!V88*'Gübre oranlar'!Y$2</f>
        <v>0</v>
      </c>
      <c r="W88">
        <f>'Kullanılan gübre'!W88*'Gübre oranlar'!Z$2</f>
        <v>0</v>
      </c>
      <c r="X88">
        <f>'Kullanılan gübre'!X88*'Gübre oranlar'!AA$2</f>
        <v>0</v>
      </c>
      <c r="Y88">
        <f>'Kullanılan gübre'!Y88*'Gübre oranlar'!AB$2</f>
        <v>0</v>
      </c>
      <c r="Z88">
        <f>'Kullanılan gübre'!Z88*'Gübre oranlar'!AC$2</f>
        <v>0</v>
      </c>
      <c r="AA88">
        <f>'Kullanılan gübre'!AA88*'Gübre oranlar'!AD$2</f>
        <v>0</v>
      </c>
      <c r="AB88">
        <f>'Kullanılan gübre'!AB88*'Gübre oranlar'!AE$2</f>
        <v>0</v>
      </c>
      <c r="AC88">
        <f>'Kullanılan gübre'!AC88*'Gübre oranlar'!AF$2</f>
        <v>0</v>
      </c>
      <c r="AD88">
        <f>'Kullanılan gübre'!AD88*'Gübre oranlar'!AG$2</f>
        <v>0</v>
      </c>
      <c r="AE88">
        <f>'Kullanılan gübre'!AE88*'Gübre oranlar'!AH$2</f>
        <v>0</v>
      </c>
      <c r="AF88">
        <f>'Kullanılan gübre'!AF88*'Gübre oranlar'!AI$2</f>
        <v>0</v>
      </c>
      <c r="AG88">
        <f>'Kullanılan gübre'!AG88*'Gübre oranlar'!AJ$2</f>
        <v>0</v>
      </c>
      <c r="AH88">
        <f>'Kullanılan gübre'!AH88*'Gübre oranlar'!AK$2</f>
        <v>0</v>
      </c>
      <c r="AI88">
        <f>'Kullanılan gübre'!AI88*'Gübre oranlar'!AL$2</f>
        <v>0</v>
      </c>
      <c r="AJ88">
        <f>'Kullanılan gübre'!AJ88*'Gübre oranlar'!AM$2</f>
        <v>0</v>
      </c>
      <c r="AK88">
        <f>'Kullanılan gübre'!AK88*'Gübre oranlar'!AN$2</f>
        <v>0</v>
      </c>
      <c r="AL88">
        <f>'Kullanılan gübre'!AL88*'Gübre oranlar'!AO$2</f>
        <v>0</v>
      </c>
      <c r="AM88">
        <f>'Kullanılan gübre'!AM88*'Gübre oranlar'!AP$2</f>
        <v>0</v>
      </c>
      <c r="AN88">
        <f>'Kullanılan gübre'!AN88*'Gübre oranlar'!AQ$2</f>
        <v>0</v>
      </c>
      <c r="AO88">
        <f>'Kullanılan gübre'!AO88*'Gübre oranlar'!AR$2</f>
        <v>0</v>
      </c>
      <c r="AP88">
        <f>'Kullanılan gübre'!AP88*'Gübre oranlar'!AS$2</f>
        <v>0</v>
      </c>
      <c r="AQ88">
        <f>'Kullanılan gübre'!AQ88*'Gübre oranlar'!AT$2</f>
        <v>0</v>
      </c>
      <c r="AR88">
        <f>'Kullanılan gübre'!AR88*'Gübre oranlar'!AU$2</f>
        <v>0</v>
      </c>
      <c r="AS88">
        <f>'Kullanılan gübre'!AS88*'Gübre oranlar'!AV$2</f>
        <v>0</v>
      </c>
      <c r="AT88">
        <f>'Kullanılan gübre'!AT88*'Gübre oranlar'!AW$2</f>
        <v>0</v>
      </c>
      <c r="AU88">
        <f>'Kullanılan gübre'!AU88*'Gübre oranlar'!AX$2</f>
        <v>0</v>
      </c>
      <c r="AV88">
        <f>'Kullanılan gübre'!AV88*'Gübre oranlar'!AY$2</f>
        <v>0</v>
      </c>
      <c r="AW88">
        <f t="shared" si="1"/>
        <v>104.2625</v>
      </c>
    </row>
    <row r="89" spans="1:49" hidden="1" x14ac:dyDescent="0.25">
      <c r="A89" t="str">
        <f>'Kullanılan gübre'!A89</f>
        <v>AK</v>
      </c>
      <c r="B89" t="str">
        <f>'Kullanılan gübre'!B89</f>
        <v>AFYONKARAHISAR</v>
      </c>
      <c r="C89" t="str">
        <f>'Kullanılan gübre'!C89</f>
        <v>SINANPASA</v>
      </c>
      <c r="D89">
        <f>'Kullanılan gübre'!D89</f>
        <v>2014</v>
      </c>
      <c r="E89">
        <f>'Kullanılan gübre'!E89*'Gübre oranlar'!H$2</f>
        <v>23.414999999999999</v>
      </c>
      <c r="F89">
        <f>'Kullanılan gübre'!F89*'Gübre oranlar'!I$2</f>
        <v>328.08099999999996</v>
      </c>
      <c r="G89">
        <f>'Kullanılan gübre'!G89*'Gübre oranlar'!J$2</f>
        <v>324.09300000000002</v>
      </c>
      <c r="H89">
        <f>'Kullanılan gübre'!H89*'Gübre oranlar'!K$2</f>
        <v>108.10000000000001</v>
      </c>
      <c r="I89">
        <f>'Kullanılan gübre'!I89*'Gübre oranlar'!L$2</f>
        <v>0</v>
      </c>
      <c r="J89">
        <f>'Kullanılan gübre'!J89*'Gübre oranlar'!M$2</f>
        <v>87.75</v>
      </c>
      <c r="K89">
        <f>'Kullanılan gübre'!K89*'Gübre oranlar'!N$2</f>
        <v>50.04</v>
      </c>
      <c r="L89">
        <f>'Kullanılan gübre'!L89*'Gübre oranlar'!O$2</f>
        <v>123.17000000000002</v>
      </c>
      <c r="M89">
        <f>'Kullanılan gübre'!M89*'Gübre oranlar'!P$2</f>
        <v>1.5</v>
      </c>
      <c r="N89">
        <f>'Kullanılan gübre'!N89*'Gübre oranlar'!Q$2</f>
        <v>8.2799999999999994</v>
      </c>
      <c r="O89">
        <f>'Kullanılan gübre'!O89*'Gübre oranlar'!R$2</f>
        <v>0</v>
      </c>
      <c r="P89">
        <f>'Kullanılan gübre'!P89*'Gübre oranlar'!S$2</f>
        <v>4.6800000000000001E-2</v>
      </c>
      <c r="Q89">
        <f>'Kullanılan gübre'!Q89*'Gübre oranlar'!T$2</f>
        <v>0</v>
      </c>
      <c r="R89">
        <f>'Kullanılan gübre'!R89*'Gübre oranlar'!U$2</f>
        <v>0</v>
      </c>
      <c r="S89">
        <f>'Kullanılan gübre'!S89*'Gübre oranlar'!V$2</f>
        <v>0</v>
      </c>
      <c r="T89">
        <f>'Kullanılan gübre'!T89*'Gübre oranlar'!W$2</f>
        <v>52.961999999999996</v>
      </c>
      <c r="U89">
        <f>'Kullanılan gübre'!U89*'Gübre oranlar'!X$2</f>
        <v>0</v>
      </c>
      <c r="V89">
        <f>'Kullanılan gübre'!V89*'Gübre oranlar'!Y$2</f>
        <v>0</v>
      </c>
      <c r="W89">
        <f>'Kullanılan gübre'!W89*'Gübre oranlar'!Z$2</f>
        <v>0</v>
      </c>
      <c r="X89">
        <f>'Kullanılan gübre'!X89*'Gübre oranlar'!AA$2</f>
        <v>0</v>
      </c>
      <c r="Y89">
        <f>'Kullanılan gübre'!Y89*'Gübre oranlar'!AB$2</f>
        <v>0</v>
      </c>
      <c r="Z89">
        <f>'Kullanılan gübre'!Z89*'Gübre oranlar'!AC$2</f>
        <v>0</v>
      </c>
      <c r="AA89">
        <f>'Kullanılan gübre'!AA89*'Gübre oranlar'!AD$2</f>
        <v>0</v>
      </c>
      <c r="AB89">
        <f>'Kullanılan gübre'!AB89*'Gübre oranlar'!AE$2</f>
        <v>6.720000000000001E-2</v>
      </c>
      <c r="AC89">
        <f>'Kullanılan gübre'!AC89*'Gübre oranlar'!AF$2</f>
        <v>0</v>
      </c>
      <c r="AD89">
        <f>'Kullanılan gübre'!AD89*'Gübre oranlar'!AG$2</f>
        <v>0</v>
      </c>
      <c r="AE89">
        <f>'Kullanılan gübre'!AE89*'Gübre oranlar'!AH$2</f>
        <v>0</v>
      </c>
      <c r="AF89">
        <f>'Kullanılan gübre'!AF89*'Gübre oranlar'!AI$2</f>
        <v>0</v>
      </c>
      <c r="AG89">
        <f>'Kullanılan gübre'!AG89*'Gübre oranlar'!AJ$2</f>
        <v>0</v>
      </c>
      <c r="AH89">
        <f>'Kullanılan gübre'!AH89*'Gübre oranlar'!AK$2</f>
        <v>0</v>
      </c>
      <c r="AI89">
        <f>'Kullanılan gübre'!AI89*'Gübre oranlar'!AL$2</f>
        <v>0</v>
      </c>
      <c r="AJ89">
        <f>'Kullanılan gübre'!AJ89*'Gübre oranlar'!AM$2</f>
        <v>0</v>
      </c>
      <c r="AK89">
        <f>'Kullanılan gübre'!AK89*'Gübre oranlar'!AN$2</f>
        <v>0</v>
      </c>
      <c r="AL89">
        <f>'Kullanılan gübre'!AL89*'Gübre oranlar'!AO$2</f>
        <v>0</v>
      </c>
      <c r="AM89">
        <f>'Kullanılan gübre'!AM89*'Gübre oranlar'!AP$2</f>
        <v>0</v>
      </c>
      <c r="AN89">
        <f>'Kullanılan gübre'!AN89*'Gübre oranlar'!AQ$2</f>
        <v>0</v>
      </c>
      <c r="AO89">
        <f>'Kullanılan gübre'!AO89*'Gübre oranlar'!AR$2</f>
        <v>0</v>
      </c>
      <c r="AP89">
        <f>'Kullanılan gübre'!AP89*'Gübre oranlar'!AS$2</f>
        <v>0</v>
      </c>
      <c r="AQ89">
        <f>'Kullanılan gübre'!AQ89*'Gübre oranlar'!AT$2</f>
        <v>0</v>
      </c>
      <c r="AR89">
        <f>'Kullanılan gübre'!AR89*'Gübre oranlar'!AU$2</f>
        <v>0</v>
      </c>
      <c r="AS89">
        <f>'Kullanılan gübre'!AS89*'Gübre oranlar'!AV$2</f>
        <v>0</v>
      </c>
      <c r="AT89">
        <f>'Kullanılan gübre'!AT89*'Gübre oranlar'!AW$2</f>
        <v>0</v>
      </c>
      <c r="AU89">
        <f>'Kullanılan gübre'!AU89*'Gübre oranlar'!AX$2</f>
        <v>0</v>
      </c>
      <c r="AV89">
        <f>'Kullanılan gübre'!AV89*'Gübre oranlar'!AY$2</f>
        <v>0</v>
      </c>
      <c r="AW89">
        <f t="shared" si="1"/>
        <v>1107.5049999999999</v>
      </c>
    </row>
    <row r="90" spans="1:49" hidden="1" x14ac:dyDescent="0.25">
      <c r="A90" t="str">
        <f>'Kullanılan gübre'!A90</f>
        <v>AK</v>
      </c>
      <c r="B90" t="str">
        <f>'Kullanılan gübre'!B90</f>
        <v>AFYONKARAHISAR</v>
      </c>
      <c r="C90" t="str">
        <f>'Kullanılan gübre'!C90</f>
        <v>SULTANDAGI</v>
      </c>
      <c r="D90">
        <f>'Kullanılan gübre'!D90</f>
        <v>2014</v>
      </c>
      <c r="E90">
        <f>'Kullanılan gübre'!E90*'Gübre oranlar'!H$2</f>
        <v>49.276499999999999</v>
      </c>
      <c r="F90">
        <f>'Kullanılan gübre'!F90*'Gübre oranlar'!I$2</f>
        <v>40.703000000000003</v>
      </c>
      <c r="G90">
        <f>'Kullanılan gübre'!G90*'Gübre oranlar'!J$2</f>
        <v>74.0685</v>
      </c>
      <c r="H90">
        <f>'Kullanılan gübre'!H90*'Gübre oranlar'!K$2</f>
        <v>13.938000000000001</v>
      </c>
      <c r="I90">
        <f>'Kullanılan gübre'!I90*'Gübre oranlar'!L$2</f>
        <v>0</v>
      </c>
      <c r="J90">
        <f>'Kullanılan gübre'!J90*'Gübre oranlar'!M$2</f>
        <v>53.945999999999998</v>
      </c>
      <c r="K90">
        <f>'Kullanılan gübre'!K90*'Gübre oranlar'!N$2</f>
        <v>0</v>
      </c>
      <c r="L90">
        <f>'Kullanılan gübre'!L90*'Gübre oranlar'!O$2</f>
        <v>30.85</v>
      </c>
      <c r="M90">
        <f>'Kullanılan gübre'!M90*'Gübre oranlar'!P$2</f>
        <v>0</v>
      </c>
      <c r="N90">
        <f>'Kullanılan gübre'!N90*'Gübre oranlar'!Q$2</f>
        <v>7.8224999999999998</v>
      </c>
      <c r="O90">
        <f>'Kullanılan gübre'!O90*'Gübre oranlar'!R$2</f>
        <v>0</v>
      </c>
      <c r="P90">
        <f>'Kullanılan gübre'!P90*'Gübre oranlar'!S$2</f>
        <v>2.0436000000000001</v>
      </c>
      <c r="Q90">
        <f>'Kullanılan gübre'!Q90*'Gübre oranlar'!T$2</f>
        <v>0</v>
      </c>
      <c r="R90">
        <f>'Kullanılan gübre'!R90*'Gübre oranlar'!U$2</f>
        <v>0</v>
      </c>
      <c r="S90">
        <f>'Kullanılan gübre'!S90*'Gübre oranlar'!V$2</f>
        <v>0</v>
      </c>
      <c r="T90">
        <f>'Kullanılan gübre'!T90*'Gübre oranlar'!W$2</f>
        <v>4.55</v>
      </c>
      <c r="U90">
        <f>'Kullanılan gübre'!U90*'Gübre oranlar'!X$2</f>
        <v>0</v>
      </c>
      <c r="V90">
        <f>'Kullanılan gübre'!V90*'Gübre oranlar'!Y$2</f>
        <v>0</v>
      </c>
      <c r="W90">
        <f>'Kullanılan gübre'!W90*'Gübre oranlar'!Z$2</f>
        <v>0</v>
      </c>
      <c r="X90">
        <f>'Kullanılan gübre'!X90*'Gübre oranlar'!AA$2</f>
        <v>0</v>
      </c>
      <c r="Y90">
        <f>'Kullanılan gübre'!Y90*'Gübre oranlar'!AB$2</f>
        <v>0</v>
      </c>
      <c r="Z90">
        <f>'Kullanılan gübre'!Z90*'Gübre oranlar'!AC$2</f>
        <v>0</v>
      </c>
      <c r="AA90">
        <f>'Kullanılan gübre'!AA90*'Gübre oranlar'!AD$2</f>
        <v>0</v>
      </c>
      <c r="AB90">
        <f>'Kullanılan gübre'!AB90*'Gübre oranlar'!AE$2</f>
        <v>1.44</v>
      </c>
      <c r="AC90">
        <f>'Kullanılan gübre'!AC90*'Gübre oranlar'!AF$2</f>
        <v>0</v>
      </c>
      <c r="AD90">
        <f>'Kullanılan gübre'!AD90*'Gübre oranlar'!AG$2</f>
        <v>0</v>
      </c>
      <c r="AE90">
        <f>'Kullanılan gübre'!AE90*'Gübre oranlar'!AH$2</f>
        <v>0</v>
      </c>
      <c r="AF90">
        <f>'Kullanılan gübre'!AF90*'Gübre oranlar'!AI$2</f>
        <v>0</v>
      </c>
      <c r="AG90">
        <f>'Kullanılan gübre'!AG90*'Gübre oranlar'!AJ$2</f>
        <v>0</v>
      </c>
      <c r="AH90">
        <f>'Kullanılan gübre'!AH90*'Gübre oranlar'!AK$2</f>
        <v>0</v>
      </c>
      <c r="AI90">
        <f>'Kullanılan gübre'!AI90*'Gübre oranlar'!AL$2</f>
        <v>0</v>
      </c>
      <c r="AJ90">
        <f>'Kullanılan gübre'!AJ90*'Gübre oranlar'!AM$2</f>
        <v>0</v>
      </c>
      <c r="AK90">
        <f>'Kullanılan gübre'!AK90*'Gübre oranlar'!AN$2</f>
        <v>0</v>
      </c>
      <c r="AL90">
        <f>'Kullanılan gübre'!AL90*'Gübre oranlar'!AO$2</f>
        <v>0</v>
      </c>
      <c r="AM90">
        <f>'Kullanılan gübre'!AM90*'Gübre oranlar'!AP$2</f>
        <v>0</v>
      </c>
      <c r="AN90">
        <f>'Kullanılan gübre'!AN90*'Gübre oranlar'!AQ$2</f>
        <v>0</v>
      </c>
      <c r="AO90">
        <f>'Kullanılan gübre'!AO90*'Gübre oranlar'!AR$2</f>
        <v>0</v>
      </c>
      <c r="AP90">
        <f>'Kullanılan gübre'!AP90*'Gübre oranlar'!AS$2</f>
        <v>0</v>
      </c>
      <c r="AQ90">
        <f>'Kullanılan gübre'!AQ90*'Gübre oranlar'!AT$2</f>
        <v>0</v>
      </c>
      <c r="AR90">
        <f>'Kullanılan gübre'!AR90*'Gübre oranlar'!AU$2</f>
        <v>0</v>
      </c>
      <c r="AS90">
        <f>'Kullanılan gübre'!AS90*'Gübre oranlar'!AV$2</f>
        <v>0</v>
      </c>
      <c r="AT90">
        <f>'Kullanılan gübre'!AT90*'Gübre oranlar'!AW$2</f>
        <v>0</v>
      </c>
      <c r="AU90">
        <f>'Kullanılan gübre'!AU90*'Gübre oranlar'!AX$2</f>
        <v>0</v>
      </c>
      <c r="AV90">
        <f>'Kullanılan gübre'!AV90*'Gübre oranlar'!AY$2</f>
        <v>0</v>
      </c>
      <c r="AW90">
        <f t="shared" si="1"/>
        <v>278.63810000000001</v>
      </c>
    </row>
    <row r="91" spans="1:49" hidden="1" x14ac:dyDescent="0.25">
      <c r="A91" t="str">
        <f>'Kullanılan gübre'!A91</f>
        <v>AK</v>
      </c>
      <c r="B91" t="str">
        <f>'Kullanılan gübre'!B91</f>
        <v>AFYONKARAHISAR</v>
      </c>
      <c r="C91" t="str">
        <f>'Kullanılan gübre'!C91</f>
        <v>SUHUT</v>
      </c>
      <c r="D91">
        <f>'Kullanılan gübre'!D91</f>
        <v>2014</v>
      </c>
      <c r="E91">
        <f>'Kullanılan gübre'!E91*'Gübre oranlar'!H$2</f>
        <v>299.78549999999996</v>
      </c>
      <c r="F91">
        <f>'Kullanılan gübre'!F91*'Gübre oranlar'!I$2</f>
        <v>90.584000000000003</v>
      </c>
      <c r="G91">
        <f>'Kullanılan gübre'!G91*'Gübre oranlar'!J$2</f>
        <v>492.17850000000004</v>
      </c>
      <c r="H91">
        <f>'Kullanılan gübre'!H91*'Gübre oranlar'!K$2</f>
        <v>576.67900000000009</v>
      </c>
      <c r="I91">
        <f>'Kullanılan gübre'!I91*'Gübre oranlar'!L$2</f>
        <v>0</v>
      </c>
      <c r="J91">
        <f>'Kullanılan gübre'!J91*'Gübre oranlar'!M$2</f>
        <v>157.15799999999999</v>
      </c>
      <c r="K91">
        <f>'Kullanılan gübre'!K91*'Gübre oranlar'!N$2</f>
        <v>39.180000000000007</v>
      </c>
      <c r="L91">
        <f>'Kullanılan gübre'!L91*'Gübre oranlar'!O$2</f>
        <v>73.27000000000001</v>
      </c>
      <c r="M91">
        <f>'Kullanılan gübre'!M91*'Gübre oranlar'!P$2</f>
        <v>108.465</v>
      </c>
      <c r="N91">
        <f>'Kullanılan gübre'!N91*'Gübre oranlar'!Q$2</f>
        <v>61.965000000000003</v>
      </c>
      <c r="O91">
        <f>'Kullanılan gübre'!O91*'Gübre oranlar'!R$2</f>
        <v>0</v>
      </c>
      <c r="P91">
        <f>'Kullanılan gübre'!P91*'Gübre oranlar'!S$2</f>
        <v>2.0409999999999999</v>
      </c>
      <c r="Q91">
        <f>'Kullanılan gübre'!Q91*'Gübre oranlar'!T$2</f>
        <v>72.72</v>
      </c>
      <c r="R91">
        <f>'Kullanılan gübre'!R91*'Gübre oranlar'!U$2</f>
        <v>0</v>
      </c>
      <c r="S91">
        <f>'Kullanılan gübre'!S91*'Gübre oranlar'!V$2</f>
        <v>4.5724999999999998</v>
      </c>
      <c r="T91">
        <f>'Kullanılan gübre'!T91*'Gübre oranlar'!W$2</f>
        <v>31.98</v>
      </c>
      <c r="U91">
        <f>'Kullanılan gübre'!U91*'Gübre oranlar'!X$2</f>
        <v>0</v>
      </c>
      <c r="V91">
        <f>'Kullanılan gübre'!V91*'Gübre oranlar'!Y$2</f>
        <v>0</v>
      </c>
      <c r="W91">
        <f>'Kullanılan gübre'!W91*'Gübre oranlar'!Z$2</f>
        <v>0</v>
      </c>
      <c r="X91">
        <f>'Kullanılan gübre'!X91*'Gübre oranlar'!AA$2</f>
        <v>32.96</v>
      </c>
      <c r="Y91">
        <f>'Kullanılan gübre'!Y91*'Gübre oranlar'!AB$2</f>
        <v>0</v>
      </c>
      <c r="Z91">
        <f>'Kullanılan gübre'!Z91*'Gübre oranlar'!AC$2</f>
        <v>0</v>
      </c>
      <c r="AA91">
        <f>'Kullanılan gübre'!AA91*'Gübre oranlar'!AD$2</f>
        <v>0</v>
      </c>
      <c r="AB91">
        <f>'Kullanılan gübre'!AB91*'Gübre oranlar'!AE$2</f>
        <v>7.1999999999999995E-2</v>
      </c>
      <c r="AC91">
        <f>'Kullanılan gübre'!AC91*'Gübre oranlar'!AF$2</f>
        <v>0</v>
      </c>
      <c r="AD91">
        <f>'Kullanılan gübre'!AD91*'Gübre oranlar'!AG$2</f>
        <v>0</v>
      </c>
      <c r="AE91">
        <f>'Kullanılan gübre'!AE91*'Gübre oranlar'!AH$2</f>
        <v>36.910000000000004</v>
      </c>
      <c r="AF91">
        <f>'Kullanılan gübre'!AF91*'Gübre oranlar'!AI$2</f>
        <v>0</v>
      </c>
      <c r="AG91">
        <f>'Kullanılan gübre'!AG91*'Gübre oranlar'!AJ$2</f>
        <v>0</v>
      </c>
      <c r="AH91">
        <f>'Kullanılan gübre'!AH91*'Gübre oranlar'!AK$2</f>
        <v>0</v>
      </c>
      <c r="AI91">
        <f>'Kullanılan gübre'!AI91*'Gübre oranlar'!AL$2</f>
        <v>0</v>
      </c>
      <c r="AJ91">
        <f>'Kullanılan gübre'!AJ91*'Gübre oranlar'!AM$2</f>
        <v>0</v>
      </c>
      <c r="AK91">
        <f>'Kullanılan gübre'!AK91*'Gübre oranlar'!AN$2</f>
        <v>0</v>
      </c>
      <c r="AL91">
        <f>'Kullanılan gübre'!AL91*'Gübre oranlar'!AO$2</f>
        <v>0</v>
      </c>
      <c r="AM91">
        <f>'Kullanılan gübre'!AM91*'Gübre oranlar'!AP$2</f>
        <v>0</v>
      </c>
      <c r="AN91">
        <f>'Kullanılan gübre'!AN91*'Gübre oranlar'!AQ$2</f>
        <v>0</v>
      </c>
      <c r="AO91">
        <f>'Kullanılan gübre'!AO91*'Gübre oranlar'!AR$2</f>
        <v>0</v>
      </c>
      <c r="AP91">
        <f>'Kullanılan gübre'!AP91*'Gübre oranlar'!AS$2</f>
        <v>0</v>
      </c>
      <c r="AQ91">
        <f>'Kullanılan gübre'!AQ91*'Gübre oranlar'!AT$2</f>
        <v>0</v>
      </c>
      <c r="AR91">
        <f>'Kullanılan gübre'!AR91*'Gübre oranlar'!AU$2</f>
        <v>0</v>
      </c>
      <c r="AS91">
        <f>'Kullanılan gübre'!AS91*'Gübre oranlar'!AV$2</f>
        <v>0</v>
      </c>
      <c r="AT91">
        <f>'Kullanılan gübre'!AT91*'Gübre oranlar'!AW$2</f>
        <v>0</v>
      </c>
      <c r="AU91">
        <f>'Kullanılan gübre'!AU91*'Gübre oranlar'!AX$2</f>
        <v>0</v>
      </c>
      <c r="AV91">
        <f>'Kullanılan gübre'!AV91*'Gübre oranlar'!AY$2</f>
        <v>0</v>
      </c>
      <c r="AW91">
        <f t="shared" si="1"/>
        <v>2080.5204999999996</v>
      </c>
    </row>
    <row r="92" spans="1:49" hidden="1" x14ac:dyDescent="0.25">
      <c r="A92" t="str">
        <f>'Kullanılan gübre'!A92</f>
        <v>AK</v>
      </c>
      <c r="B92" t="str">
        <f>'Kullanılan gübre'!B92</f>
        <v>AFYONKARAHISAR</v>
      </c>
      <c r="C92" t="str">
        <f>'Kullanılan gübre'!C92</f>
        <v>MERKEZ</v>
      </c>
      <c r="D92">
        <f>'Kullanılan gübre'!D92</f>
        <v>2015</v>
      </c>
      <c r="E92">
        <f>'Kullanılan gübre'!E92*'Gübre oranlar'!H$2</f>
        <v>47.25</v>
      </c>
      <c r="F92">
        <f>'Kullanılan gübre'!F92*'Gübre oranlar'!I$2</f>
        <v>130.52000000000001</v>
      </c>
      <c r="G92">
        <f>'Kullanılan gübre'!G92*'Gübre oranlar'!J$2</f>
        <v>461.01000000000005</v>
      </c>
      <c r="H92">
        <f>'Kullanılan gübre'!H92*'Gübre oranlar'!K$2</f>
        <v>386.86</v>
      </c>
      <c r="I92">
        <f>'Kullanılan gübre'!I92*'Gübre oranlar'!L$2</f>
        <v>0</v>
      </c>
      <c r="J92">
        <f>'Kullanılan gübre'!J92*'Gübre oranlar'!M$2</f>
        <v>74.88</v>
      </c>
      <c r="K92">
        <f>'Kullanılan gübre'!K92*'Gübre oranlar'!N$2</f>
        <v>248.4</v>
      </c>
      <c r="L92">
        <f>'Kullanılan gübre'!L92*'Gübre oranlar'!O$2</f>
        <v>75</v>
      </c>
      <c r="M92">
        <f>'Kullanılan gübre'!M92*'Gübre oranlar'!P$2</f>
        <v>22.65</v>
      </c>
      <c r="N92">
        <f>'Kullanılan gübre'!N92*'Gübre oranlar'!Q$2</f>
        <v>133.35</v>
      </c>
      <c r="O92">
        <f>'Kullanılan gübre'!O92*'Gübre oranlar'!R$2</f>
        <v>0</v>
      </c>
      <c r="P92">
        <f>'Kullanılan gübre'!P92*'Gübre oranlar'!S$2</f>
        <v>7.54</v>
      </c>
      <c r="Q92">
        <f>'Kullanılan gübre'!Q92*'Gübre oranlar'!T$2</f>
        <v>0</v>
      </c>
      <c r="R92">
        <f>'Kullanılan gübre'!R92*'Gübre oranlar'!U$2</f>
        <v>0</v>
      </c>
      <c r="S92">
        <f>'Kullanılan gübre'!S92*'Gübre oranlar'!V$2</f>
        <v>0</v>
      </c>
      <c r="T92">
        <f>'Kullanılan gübre'!T92*'Gübre oranlar'!W$2</f>
        <v>84.11</v>
      </c>
      <c r="U92">
        <f>'Kullanılan gübre'!U92*'Gübre oranlar'!X$2</f>
        <v>0</v>
      </c>
      <c r="V92">
        <f>'Kullanılan gübre'!V92*'Gübre oranlar'!Y$2</f>
        <v>1.1000000000000001</v>
      </c>
      <c r="W92">
        <f>'Kullanılan gübre'!W92*'Gübre oranlar'!Z$2</f>
        <v>0</v>
      </c>
      <c r="X92">
        <f>'Kullanılan gübre'!X92*'Gübre oranlar'!AA$2</f>
        <v>0</v>
      </c>
      <c r="Y92">
        <f>'Kullanılan gübre'!Y92*'Gübre oranlar'!AB$2</f>
        <v>0</v>
      </c>
      <c r="Z92">
        <f>'Kullanılan gübre'!Z92*'Gübre oranlar'!AC$2</f>
        <v>0</v>
      </c>
      <c r="AA92">
        <f>'Kullanılan gübre'!AA92*'Gübre oranlar'!AD$2</f>
        <v>0</v>
      </c>
      <c r="AB92">
        <f>'Kullanılan gübre'!AB92*'Gübre oranlar'!AE$2</f>
        <v>0</v>
      </c>
      <c r="AC92">
        <f>'Kullanılan gübre'!AC92*'Gübre oranlar'!AF$2</f>
        <v>0</v>
      </c>
      <c r="AD92">
        <f>'Kullanılan gübre'!AD92*'Gübre oranlar'!AG$2</f>
        <v>0</v>
      </c>
      <c r="AE92">
        <f>'Kullanılan gübre'!AE92*'Gübre oranlar'!AH$2</f>
        <v>2.1</v>
      </c>
      <c r="AF92">
        <f>'Kullanılan gübre'!AF92*'Gübre oranlar'!AI$2</f>
        <v>0</v>
      </c>
      <c r="AG92">
        <f>'Kullanılan gübre'!AG92*'Gübre oranlar'!AJ$2</f>
        <v>0</v>
      </c>
      <c r="AH92">
        <f>'Kullanılan gübre'!AH92*'Gübre oranlar'!AK$2</f>
        <v>0</v>
      </c>
      <c r="AI92">
        <f>'Kullanılan gübre'!AI92*'Gübre oranlar'!AL$2</f>
        <v>0</v>
      </c>
      <c r="AJ92">
        <f>'Kullanılan gübre'!AJ92*'Gübre oranlar'!AM$2</f>
        <v>0</v>
      </c>
      <c r="AK92">
        <f>'Kullanılan gübre'!AK92*'Gübre oranlar'!AN$2</f>
        <v>0</v>
      </c>
      <c r="AL92">
        <f>'Kullanılan gübre'!AL92*'Gübre oranlar'!AO$2</f>
        <v>0</v>
      </c>
      <c r="AM92">
        <f>'Kullanılan gübre'!AM92*'Gübre oranlar'!AP$2</f>
        <v>0</v>
      </c>
      <c r="AN92">
        <f>'Kullanılan gübre'!AN92*'Gübre oranlar'!AQ$2</f>
        <v>0</v>
      </c>
      <c r="AO92">
        <f>'Kullanılan gübre'!AO92*'Gübre oranlar'!AR$2</f>
        <v>0</v>
      </c>
      <c r="AP92">
        <f>'Kullanılan gübre'!AP92*'Gübre oranlar'!AS$2</f>
        <v>0</v>
      </c>
      <c r="AQ92">
        <f>'Kullanılan gübre'!AQ92*'Gübre oranlar'!AT$2</f>
        <v>0</v>
      </c>
      <c r="AR92">
        <f>'Kullanılan gübre'!AR92*'Gübre oranlar'!AU$2</f>
        <v>0</v>
      </c>
      <c r="AS92">
        <f>'Kullanılan gübre'!AS92*'Gübre oranlar'!AV$2</f>
        <v>0</v>
      </c>
      <c r="AT92">
        <f>'Kullanılan gübre'!AT92*'Gübre oranlar'!AW$2</f>
        <v>0</v>
      </c>
      <c r="AU92">
        <f>'Kullanılan gübre'!AU92*'Gübre oranlar'!AX$2</f>
        <v>0</v>
      </c>
      <c r="AV92">
        <f>'Kullanılan gübre'!AV92*'Gübre oranlar'!AY$2</f>
        <v>0</v>
      </c>
      <c r="AW92">
        <f t="shared" si="1"/>
        <v>1674.7699999999998</v>
      </c>
    </row>
    <row r="93" spans="1:49" hidden="1" x14ac:dyDescent="0.25">
      <c r="A93" t="str">
        <f>'Kullanılan gübre'!A93</f>
        <v>AK</v>
      </c>
      <c r="B93" t="str">
        <f>'Kullanılan gübre'!B93</f>
        <v>AFYONKARAHISAR</v>
      </c>
      <c r="C93" t="str">
        <f>'Kullanılan gübre'!C93</f>
        <v>BAYAT</v>
      </c>
      <c r="D93">
        <f>'Kullanılan gübre'!D93</f>
        <v>2015</v>
      </c>
      <c r="E93">
        <f>'Kullanılan gübre'!E93*'Gübre oranlar'!H$2</f>
        <v>10.752000000000001</v>
      </c>
      <c r="F93">
        <f>'Kullanılan gübre'!F93*'Gübre oranlar'!I$2</f>
        <v>0</v>
      </c>
      <c r="G93">
        <f>'Kullanılan gübre'!G93*'Gübre oranlar'!J$2</f>
        <v>46.299000000000007</v>
      </c>
      <c r="H93">
        <f>'Kullanılan gübre'!H93*'Gübre oranlar'!K$2</f>
        <v>0</v>
      </c>
      <c r="I93">
        <f>'Kullanılan gübre'!I93*'Gübre oranlar'!L$2</f>
        <v>0</v>
      </c>
      <c r="J93">
        <f>'Kullanılan gübre'!J93*'Gübre oranlar'!M$2</f>
        <v>10.799999999999999</v>
      </c>
      <c r="K93">
        <f>'Kullanılan gübre'!K93*'Gübre oranlar'!N$2</f>
        <v>0</v>
      </c>
      <c r="L93">
        <f>'Kullanılan gübre'!L93*'Gübre oranlar'!O$2</f>
        <v>21</v>
      </c>
      <c r="M93">
        <f>'Kullanılan gübre'!M93*'Gübre oranlar'!P$2</f>
        <v>0</v>
      </c>
      <c r="N93">
        <f>'Kullanılan gübre'!N93*'Gübre oranlar'!Q$2</f>
        <v>0.22499999999999998</v>
      </c>
      <c r="O93">
        <f>'Kullanılan gübre'!O93*'Gübre oranlar'!R$2</f>
        <v>0</v>
      </c>
      <c r="P93">
        <f>'Kullanılan gübre'!P93*'Gübre oranlar'!S$2</f>
        <v>0</v>
      </c>
      <c r="Q93">
        <f>'Kullanılan gübre'!Q93*'Gübre oranlar'!T$2</f>
        <v>0</v>
      </c>
      <c r="R93">
        <f>'Kullanılan gübre'!R93*'Gübre oranlar'!U$2</f>
        <v>0</v>
      </c>
      <c r="S93">
        <f>'Kullanılan gübre'!S93*'Gübre oranlar'!V$2</f>
        <v>0</v>
      </c>
      <c r="T93">
        <f>'Kullanılan gübre'!T93*'Gübre oranlar'!W$2</f>
        <v>3.5100000000000002</v>
      </c>
      <c r="U93">
        <f>'Kullanılan gübre'!U93*'Gübre oranlar'!X$2</f>
        <v>0</v>
      </c>
      <c r="V93">
        <f>'Kullanılan gübre'!V93*'Gübre oranlar'!Y$2</f>
        <v>0</v>
      </c>
      <c r="W93">
        <f>'Kullanılan gübre'!W93*'Gübre oranlar'!Z$2</f>
        <v>0</v>
      </c>
      <c r="X93">
        <f>'Kullanılan gübre'!X93*'Gübre oranlar'!AA$2</f>
        <v>0</v>
      </c>
      <c r="Y93">
        <f>'Kullanılan gübre'!Y93*'Gübre oranlar'!AB$2</f>
        <v>0</v>
      </c>
      <c r="Z93">
        <f>'Kullanılan gübre'!Z93*'Gübre oranlar'!AC$2</f>
        <v>0</v>
      </c>
      <c r="AA93">
        <f>'Kullanılan gübre'!AA93*'Gübre oranlar'!AD$2</f>
        <v>0</v>
      </c>
      <c r="AB93">
        <f>'Kullanılan gübre'!AB93*'Gübre oranlar'!AE$2</f>
        <v>0</v>
      </c>
      <c r="AC93">
        <f>'Kullanılan gübre'!AC93*'Gübre oranlar'!AF$2</f>
        <v>0</v>
      </c>
      <c r="AD93">
        <f>'Kullanılan gübre'!AD93*'Gübre oranlar'!AG$2</f>
        <v>0</v>
      </c>
      <c r="AE93">
        <f>'Kullanılan gübre'!AE93*'Gübre oranlar'!AH$2</f>
        <v>0</v>
      </c>
      <c r="AF93">
        <f>'Kullanılan gübre'!AF93*'Gübre oranlar'!AI$2</f>
        <v>0</v>
      </c>
      <c r="AG93">
        <f>'Kullanılan gübre'!AG93*'Gübre oranlar'!AJ$2</f>
        <v>0</v>
      </c>
      <c r="AH93">
        <f>'Kullanılan gübre'!AH93*'Gübre oranlar'!AK$2</f>
        <v>0</v>
      </c>
      <c r="AI93">
        <f>'Kullanılan gübre'!AI93*'Gübre oranlar'!AL$2</f>
        <v>0</v>
      </c>
      <c r="AJ93">
        <f>'Kullanılan gübre'!AJ93*'Gübre oranlar'!AM$2</f>
        <v>0</v>
      </c>
      <c r="AK93">
        <f>'Kullanılan gübre'!AK93*'Gübre oranlar'!AN$2</f>
        <v>0</v>
      </c>
      <c r="AL93">
        <f>'Kullanılan gübre'!AL93*'Gübre oranlar'!AO$2</f>
        <v>0</v>
      </c>
      <c r="AM93">
        <f>'Kullanılan gübre'!AM93*'Gübre oranlar'!AP$2</f>
        <v>0</v>
      </c>
      <c r="AN93">
        <f>'Kullanılan gübre'!AN93*'Gübre oranlar'!AQ$2</f>
        <v>0</v>
      </c>
      <c r="AO93">
        <f>'Kullanılan gübre'!AO93*'Gübre oranlar'!AR$2</f>
        <v>0</v>
      </c>
      <c r="AP93">
        <f>'Kullanılan gübre'!AP93*'Gübre oranlar'!AS$2</f>
        <v>0</v>
      </c>
      <c r="AQ93">
        <f>'Kullanılan gübre'!AQ93*'Gübre oranlar'!AT$2</f>
        <v>0</v>
      </c>
      <c r="AR93">
        <f>'Kullanılan gübre'!AR93*'Gübre oranlar'!AU$2</f>
        <v>0</v>
      </c>
      <c r="AS93">
        <f>'Kullanılan gübre'!AS93*'Gübre oranlar'!AV$2</f>
        <v>0</v>
      </c>
      <c r="AT93">
        <f>'Kullanılan gübre'!AT93*'Gübre oranlar'!AW$2</f>
        <v>0</v>
      </c>
      <c r="AU93">
        <f>'Kullanılan gübre'!AU93*'Gübre oranlar'!AX$2</f>
        <v>0</v>
      </c>
      <c r="AV93">
        <f>'Kullanılan gübre'!AV93*'Gübre oranlar'!AY$2</f>
        <v>0</v>
      </c>
      <c r="AW93">
        <f t="shared" si="1"/>
        <v>92.586000000000013</v>
      </c>
    </row>
    <row r="94" spans="1:49" hidden="1" x14ac:dyDescent="0.25">
      <c r="A94" t="str">
        <f>'Kullanılan gübre'!A94</f>
        <v>AK</v>
      </c>
      <c r="B94" t="str">
        <f>'Kullanılan gübre'!B94</f>
        <v>AFYONKARAHISAR</v>
      </c>
      <c r="C94" t="str">
        <f>'Kullanılan gübre'!C94</f>
        <v>BOLVADIN</v>
      </c>
      <c r="D94">
        <f>'Kullanılan gübre'!D94</f>
        <v>2015</v>
      </c>
      <c r="E94">
        <f>'Kullanılan gübre'!E94*'Gübre oranlar'!H$2</f>
        <v>22.774499999999996</v>
      </c>
      <c r="F94">
        <f>'Kullanılan gübre'!F94*'Gübre oranlar'!I$2</f>
        <v>15.717000000000001</v>
      </c>
      <c r="G94">
        <f>'Kullanılan gübre'!G94*'Gübre oranlar'!J$2</f>
        <v>310.39800000000008</v>
      </c>
      <c r="H94">
        <f>'Kullanılan gübre'!H94*'Gübre oranlar'!K$2</f>
        <v>179.46900000000002</v>
      </c>
      <c r="I94">
        <f>'Kullanılan gübre'!I94*'Gübre oranlar'!L$2</f>
        <v>0</v>
      </c>
      <c r="J94">
        <f>'Kullanılan gübre'!J94*'Gübre oranlar'!M$2</f>
        <v>92.97</v>
      </c>
      <c r="K94">
        <f>'Kullanılan gübre'!K94*'Gübre oranlar'!N$2</f>
        <v>0</v>
      </c>
      <c r="L94">
        <f>'Kullanılan gübre'!L94*'Gübre oranlar'!O$2</f>
        <v>42.870000000000005</v>
      </c>
      <c r="M94">
        <f>'Kullanılan gübre'!M94*'Gübre oranlar'!P$2</f>
        <v>0</v>
      </c>
      <c r="N94">
        <f>'Kullanılan gübre'!N94*'Gübre oranlar'!Q$2</f>
        <v>1.71</v>
      </c>
      <c r="O94">
        <f>'Kullanılan gübre'!O94*'Gübre oranlar'!R$2</f>
        <v>0</v>
      </c>
      <c r="P94">
        <f>'Kullanılan gübre'!P94*'Gübre oranlar'!S$2</f>
        <v>3.5912500000000001</v>
      </c>
      <c r="Q94">
        <f>'Kullanılan gübre'!Q94*'Gübre oranlar'!T$2</f>
        <v>0</v>
      </c>
      <c r="R94">
        <f>'Kullanılan gübre'!R94*'Gübre oranlar'!U$2</f>
        <v>0</v>
      </c>
      <c r="S94">
        <f>'Kullanılan gübre'!S94*'Gübre oranlar'!V$2</f>
        <v>0</v>
      </c>
      <c r="T94">
        <f>'Kullanılan gübre'!T94*'Gübre oranlar'!W$2</f>
        <v>60.651500000000006</v>
      </c>
      <c r="U94">
        <f>'Kullanılan gübre'!U94*'Gübre oranlar'!X$2</f>
        <v>0</v>
      </c>
      <c r="V94">
        <f>'Kullanılan gübre'!V94*'Gübre oranlar'!Y$2</f>
        <v>0</v>
      </c>
      <c r="W94">
        <f>'Kullanılan gübre'!W94*'Gübre oranlar'!Z$2</f>
        <v>0</v>
      </c>
      <c r="X94">
        <f>'Kullanılan gübre'!X94*'Gübre oranlar'!AA$2</f>
        <v>0</v>
      </c>
      <c r="Y94">
        <f>'Kullanılan gübre'!Y94*'Gübre oranlar'!AB$2</f>
        <v>0</v>
      </c>
      <c r="Z94">
        <f>'Kullanılan gübre'!Z94*'Gübre oranlar'!AC$2</f>
        <v>0</v>
      </c>
      <c r="AA94">
        <f>'Kullanılan gübre'!AA94*'Gübre oranlar'!AD$2</f>
        <v>0</v>
      </c>
      <c r="AB94">
        <f>'Kullanılan gübre'!AB94*'Gübre oranlar'!AE$2</f>
        <v>0</v>
      </c>
      <c r="AC94">
        <f>'Kullanılan gübre'!AC94*'Gübre oranlar'!AF$2</f>
        <v>0</v>
      </c>
      <c r="AD94">
        <f>'Kullanılan gübre'!AD94*'Gübre oranlar'!AG$2</f>
        <v>0</v>
      </c>
      <c r="AE94">
        <f>'Kullanılan gübre'!AE94*'Gübre oranlar'!AH$2</f>
        <v>8</v>
      </c>
      <c r="AF94">
        <f>'Kullanılan gübre'!AF94*'Gübre oranlar'!AI$2</f>
        <v>0</v>
      </c>
      <c r="AG94">
        <f>'Kullanılan gübre'!AG94*'Gübre oranlar'!AJ$2</f>
        <v>0</v>
      </c>
      <c r="AH94">
        <f>'Kullanılan gübre'!AH94*'Gübre oranlar'!AK$2</f>
        <v>0</v>
      </c>
      <c r="AI94">
        <f>'Kullanılan gübre'!AI94*'Gübre oranlar'!AL$2</f>
        <v>0</v>
      </c>
      <c r="AJ94">
        <f>'Kullanılan gübre'!AJ94*'Gübre oranlar'!AM$2</f>
        <v>0</v>
      </c>
      <c r="AK94">
        <f>'Kullanılan gübre'!AK94*'Gübre oranlar'!AN$2</f>
        <v>0</v>
      </c>
      <c r="AL94">
        <f>'Kullanılan gübre'!AL94*'Gübre oranlar'!AO$2</f>
        <v>0</v>
      </c>
      <c r="AM94">
        <f>'Kullanılan gübre'!AM94*'Gübre oranlar'!AP$2</f>
        <v>0</v>
      </c>
      <c r="AN94">
        <f>'Kullanılan gübre'!AN94*'Gübre oranlar'!AQ$2</f>
        <v>0</v>
      </c>
      <c r="AO94">
        <f>'Kullanılan gübre'!AO94*'Gübre oranlar'!AR$2</f>
        <v>0</v>
      </c>
      <c r="AP94">
        <f>'Kullanılan gübre'!AP94*'Gübre oranlar'!AS$2</f>
        <v>0</v>
      </c>
      <c r="AQ94">
        <f>'Kullanılan gübre'!AQ94*'Gübre oranlar'!AT$2</f>
        <v>0</v>
      </c>
      <c r="AR94">
        <f>'Kullanılan gübre'!AR94*'Gübre oranlar'!AU$2</f>
        <v>0</v>
      </c>
      <c r="AS94">
        <f>'Kullanılan gübre'!AS94*'Gübre oranlar'!AV$2</f>
        <v>0</v>
      </c>
      <c r="AT94">
        <f>'Kullanılan gübre'!AT94*'Gübre oranlar'!AW$2</f>
        <v>0</v>
      </c>
      <c r="AU94">
        <f>'Kullanılan gübre'!AU94*'Gübre oranlar'!AX$2</f>
        <v>0</v>
      </c>
      <c r="AV94">
        <f>'Kullanılan gübre'!AV94*'Gübre oranlar'!AY$2</f>
        <v>0</v>
      </c>
      <c r="AW94">
        <f t="shared" si="1"/>
        <v>738.15125000000012</v>
      </c>
    </row>
    <row r="95" spans="1:49" hidden="1" x14ac:dyDescent="0.25">
      <c r="A95" t="str">
        <f>'Kullanılan gübre'!A95</f>
        <v>AK</v>
      </c>
      <c r="B95" t="str">
        <f>'Kullanılan gübre'!B95</f>
        <v>AFYONKARAHISAR</v>
      </c>
      <c r="C95" t="str">
        <f>'Kullanılan gübre'!C95</f>
        <v>CAY</v>
      </c>
      <c r="D95">
        <f>'Kullanılan gübre'!D95</f>
        <v>2015</v>
      </c>
      <c r="E95">
        <f>'Kullanılan gübre'!E95*'Gübre oranlar'!H$2</f>
        <v>50.347500000000004</v>
      </c>
      <c r="F95">
        <f>'Kullanılan gübre'!F95*'Gübre oranlar'!I$2</f>
        <v>49.725000000000009</v>
      </c>
      <c r="G95">
        <f>'Kullanılan gübre'!G95*'Gübre oranlar'!J$2</f>
        <v>393.19500000000011</v>
      </c>
      <c r="H95">
        <f>'Kullanılan gübre'!H95*'Gübre oranlar'!K$2</f>
        <v>501.88299999999992</v>
      </c>
      <c r="I95">
        <f>'Kullanılan gübre'!I95*'Gübre oranlar'!L$2</f>
        <v>0</v>
      </c>
      <c r="J95">
        <f>'Kullanılan gübre'!J95*'Gübre oranlar'!M$2</f>
        <v>74.915999999999997</v>
      </c>
      <c r="K95">
        <f>'Kullanılan gübre'!K95*'Gübre oranlar'!N$2</f>
        <v>16.290000000000003</v>
      </c>
      <c r="L95">
        <f>'Kullanılan gübre'!L95*'Gübre oranlar'!O$2</f>
        <v>149.32000000000002</v>
      </c>
      <c r="M95">
        <f>'Kullanılan gübre'!M95*'Gübre oranlar'!P$2</f>
        <v>0.94499999999999995</v>
      </c>
      <c r="N95">
        <f>'Kullanılan gübre'!N95*'Gübre oranlar'!Q$2</f>
        <v>30.982500000000005</v>
      </c>
      <c r="O95">
        <f>'Kullanılan gübre'!O95*'Gübre oranlar'!R$2</f>
        <v>0</v>
      </c>
      <c r="P95">
        <f>'Kullanılan gübre'!P95*'Gübre oranlar'!S$2</f>
        <v>0.71174999999999999</v>
      </c>
      <c r="Q95">
        <f>'Kullanılan gübre'!Q95*'Gübre oranlar'!T$2</f>
        <v>90.72</v>
      </c>
      <c r="R95">
        <f>'Kullanılan gübre'!R95*'Gübre oranlar'!U$2</f>
        <v>0</v>
      </c>
      <c r="S95">
        <f>'Kullanılan gübre'!S95*'Gübre oranlar'!V$2</f>
        <v>0</v>
      </c>
      <c r="T95">
        <f>'Kullanılan gübre'!T95*'Gübre oranlar'!W$2</f>
        <v>47.657999999999994</v>
      </c>
      <c r="U95">
        <f>'Kullanılan gübre'!U95*'Gübre oranlar'!X$2</f>
        <v>0</v>
      </c>
      <c r="V95">
        <f>'Kullanılan gübre'!V95*'Gübre oranlar'!Y$2</f>
        <v>0</v>
      </c>
      <c r="W95">
        <f>'Kullanılan gübre'!W95*'Gübre oranlar'!Z$2</f>
        <v>0</v>
      </c>
      <c r="X95">
        <f>'Kullanılan gübre'!X95*'Gübre oranlar'!AA$2</f>
        <v>0</v>
      </c>
      <c r="Y95">
        <f>'Kullanılan gübre'!Y95*'Gübre oranlar'!AB$2</f>
        <v>0</v>
      </c>
      <c r="Z95">
        <f>'Kullanılan gübre'!Z95*'Gübre oranlar'!AC$2</f>
        <v>0</v>
      </c>
      <c r="AA95">
        <f>'Kullanılan gübre'!AA95*'Gübre oranlar'!AD$2</f>
        <v>0</v>
      </c>
      <c r="AB95">
        <f>'Kullanılan gübre'!AB95*'Gübre oranlar'!AE$2</f>
        <v>0.14699999999999999</v>
      </c>
      <c r="AC95">
        <f>'Kullanılan gübre'!AC95*'Gübre oranlar'!AF$2</f>
        <v>0</v>
      </c>
      <c r="AD95">
        <f>'Kullanılan gübre'!AD95*'Gübre oranlar'!AG$2</f>
        <v>0</v>
      </c>
      <c r="AE95">
        <f>'Kullanılan gübre'!AE95*'Gübre oranlar'!AH$2</f>
        <v>0</v>
      </c>
      <c r="AF95">
        <f>'Kullanılan gübre'!AF95*'Gübre oranlar'!AI$2</f>
        <v>0</v>
      </c>
      <c r="AG95">
        <f>'Kullanılan gübre'!AG95*'Gübre oranlar'!AJ$2</f>
        <v>0</v>
      </c>
      <c r="AH95">
        <f>'Kullanılan gübre'!AH95*'Gübre oranlar'!AK$2</f>
        <v>0</v>
      </c>
      <c r="AI95">
        <f>'Kullanılan gübre'!AI95*'Gübre oranlar'!AL$2</f>
        <v>0</v>
      </c>
      <c r="AJ95">
        <f>'Kullanılan gübre'!AJ95*'Gübre oranlar'!AM$2</f>
        <v>0</v>
      </c>
      <c r="AK95">
        <f>'Kullanılan gübre'!AK95*'Gübre oranlar'!AN$2</f>
        <v>0</v>
      </c>
      <c r="AL95">
        <f>'Kullanılan gübre'!AL95*'Gübre oranlar'!AO$2</f>
        <v>0</v>
      </c>
      <c r="AM95">
        <f>'Kullanılan gübre'!AM95*'Gübre oranlar'!AP$2</f>
        <v>0</v>
      </c>
      <c r="AN95">
        <f>'Kullanılan gübre'!AN95*'Gübre oranlar'!AQ$2</f>
        <v>0</v>
      </c>
      <c r="AO95">
        <f>'Kullanılan gübre'!AO95*'Gübre oranlar'!AR$2</f>
        <v>0</v>
      </c>
      <c r="AP95">
        <f>'Kullanılan gübre'!AP95*'Gübre oranlar'!AS$2</f>
        <v>0</v>
      </c>
      <c r="AQ95">
        <f>'Kullanılan gübre'!AQ95*'Gübre oranlar'!AT$2</f>
        <v>0</v>
      </c>
      <c r="AR95">
        <f>'Kullanılan gübre'!AR95*'Gübre oranlar'!AU$2</f>
        <v>0</v>
      </c>
      <c r="AS95">
        <f>'Kullanılan gübre'!AS95*'Gübre oranlar'!AV$2</f>
        <v>0</v>
      </c>
      <c r="AT95">
        <f>'Kullanılan gübre'!AT95*'Gübre oranlar'!AW$2</f>
        <v>0</v>
      </c>
      <c r="AU95">
        <f>'Kullanılan gübre'!AU95*'Gübre oranlar'!AX$2</f>
        <v>0</v>
      </c>
      <c r="AV95">
        <f>'Kullanılan gübre'!AV95*'Gübre oranlar'!AY$2</f>
        <v>0</v>
      </c>
      <c r="AW95">
        <f t="shared" si="1"/>
        <v>1406.8407499999998</v>
      </c>
    </row>
    <row r="96" spans="1:49" hidden="1" x14ac:dyDescent="0.25">
      <c r="A96" t="str">
        <f>'Kullanılan gübre'!A96</f>
        <v>AK</v>
      </c>
      <c r="B96" t="str">
        <f>'Kullanılan gübre'!B96</f>
        <v>AFYONKARAHISAR</v>
      </c>
      <c r="C96" t="str">
        <f>'Kullanılan gübre'!C96</f>
        <v>COBANLAR</v>
      </c>
      <c r="D96">
        <f>'Kullanılan gübre'!D96</f>
        <v>2015</v>
      </c>
      <c r="E96">
        <f>'Kullanılan gübre'!E96*'Gübre oranlar'!H$2</f>
        <v>15.728999999999997</v>
      </c>
      <c r="F96">
        <f>'Kullanılan gübre'!F96*'Gübre oranlar'!I$2</f>
        <v>5.2130000000000001</v>
      </c>
      <c r="G96">
        <f>'Kullanılan gübre'!G96*'Gübre oranlar'!J$2</f>
        <v>86.691000000000003</v>
      </c>
      <c r="H96">
        <f>'Kullanılan gübre'!H96*'Gübre oranlar'!K$2</f>
        <v>125.23500000000003</v>
      </c>
      <c r="I96">
        <f>'Kullanılan gübre'!I96*'Gübre oranlar'!L$2</f>
        <v>0</v>
      </c>
      <c r="J96">
        <f>'Kullanılan gübre'!J96*'Gübre oranlar'!M$2</f>
        <v>79.289999999999992</v>
      </c>
      <c r="K96">
        <f>'Kullanılan gübre'!K96*'Gübre oranlar'!N$2</f>
        <v>0</v>
      </c>
      <c r="L96">
        <f>'Kullanılan gübre'!L96*'Gübre oranlar'!O$2</f>
        <v>69.83</v>
      </c>
      <c r="M96">
        <f>'Kullanılan gübre'!M96*'Gübre oranlar'!P$2</f>
        <v>18.914999999999996</v>
      </c>
      <c r="N96">
        <f>'Kullanılan gübre'!N96*'Gübre oranlar'!Q$2</f>
        <v>0</v>
      </c>
      <c r="O96">
        <f>'Kullanılan gübre'!O96*'Gübre oranlar'!R$2</f>
        <v>0</v>
      </c>
      <c r="P96">
        <f>'Kullanılan gübre'!P96*'Gübre oranlar'!S$2</f>
        <v>0.59474999999999989</v>
      </c>
      <c r="Q96">
        <f>'Kullanılan gübre'!Q96*'Gübre oranlar'!T$2</f>
        <v>0</v>
      </c>
      <c r="R96">
        <f>'Kullanılan gübre'!R96*'Gübre oranlar'!U$2</f>
        <v>0</v>
      </c>
      <c r="S96">
        <f>'Kullanılan gübre'!S96*'Gübre oranlar'!V$2</f>
        <v>0</v>
      </c>
      <c r="T96">
        <f>'Kullanılan gübre'!T96*'Gübre oranlar'!W$2</f>
        <v>23.152999999999999</v>
      </c>
      <c r="U96">
        <f>'Kullanılan gübre'!U96*'Gübre oranlar'!X$2</f>
        <v>0</v>
      </c>
      <c r="V96">
        <f>'Kullanılan gübre'!V96*'Gübre oranlar'!Y$2</f>
        <v>0</v>
      </c>
      <c r="W96">
        <f>'Kullanılan gübre'!W96*'Gübre oranlar'!Z$2</f>
        <v>0</v>
      </c>
      <c r="X96">
        <f>'Kullanılan gübre'!X96*'Gübre oranlar'!AA$2</f>
        <v>0</v>
      </c>
      <c r="Y96">
        <f>'Kullanılan gübre'!Y96*'Gübre oranlar'!AB$2</f>
        <v>0</v>
      </c>
      <c r="Z96">
        <f>'Kullanılan gübre'!Z96*'Gübre oranlar'!AC$2</f>
        <v>0</v>
      </c>
      <c r="AA96">
        <f>'Kullanılan gübre'!AA96*'Gübre oranlar'!AD$2</f>
        <v>0</v>
      </c>
      <c r="AB96">
        <f>'Kullanılan gübre'!AB96*'Gübre oranlar'!AE$2</f>
        <v>0</v>
      </c>
      <c r="AC96">
        <f>'Kullanılan gübre'!AC96*'Gübre oranlar'!AF$2</f>
        <v>0</v>
      </c>
      <c r="AD96">
        <f>'Kullanılan gübre'!AD96*'Gübre oranlar'!AG$2</f>
        <v>0</v>
      </c>
      <c r="AE96">
        <f>'Kullanılan gübre'!AE96*'Gübre oranlar'!AH$2</f>
        <v>0</v>
      </c>
      <c r="AF96">
        <f>'Kullanılan gübre'!AF96*'Gübre oranlar'!AI$2</f>
        <v>0</v>
      </c>
      <c r="AG96">
        <f>'Kullanılan gübre'!AG96*'Gübre oranlar'!AJ$2</f>
        <v>0</v>
      </c>
      <c r="AH96">
        <f>'Kullanılan gübre'!AH96*'Gübre oranlar'!AK$2</f>
        <v>0</v>
      </c>
      <c r="AI96">
        <f>'Kullanılan gübre'!AI96*'Gübre oranlar'!AL$2</f>
        <v>0</v>
      </c>
      <c r="AJ96">
        <f>'Kullanılan gübre'!AJ96*'Gübre oranlar'!AM$2</f>
        <v>0</v>
      </c>
      <c r="AK96">
        <f>'Kullanılan gübre'!AK96*'Gübre oranlar'!AN$2</f>
        <v>0</v>
      </c>
      <c r="AL96">
        <f>'Kullanılan gübre'!AL96*'Gübre oranlar'!AO$2</f>
        <v>0</v>
      </c>
      <c r="AM96">
        <f>'Kullanılan gübre'!AM96*'Gübre oranlar'!AP$2</f>
        <v>0</v>
      </c>
      <c r="AN96">
        <f>'Kullanılan gübre'!AN96*'Gübre oranlar'!AQ$2</f>
        <v>0</v>
      </c>
      <c r="AO96">
        <f>'Kullanılan gübre'!AO96*'Gübre oranlar'!AR$2</f>
        <v>0</v>
      </c>
      <c r="AP96">
        <f>'Kullanılan gübre'!AP96*'Gübre oranlar'!AS$2</f>
        <v>0</v>
      </c>
      <c r="AQ96">
        <f>'Kullanılan gübre'!AQ96*'Gübre oranlar'!AT$2</f>
        <v>0</v>
      </c>
      <c r="AR96">
        <f>'Kullanılan gübre'!AR96*'Gübre oranlar'!AU$2</f>
        <v>0</v>
      </c>
      <c r="AS96">
        <f>'Kullanılan gübre'!AS96*'Gübre oranlar'!AV$2</f>
        <v>0</v>
      </c>
      <c r="AT96">
        <f>'Kullanılan gübre'!AT96*'Gübre oranlar'!AW$2</f>
        <v>0</v>
      </c>
      <c r="AU96">
        <f>'Kullanılan gübre'!AU96*'Gübre oranlar'!AX$2</f>
        <v>0</v>
      </c>
      <c r="AV96">
        <f>'Kullanılan gübre'!AV96*'Gübre oranlar'!AY$2</f>
        <v>0</v>
      </c>
      <c r="AW96">
        <f t="shared" si="1"/>
        <v>424.65075000000002</v>
      </c>
    </row>
    <row r="97" spans="1:49" hidden="1" x14ac:dyDescent="0.25">
      <c r="A97" t="str">
        <f>'Kullanılan gübre'!A97</f>
        <v>AK</v>
      </c>
      <c r="B97" t="str">
        <f>'Kullanılan gübre'!B97</f>
        <v>AFYONKARAHISAR</v>
      </c>
      <c r="C97" t="str">
        <f>'Kullanılan gübre'!C97</f>
        <v>IHSANIYE</v>
      </c>
      <c r="D97">
        <f>'Kullanılan gübre'!D97</f>
        <v>2015</v>
      </c>
      <c r="E97">
        <f>'Kullanılan gübre'!E97*'Gübre oranlar'!H$2</f>
        <v>16.38</v>
      </c>
      <c r="F97">
        <f>'Kullanılan gübre'!F97*'Gübre oranlar'!I$2</f>
        <v>31.369</v>
      </c>
      <c r="G97">
        <f>'Kullanılan gübre'!G97*'Gübre oranlar'!J$2</f>
        <v>165.18149999999997</v>
      </c>
      <c r="H97">
        <f>'Kullanılan gübre'!H97*'Gübre oranlar'!K$2</f>
        <v>298.149</v>
      </c>
      <c r="I97">
        <f>'Kullanılan gübre'!I97*'Gübre oranlar'!L$2</f>
        <v>0</v>
      </c>
      <c r="J97">
        <f>'Kullanılan gübre'!J97*'Gübre oranlar'!M$2</f>
        <v>53.289000000000001</v>
      </c>
      <c r="K97">
        <f>'Kullanılan gübre'!K97*'Gübre oranlar'!N$2</f>
        <v>91.28</v>
      </c>
      <c r="L97">
        <f>'Kullanılan gübre'!L97*'Gübre oranlar'!O$2</f>
        <v>103.05000000000001</v>
      </c>
      <c r="M97">
        <f>'Kullanılan gübre'!M97*'Gübre oranlar'!P$2</f>
        <v>0</v>
      </c>
      <c r="N97">
        <f>'Kullanılan gübre'!N97*'Gübre oranlar'!Q$2</f>
        <v>11.550000000000002</v>
      </c>
      <c r="O97">
        <f>'Kullanılan gübre'!O97*'Gübre oranlar'!R$2</f>
        <v>0</v>
      </c>
      <c r="P97">
        <f>'Kullanılan gübre'!P97*'Gübre oranlar'!S$2</f>
        <v>0</v>
      </c>
      <c r="Q97">
        <f>'Kullanılan gübre'!Q97*'Gübre oranlar'!T$2</f>
        <v>0</v>
      </c>
      <c r="R97">
        <f>'Kullanılan gübre'!R97*'Gübre oranlar'!U$2</f>
        <v>0</v>
      </c>
      <c r="S97">
        <f>'Kullanılan gübre'!S97*'Gübre oranlar'!V$2</f>
        <v>0</v>
      </c>
      <c r="T97">
        <f>'Kullanılan gübre'!T97*'Gübre oranlar'!W$2</f>
        <v>60.190000000000005</v>
      </c>
      <c r="U97">
        <f>'Kullanılan gübre'!U97*'Gübre oranlar'!X$2</f>
        <v>0</v>
      </c>
      <c r="V97">
        <f>'Kullanılan gübre'!V97*'Gübre oranlar'!Y$2</f>
        <v>9.9750000000000014</v>
      </c>
      <c r="W97">
        <f>'Kullanılan gübre'!W97*'Gübre oranlar'!Z$2</f>
        <v>0</v>
      </c>
      <c r="X97">
        <f>'Kullanılan gübre'!X97*'Gübre oranlar'!AA$2</f>
        <v>0</v>
      </c>
      <c r="Y97">
        <f>'Kullanılan gübre'!Y97*'Gübre oranlar'!AB$2</f>
        <v>0</v>
      </c>
      <c r="Z97">
        <f>'Kullanılan gübre'!Z97*'Gübre oranlar'!AC$2</f>
        <v>0</v>
      </c>
      <c r="AA97">
        <f>'Kullanılan gübre'!AA97*'Gübre oranlar'!AD$2</f>
        <v>0</v>
      </c>
      <c r="AB97">
        <f>'Kullanılan gübre'!AB97*'Gübre oranlar'!AE$2</f>
        <v>0</v>
      </c>
      <c r="AC97">
        <f>'Kullanılan gübre'!AC97*'Gübre oranlar'!AF$2</f>
        <v>0</v>
      </c>
      <c r="AD97">
        <f>'Kullanılan gübre'!AD97*'Gübre oranlar'!AG$2</f>
        <v>0</v>
      </c>
      <c r="AE97">
        <f>'Kullanılan gübre'!AE97*'Gübre oranlar'!AH$2</f>
        <v>0</v>
      </c>
      <c r="AF97">
        <f>'Kullanılan gübre'!AF97*'Gübre oranlar'!AI$2</f>
        <v>0</v>
      </c>
      <c r="AG97">
        <f>'Kullanılan gübre'!AG97*'Gübre oranlar'!AJ$2</f>
        <v>0</v>
      </c>
      <c r="AH97">
        <f>'Kullanılan gübre'!AH97*'Gübre oranlar'!AK$2</f>
        <v>0</v>
      </c>
      <c r="AI97">
        <f>'Kullanılan gübre'!AI97*'Gübre oranlar'!AL$2</f>
        <v>0</v>
      </c>
      <c r="AJ97">
        <f>'Kullanılan gübre'!AJ97*'Gübre oranlar'!AM$2</f>
        <v>0</v>
      </c>
      <c r="AK97">
        <f>'Kullanılan gübre'!AK97*'Gübre oranlar'!AN$2</f>
        <v>0</v>
      </c>
      <c r="AL97">
        <f>'Kullanılan gübre'!AL97*'Gübre oranlar'!AO$2</f>
        <v>0</v>
      </c>
      <c r="AM97">
        <f>'Kullanılan gübre'!AM97*'Gübre oranlar'!AP$2</f>
        <v>0</v>
      </c>
      <c r="AN97">
        <f>'Kullanılan gübre'!AN97*'Gübre oranlar'!AQ$2</f>
        <v>0</v>
      </c>
      <c r="AO97">
        <f>'Kullanılan gübre'!AO97*'Gübre oranlar'!AR$2</f>
        <v>0</v>
      </c>
      <c r="AP97">
        <f>'Kullanılan gübre'!AP97*'Gübre oranlar'!AS$2</f>
        <v>0</v>
      </c>
      <c r="AQ97">
        <f>'Kullanılan gübre'!AQ97*'Gübre oranlar'!AT$2</f>
        <v>0</v>
      </c>
      <c r="AR97">
        <f>'Kullanılan gübre'!AR97*'Gübre oranlar'!AU$2</f>
        <v>0</v>
      </c>
      <c r="AS97">
        <f>'Kullanılan gübre'!AS97*'Gübre oranlar'!AV$2</f>
        <v>0</v>
      </c>
      <c r="AT97">
        <f>'Kullanılan gübre'!AT97*'Gübre oranlar'!AW$2</f>
        <v>0</v>
      </c>
      <c r="AU97">
        <f>'Kullanılan gübre'!AU97*'Gübre oranlar'!AX$2</f>
        <v>0</v>
      </c>
      <c r="AV97">
        <f>'Kullanılan gübre'!AV97*'Gübre oranlar'!AY$2</f>
        <v>0</v>
      </c>
      <c r="AW97">
        <f t="shared" si="1"/>
        <v>840.4135</v>
      </c>
    </row>
    <row r="98" spans="1:49" hidden="1" x14ac:dyDescent="0.25">
      <c r="A98" t="str">
        <f>'Kullanılan gübre'!A98</f>
        <v>AK</v>
      </c>
      <c r="B98" t="str">
        <f>'Kullanılan gübre'!B98</f>
        <v>AFYONKARAHISAR</v>
      </c>
      <c r="C98" t="str">
        <f>'Kullanılan gübre'!C98</f>
        <v>ISCEHISAR</v>
      </c>
      <c r="D98">
        <f>'Kullanılan gübre'!D98</f>
        <v>2015</v>
      </c>
      <c r="E98">
        <f>'Kullanılan gübre'!E98*'Gübre oranlar'!H$2</f>
        <v>0.23100000000000001</v>
      </c>
      <c r="F98">
        <f>'Kullanılan gübre'!F98*'Gübre oranlar'!I$2</f>
        <v>49.777000000000008</v>
      </c>
      <c r="G98">
        <f>'Kullanılan gübre'!G98*'Gübre oranlar'!J$2</f>
        <v>0</v>
      </c>
      <c r="H98">
        <f>'Kullanılan gübre'!H98*'Gübre oranlar'!K$2</f>
        <v>0</v>
      </c>
      <c r="I98">
        <f>'Kullanılan gübre'!I98*'Gübre oranlar'!L$2</f>
        <v>0</v>
      </c>
      <c r="J98">
        <f>'Kullanılan gübre'!J98*'Gübre oranlar'!M$2</f>
        <v>14.022</v>
      </c>
      <c r="K98">
        <f>'Kullanılan gübre'!K98*'Gübre oranlar'!N$2</f>
        <v>0</v>
      </c>
      <c r="L98">
        <f>'Kullanılan gübre'!L98*'Gübre oranlar'!O$2</f>
        <v>5.4</v>
      </c>
      <c r="M98">
        <f>'Kullanılan gübre'!M98*'Gübre oranlar'!P$2</f>
        <v>0</v>
      </c>
      <c r="N98">
        <f>'Kullanılan gübre'!N98*'Gübre oranlar'!Q$2</f>
        <v>0</v>
      </c>
      <c r="O98">
        <f>'Kullanılan gübre'!O98*'Gübre oranlar'!R$2</f>
        <v>0</v>
      </c>
      <c r="P98">
        <f>'Kullanılan gübre'!P98*'Gübre oranlar'!S$2</f>
        <v>0</v>
      </c>
      <c r="Q98">
        <f>'Kullanılan gübre'!Q98*'Gübre oranlar'!T$2</f>
        <v>0</v>
      </c>
      <c r="R98">
        <f>'Kullanılan gübre'!R98*'Gübre oranlar'!U$2</f>
        <v>0</v>
      </c>
      <c r="S98">
        <f>'Kullanılan gübre'!S98*'Gübre oranlar'!V$2</f>
        <v>0</v>
      </c>
      <c r="T98">
        <f>'Kullanılan gübre'!T98*'Gübre oranlar'!W$2</f>
        <v>28.814499999999999</v>
      </c>
      <c r="U98">
        <f>'Kullanılan gübre'!U98*'Gübre oranlar'!X$2</f>
        <v>0</v>
      </c>
      <c r="V98">
        <f>'Kullanılan gübre'!V98*'Gübre oranlar'!Y$2</f>
        <v>0</v>
      </c>
      <c r="W98">
        <f>'Kullanılan gübre'!W98*'Gübre oranlar'!Z$2</f>
        <v>0</v>
      </c>
      <c r="X98">
        <f>'Kullanılan gübre'!X98*'Gübre oranlar'!AA$2</f>
        <v>0</v>
      </c>
      <c r="Y98">
        <f>'Kullanılan gübre'!Y98*'Gübre oranlar'!AB$2</f>
        <v>0</v>
      </c>
      <c r="Z98">
        <f>'Kullanılan gübre'!Z98*'Gübre oranlar'!AC$2</f>
        <v>0</v>
      </c>
      <c r="AA98">
        <f>'Kullanılan gübre'!AA98*'Gübre oranlar'!AD$2</f>
        <v>0</v>
      </c>
      <c r="AB98">
        <f>'Kullanılan gübre'!AB98*'Gübre oranlar'!AE$2</f>
        <v>0</v>
      </c>
      <c r="AC98">
        <f>'Kullanılan gübre'!AC98*'Gübre oranlar'!AF$2</f>
        <v>0</v>
      </c>
      <c r="AD98">
        <f>'Kullanılan gübre'!AD98*'Gübre oranlar'!AG$2</f>
        <v>0</v>
      </c>
      <c r="AE98">
        <f>'Kullanılan gübre'!AE98*'Gübre oranlar'!AH$2</f>
        <v>0</v>
      </c>
      <c r="AF98">
        <f>'Kullanılan gübre'!AF98*'Gübre oranlar'!AI$2</f>
        <v>0</v>
      </c>
      <c r="AG98">
        <f>'Kullanılan gübre'!AG98*'Gübre oranlar'!AJ$2</f>
        <v>0</v>
      </c>
      <c r="AH98">
        <f>'Kullanılan gübre'!AH98*'Gübre oranlar'!AK$2</f>
        <v>0</v>
      </c>
      <c r="AI98">
        <f>'Kullanılan gübre'!AI98*'Gübre oranlar'!AL$2</f>
        <v>0</v>
      </c>
      <c r="AJ98">
        <f>'Kullanılan gübre'!AJ98*'Gübre oranlar'!AM$2</f>
        <v>0</v>
      </c>
      <c r="AK98">
        <f>'Kullanılan gübre'!AK98*'Gübre oranlar'!AN$2</f>
        <v>0</v>
      </c>
      <c r="AL98">
        <f>'Kullanılan gübre'!AL98*'Gübre oranlar'!AO$2</f>
        <v>0</v>
      </c>
      <c r="AM98">
        <f>'Kullanılan gübre'!AM98*'Gübre oranlar'!AP$2</f>
        <v>0</v>
      </c>
      <c r="AN98">
        <f>'Kullanılan gübre'!AN98*'Gübre oranlar'!AQ$2</f>
        <v>0</v>
      </c>
      <c r="AO98">
        <f>'Kullanılan gübre'!AO98*'Gübre oranlar'!AR$2</f>
        <v>0</v>
      </c>
      <c r="AP98">
        <f>'Kullanılan gübre'!AP98*'Gübre oranlar'!AS$2</f>
        <v>0</v>
      </c>
      <c r="AQ98">
        <f>'Kullanılan gübre'!AQ98*'Gübre oranlar'!AT$2</f>
        <v>0</v>
      </c>
      <c r="AR98">
        <f>'Kullanılan gübre'!AR98*'Gübre oranlar'!AU$2</f>
        <v>0</v>
      </c>
      <c r="AS98">
        <f>'Kullanılan gübre'!AS98*'Gübre oranlar'!AV$2</f>
        <v>0</v>
      </c>
      <c r="AT98">
        <f>'Kullanılan gübre'!AT98*'Gübre oranlar'!AW$2</f>
        <v>0</v>
      </c>
      <c r="AU98">
        <f>'Kullanılan gübre'!AU98*'Gübre oranlar'!AX$2</f>
        <v>0</v>
      </c>
      <c r="AV98">
        <f>'Kullanılan gübre'!AV98*'Gübre oranlar'!AY$2</f>
        <v>0</v>
      </c>
      <c r="AW98">
        <f t="shared" si="1"/>
        <v>98.244500000000016</v>
      </c>
    </row>
    <row r="99" spans="1:49" hidden="1" x14ac:dyDescent="0.25">
      <c r="A99" t="str">
        <f>'Kullanılan gübre'!A99</f>
        <v>AK</v>
      </c>
      <c r="B99" t="str">
        <f>'Kullanılan gübre'!B99</f>
        <v>AFYONKARAHISAR</v>
      </c>
      <c r="C99" t="str">
        <f>'Kullanılan gübre'!C99</f>
        <v>SINANPASA</v>
      </c>
      <c r="D99">
        <f>'Kullanılan gübre'!D99</f>
        <v>2015</v>
      </c>
      <c r="E99">
        <f>'Kullanılan gübre'!E99*'Gübre oranlar'!H$2</f>
        <v>37.411500000000004</v>
      </c>
      <c r="F99">
        <f>'Kullanılan gübre'!F99*'Gübre oranlar'!I$2</f>
        <v>312.767</v>
      </c>
      <c r="G99">
        <f>'Kullanılan gübre'!G99*'Gübre oranlar'!J$2</f>
        <v>464.55750000000012</v>
      </c>
      <c r="H99">
        <f>'Kullanılan gübre'!H99*'Gübre oranlar'!K$2</f>
        <v>121.16399999999997</v>
      </c>
      <c r="I99">
        <f>'Kullanılan gübre'!I99*'Gübre oranlar'!L$2</f>
        <v>0</v>
      </c>
      <c r="J99">
        <f>'Kullanılan gübre'!J99*'Gübre oranlar'!M$2</f>
        <v>88.955999999999989</v>
      </c>
      <c r="K99">
        <f>'Kullanılan gübre'!K99*'Gübre oranlar'!N$2</f>
        <v>43.92</v>
      </c>
      <c r="L99">
        <f>'Kullanılan gübre'!L99*'Gübre oranlar'!O$2</f>
        <v>162.41</v>
      </c>
      <c r="M99">
        <f>'Kullanılan gübre'!M99*'Gübre oranlar'!P$2</f>
        <v>3</v>
      </c>
      <c r="N99">
        <f>'Kullanılan gübre'!N99*'Gübre oranlar'!Q$2</f>
        <v>7.8074999999999992</v>
      </c>
      <c r="O99">
        <f>'Kullanılan gübre'!O99*'Gübre oranlar'!R$2</f>
        <v>0</v>
      </c>
      <c r="P99">
        <f>'Kullanılan gübre'!P99*'Gübre oranlar'!S$2</f>
        <v>7.8E-2</v>
      </c>
      <c r="Q99">
        <f>'Kullanılan gübre'!Q99*'Gübre oranlar'!T$2</f>
        <v>0</v>
      </c>
      <c r="R99">
        <f>'Kullanılan gübre'!R99*'Gübre oranlar'!U$2</f>
        <v>0</v>
      </c>
      <c r="S99">
        <f>'Kullanılan gübre'!S99*'Gübre oranlar'!V$2</f>
        <v>9.1217499999999987</v>
      </c>
      <c r="T99">
        <f>'Kullanılan gübre'!T99*'Gübre oranlar'!W$2</f>
        <v>101.58200000000002</v>
      </c>
      <c r="U99">
        <f>'Kullanılan gübre'!U99*'Gübre oranlar'!X$2</f>
        <v>0</v>
      </c>
      <c r="V99">
        <f>'Kullanılan gübre'!V99*'Gübre oranlar'!Y$2</f>
        <v>7.1099999999999994</v>
      </c>
      <c r="W99">
        <f>'Kullanılan gübre'!W99*'Gübre oranlar'!Z$2</f>
        <v>0</v>
      </c>
      <c r="X99">
        <f>'Kullanılan gübre'!X99*'Gübre oranlar'!AA$2</f>
        <v>0</v>
      </c>
      <c r="Y99">
        <f>'Kullanılan gübre'!Y99*'Gübre oranlar'!AB$2</f>
        <v>0</v>
      </c>
      <c r="Z99">
        <f>'Kullanılan gübre'!Z99*'Gübre oranlar'!AC$2</f>
        <v>0</v>
      </c>
      <c r="AA99">
        <f>'Kullanılan gübre'!AA99*'Gübre oranlar'!AD$2</f>
        <v>0</v>
      </c>
      <c r="AB99">
        <f>'Kullanılan gübre'!AB99*'Gübre oranlar'!AE$2</f>
        <v>0.111</v>
      </c>
      <c r="AC99">
        <f>'Kullanılan gübre'!AC99*'Gübre oranlar'!AF$2</f>
        <v>0</v>
      </c>
      <c r="AD99">
        <f>'Kullanılan gübre'!AD99*'Gübre oranlar'!AG$2</f>
        <v>0</v>
      </c>
      <c r="AE99">
        <f>'Kullanılan gübre'!AE99*'Gübre oranlar'!AH$2</f>
        <v>0</v>
      </c>
      <c r="AF99">
        <f>'Kullanılan gübre'!AF99*'Gübre oranlar'!AI$2</f>
        <v>0</v>
      </c>
      <c r="AG99">
        <f>'Kullanılan gübre'!AG99*'Gübre oranlar'!AJ$2</f>
        <v>0</v>
      </c>
      <c r="AH99">
        <f>'Kullanılan gübre'!AH99*'Gübre oranlar'!AK$2</f>
        <v>0</v>
      </c>
      <c r="AI99">
        <f>'Kullanılan gübre'!AI99*'Gübre oranlar'!AL$2</f>
        <v>0</v>
      </c>
      <c r="AJ99">
        <f>'Kullanılan gübre'!AJ99*'Gübre oranlar'!AM$2</f>
        <v>0</v>
      </c>
      <c r="AK99">
        <f>'Kullanılan gübre'!AK99*'Gübre oranlar'!AN$2</f>
        <v>0</v>
      </c>
      <c r="AL99">
        <f>'Kullanılan gübre'!AL99*'Gübre oranlar'!AO$2</f>
        <v>0</v>
      </c>
      <c r="AM99">
        <f>'Kullanılan gübre'!AM99*'Gübre oranlar'!AP$2</f>
        <v>0</v>
      </c>
      <c r="AN99">
        <f>'Kullanılan gübre'!AN99*'Gübre oranlar'!AQ$2</f>
        <v>0</v>
      </c>
      <c r="AO99">
        <f>'Kullanılan gübre'!AO99*'Gübre oranlar'!AR$2</f>
        <v>0</v>
      </c>
      <c r="AP99">
        <f>'Kullanılan gübre'!AP99*'Gübre oranlar'!AS$2</f>
        <v>0</v>
      </c>
      <c r="AQ99">
        <f>'Kullanılan gübre'!AQ99*'Gübre oranlar'!AT$2</f>
        <v>0</v>
      </c>
      <c r="AR99">
        <f>'Kullanılan gübre'!AR99*'Gübre oranlar'!AU$2</f>
        <v>0</v>
      </c>
      <c r="AS99">
        <f>'Kullanılan gübre'!AS99*'Gübre oranlar'!AV$2</f>
        <v>0</v>
      </c>
      <c r="AT99">
        <f>'Kullanılan gübre'!AT99*'Gübre oranlar'!AW$2</f>
        <v>0</v>
      </c>
      <c r="AU99">
        <f>'Kullanılan gübre'!AU99*'Gübre oranlar'!AX$2</f>
        <v>0</v>
      </c>
      <c r="AV99">
        <f>'Kullanılan gübre'!AV99*'Gübre oranlar'!AY$2</f>
        <v>0</v>
      </c>
      <c r="AW99">
        <f t="shared" si="1"/>
        <v>1359.9962500000001</v>
      </c>
    </row>
    <row r="100" spans="1:49" hidden="1" x14ac:dyDescent="0.25">
      <c r="A100" t="str">
        <f>'Kullanılan gübre'!A100</f>
        <v>AK</v>
      </c>
      <c r="B100" t="str">
        <f>'Kullanılan gübre'!B100</f>
        <v>AFYONKARAHISAR</v>
      </c>
      <c r="C100" t="str">
        <f>'Kullanılan gübre'!C100</f>
        <v>SULTANDAGI</v>
      </c>
      <c r="D100">
        <f>'Kullanılan gübre'!D100</f>
        <v>2015</v>
      </c>
      <c r="E100">
        <f>'Kullanılan gübre'!E100*'Gübre oranlar'!H$2</f>
        <v>13.061999999999999</v>
      </c>
      <c r="F100">
        <f>'Kullanılan gübre'!F100*'Gübre oranlar'!I$2</f>
        <v>36.855000000000004</v>
      </c>
      <c r="G100">
        <f>'Kullanılan gübre'!G100*'Gübre oranlar'!J$2</f>
        <v>60.192000000000007</v>
      </c>
      <c r="H100">
        <f>'Kullanılan gübre'!H100*'Gübre oranlar'!K$2</f>
        <v>15.364000000000001</v>
      </c>
      <c r="I100">
        <f>'Kullanılan gübre'!I100*'Gübre oranlar'!L$2</f>
        <v>0</v>
      </c>
      <c r="J100">
        <f>'Kullanılan gübre'!J100*'Gübre oranlar'!M$2</f>
        <v>5.3549999999999995</v>
      </c>
      <c r="K100">
        <f>'Kullanılan gübre'!K100*'Gübre oranlar'!N$2</f>
        <v>0</v>
      </c>
      <c r="L100">
        <f>'Kullanılan gübre'!L100*'Gübre oranlar'!O$2</f>
        <v>0.83000000000000007</v>
      </c>
      <c r="M100">
        <f>'Kullanılan gübre'!M100*'Gübre oranlar'!P$2</f>
        <v>0</v>
      </c>
      <c r="N100">
        <f>'Kullanılan gübre'!N100*'Gübre oranlar'!Q$2</f>
        <v>9.6225000000000005</v>
      </c>
      <c r="O100">
        <f>'Kullanılan gübre'!O100*'Gübre oranlar'!R$2</f>
        <v>0</v>
      </c>
      <c r="P100">
        <f>'Kullanılan gübre'!P100*'Gübre oranlar'!S$2</f>
        <v>4.2250000000000003E-2</v>
      </c>
      <c r="Q100">
        <f>'Kullanılan gübre'!Q100*'Gübre oranlar'!T$2</f>
        <v>0</v>
      </c>
      <c r="R100">
        <f>'Kullanılan gübre'!R100*'Gübre oranlar'!U$2</f>
        <v>0</v>
      </c>
      <c r="S100">
        <f>'Kullanılan gübre'!S100*'Gübre oranlar'!V$2</f>
        <v>0</v>
      </c>
      <c r="T100">
        <f>'Kullanılan gübre'!T100*'Gübre oranlar'!W$2</f>
        <v>3.9000000000000004</v>
      </c>
      <c r="U100">
        <f>'Kullanılan gübre'!U100*'Gübre oranlar'!X$2</f>
        <v>0</v>
      </c>
      <c r="V100">
        <f>'Kullanılan gübre'!V100*'Gübre oranlar'!Y$2</f>
        <v>0</v>
      </c>
      <c r="W100">
        <f>'Kullanılan gübre'!W100*'Gübre oranlar'!Z$2</f>
        <v>0</v>
      </c>
      <c r="X100">
        <f>'Kullanılan gübre'!X100*'Gübre oranlar'!AA$2</f>
        <v>0</v>
      </c>
      <c r="Y100">
        <f>'Kullanılan gübre'!Y100*'Gübre oranlar'!AB$2</f>
        <v>0</v>
      </c>
      <c r="Z100">
        <f>'Kullanılan gübre'!Z100*'Gübre oranlar'!AC$2</f>
        <v>0</v>
      </c>
      <c r="AA100">
        <f>'Kullanılan gübre'!AA100*'Gübre oranlar'!AD$2</f>
        <v>0</v>
      </c>
      <c r="AB100">
        <f>'Kullanılan gübre'!AB100*'Gübre oranlar'!AE$2</f>
        <v>0.36</v>
      </c>
      <c r="AC100">
        <f>'Kullanılan gübre'!AC100*'Gübre oranlar'!AF$2</f>
        <v>0</v>
      </c>
      <c r="AD100">
        <f>'Kullanılan gübre'!AD100*'Gübre oranlar'!AG$2</f>
        <v>0</v>
      </c>
      <c r="AE100">
        <f>'Kullanılan gübre'!AE100*'Gübre oranlar'!AH$2</f>
        <v>0</v>
      </c>
      <c r="AF100">
        <f>'Kullanılan gübre'!AF100*'Gübre oranlar'!AI$2</f>
        <v>0</v>
      </c>
      <c r="AG100">
        <f>'Kullanılan gübre'!AG100*'Gübre oranlar'!AJ$2</f>
        <v>0</v>
      </c>
      <c r="AH100">
        <f>'Kullanılan gübre'!AH100*'Gübre oranlar'!AK$2</f>
        <v>0</v>
      </c>
      <c r="AI100">
        <f>'Kullanılan gübre'!AI100*'Gübre oranlar'!AL$2</f>
        <v>0</v>
      </c>
      <c r="AJ100">
        <f>'Kullanılan gübre'!AJ100*'Gübre oranlar'!AM$2</f>
        <v>0</v>
      </c>
      <c r="AK100">
        <f>'Kullanılan gübre'!AK100*'Gübre oranlar'!AN$2</f>
        <v>0</v>
      </c>
      <c r="AL100">
        <f>'Kullanılan gübre'!AL100*'Gübre oranlar'!AO$2</f>
        <v>0</v>
      </c>
      <c r="AM100">
        <f>'Kullanılan gübre'!AM100*'Gübre oranlar'!AP$2</f>
        <v>0</v>
      </c>
      <c r="AN100">
        <f>'Kullanılan gübre'!AN100*'Gübre oranlar'!AQ$2</f>
        <v>0</v>
      </c>
      <c r="AO100">
        <f>'Kullanılan gübre'!AO100*'Gübre oranlar'!AR$2</f>
        <v>0</v>
      </c>
      <c r="AP100">
        <f>'Kullanılan gübre'!AP100*'Gübre oranlar'!AS$2</f>
        <v>0</v>
      </c>
      <c r="AQ100">
        <f>'Kullanılan gübre'!AQ100*'Gübre oranlar'!AT$2</f>
        <v>0</v>
      </c>
      <c r="AR100">
        <f>'Kullanılan gübre'!AR100*'Gübre oranlar'!AU$2</f>
        <v>0</v>
      </c>
      <c r="AS100">
        <f>'Kullanılan gübre'!AS100*'Gübre oranlar'!AV$2</f>
        <v>0</v>
      </c>
      <c r="AT100">
        <f>'Kullanılan gübre'!AT100*'Gübre oranlar'!AW$2</f>
        <v>0</v>
      </c>
      <c r="AU100">
        <f>'Kullanılan gübre'!AU100*'Gübre oranlar'!AX$2</f>
        <v>0</v>
      </c>
      <c r="AV100">
        <f>'Kullanılan gübre'!AV100*'Gübre oranlar'!AY$2</f>
        <v>0</v>
      </c>
      <c r="AW100">
        <f t="shared" si="1"/>
        <v>145.58275000000003</v>
      </c>
    </row>
    <row r="101" spans="1:49" hidden="1" x14ac:dyDescent="0.25">
      <c r="A101" t="str">
        <f>'Kullanılan gübre'!A101</f>
        <v>AK</v>
      </c>
      <c r="B101" t="str">
        <f>'Kullanılan gübre'!B101</f>
        <v>AFYONKARAHISAR</v>
      </c>
      <c r="C101" t="str">
        <f>'Kullanılan gübre'!C101</f>
        <v>SUHUT</v>
      </c>
      <c r="D101">
        <f>'Kullanılan gübre'!D101</f>
        <v>2015</v>
      </c>
      <c r="E101">
        <f>'Kullanılan gübre'!E101*'Gübre oranlar'!H$2</f>
        <v>380.78249999999997</v>
      </c>
      <c r="F101">
        <f>'Kullanılan gübre'!F101*'Gübre oranlar'!I$2</f>
        <v>95.90100000000001</v>
      </c>
      <c r="G101">
        <f>'Kullanılan gübre'!G101*'Gübre oranlar'!J$2</f>
        <v>547.06079999999997</v>
      </c>
      <c r="H101">
        <f>'Kullanılan gübre'!H101*'Gübre oranlar'!K$2</f>
        <v>642.27499999999998</v>
      </c>
      <c r="I101">
        <f>'Kullanılan gübre'!I101*'Gübre oranlar'!L$2</f>
        <v>0</v>
      </c>
      <c r="J101">
        <f>'Kullanılan gübre'!J101*'Gübre oranlar'!M$2</f>
        <v>232.64999999999998</v>
      </c>
      <c r="K101">
        <f>'Kullanılan gübre'!K101*'Gübre oranlar'!N$2</f>
        <v>38.449999999999996</v>
      </c>
      <c r="L101">
        <f>'Kullanılan gübre'!L101*'Gübre oranlar'!O$2</f>
        <v>75.956000000000003</v>
      </c>
      <c r="M101">
        <f>'Kullanılan gübre'!M101*'Gübre oranlar'!P$2</f>
        <v>171.53249999999994</v>
      </c>
      <c r="N101">
        <f>'Kullanılan gübre'!N101*'Gübre oranlar'!Q$2</f>
        <v>75.105000000000004</v>
      </c>
      <c r="O101">
        <f>'Kullanılan gübre'!O101*'Gübre oranlar'!R$2</f>
        <v>0</v>
      </c>
      <c r="P101">
        <f>'Kullanılan gübre'!P101*'Gübre oranlar'!S$2</f>
        <v>4.68065</v>
      </c>
      <c r="Q101">
        <f>'Kullanılan gübre'!Q101*'Gübre oranlar'!T$2</f>
        <v>0</v>
      </c>
      <c r="R101">
        <f>'Kullanılan gübre'!R101*'Gübre oranlar'!U$2</f>
        <v>0</v>
      </c>
      <c r="S101">
        <f>'Kullanılan gübre'!S101*'Gübre oranlar'!V$2</f>
        <v>6.2774999999999999</v>
      </c>
      <c r="T101">
        <f>'Kullanılan gübre'!T101*'Gübre oranlar'!W$2</f>
        <v>27.625</v>
      </c>
      <c r="U101">
        <f>'Kullanılan gübre'!U101*'Gübre oranlar'!X$2</f>
        <v>0</v>
      </c>
      <c r="V101">
        <f>'Kullanılan gübre'!V101*'Gübre oranlar'!Y$2</f>
        <v>0</v>
      </c>
      <c r="W101">
        <f>'Kullanılan gübre'!W101*'Gübre oranlar'!Z$2</f>
        <v>0</v>
      </c>
      <c r="X101">
        <f>'Kullanılan gübre'!X101*'Gübre oranlar'!AA$2</f>
        <v>6.8100000000000014</v>
      </c>
      <c r="Y101">
        <f>'Kullanılan gübre'!Y101*'Gübre oranlar'!AB$2</f>
        <v>0</v>
      </c>
      <c r="Z101">
        <f>'Kullanılan gübre'!Z101*'Gübre oranlar'!AC$2</f>
        <v>0</v>
      </c>
      <c r="AA101">
        <f>'Kullanılan gübre'!AA101*'Gübre oranlar'!AD$2</f>
        <v>0</v>
      </c>
      <c r="AB101">
        <f>'Kullanılan gübre'!AB101*'Gübre oranlar'!AE$2</f>
        <v>8.3400000000000002E-2</v>
      </c>
      <c r="AC101">
        <f>'Kullanılan gübre'!AC101*'Gübre oranlar'!AF$2</f>
        <v>0</v>
      </c>
      <c r="AD101">
        <f>'Kullanılan gübre'!AD101*'Gübre oranlar'!AG$2</f>
        <v>0</v>
      </c>
      <c r="AE101">
        <f>'Kullanılan gübre'!AE101*'Gübre oranlar'!AH$2</f>
        <v>38.81</v>
      </c>
      <c r="AF101">
        <f>'Kullanılan gübre'!AF101*'Gübre oranlar'!AI$2</f>
        <v>0</v>
      </c>
      <c r="AG101">
        <f>'Kullanılan gübre'!AG101*'Gübre oranlar'!AJ$2</f>
        <v>0</v>
      </c>
      <c r="AH101">
        <f>'Kullanılan gübre'!AH101*'Gübre oranlar'!AK$2</f>
        <v>0</v>
      </c>
      <c r="AI101">
        <f>'Kullanılan gübre'!AI101*'Gübre oranlar'!AL$2</f>
        <v>0</v>
      </c>
      <c r="AJ101">
        <f>'Kullanılan gübre'!AJ101*'Gübre oranlar'!AM$2</f>
        <v>0</v>
      </c>
      <c r="AK101">
        <f>'Kullanılan gübre'!AK101*'Gübre oranlar'!AN$2</f>
        <v>0</v>
      </c>
      <c r="AL101">
        <f>'Kullanılan gübre'!AL101*'Gübre oranlar'!AO$2</f>
        <v>0</v>
      </c>
      <c r="AM101">
        <f>'Kullanılan gübre'!AM101*'Gübre oranlar'!AP$2</f>
        <v>0</v>
      </c>
      <c r="AN101">
        <f>'Kullanılan gübre'!AN101*'Gübre oranlar'!AQ$2</f>
        <v>0</v>
      </c>
      <c r="AO101">
        <f>'Kullanılan gübre'!AO101*'Gübre oranlar'!AR$2</f>
        <v>0</v>
      </c>
      <c r="AP101">
        <f>'Kullanılan gübre'!AP101*'Gübre oranlar'!AS$2</f>
        <v>0</v>
      </c>
      <c r="AQ101">
        <f>'Kullanılan gübre'!AQ101*'Gübre oranlar'!AT$2</f>
        <v>0</v>
      </c>
      <c r="AR101">
        <f>'Kullanılan gübre'!AR101*'Gübre oranlar'!AU$2</f>
        <v>0</v>
      </c>
      <c r="AS101">
        <f>'Kullanılan gübre'!AS101*'Gübre oranlar'!AV$2</f>
        <v>0</v>
      </c>
      <c r="AT101">
        <f>'Kullanılan gübre'!AT101*'Gübre oranlar'!AW$2</f>
        <v>0</v>
      </c>
      <c r="AU101">
        <f>'Kullanılan gübre'!AU101*'Gübre oranlar'!AX$2</f>
        <v>0</v>
      </c>
      <c r="AV101">
        <f>'Kullanılan gübre'!AV101*'Gübre oranlar'!AY$2</f>
        <v>0</v>
      </c>
      <c r="AW101">
        <f t="shared" si="1"/>
        <v>2343.9993499999996</v>
      </c>
    </row>
    <row r="102" spans="1:49" hidden="1" x14ac:dyDescent="0.25">
      <c r="A102" t="str">
        <f>'Kullanılan gübre'!A102</f>
        <v>AK</v>
      </c>
      <c r="B102" t="str">
        <f>'Kullanılan gübre'!B102</f>
        <v>AFYONKARAHISAR</v>
      </c>
      <c r="C102" t="str">
        <f>'Kullanılan gübre'!C102</f>
        <v>MERKEZ</v>
      </c>
      <c r="D102">
        <f>'Kullanılan gübre'!D102</f>
        <v>2016</v>
      </c>
      <c r="E102">
        <f>'Kullanılan gübre'!E102*'Gübre oranlar'!H$2</f>
        <v>78.844499999999996</v>
      </c>
      <c r="F102">
        <f>'Kullanılan gübre'!F102*'Gübre oranlar'!I$2</f>
        <v>141.34120000000004</v>
      </c>
      <c r="G102">
        <f>'Kullanılan gübre'!G102*'Gübre oranlar'!J$2</f>
        <v>483.483</v>
      </c>
      <c r="H102">
        <f>'Kullanılan gübre'!H102*'Gübre oranlar'!K$2</f>
        <v>615.61800000000005</v>
      </c>
      <c r="I102">
        <f>'Kullanılan gübre'!I102*'Gübre oranlar'!L$2</f>
        <v>0</v>
      </c>
      <c r="J102">
        <f>'Kullanılan gübre'!J102*'Gübre oranlar'!M$2</f>
        <v>227.21400000000003</v>
      </c>
      <c r="K102">
        <f>'Kullanılan gübre'!K102*'Gübre oranlar'!N$2</f>
        <v>291.76</v>
      </c>
      <c r="L102">
        <f>'Kullanılan gübre'!L102*'Gübre oranlar'!O$2</f>
        <v>143.14000000000001</v>
      </c>
      <c r="M102">
        <f>'Kullanılan gübre'!M102*'Gübre oranlar'!P$2</f>
        <v>40.769999999999989</v>
      </c>
      <c r="N102">
        <f>'Kullanılan gübre'!N102*'Gübre oranlar'!Q$2</f>
        <v>201.31499999999997</v>
      </c>
      <c r="O102">
        <f>'Kullanılan gübre'!O102*'Gübre oranlar'!R$2</f>
        <v>0</v>
      </c>
      <c r="P102">
        <f>'Kullanılan gübre'!P102*'Gübre oranlar'!S$2</f>
        <v>2.3438999999999997</v>
      </c>
      <c r="Q102">
        <f>'Kullanılan gübre'!Q102*'Gübre oranlar'!T$2</f>
        <v>27.36</v>
      </c>
      <c r="R102">
        <f>'Kullanılan gübre'!R102*'Gübre oranlar'!U$2</f>
        <v>0</v>
      </c>
      <c r="S102">
        <f>'Kullanılan gübre'!S102*'Gübre oranlar'!V$2</f>
        <v>0</v>
      </c>
      <c r="T102">
        <f>'Kullanılan gübre'!T102*'Gübre oranlar'!W$2</f>
        <v>35.802</v>
      </c>
      <c r="U102">
        <f>'Kullanılan gübre'!U102*'Gübre oranlar'!X$2</f>
        <v>0</v>
      </c>
      <c r="V102">
        <f>'Kullanılan gübre'!V102*'Gübre oranlar'!Y$2</f>
        <v>26.704999999999998</v>
      </c>
      <c r="W102">
        <f>'Kullanılan gübre'!W102*'Gübre oranlar'!Z$2</f>
        <v>0</v>
      </c>
      <c r="X102">
        <f>'Kullanılan gübre'!X102*'Gübre oranlar'!AA$2</f>
        <v>0</v>
      </c>
      <c r="Y102">
        <f>'Kullanılan gübre'!Y102*'Gübre oranlar'!AB$2</f>
        <v>0</v>
      </c>
      <c r="Z102">
        <f>'Kullanılan gübre'!Z102*'Gübre oranlar'!AC$2</f>
        <v>0</v>
      </c>
      <c r="AA102">
        <f>'Kullanılan gübre'!AA102*'Gübre oranlar'!AD$2</f>
        <v>0</v>
      </c>
      <c r="AB102">
        <f>'Kullanılan gübre'!AB102*'Gübre oranlar'!AE$2</f>
        <v>0.11399999999999999</v>
      </c>
      <c r="AC102">
        <f>'Kullanılan gübre'!AC102*'Gübre oranlar'!AF$2</f>
        <v>0</v>
      </c>
      <c r="AD102">
        <f>'Kullanılan gübre'!AD102*'Gübre oranlar'!AG$2</f>
        <v>0</v>
      </c>
      <c r="AE102">
        <f>'Kullanılan gübre'!AE102*'Gübre oranlar'!AH$2</f>
        <v>0</v>
      </c>
      <c r="AF102">
        <f>'Kullanılan gübre'!AF102*'Gübre oranlar'!AI$2</f>
        <v>0</v>
      </c>
      <c r="AG102">
        <f>'Kullanılan gübre'!AG102*'Gübre oranlar'!AJ$2</f>
        <v>0</v>
      </c>
      <c r="AH102">
        <f>'Kullanılan gübre'!AH102*'Gübre oranlar'!AK$2</f>
        <v>0</v>
      </c>
      <c r="AI102">
        <f>'Kullanılan gübre'!AI102*'Gübre oranlar'!AL$2</f>
        <v>0</v>
      </c>
      <c r="AJ102">
        <f>'Kullanılan gübre'!AJ102*'Gübre oranlar'!AM$2</f>
        <v>0</v>
      </c>
      <c r="AK102">
        <f>'Kullanılan gübre'!AK102*'Gübre oranlar'!AN$2</f>
        <v>0</v>
      </c>
      <c r="AL102">
        <f>'Kullanılan gübre'!AL102*'Gübre oranlar'!AO$2</f>
        <v>0</v>
      </c>
      <c r="AM102">
        <f>'Kullanılan gübre'!AM102*'Gübre oranlar'!AP$2</f>
        <v>0</v>
      </c>
      <c r="AN102">
        <f>'Kullanılan gübre'!AN102*'Gübre oranlar'!AQ$2</f>
        <v>0</v>
      </c>
      <c r="AO102">
        <f>'Kullanılan gübre'!AO102*'Gübre oranlar'!AR$2</f>
        <v>0</v>
      </c>
      <c r="AP102">
        <f>'Kullanılan gübre'!AP102*'Gübre oranlar'!AS$2</f>
        <v>0</v>
      </c>
      <c r="AQ102">
        <f>'Kullanılan gübre'!AQ102*'Gübre oranlar'!AT$2</f>
        <v>0</v>
      </c>
      <c r="AR102">
        <f>'Kullanılan gübre'!AR102*'Gübre oranlar'!AU$2</f>
        <v>0</v>
      </c>
      <c r="AS102">
        <f>'Kullanılan gübre'!AS102*'Gübre oranlar'!AV$2</f>
        <v>0</v>
      </c>
      <c r="AT102">
        <f>'Kullanılan gübre'!AT102*'Gübre oranlar'!AW$2</f>
        <v>0</v>
      </c>
      <c r="AU102">
        <f>'Kullanılan gübre'!AU102*'Gübre oranlar'!AX$2</f>
        <v>0</v>
      </c>
      <c r="AV102">
        <f>'Kullanılan gübre'!AV102*'Gübre oranlar'!AY$2</f>
        <v>0</v>
      </c>
      <c r="AW102">
        <f t="shared" si="1"/>
        <v>2315.8106000000002</v>
      </c>
    </row>
    <row r="103" spans="1:49" hidden="1" x14ac:dyDescent="0.25">
      <c r="A103" t="str">
        <f>'Kullanılan gübre'!A103</f>
        <v>AK</v>
      </c>
      <c r="B103" t="str">
        <f>'Kullanılan gübre'!B103</f>
        <v>AFYONKARAHISAR</v>
      </c>
      <c r="C103" t="str">
        <f>'Kullanılan gübre'!C103</f>
        <v>BAYAT</v>
      </c>
      <c r="D103">
        <f>'Kullanılan gübre'!D103</f>
        <v>2016</v>
      </c>
      <c r="E103">
        <f>'Kullanılan gübre'!E103*'Gübre oranlar'!H$2</f>
        <v>12.610499999999998</v>
      </c>
      <c r="F103">
        <f>'Kullanılan gübre'!F103*'Gübre oranlar'!I$2</f>
        <v>0</v>
      </c>
      <c r="G103">
        <f>'Kullanılan gübre'!G103*'Gübre oranlar'!J$2</f>
        <v>51.249000000000009</v>
      </c>
      <c r="H103">
        <f>'Kullanılan gübre'!H103*'Gübre oranlar'!K$2</f>
        <v>0.46</v>
      </c>
      <c r="I103">
        <f>'Kullanılan gübre'!I103*'Gübre oranlar'!L$2</f>
        <v>0</v>
      </c>
      <c r="J103">
        <f>'Kullanılan gübre'!J103*'Gübre oranlar'!M$2</f>
        <v>10.98</v>
      </c>
      <c r="K103">
        <f>'Kullanılan gübre'!K103*'Gübre oranlar'!N$2</f>
        <v>0</v>
      </c>
      <c r="L103">
        <f>'Kullanılan gübre'!L103*'Gübre oranlar'!O$2</f>
        <v>19.950000000000003</v>
      </c>
      <c r="M103">
        <f>'Kullanılan gübre'!M103*'Gübre oranlar'!P$2</f>
        <v>0</v>
      </c>
      <c r="N103">
        <f>'Kullanılan gübre'!N103*'Gübre oranlar'!Q$2</f>
        <v>0.41249999999999998</v>
      </c>
      <c r="O103">
        <f>'Kullanılan gübre'!O103*'Gübre oranlar'!R$2</f>
        <v>0</v>
      </c>
      <c r="P103">
        <f>'Kullanılan gübre'!P103*'Gübre oranlar'!S$2</f>
        <v>0</v>
      </c>
      <c r="Q103">
        <f>'Kullanılan gübre'!Q103*'Gübre oranlar'!T$2</f>
        <v>0</v>
      </c>
      <c r="R103">
        <f>'Kullanılan gübre'!R103*'Gübre oranlar'!U$2</f>
        <v>0</v>
      </c>
      <c r="S103">
        <f>'Kullanılan gübre'!S103*'Gübre oranlar'!V$2</f>
        <v>0</v>
      </c>
      <c r="T103">
        <f>'Kullanılan gübre'!T103*'Gübre oranlar'!W$2</f>
        <v>5.2650000000000006</v>
      </c>
      <c r="U103">
        <f>'Kullanılan gübre'!U103*'Gübre oranlar'!X$2</f>
        <v>0</v>
      </c>
      <c r="V103">
        <f>'Kullanılan gübre'!V103*'Gübre oranlar'!Y$2</f>
        <v>0</v>
      </c>
      <c r="W103">
        <f>'Kullanılan gübre'!W103*'Gübre oranlar'!Z$2</f>
        <v>0</v>
      </c>
      <c r="X103">
        <f>'Kullanılan gübre'!X103*'Gübre oranlar'!AA$2</f>
        <v>0</v>
      </c>
      <c r="Y103">
        <f>'Kullanılan gübre'!Y103*'Gübre oranlar'!AB$2</f>
        <v>0</v>
      </c>
      <c r="Z103">
        <f>'Kullanılan gübre'!Z103*'Gübre oranlar'!AC$2</f>
        <v>0</v>
      </c>
      <c r="AA103">
        <f>'Kullanılan gübre'!AA103*'Gübre oranlar'!AD$2</f>
        <v>0</v>
      </c>
      <c r="AB103">
        <f>'Kullanılan gübre'!AB103*'Gübre oranlar'!AE$2</f>
        <v>0</v>
      </c>
      <c r="AC103">
        <f>'Kullanılan gübre'!AC103*'Gübre oranlar'!AF$2</f>
        <v>0</v>
      </c>
      <c r="AD103">
        <f>'Kullanılan gübre'!AD103*'Gübre oranlar'!AG$2</f>
        <v>0</v>
      </c>
      <c r="AE103">
        <f>'Kullanılan gübre'!AE103*'Gübre oranlar'!AH$2</f>
        <v>0</v>
      </c>
      <c r="AF103">
        <f>'Kullanılan gübre'!AF103*'Gübre oranlar'!AI$2</f>
        <v>0</v>
      </c>
      <c r="AG103">
        <f>'Kullanılan gübre'!AG103*'Gübre oranlar'!AJ$2</f>
        <v>0</v>
      </c>
      <c r="AH103">
        <f>'Kullanılan gübre'!AH103*'Gübre oranlar'!AK$2</f>
        <v>0</v>
      </c>
      <c r="AI103">
        <f>'Kullanılan gübre'!AI103*'Gübre oranlar'!AL$2</f>
        <v>0</v>
      </c>
      <c r="AJ103">
        <f>'Kullanılan gübre'!AJ103*'Gübre oranlar'!AM$2</f>
        <v>0</v>
      </c>
      <c r="AK103">
        <f>'Kullanılan gübre'!AK103*'Gübre oranlar'!AN$2</f>
        <v>0</v>
      </c>
      <c r="AL103">
        <f>'Kullanılan gübre'!AL103*'Gübre oranlar'!AO$2</f>
        <v>0</v>
      </c>
      <c r="AM103">
        <f>'Kullanılan gübre'!AM103*'Gübre oranlar'!AP$2</f>
        <v>0</v>
      </c>
      <c r="AN103">
        <f>'Kullanılan gübre'!AN103*'Gübre oranlar'!AQ$2</f>
        <v>0</v>
      </c>
      <c r="AO103">
        <f>'Kullanılan gübre'!AO103*'Gübre oranlar'!AR$2</f>
        <v>0</v>
      </c>
      <c r="AP103">
        <f>'Kullanılan gübre'!AP103*'Gübre oranlar'!AS$2</f>
        <v>0</v>
      </c>
      <c r="AQ103">
        <f>'Kullanılan gübre'!AQ103*'Gübre oranlar'!AT$2</f>
        <v>0</v>
      </c>
      <c r="AR103">
        <f>'Kullanılan gübre'!AR103*'Gübre oranlar'!AU$2</f>
        <v>0</v>
      </c>
      <c r="AS103">
        <f>'Kullanılan gübre'!AS103*'Gübre oranlar'!AV$2</f>
        <v>0</v>
      </c>
      <c r="AT103">
        <f>'Kullanılan gübre'!AT103*'Gübre oranlar'!AW$2</f>
        <v>0</v>
      </c>
      <c r="AU103">
        <f>'Kullanılan gübre'!AU103*'Gübre oranlar'!AX$2</f>
        <v>0</v>
      </c>
      <c r="AV103">
        <f>'Kullanılan gübre'!AV103*'Gübre oranlar'!AY$2</f>
        <v>0</v>
      </c>
      <c r="AW103">
        <f t="shared" si="1"/>
        <v>100.92700000000001</v>
      </c>
    </row>
    <row r="104" spans="1:49" hidden="1" x14ac:dyDescent="0.25">
      <c r="A104" t="str">
        <f>'Kullanılan gübre'!A104</f>
        <v>AK</v>
      </c>
      <c r="B104" t="str">
        <f>'Kullanılan gübre'!B104</f>
        <v>AFYONKARAHISAR</v>
      </c>
      <c r="C104" t="str">
        <f>'Kullanılan gübre'!C104</f>
        <v>BOLVADIN</v>
      </c>
      <c r="D104">
        <f>'Kullanılan gübre'!D104</f>
        <v>2016</v>
      </c>
      <c r="E104">
        <f>'Kullanılan gübre'!E104*'Gübre oranlar'!H$2</f>
        <v>41.947500000000005</v>
      </c>
      <c r="F104">
        <f>'Kullanılan gübre'!F104*'Gübre oranlar'!I$2</f>
        <v>5.1479999999999997</v>
      </c>
      <c r="G104">
        <f>'Kullanılan gübre'!G104*'Gübre oranlar'!J$2</f>
        <v>320.36400000000003</v>
      </c>
      <c r="H104">
        <f>'Kullanılan gübre'!H104*'Gübre oranlar'!K$2</f>
        <v>206.24100000000001</v>
      </c>
      <c r="I104">
        <f>'Kullanılan gübre'!I104*'Gübre oranlar'!L$2</f>
        <v>0</v>
      </c>
      <c r="J104">
        <f>'Kullanılan gübre'!J104*'Gübre oranlar'!M$2</f>
        <v>211.79699999999997</v>
      </c>
      <c r="K104">
        <f>'Kullanılan gübre'!K104*'Gübre oranlar'!N$2</f>
        <v>0</v>
      </c>
      <c r="L104">
        <f>'Kullanılan gübre'!L104*'Gübre oranlar'!O$2</f>
        <v>48.34</v>
      </c>
      <c r="M104">
        <f>'Kullanılan gübre'!M104*'Gübre oranlar'!P$2</f>
        <v>0</v>
      </c>
      <c r="N104">
        <f>'Kullanılan gübre'!N104*'Gübre oranlar'!Q$2</f>
        <v>11.070000000000002</v>
      </c>
      <c r="O104">
        <f>'Kullanılan gübre'!O104*'Gübre oranlar'!R$2</f>
        <v>0</v>
      </c>
      <c r="P104">
        <f>'Kullanılan gübre'!P104*'Gübre oranlar'!S$2</f>
        <v>4.2900000000000001E-2</v>
      </c>
      <c r="Q104">
        <f>'Kullanılan gübre'!Q104*'Gübre oranlar'!T$2</f>
        <v>0</v>
      </c>
      <c r="R104">
        <f>'Kullanılan gübre'!R104*'Gübre oranlar'!U$2</f>
        <v>0</v>
      </c>
      <c r="S104">
        <f>'Kullanılan gübre'!S104*'Gübre oranlar'!V$2</f>
        <v>0</v>
      </c>
      <c r="T104">
        <f>'Kullanılan gübre'!T104*'Gübre oranlar'!W$2</f>
        <v>19.818500000000004</v>
      </c>
      <c r="U104">
        <f>'Kullanılan gübre'!U104*'Gübre oranlar'!X$2</f>
        <v>0</v>
      </c>
      <c r="V104">
        <f>'Kullanılan gübre'!V104*'Gübre oranlar'!Y$2</f>
        <v>0</v>
      </c>
      <c r="W104">
        <f>'Kullanılan gübre'!W104*'Gübre oranlar'!Z$2</f>
        <v>0</v>
      </c>
      <c r="X104">
        <f>'Kullanılan gübre'!X104*'Gübre oranlar'!AA$2</f>
        <v>0</v>
      </c>
      <c r="Y104">
        <f>'Kullanılan gübre'!Y104*'Gübre oranlar'!AB$2</f>
        <v>0</v>
      </c>
      <c r="Z104">
        <f>'Kullanılan gübre'!Z104*'Gübre oranlar'!AC$2</f>
        <v>0</v>
      </c>
      <c r="AA104">
        <f>'Kullanılan gübre'!AA104*'Gübre oranlar'!AD$2</f>
        <v>0</v>
      </c>
      <c r="AB104">
        <f>'Kullanılan gübre'!AB104*'Gübre oranlar'!AE$2</f>
        <v>0</v>
      </c>
      <c r="AC104">
        <f>'Kullanılan gübre'!AC104*'Gübre oranlar'!AF$2</f>
        <v>0</v>
      </c>
      <c r="AD104">
        <f>'Kullanılan gübre'!AD104*'Gübre oranlar'!AG$2</f>
        <v>0</v>
      </c>
      <c r="AE104">
        <f>'Kullanılan gübre'!AE104*'Gübre oranlar'!AH$2</f>
        <v>7.6000000000000005</v>
      </c>
      <c r="AF104">
        <f>'Kullanılan gübre'!AF104*'Gübre oranlar'!AI$2</f>
        <v>0</v>
      </c>
      <c r="AG104">
        <f>'Kullanılan gübre'!AG104*'Gübre oranlar'!AJ$2</f>
        <v>0</v>
      </c>
      <c r="AH104">
        <f>'Kullanılan gübre'!AH104*'Gübre oranlar'!AK$2</f>
        <v>0</v>
      </c>
      <c r="AI104">
        <f>'Kullanılan gübre'!AI104*'Gübre oranlar'!AL$2</f>
        <v>0</v>
      </c>
      <c r="AJ104">
        <f>'Kullanılan gübre'!AJ104*'Gübre oranlar'!AM$2</f>
        <v>0</v>
      </c>
      <c r="AK104">
        <f>'Kullanılan gübre'!AK104*'Gübre oranlar'!AN$2</f>
        <v>0</v>
      </c>
      <c r="AL104">
        <f>'Kullanılan gübre'!AL104*'Gübre oranlar'!AO$2</f>
        <v>0</v>
      </c>
      <c r="AM104">
        <f>'Kullanılan gübre'!AM104*'Gübre oranlar'!AP$2</f>
        <v>0</v>
      </c>
      <c r="AN104">
        <f>'Kullanılan gübre'!AN104*'Gübre oranlar'!AQ$2</f>
        <v>0</v>
      </c>
      <c r="AO104">
        <f>'Kullanılan gübre'!AO104*'Gübre oranlar'!AR$2</f>
        <v>0</v>
      </c>
      <c r="AP104">
        <f>'Kullanılan gübre'!AP104*'Gübre oranlar'!AS$2</f>
        <v>0</v>
      </c>
      <c r="AQ104">
        <f>'Kullanılan gübre'!AQ104*'Gübre oranlar'!AT$2</f>
        <v>0</v>
      </c>
      <c r="AR104">
        <f>'Kullanılan gübre'!AR104*'Gübre oranlar'!AU$2</f>
        <v>0</v>
      </c>
      <c r="AS104">
        <f>'Kullanılan gübre'!AS104*'Gübre oranlar'!AV$2</f>
        <v>0</v>
      </c>
      <c r="AT104">
        <f>'Kullanılan gübre'!AT104*'Gübre oranlar'!AW$2</f>
        <v>0</v>
      </c>
      <c r="AU104">
        <f>'Kullanılan gübre'!AU104*'Gübre oranlar'!AX$2</f>
        <v>0</v>
      </c>
      <c r="AV104">
        <f>'Kullanılan gübre'!AV104*'Gübre oranlar'!AY$2</f>
        <v>0</v>
      </c>
      <c r="AW104">
        <f t="shared" si="1"/>
        <v>872.36890000000005</v>
      </c>
    </row>
    <row r="105" spans="1:49" hidden="1" x14ac:dyDescent="0.25">
      <c r="A105" t="str">
        <f>'Kullanılan gübre'!A105</f>
        <v>AK</v>
      </c>
      <c r="B105" t="str">
        <f>'Kullanılan gübre'!B105</f>
        <v>AFYONKARAHISAR</v>
      </c>
      <c r="C105" t="str">
        <f>'Kullanılan gübre'!C105</f>
        <v>CAY</v>
      </c>
      <c r="D105">
        <f>'Kullanılan gübre'!D105</f>
        <v>2016</v>
      </c>
      <c r="E105">
        <f>'Kullanılan gübre'!E105*'Gübre oranlar'!H$2</f>
        <v>58.726500000000001</v>
      </c>
      <c r="F105">
        <f>'Kullanılan gübre'!F105*'Gübre oranlar'!I$2</f>
        <v>41.535000000000004</v>
      </c>
      <c r="G105">
        <f>'Kullanılan gübre'!G105*'Gübre oranlar'!J$2</f>
        <v>553.34400000000005</v>
      </c>
      <c r="H105">
        <f>'Kullanılan gübre'!H105*'Gübre oranlar'!K$2</f>
        <v>365.86099999999999</v>
      </c>
      <c r="I105">
        <f>'Kullanılan gübre'!I105*'Gübre oranlar'!L$2</f>
        <v>0</v>
      </c>
      <c r="J105">
        <f>'Kullanılan gübre'!J105*'Gübre oranlar'!M$2</f>
        <v>222.72299999999998</v>
      </c>
      <c r="K105">
        <f>'Kullanılan gübre'!K105*'Gübre oranlar'!N$2</f>
        <v>16.110000000000003</v>
      </c>
      <c r="L105">
        <f>'Kullanılan gübre'!L105*'Gübre oranlar'!O$2</f>
        <v>122.47999999999998</v>
      </c>
      <c r="M105">
        <f>'Kullanılan gübre'!M105*'Gübre oranlar'!P$2</f>
        <v>35.722499999999997</v>
      </c>
      <c r="N105">
        <f>'Kullanılan gübre'!N105*'Gübre oranlar'!Q$2</f>
        <v>63.375</v>
      </c>
      <c r="O105">
        <f>'Kullanılan gübre'!O105*'Gübre oranlar'!R$2</f>
        <v>0</v>
      </c>
      <c r="P105">
        <f>'Kullanılan gübre'!P105*'Gübre oranlar'!S$2</f>
        <v>1.1472500000000001</v>
      </c>
      <c r="Q105">
        <f>'Kullanılan gübre'!Q105*'Gübre oranlar'!T$2</f>
        <v>0</v>
      </c>
      <c r="R105">
        <f>'Kullanılan gübre'!R105*'Gübre oranlar'!U$2</f>
        <v>0</v>
      </c>
      <c r="S105">
        <f>'Kullanılan gübre'!S105*'Gübre oranlar'!V$2</f>
        <v>6.5875000000000003E-2</v>
      </c>
      <c r="T105">
        <f>'Kullanılan gübre'!T105*'Gübre oranlar'!W$2</f>
        <v>48.561500000000002</v>
      </c>
      <c r="U105">
        <f>'Kullanılan gübre'!U105*'Gübre oranlar'!X$2</f>
        <v>0</v>
      </c>
      <c r="V105">
        <f>'Kullanılan gübre'!V105*'Gübre oranlar'!Y$2</f>
        <v>0</v>
      </c>
      <c r="W105">
        <f>'Kullanılan gübre'!W105*'Gübre oranlar'!Z$2</f>
        <v>0</v>
      </c>
      <c r="X105">
        <f>'Kullanılan gübre'!X105*'Gübre oranlar'!AA$2</f>
        <v>0</v>
      </c>
      <c r="Y105">
        <f>'Kullanılan gübre'!Y105*'Gübre oranlar'!AB$2</f>
        <v>0</v>
      </c>
      <c r="Z105">
        <f>'Kullanılan gübre'!Z105*'Gübre oranlar'!AC$2</f>
        <v>0</v>
      </c>
      <c r="AA105">
        <f>'Kullanılan gübre'!AA105*'Gübre oranlar'!AD$2</f>
        <v>0</v>
      </c>
      <c r="AB105">
        <f>'Kullanılan gübre'!AB105*'Gübre oranlar'!AE$2</f>
        <v>0.63300000000000001</v>
      </c>
      <c r="AC105">
        <f>'Kullanılan gübre'!AC105*'Gübre oranlar'!AF$2</f>
        <v>0</v>
      </c>
      <c r="AD105">
        <f>'Kullanılan gübre'!AD105*'Gübre oranlar'!AG$2</f>
        <v>0</v>
      </c>
      <c r="AE105">
        <f>'Kullanılan gübre'!AE105*'Gübre oranlar'!AH$2</f>
        <v>0</v>
      </c>
      <c r="AF105">
        <f>'Kullanılan gübre'!AF105*'Gübre oranlar'!AI$2</f>
        <v>0</v>
      </c>
      <c r="AG105">
        <f>'Kullanılan gübre'!AG105*'Gübre oranlar'!AJ$2</f>
        <v>0</v>
      </c>
      <c r="AH105">
        <f>'Kullanılan gübre'!AH105*'Gübre oranlar'!AK$2</f>
        <v>0</v>
      </c>
      <c r="AI105">
        <f>'Kullanılan gübre'!AI105*'Gübre oranlar'!AL$2</f>
        <v>0</v>
      </c>
      <c r="AJ105">
        <f>'Kullanılan gübre'!AJ105*'Gübre oranlar'!AM$2</f>
        <v>0</v>
      </c>
      <c r="AK105">
        <f>'Kullanılan gübre'!AK105*'Gübre oranlar'!AN$2</f>
        <v>0</v>
      </c>
      <c r="AL105">
        <f>'Kullanılan gübre'!AL105*'Gübre oranlar'!AO$2</f>
        <v>0</v>
      </c>
      <c r="AM105">
        <f>'Kullanılan gübre'!AM105*'Gübre oranlar'!AP$2</f>
        <v>0</v>
      </c>
      <c r="AN105">
        <f>'Kullanılan gübre'!AN105*'Gübre oranlar'!AQ$2</f>
        <v>0</v>
      </c>
      <c r="AO105">
        <f>'Kullanılan gübre'!AO105*'Gübre oranlar'!AR$2</f>
        <v>0</v>
      </c>
      <c r="AP105">
        <f>'Kullanılan gübre'!AP105*'Gübre oranlar'!AS$2</f>
        <v>0</v>
      </c>
      <c r="AQ105">
        <f>'Kullanılan gübre'!AQ105*'Gübre oranlar'!AT$2</f>
        <v>0</v>
      </c>
      <c r="AR105">
        <f>'Kullanılan gübre'!AR105*'Gübre oranlar'!AU$2</f>
        <v>0</v>
      </c>
      <c r="AS105">
        <f>'Kullanılan gübre'!AS105*'Gübre oranlar'!AV$2</f>
        <v>0</v>
      </c>
      <c r="AT105">
        <f>'Kullanılan gübre'!AT105*'Gübre oranlar'!AW$2</f>
        <v>0</v>
      </c>
      <c r="AU105">
        <f>'Kullanılan gübre'!AU105*'Gübre oranlar'!AX$2</f>
        <v>0</v>
      </c>
      <c r="AV105">
        <f>'Kullanılan gübre'!AV105*'Gübre oranlar'!AY$2</f>
        <v>0</v>
      </c>
      <c r="AW105">
        <f t="shared" si="1"/>
        <v>1530.2846250000002</v>
      </c>
    </row>
    <row r="106" spans="1:49" hidden="1" x14ac:dyDescent="0.25">
      <c r="A106" t="str">
        <f>'Kullanılan gübre'!A106</f>
        <v>AK</v>
      </c>
      <c r="B106" t="str">
        <f>'Kullanılan gübre'!B106</f>
        <v>AFYONKARAHISAR</v>
      </c>
      <c r="C106" t="str">
        <f>'Kullanılan gübre'!C106</f>
        <v>COBANLAR</v>
      </c>
      <c r="D106">
        <f>'Kullanılan gübre'!D106</f>
        <v>2016</v>
      </c>
      <c r="E106">
        <f>'Kullanılan gübre'!E106*'Gübre oranlar'!H$2</f>
        <v>13.02</v>
      </c>
      <c r="F106">
        <f>'Kullanılan gübre'!F106*'Gübre oranlar'!I$2</f>
        <v>4.9400000000000004</v>
      </c>
      <c r="G106">
        <f>'Kullanılan gübre'!G106*'Gübre oranlar'!J$2</f>
        <v>121.32450000000001</v>
      </c>
      <c r="H106">
        <f>'Kullanılan gübre'!H106*'Gübre oranlar'!K$2</f>
        <v>147.47600000000003</v>
      </c>
      <c r="I106">
        <f>'Kullanılan gübre'!I106*'Gübre oranlar'!L$2</f>
        <v>0</v>
      </c>
      <c r="J106">
        <f>'Kullanılan gübre'!J106*'Gübre oranlar'!M$2</f>
        <v>132.77700000000002</v>
      </c>
      <c r="K106">
        <f>'Kullanılan gübre'!K106*'Gübre oranlar'!N$2</f>
        <v>13.8</v>
      </c>
      <c r="L106">
        <f>'Kullanılan gübre'!L106*'Gübre oranlar'!O$2</f>
        <v>56.69</v>
      </c>
      <c r="M106">
        <f>'Kullanılan gübre'!M106*'Gübre oranlar'!P$2</f>
        <v>0</v>
      </c>
      <c r="N106">
        <f>'Kullanılan gübre'!N106*'Gübre oranlar'!Q$2</f>
        <v>26.932500000000005</v>
      </c>
      <c r="O106">
        <f>'Kullanılan gübre'!O106*'Gübre oranlar'!R$2</f>
        <v>0</v>
      </c>
      <c r="P106">
        <f>'Kullanılan gübre'!P106*'Gübre oranlar'!S$2</f>
        <v>0.20799999999999999</v>
      </c>
      <c r="Q106">
        <f>'Kullanılan gübre'!Q106*'Gübre oranlar'!T$2</f>
        <v>0</v>
      </c>
      <c r="R106">
        <f>'Kullanılan gübre'!R106*'Gübre oranlar'!U$2</f>
        <v>0</v>
      </c>
      <c r="S106">
        <f>'Kullanılan gübre'!S106*'Gübre oranlar'!V$2</f>
        <v>0</v>
      </c>
      <c r="T106">
        <f>'Kullanılan gübre'!T106*'Gübre oranlar'!W$2</f>
        <v>18.252000000000002</v>
      </c>
      <c r="U106">
        <f>'Kullanılan gübre'!U106*'Gübre oranlar'!X$2</f>
        <v>0</v>
      </c>
      <c r="V106">
        <f>'Kullanılan gübre'!V106*'Gübre oranlar'!Y$2</f>
        <v>0</v>
      </c>
      <c r="W106">
        <f>'Kullanılan gübre'!W106*'Gübre oranlar'!Z$2</f>
        <v>0</v>
      </c>
      <c r="X106">
        <f>'Kullanılan gübre'!X106*'Gübre oranlar'!AA$2</f>
        <v>0</v>
      </c>
      <c r="Y106">
        <f>'Kullanılan gübre'!Y106*'Gübre oranlar'!AB$2</f>
        <v>0</v>
      </c>
      <c r="Z106">
        <f>'Kullanılan gübre'!Z106*'Gübre oranlar'!AC$2</f>
        <v>0</v>
      </c>
      <c r="AA106">
        <f>'Kullanılan gübre'!AA106*'Gübre oranlar'!AD$2</f>
        <v>0</v>
      </c>
      <c r="AB106">
        <f>'Kullanılan gübre'!AB106*'Gübre oranlar'!AE$2</f>
        <v>0</v>
      </c>
      <c r="AC106">
        <f>'Kullanılan gübre'!AC106*'Gübre oranlar'!AF$2</f>
        <v>0</v>
      </c>
      <c r="AD106">
        <f>'Kullanılan gübre'!AD106*'Gübre oranlar'!AG$2</f>
        <v>0</v>
      </c>
      <c r="AE106">
        <f>'Kullanılan gübre'!AE106*'Gübre oranlar'!AH$2</f>
        <v>0</v>
      </c>
      <c r="AF106">
        <f>'Kullanılan gübre'!AF106*'Gübre oranlar'!AI$2</f>
        <v>0</v>
      </c>
      <c r="AG106">
        <f>'Kullanılan gübre'!AG106*'Gübre oranlar'!AJ$2</f>
        <v>0</v>
      </c>
      <c r="AH106">
        <f>'Kullanılan gübre'!AH106*'Gübre oranlar'!AK$2</f>
        <v>0</v>
      </c>
      <c r="AI106">
        <f>'Kullanılan gübre'!AI106*'Gübre oranlar'!AL$2</f>
        <v>0</v>
      </c>
      <c r="AJ106">
        <f>'Kullanılan gübre'!AJ106*'Gübre oranlar'!AM$2</f>
        <v>0</v>
      </c>
      <c r="AK106">
        <f>'Kullanılan gübre'!AK106*'Gübre oranlar'!AN$2</f>
        <v>0</v>
      </c>
      <c r="AL106">
        <f>'Kullanılan gübre'!AL106*'Gübre oranlar'!AO$2</f>
        <v>0</v>
      </c>
      <c r="AM106">
        <f>'Kullanılan gübre'!AM106*'Gübre oranlar'!AP$2</f>
        <v>0</v>
      </c>
      <c r="AN106">
        <f>'Kullanılan gübre'!AN106*'Gübre oranlar'!AQ$2</f>
        <v>0</v>
      </c>
      <c r="AO106">
        <f>'Kullanılan gübre'!AO106*'Gübre oranlar'!AR$2</f>
        <v>0</v>
      </c>
      <c r="AP106">
        <f>'Kullanılan gübre'!AP106*'Gübre oranlar'!AS$2</f>
        <v>0</v>
      </c>
      <c r="AQ106">
        <f>'Kullanılan gübre'!AQ106*'Gübre oranlar'!AT$2</f>
        <v>0</v>
      </c>
      <c r="AR106">
        <f>'Kullanılan gübre'!AR106*'Gübre oranlar'!AU$2</f>
        <v>0</v>
      </c>
      <c r="AS106">
        <f>'Kullanılan gübre'!AS106*'Gübre oranlar'!AV$2</f>
        <v>0</v>
      </c>
      <c r="AT106">
        <f>'Kullanılan gübre'!AT106*'Gübre oranlar'!AW$2</f>
        <v>0</v>
      </c>
      <c r="AU106">
        <f>'Kullanılan gübre'!AU106*'Gübre oranlar'!AX$2</f>
        <v>0</v>
      </c>
      <c r="AV106">
        <f>'Kullanılan gübre'!AV106*'Gübre oranlar'!AY$2</f>
        <v>0</v>
      </c>
      <c r="AW106">
        <f t="shared" si="1"/>
        <v>535.41999999999996</v>
      </c>
    </row>
    <row r="107" spans="1:49" hidden="1" x14ac:dyDescent="0.25">
      <c r="A107" t="str">
        <f>'Kullanılan gübre'!A107</f>
        <v>AK</v>
      </c>
      <c r="B107" t="str">
        <f>'Kullanılan gübre'!B107</f>
        <v>AFYONKARAHISAR</v>
      </c>
      <c r="C107" t="str">
        <f>'Kullanılan gübre'!C107</f>
        <v>IHSANIYE</v>
      </c>
      <c r="D107">
        <f>'Kullanılan gübre'!D107</f>
        <v>2016</v>
      </c>
      <c r="E107">
        <f>'Kullanılan gübre'!E107*'Gübre oranlar'!H$2</f>
        <v>18.322499999999998</v>
      </c>
      <c r="F107">
        <f>'Kullanılan gübre'!F107*'Gübre oranlar'!I$2</f>
        <v>6.5</v>
      </c>
      <c r="G107">
        <f>'Kullanılan gübre'!G107*'Gübre oranlar'!J$2</f>
        <v>181.33500000000001</v>
      </c>
      <c r="H107">
        <f>'Kullanılan gübre'!H107*'Gübre oranlar'!K$2</f>
        <v>402.96000000000004</v>
      </c>
      <c r="I107">
        <f>'Kullanılan gübre'!I107*'Gübre oranlar'!L$2</f>
        <v>0</v>
      </c>
      <c r="J107">
        <f>'Kullanılan gübre'!J107*'Gübre oranlar'!M$2</f>
        <v>130.779</v>
      </c>
      <c r="K107">
        <f>'Kullanılan gübre'!K107*'Gübre oranlar'!N$2</f>
        <v>86.2</v>
      </c>
      <c r="L107">
        <f>'Kullanılan gübre'!L107*'Gübre oranlar'!O$2</f>
        <v>80.430000000000007</v>
      </c>
      <c r="M107">
        <f>'Kullanılan gübre'!M107*'Gübre oranlar'!P$2</f>
        <v>0</v>
      </c>
      <c r="N107">
        <f>'Kullanılan gübre'!N107*'Gübre oranlar'!Q$2</f>
        <v>19.5</v>
      </c>
      <c r="O107">
        <f>'Kullanılan gübre'!O107*'Gübre oranlar'!R$2</f>
        <v>0</v>
      </c>
      <c r="P107">
        <f>'Kullanılan gübre'!P107*'Gübre oranlar'!S$2</f>
        <v>0</v>
      </c>
      <c r="Q107">
        <f>'Kullanılan gübre'!Q107*'Gübre oranlar'!T$2</f>
        <v>8.91</v>
      </c>
      <c r="R107">
        <f>'Kullanılan gübre'!R107*'Gübre oranlar'!U$2</f>
        <v>0</v>
      </c>
      <c r="S107">
        <f>'Kullanılan gübre'!S107*'Gübre oranlar'!V$2</f>
        <v>0</v>
      </c>
      <c r="T107">
        <f>'Kullanılan gübre'!T107*'Gübre oranlar'!W$2</f>
        <v>52.305500000000002</v>
      </c>
      <c r="U107">
        <f>'Kullanılan gübre'!U107*'Gübre oranlar'!X$2</f>
        <v>0</v>
      </c>
      <c r="V107">
        <f>'Kullanılan gübre'!V107*'Gübre oranlar'!Y$2</f>
        <v>0.13999999999999999</v>
      </c>
      <c r="W107">
        <f>'Kullanılan gübre'!W107*'Gübre oranlar'!Z$2</f>
        <v>0</v>
      </c>
      <c r="X107">
        <f>'Kullanılan gübre'!X107*'Gübre oranlar'!AA$2</f>
        <v>0</v>
      </c>
      <c r="Y107">
        <f>'Kullanılan gübre'!Y107*'Gübre oranlar'!AB$2</f>
        <v>0</v>
      </c>
      <c r="Z107">
        <f>'Kullanılan gübre'!Z107*'Gübre oranlar'!AC$2</f>
        <v>0</v>
      </c>
      <c r="AA107">
        <f>'Kullanılan gübre'!AA107*'Gübre oranlar'!AD$2</f>
        <v>0</v>
      </c>
      <c r="AB107">
        <f>'Kullanılan gübre'!AB107*'Gübre oranlar'!AE$2</f>
        <v>0</v>
      </c>
      <c r="AC107">
        <f>'Kullanılan gübre'!AC107*'Gübre oranlar'!AF$2</f>
        <v>0</v>
      </c>
      <c r="AD107">
        <f>'Kullanılan gübre'!AD107*'Gübre oranlar'!AG$2</f>
        <v>0</v>
      </c>
      <c r="AE107">
        <f>'Kullanılan gübre'!AE107*'Gübre oranlar'!AH$2</f>
        <v>0</v>
      </c>
      <c r="AF107">
        <f>'Kullanılan gübre'!AF107*'Gübre oranlar'!AI$2</f>
        <v>0</v>
      </c>
      <c r="AG107">
        <f>'Kullanılan gübre'!AG107*'Gübre oranlar'!AJ$2</f>
        <v>0</v>
      </c>
      <c r="AH107">
        <f>'Kullanılan gübre'!AH107*'Gübre oranlar'!AK$2</f>
        <v>0</v>
      </c>
      <c r="AI107">
        <f>'Kullanılan gübre'!AI107*'Gübre oranlar'!AL$2</f>
        <v>0</v>
      </c>
      <c r="AJ107">
        <f>'Kullanılan gübre'!AJ107*'Gübre oranlar'!AM$2</f>
        <v>0</v>
      </c>
      <c r="AK107">
        <f>'Kullanılan gübre'!AK107*'Gübre oranlar'!AN$2</f>
        <v>0</v>
      </c>
      <c r="AL107">
        <f>'Kullanılan gübre'!AL107*'Gübre oranlar'!AO$2</f>
        <v>0</v>
      </c>
      <c r="AM107">
        <f>'Kullanılan gübre'!AM107*'Gübre oranlar'!AP$2</f>
        <v>0</v>
      </c>
      <c r="AN107">
        <f>'Kullanılan gübre'!AN107*'Gübre oranlar'!AQ$2</f>
        <v>0</v>
      </c>
      <c r="AO107">
        <f>'Kullanılan gübre'!AO107*'Gübre oranlar'!AR$2</f>
        <v>0</v>
      </c>
      <c r="AP107">
        <f>'Kullanılan gübre'!AP107*'Gübre oranlar'!AS$2</f>
        <v>0</v>
      </c>
      <c r="AQ107">
        <f>'Kullanılan gübre'!AQ107*'Gübre oranlar'!AT$2</f>
        <v>0</v>
      </c>
      <c r="AR107">
        <f>'Kullanılan gübre'!AR107*'Gübre oranlar'!AU$2</f>
        <v>0</v>
      </c>
      <c r="AS107">
        <f>'Kullanılan gübre'!AS107*'Gübre oranlar'!AV$2</f>
        <v>0</v>
      </c>
      <c r="AT107">
        <f>'Kullanılan gübre'!AT107*'Gübre oranlar'!AW$2</f>
        <v>0</v>
      </c>
      <c r="AU107">
        <f>'Kullanılan gübre'!AU107*'Gübre oranlar'!AX$2</f>
        <v>0</v>
      </c>
      <c r="AV107">
        <f>'Kullanılan gübre'!AV107*'Gübre oranlar'!AY$2</f>
        <v>0</v>
      </c>
      <c r="AW107">
        <f t="shared" si="1"/>
        <v>987.38200000000018</v>
      </c>
    </row>
    <row r="108" spans="1:49" hidden="1" x14ac:dyDescent="0.25">
      <c r="A108" t="str">
        <f>'Kullanılan gübre'!A108</f>
        <v>AK</v>
      </c>
      <c r="B108" t="str">
        <f>'Kullanılan gübre'!B108</f>
        <v>AFYONKARAHISAR</v>
      </c>
      <c r="C108" t="str">
        <f>'Kullanılan gübre'!C108</f>
        <v>ISCEHISAR</v>
      </c>
      <c r="D108">
        <f>'Kullanılan gübre'!D108</f>
        <v>2016</v>
      </c>
      <c r="E108">
        <f>'Kullanılan gübre'!E108*'Gübre oranlar'!H$2</f>
        <v>0</v>
      </c>
      <c r="F108">
        <f>'Kullanılan gübre'!F108*'Gübre oranlar'!I$2</f>
        <v>49.998000000000012</v>
      </c>
      <c r="G108">
        <f>'Kullanılan gübre'!G108*'Gübre oranlar'!J$2</f>
        <v>0</v>
      </c>
      <c r="H108">
        <f>'Kullanılan gübre'!H108*'Gübre oranlar'!K$2</f>
        <v>0.98899999999999999</v>
      </c>
      <c r="I108">
        <f>'Kullanılan gübre'!I108*'Gübre oranlar'!L$2</f>
        <v>0</v>
      </c>
      <c r="J108">
        <f>'Kullanılan gübre'!J108*'Gübre oranlar'!M$2</f>
        <v>21.599999999999998</v>
      </c>
      <c r="K108">
        <f>'Kullanılan gübre'!K108*'Gübre oranlar'!N$2</f>
        <v>0</v>
      </c>
      <c r="L108">
        <f>'Kullanılan gübre'!L108*'Gübre oranlar'!O$2</f>
        <v>8.2000000000000011</v>
      </c>
      <c r="M108">
        <f>'Kullanılan gübre'!M108*'Gübre oranlar'!P$2</f>
        <v>0</v>
      </c>
      <c r="N108">
        <f>'Kullanılan gübre'!N108*'Gübre oranlar'!Q$2</f>
        <v>0</v>
      </c>
      <c r="O108">
        <f>'Kullanılan gübre'!O108*'Gübre oranlar'!R$2</f>
        <v>0</v>
      </c>
      <c r="P108">
        <f>'Kullanılan gübre'!P108*'Gübre oranlar'!S$2</f>
        <v>0</v>
      </c>
      <c r="Q108">
        <f>'Kullanılan gübre'!Q108*'Gübre oranlar'!T$2</f>
        <v>0</v>
      </c>
      <c r="R108">
        <f>'Kullanılan gübre'!R108*'Gübre oranlar'!U$2</f>
        <v>0</v>
      </c>
      <c r="S108">
        <f>'Kullanılan gübre'!S108*'Gübre oranlar'!V$2</f>
        <v>0</v>
      </c>
      <c r="T108">
        <f>'Kullanılan gübre'!T108*'Gübre oranlar'!W$2</f>
        <v>26.858000000000001</v>
      </c>
      <c r="U108">
        <f>'Kullanılan gübre'!U108*'Gübre oranlar'!X$2</f>
        <v>0</v>
      </c>
      <c r="V108">
        <f>'Kullanılan gübre'!V108*'Gübre oranlar'!Y$2</f>
        <v>0</v>
      </c>
      <c r="W108">
        <f>'Kullanılan gübre'!W108*'Gübre oranlar'!Z$2</f>
        <v>0</v>
      </c>
      <c r="X108">
        <f>'Kullanılan gübre'!X108*'Gübre oranlar'!AA$2</f>
        <v>0</v>
      </c>
      <c r="Y108">
        <f>'Kullanılan gübre'!Y108*'Gübre oranlar'!AB$2</f>
        <v>0</v>
      </c>
      <c r="Z108">
        <f>'Kullanılan gübre'!Z108*'Gübre oranlar'!AC$2</f>
        <v>0</v>
      </c>
      <c r="AA108">
        <f>'Kullanılan gübre'!AA108*'Gübre oranlar'!AD$2</f>
        <v>0</v>
      </c>
      <c r="AB108">
        <f>'Kullanılan gübre'!AB108*'Gübre oranlar'!AE$2</f>
        <v>0</v>
      </c>
      <c r="AC108">
        <f>'Kullanılan gübre'!AC108*'Gübre oranlar'!AF$2</f>
        <v>0</v>
      </c>
      <c r="AD108">
        <f>'Kullanılan gübre'!AD108*'Gübre oranlar'!AG$2</f>
        <v>0</v>
      </c>
      <c r="AE108">
        <f>'Kullanılan gübre'!AE108*'Gübre oranlar'!AH$2</f>
        <v>0</v>
      </c>
      <c r="AF108">
        <f>'Kullanılan gübre'!AF108*'Gübre oranlar'!AI$2</f>
        <v>0</v>
      </c>
      <c r="AG108">
        <f>'Kullanılan gübre'!AG108*'Gübre oranlar'!AJ$2</f>
        <v>0</v>
      </c>
      <c r="AH108">
        <f>'Kullanılan gübre'!AH108*'Gübre oranlar'!AK$2</f>
        <v>0</v>
      </c>
      <c r="AI108">
        <f>'Kullanılan gübre'!AI108*'Gübre oranlar'!AL$2</f>
        <v>0</v>
      </c>
      <c r="AJ108">
        <f>'Kullanılan gübre'!AJ108*'Gübre oranlar'!AM$2</f>
        <v>0</v>
      </c>
      <c r="AK108">
        <f>'Kullanılan gübre'!AK108*'Gübre oranlar'!AN$2</f>
        <v>0</v>
      </c>
      <c r="AL108">
        <f>'Kullanılan gübre'!AL108*'Gübre oranlar'!AO$2</f>
        <v>0</v>
      </c>
      <c r="AM108">
        <f>'Kullanılan gübre'!AM108*'Gübre oranlar'!AP$2</f>
        <v>0</v>
      </c>
      <c r="AN108">
        <f>'Kullanılan gübre'!AN108*'Gübre oranlar'!AQ$2</f>
        <v>0</v>
      </c>
      <c r="AO108">
        <f>'Kullanılan gübre'!AO108*'Gübre oranlar'!AR$2</f>
        <v>0</v>
      </c>
      <c r="AP108">
        <f>'Kullanılan gübre'!AP108*'Gübre oranlar'!AS$2</f>
        <v>0</v>
      </c>
      <c r="AQ108">
        <f>'Kullanılan gübre'!AQ108*'Gübre oranlar'!AT$2</f>
        <v>0</v>
      </c>
      <c r="AR108">
        <f>'Kullanılan gübre'!AR108*'Gübre oranlar'!AU$2</f>
        <v>0</v>
      </c>
      <c r="AS108">
        <f>'Kullanılan gübre'!AS108*'Gübre oranlar'!AV$2</f>
        <v>0</v>
      </c>
      <c r="AT108">
        <f>'Kullanılan gübre'!AT108*'Gübre oranlar'!AW$2</f>
        <v>0</v>
      </c>
      <c r="AU108">
        <f>'Kullanılan gübre'!AU108*'Gübre oranlar'!AX$2</f>
        <v>0</v>
      </c>
      <c r="AV108">
        <f>'Kullanılan gübre'!AV108*'Gübre oranlar'!AY$2</f>
        <v>0</v>
      </c>
      <c r="AW108">
        <f t="shared" si="1"/>
        <v>107.64500000000001</v>
      </c>
    </row>
    <row r="109" spans="1:49" hidden="1" x14ac:dyDescent="0.25">
      <c r="A109" t="str">
        <f>'Kullanılan gübre'!A109</f>
        <v>AK</v>
      </c>
      <c r="B109" t="str">
        <f>'Kullanılan gübre'!B109</f>
        <v>AFYONKARAHISAR</v>
      </c>
      <c r="C109" t="str">
        <f>'Kullanılan gübre'!C109</f>
        <v>SINANPASA</v>
      </c>
      <c r="D109">
        <f>'Kullanılan gübre'!D109</f>
        <v>2016</v>
      </c>
      <c r="E109">
        <f>'Kullanılan gübre'!E109*'Gübre oranlar'!H$2</f>
        <v>25.126499999999993</v>
      </c>
      <c r="F109">
        <f>'Kullanılan gübre'!F109*'Gübre oranlar'!I$2</f>
        <v>364.18200000000002</v>
      </c>
      <c r="G109">
        <f>'Kullanılan gübre'!G109*'Gübre oranlar'!J$2</f>
        <v>365.19450000000006</v>
      </c>
      <c r="H109">
        <f>'Kullanılan gübre'!H109*'Gübre oranlar'!K$2</f>
        <v>154.744</v>
      </c>
      <c r="I109">
        <f>'Kullanılan gübre'!I109*'Gübre oranlar'!L$2</f>
        <v>0</v>
      </c>
      <c r="J109">
        <f>'Kullanılan gübre'!J109*'Gübre oranlar'!M$2</f>
        <v>233.94599999999997</v>
      </c>
      <c r="K109">
        <f>'Kullanılan gübre'!K109*'Gübre oranlar'!N$2</f>
        <v>42.509999999999991</v>
      </c>
      <c r="L109">
        <f>'Kullanılan gübre'!L109*'Gübre oranlar'!O$2</f>
        <v>115.80200000000001</v>
      </c>
      <c r="M109">
        <f>'Kullanılan gübre'!M109*'Gübre oranlar'!P$2</f>
        <v>7.8</v>
      </c>
      <c r="N109">
        <f>'Kullanılan gübre'!N109*'Gübre oranlar'!Q$2</f>
        <v>28.71</v>
      </c>
      <c r="O109">
        <f>'Kullanılan gübre'!O109*'Gübre oranlar'!R$2</f>
        <v>0</v>
      </c>
      <c r="P109">
        <f>'Kullanılan gübre'!P109*'Gübre oranlar'!S$2</f>
        <v>0</v>
      </c>
      <c r="Q109">
        <f>'Kullanılan gübre'!Q109*'Gübre oranlar'!T$2</f>
        <v>1.08</v>
      </c>
      <c r="R109">
        <f>'Kullanılan gübre'!R109*'Gübre oranlar'!U$2</f>
        <v>0</v>
      </c>
      <c r="S109">
        <f>'Kullanılan gübre'!S109*'Gübre oranlar'!V$2</f>
        <v>0</v>
      </c>
      <c r="T109">
        <f>'Kullanılan gübre'!T109*'Gübre oranlar'!W$2</f>
        <v>50.985999999999997</v>
      </c>
      <c r="U109">
        <f>'Kullanılan gübre'!U109*'Gübre oranlar'!X$2</f>
        <v>0</v>
      </c>
      <c r="V109">
        <f>'Kullanılan gübre'!V109*'Gübre oranlar'!Y$2</f>
        <v>4.3949999999999996</v>
      </c>
      <c r="W109">
        <f>'Kullanılan gübre'!W109*'Gübre oranlar'!Z$2</f>
        <v>0</v>
      </c>
      <c r="X109">
        <f>'Kullanılan gübre'!X109*'Gübre oranlar'!AA$2</f>
        <v>0</v>
      </c>
      <c r="Y109">
        <f>'Kullanılan gübre'!Y109*'Gübre oranlar'!AB$2</f>
        <v>0</v>
      </c>
      <c r="Z109">
        <f>'Kullanılan gübre'!Z109*'Gübre oranlar'!AC$2</f>
        <v>0</v>
      </c>
      <c r="AA109">
        <f>'Kullanılan gübre'!AA109*'Gübre oranlar'!AD$2</f>
        <v>0</v>
      </c>
      <c r="AB109">
        <f>'Kullanılan gübre'!AB109*'Gübre oranlar'!AE$2</f>
        <v>1.4999999999999999E-2</v>
      </c>
      <c r="AC109">
        <f>'Kullanılan gübre'!AC109*'Gübre oranlar'!AF$2</f>
        <v>0</v>
      </c>
      <c r="AD109">
        <f>'Kullanılan gübre'!AD109*'Gübre oranlar'!AG$2</f>
        <v>0</v>
      </c>
      <c r="AE109">
        <f>'Kullanılan gübre'!AE109*'Gübre oranlar'!AH$2</f>
        <v>0</v>
      </c>
      <c r="AF109">
        <f>'Kullanılan gübre'!AF109*'Gübre oranlar'!AI$2</f>
        <v>0</v>
      </c>
      <c r="AG109">
        <f>'Kullanılan gübre'!AG109*'Gübre oranlar'!AJ$2</f>
        <v>0</v>
      </c>
      <c r="AH109">
        <f>'Kullanılan gübre'!AH109*'Gübre oranlar'!AK$2</f>
        <v>0</v>
      </c>
      <c r="AI109">
        <f>'Kullanılan gübre'!AI109*'Gübre oranlar'!AL$2</f>
        <v>0</v>
      </c>
      <c r="AJ109">
        <f>'Kullanılan gübre'!AJ109*'Gübre oranlar'!AM$2</f>
        <v>0</v>
      </c>
      <c r="AK109">
        <f>'Kullanılan gübre'!AK109*'Gübre oranlar'!AN$2</f>
        <v>0</v>
      </c>
      <c r="AL109">
        <f>'Kullanılan gübre'!AL109*'Gübre oranlar'!AO$2</f>
        <v>0</v>
      </c>
      <c r="AM109">
        <f>'Kullanılan gübre'!AM109*'Gübre oranlar'!AP$2</f>
        <v>0</v>
      </c>
      <c r="AN109">
        <f>'Kullanılan gübre'!AN109*'Gübre oranlar'!AQ$2</f>
        <v>0</v>
      </c>
      <c r="AO109">
        <f>'Kullanılan gübre'!AO109*'Gübre oranlar'!AR$2</f>
        <v>0</v>
      </c>
      <c r="AP109">
        <f>'Kullanılan gübre'!AP109*'Gübre oranlar'!AS$2</f>
        <v>0</v>
      </c>
      <c r="AQ109">
        <f>'Kullanılan gübre'!AQ109*'Gübre oranlar'!AT$2</f>
        <v>0</v>
      </c>
      <c r="AR109">
        <f>'Kullanılan gübre'!AR109*'Gübre oranlar'!AU$2</f>
        <v>0</v>
      </c>
      <c r="AS109">
        <f>'Kullanılan gübre'!AS109*'Gübre oranlar'!AV$2</f>
        <v>0</v>
      </c>
      <c r="AT109">
        <f>'Kullanılan gübre'!AT109*'Gübre oranlar'!AW$2</f>
        <v>0</v>
      </c>
      <c r="AU109">
        <f>'Kullanılan gübre'!AU109*'Gübre oranlar'!AX$2</f>
        <v>0</v>
      </c>
      <c r="AV109">
        <f>'Kullanılan gübre'!AV109*'Gübre oranlar'!AY$2</f>
        <v>0</v>
      </c>
      <c r="AW109">
        <f t="shared" si="1"/>
        <v>1394.491</v>
      </c>
    </row>
    <row r="110" spans="1:49" hidden="1" x14ac:dyDescent="0.25">
      <c r="A110" t="str">
        <f>'Kullanılan gübre'!A110</f>
        <v>AK</v>
      </c>
      <c r="B110" t="str">
        <f>'Kullanılan gübre'!B110</f>
        <v>AFYONKARAHISAR</v>
      </c>
      <c r="C110" t="str">
        <f>'Kullanılan gübre'!C110</f>
        <v>SULTANDAGI</v>
      </c>
      <c r="D110">
        <f>'Kullanılan gübre'!D110</f>
        <v>2016</v>
      </c>
      <c r="E110">
        <f>'Kullanılan gübre'!E110*'Gübre oranlar'!H$2</f>
        <v>0.42</v>
      </c>
      <c r="F110">
        <f>'Kullanılan gübre'!F110*'Gübre oranlar'!I$2</f>
        <v>25.506</v>
      </c>
      <c r="G110">
        <f>'Kullanılan gübre'!G110*'Gübre oranlar'!J$2</f>
        <v>43.692000000000007</v>
      </c>
      <c r="H110">
        <f>'Kullanılan gübre'!H110*'Gübre oranlar'!K$2</f>
        <v>0</v>
      </c>
      <c r="I110">
        <f>'Kullanılan gübre'!I110*'Gübre oranlar'!L$2</f>
        <v>0</v>
      </c>
      <c r="J110">
        <f>'Kullanılan gübre'!J110*'Gübre oranlar'!M$2</f>
        <v>0</v>
      </c>
      <c r="K110">
        <f>'Kullanılan gübre'!K110*'Gübre oranlar'!N$2</f>
        <v>0</v>
      </c>
      <c r="L110">
        <f>'Kullanılan gübre'!L110*'Gübre oranlar'!O$2</f>
        <v>0</v>
      </c>
      <c r="M110">
        <f>'Kullanılan gübre'!M110*'Gübre oranlar'!P$2</f>
        <v>0</v>
      </c>
      <c r="N110">
        <f>'Kullanılan gübre'!N110*'Gübre oranlar'!Q$2</f>
        <v>0.75</v>
      </c>
      <c r="O110">
        <f>'Kullanılan gübre'!O110*'Gübre oranlar'!R$2</f>
        <v>0</v>
      </c>
      <c r="P110">
        <f>'Kullanılan gübre'!P110*'Gübre oranlar'!S$2</f>
        <v>1.2090000000000001</v>
      </c>
      <c r="Q110">
        <f>'Kullanılan gübre'!Q110*'Gübre oranlar'!T$2</f>
        <v>0</v>
      </c>
      <c r="R110">
        <f>'Kullanılan gübre'!R110*'Gübre oranlar'!U$2</f>
        <v>0</v>
      </c>
      <c r="S110">
        <f>'Kullanılan gübre'!S110*'Gübre oranlar'!V$2</f>
        <v>0</v>
      </c>
      <c r="T110">
        <f>'Kullanılan gübre'!T110*'Gübre oranlar'!W$2</f>
        <v>0.65</v>
      </c>
      <c r="U110">
        <f>'Kullanılan gübre'!U110*'Gübre oranlar'!X$2</f>
        <v>0</v>
      </c>
      <c r="V110">
        <f>'Kullanılan gübre'!V110*'Gübre oranlar'!Y$2</f>
        <v>0</v>
      </c>
      <c r="W110">
        <f>'Kullanılan gübre'!W110*'Gübre oranlar'!Z$2</f>
        <v>0</v>
      </c>
      <c r="X110">
        <f>'Kullanılan gübre'!X110*'Gübre oranlar'!AA$2</f>
        <v>0</v>
      </c>
      <c r="Y110">
        <f>'Kullanılan gübre'!Y110*'Gübre oranlar'!AB$2</f>
        <v>0</v>
      </c>
      <c r="Z110">
        <f>'Kullanılan gübre'!Z110*'Gübre oranlar'!AC$2</f>
        <v>0</v>
      </c>
      <c r="AA110">
        <f>'Kullanılan gübre'!AA110*'Gübre oranlar'!AD$2</f>
        <v>0</v>
      </c>
      <c r="AB110">
        <f>'Kullanılan gübre'!AB110*'Gübre oranlar'!AE$2</f>
        <v>0</v>
      </c>
      <c r="AC110">
        <f>'Kullanılan gübre'!AC110*'Gübre oranlar'!AF$2</f>
        <v>0</v>
      </c>
      <c r="AD110">
        <f>'Kullanılan gübre'!AD110*'Gübre oranlar'!AG$2</f>
        <v>0</v>
      </c>
      <c r="AE110">
        <f>'Kullanılan gübre'!AE110*'Gübre oranlar'!AH$2</f>
        <v>0</v>
      </c>
      <c r="AF110">
        <f>'Kullanılan gübre'!AF110*'Gübre oranlar'!AI$2</f>
        <v>0</v>
      </c>
      <c r="AG110">
        <f>'Kullanılan gübre'!AG110*'Gübre oranlar'!AJ$2</f>
        <v>0</v>
      </c>
      <c r="AH110">
        <f>'Kullanılan gübre'!AH110*'Gübre oranlar'!AK$2</f>
        <v>0</v>
      </c>
      <c r="AI110">
        <f>'Kullanılan gübre'!AI110*'Gübre oranlar'!AL$2</f>
        <v>0</v>
      </c>
      <c r="AJ110">
        <f>'Kullanılan gübre'!AJ110*'Gübre oranlar'!AM$2</f>
        <v>0</v>
      </c>
      <c r="AK110">
        <f>'Kullanılan gübre'!AK110*'Gübre oranlar'!AN$2</f>
        <v>0</v>
      </c>
      <c r="AL110">
        <f>'Kullanılan gübre'!AL110*'Gübre oranlar'!AO$2</f>
        <v>0</v>
      </c>
      <c r="AM110">
        <f>'Kullanılan gübre'!AM110*'Gübre oranlar'!AP$2</f>
        <v>0</v>
      </c>
      <c r="AN110">
        <f>'Kullanılan gübre'!AN110*'Gübre oranlar'!AQ$2</f>
        <v>0</v>
      </c>
      <c r="AO110">
        <f>'Kullanılan gübre'!AO110*'Gübre oranlar'!AR$2</f>
        <v>0</v>
      </c>
      <c r="AP110">
        <f>'Kullanılan gübre'!AP110*'Gübre oranlar'!AS$2</f>
        <v>0</v>
      </c>
      <c r="AQ110">
        <f>'Kullanılan gübre'!AQ110*'Gübre oranlar'!AT$2</f>
        <v>0</v>
      </c>
      <c r="AR110">
        <f>'Kullanılan gübre'!AR110*'Gübre oranlar'!AU$2</f>
        <v>0</v>
      </c>
      <c r="AS110">
        <f>'Kullanılan gübre'!AS110*'Gübre oranlar'!AV$2</f>
        <v>0</v>
      </c>
      <c r="AT110">
        <f>'Kullanılan gübre'!AT110*'Gübre oranlar'!AW$2</f>
        <v>0</v>
      </c>
      <c r="AU110">
        <f>'Kullanılan gübre'!AU110*'Gübre oranlar'!AX$2</f>
        <v>0</v>
      </c>
      <c r="AV110">
        <f>'Kullanılan gübre'!AV110*'Gübre oranlar'!AY$2</f>
        <v>0</v>
      </c>
      <c r="AW110">
        <f t="shared" si="1"/>
        <v>72.227000000000018</v>
      </c>
    </row>
    <row r="111" spans="1:49" hidden="1" x14ac:dyDescent="0.25">
      <c r="A111" t="str">
        <f>'Kullanılan gübre'!A111</f>
        <v>AK</v>
      </c>
      <c r="B111" t="str">
        <f>'Kullanılan gübre'!B111</f>
        <v>AFYONKARAHISAR</v>
      </c>
      <c r="C111" t="str">
        <f>'Kullanılan gübre'!C111</f>
        <v>SUHUT</v>
      </c>
      <c r="D111">
        <f>'Kullanılan gübre'!D111</f>
        <v>2016</v>
      </c>
      <c r="E111">
        <f>'Kullanılan gübre'!E111*'Gübre oranlar'!H$2</f>
        <v>370.30349999999999</v>
      </c>
      <c r="F111">
        <f>'Kullanılan gübre'!F111*'Gübre oranlar'!I$2</f>
        <v>62.555999999999997</v>
      </c>
      <c r="G111">
        <f>'Kullanılan gübre'!G111*'Gübre oranlar'!J$2</f>
        <v>483.79649999999998</v>
      </c>
      <c r="H111">
        <f>'Kullanılan gübre'!H111*'Gübre oranlar'!K$2</f>
        <v>656.28200000000015</v>
      </c>
      <c r="I111">
        <f>'Kullanılan gübre'!I111*'Gübre oranlar'!L$2</f>
        <v>0</v>
      </c>
      <c r="J111">
        <f>'Kullanılan gübre'!J111*'Gübre oranlar'!M$2</f>
        <v>298.16100000000006</v>
      </c>
      <c r="K111">
        <f>'Kullanılan gübre'!K111*'Gübre oranlar'!N$2</f>
        <v>45.58</v>
      </c>
      <c r="L111">
        <f>'Kullanılan gübre'!L111*'Gübre oranlar'!O$2</f>
        <v>54.25500000000001</v>
      </c>
      <c r="M111">
        <f>'Kullanılan gübre'!M111*'Gübre oranlar'!P$2</f>
        <v>81.045000000000002</v>
      </c>
      <c r="N111">
        <f>'Kullanılan gübre'!N111*'Gübre oranlar'!Q$2</f>
        <v>184.02749999999997</v>
      </c>
      <c r="O111">
        <f>'Kullanılan gübre'!O111*'Gübre oranlar'!R$2</f>
        <v>0</v>
      </c>
      <c r="P111">
        <f>'Kullanılan gübre'!P111*'Gübre oranlar'!S$2</f>
        <v>0.33865000000000001</v>
      </c>
      <c r="Q111">
        <f>'Kullanılan gübre'!Q111*'Gübre oranlar'!T$2</f>
        <v>95.039999999999992</v>
      </c>
      <c r="R111">
        <f>'Kullanılan gübre'!R111*'Gübre oranlar'!U$2</f>
        <v>0</v>
      </c>
      <c r="S111">
        <f>'Kullanılan gübre'!S111*'Gübre oranlar'!V$2</f>
        <v>4.8243749999999999</v>
      </c>
      <c r="T111">
        <f>'Kullanılan gübre'!T111*'Gübre oranlar'!W$2</f>
        <v>18.999500000000001</v>
      </c>
      <c r="U111">
        <f>'Kullanılan gübre'!U111*'Gübre oranlar'!X$2</f>
        <v>0</v>
      </c>
      <c r="V111">
        <f>'Kullanılan gübre'!V111*'Gübre oranlar'!Y$2</f>
        <v>0</v>
      </c>
      <c r="W111">
        <f>'Kullanılan gübre'!W111*'Gübre oranlar'!Z$2</f>
        <v>0</v>
      </c>
      <c r="X111">
        <f>'Kullanılan gübre'!X111*'Gübre oranlar'!AA$2</f>
        <v>16.34</v>
      </c>
      <c r="Y111">
        <f>'Kullanılan gübre'!Y111*'Gübre oranlar'!AB$2</f>
        <v>0</v>
      </c>
      <c r="Z111">
        <f>'Kullanılan gübre'!Z111*'Gübre oranlar'!AC$2</f>
        <v>0</v>
      </c>
      <c r="AA111">
        <f>'Kullanılan gübre'!AA111*'Gübre oranlar'!AD$2</f>
        <v>0</v>
      </c>
      <c r="AB111">
        <f>'Kullanılan gübre'!AB111*'Gübre oranlar'!AE$2</f>
        <v>0</v>
      </c>
      <c r="AC111">
        <f>'Kullanılan gübre'!AC111*'Gübre oranlar'!AF$2</f>
        <v>0</v>
      </c>
      <c r="AD111">
        <f>'Kullanılan gübre'!AD111*'Gübre oranlar'!AG$2</f>
        <v>0</v>
      </c>
      <c r="AE111">
        <f>'Kullanılan gübre'!AE111*'Gübre oranlar'!AH$2</f>
        <v>8.5299999999999994</v>
      </c>
      <c r="AF111">
        <f>'Kullanılan gübre'!AF111*'Gübre oranlar'!AI$2</f>
        <v>0</v>
      </c>
      <c r="AG111">
        <f>'Kullanılan gübre'!AG111*'Gübre oranlar'!AJ$2</f>
        <v>0</v>
      </c>
      <c r="AH111">
        <f>'Kullanılan gübre'!AH111*'Gübre oranlar'!AK$2</f>
        <v>0</v>
      </c>
      <c r="AI111">
        <f>'Kullanılan gübre'!AI111*'Gübre oranlar'!AL$2</f>
        <v>0</v>
      </c>
      <c r="AJ111">
        <f>'Kullanılan gübre'!AJ111*'Gübre oranlar'!AM$2</f>
        <v>0</v>
      </c>
      <c r="AK111">
        <f>'Kullanılan gübre'!AK111*'Gübre oranlar'!AN$2</f>
        <v>0</v>
      </c>
      <c r="AL111">
        <f>'Kullanılan gübre'!AL111*'Gübre oranlar'!AO$2</f>
        <v>0</v>
      </c>
      <c r="AM111">
        <f>'Kullanılan gübre'!AM111*'Gübre oranlar'!AP$2</f>
        <v>0</v>
      </c>
      <c r="AN111">
        <f>'Kullanılan gübre'!AN111*'Gübre oranlar'!AQ$2</f>
        <v>0</v>
      </c>
      <c r="AO111">
        <f>'Kullanılan gübre'!AO111*'Gübre oranlar'!AR$2</f>
        <v>0</v>
      </c>
      <c r="AP111">
        <f>'Kullanılan gübre'!AP111*'Gübre oranlar'!AS$2</f>
        <v>0</v>
      </c>
      <c r="AQ111">
        <f>'Kullanılan gübre'!AQ111*'Gübre oranlar'!AT$2</f>
        <v>0</v>
      </c>
      <c r="AR111">
        <f>'Kullanılan gübre'!AR111*'Gübre oranlar'!AU$2</f>
        <v>0</v>
      </c>
      <c r="AS111">
        <f>'Kullanılan gübre'!AS111*'Gübre oranlar'!AV$2</f>
        <v>0</v>
      </c>
      <c r="AT111">
        <f>'Kullanılan gübre'!AT111*'Gübre oranlar'!AW$2</f>
        <v>0</v>
      </c>
      <c r="AU111">
        <f>'Kullanılan gübre'!AU111*'Gübre oranlar'!AX$2</f>
        <v>0</v>
      </c>
      <c r="AV111">
        <f>'Kullanılan gübre'!AV111*'Gübre oranlar'!AY$2</f>
        <v>0</v>
      </c>
      <c r="AW111">
        <f t="shared" si="1"/>
        <v>2380.0790250000009</v>
      </c>
    </row>
    <row r="112" spans="1:49" x14ac:dyDescent="0.25">
      <c r="A112" t="str">
        <f>'Kullanılan gübre'!A112</f>
        <v>AK</v>
      </c>
      <c r="B112" t="str">
        <f>'Kullanılan gübre'!B112</f>
        <v>AFYONKARAHISAR</v>
      </c>
      <c r="C112" t="str">
        <f>'Kullanılan gübre'!C112</f>
        <v>MERKEZ</v>
      </c>
      <c r="D112">
        <f>'Kullanılan gübre'!D112</f>
        <v>2017</v>
      </c>
      <c r="E112">
        <f>'Kullanılan gübre'!E112*'Gübre oranlar'!H$2</f>
        <v>104.56949999999999</v>
      </c>
      <c r="F112">
        <f>'Kullanılan gübre'!F112*'Gübre oranlar'!I$2</f>
        <v>1.9500000000000002</v>
      </c>
      <c r="G112">
        <f>'Kullanılan gübre'!G112*'Gübre oranlar'!J$2</f>
        <v>0</v>
      </c>
      <c r="H112">
        <f>'Kullanılan gübre'!H112*'Gübre oranlar'!K$2</f>
        <v>746.86980000000005</v>
      </c>
      <c r="I112">
        <f>'Kullanılan gübre'!I112*'Gübre oranlar'!L$2</f>
        <v>0</v>
      </c>
      <c r="J112">
        <f>'Kullanılan gübre'!J112*'Gübre oranlar'!M$2</f>
        <v>138.93299999999996</v>
      </c>
      <c r="K112">
        <f>'Kullanılan gübre'!K112*'Gübre oranlar'!N$2</f>
        <v>184.64999999999998</v>
      </c>
      <c r="L112">
        <f>'Kullanılan gübre'!L112*'Gübre oranlar'!O$2</f>
        <v>87.760000000000019</v>
      </c>
      <c r="M112">
        <f>'Kullanılan gübre'!M112*'Gübre oranlar'!P$2</f>
        <v>34.222499999999997</v>
      </c>
      <c r="N112">
        <f>'Kullanılan gübre'!N112*'Gübre oranlar'!Q$2</f>
        <v>135.11249999999998</v>
      </c>
      <c r="O112">
        <f>'Kullanılan gübre'!O112*'Gübre oranlar'!R$2</f>
        <v>0</v>
      </c>
      <c r="P112">
        <f>'Kullanılan gübre'!P112*'Gübre oranlar'!S$2</f>
        <v>3.7121499999999998</v>
      </c>
      <c r="Q112">
        <f>'Kullanılan gübre'!Q112*'Gübre oranlar'!T$2</f>
        <v>0</v>
      </c>
      <c r="R112">
        <f>'Kullanılan gübre'!R112*'Gübre oranlar'!U$2</f>
        <v>0</v>
      </c>
      <c r="S112">
        <f>'Kullanılan gübre'!S112*'Gübre oranlar'!V$2</f>
        <v>0.20150000000000001</v>
      </c>
      <c r="T112">
        <f>'Kullanılan gübre'!T112*'Gübre oranlar'!W$2</f>
        <v>35.528999999999996</v>
      </c>
      <c r="U112">
        <f>'Kullanılan gübre'!U112*'Gübre oranlar'!X$2</f>
        <v>0</v>
      </c>
      <c r="V112">
        <f>'Kullanılan gübre'!V112*'Gübre oranlar'!Y$2</f>
        <v>25.180000000000003</v>
      </c>
      <c r="W112">
        <f>'Kullanılan gübre'!W112*'Gübre oranlar'!Z$2</f>
        <v>0</v>
      </c>
      <c r="X112">
        <f>'Kullanılan gübre'!X112*'Gübre oranlar'!AA$2</f>
        <v>0</v>
      </c>
      <c r="Y112">
        <f>'Kullanılan gübre'!Y112*'Gübre oranlar'!AB$2</f>
        <v>0</v>
      </c>
      <c r="Z112">
        <f>'Kullanılan gübre'!Z112*'Gübre oranlar'!AC$2</f>
        <v>0</v>
      </c>
      <c r="AA112">
        <f>'Kullanılan gübre'!AA112*'Gübre oranlar'!AD$2</f>
        <v>0</v>
      </c>
      <c r="AB112">
        <f>'Kullanılan gübre'!AB112*'Gübre oranlar'!AE$2</f>
        <v>0</v>
      </c>
      <c r="AC112">
        <f>'Kullanılan gübre'!AC112*'Gübre oranlar'!AF$2</f>
        <v>0</v>
      </c>
      <c r="AD112">
        <f>'Kullanılan gübre'!AD112*'Gübre oranlar'!AG$2</f>
        <v>0</v>
      </c>
      <c r="AE112">
        <f>'Kullanılan gübre'!AE112*'Gübre oranlar'!AH$2</f>
        <v>0</v>
      </c>
      <c r="AF112">
        <f>'Kullanılan gübre'!AF112*'Gübre oranlar'!AI$2</f>
        <v>0</v>
      </c>
      <c r="AG112">
        <f>'Kullanılan gübre'!AG112*'Gübre oranlar'!AJ$2</f>
        <v>0</v>
      </c>
      <c r="AH112">
        <f>'Kullanılan gübre'!AH112*'Gübre oranlar'!AK$2</f>
        <v>0</v>
      </c>
      <c r="AI112">
        <f>'Kullanılan gübre'!AI112*'Gübre oranlar'!AL$2</f>
        <v>0</v>
      </c>
      <c r="AJ112">
        <f>'Kullanılan gübre'!AJ112*'Gübre oranlar'!AM$2</f>
        <v>0</v>
      </c>
      <c r="AK112">
        <f>'Kullanılan gübre'!AK112*'Gübre oranlar'!AN$2</f>
        <v>0</v>
      </c>
      <c r="AL112">
        <f>'Kullanılan gübre'!AL112*'Gübre oranlar'!AO$2</f>
        <v>0</v>
      </c>
      <c r="AM112">
        <f>'Kullanılan gübre'!AM112*'Gübre oranlar'!AP$2</f>
        <v>0</v>
      </c>
      <c r="AN112">
        <f>'Kullanılan gübre'!AN112*'Gübre oranlar'!AQ$2</f>
        <v>0</v>
      </c>
      <c r="AO112">
        <f>'Kullanılan gübre'!AO112*'Gübre oranlar'!AR$2</f>
        <v>0</v>
      </c>
      <c r="AP112">
        <f>'Kullanılan gübre'!AP112*'Gübre oranlar'!AS$2</f>
        <v>104.44500000000001</v>
      </c>
      <c r="AQ112">
        <f>'Kullanılan gübre'!AQ112*'Gübre oranlar'!AT$2</f>
        <v>0</v>
      </c>
      <c r="AR112">
        <f>'Kullanılan gübre'!AR112*'Gübre oranlar'!AU$2</f>
        <v>0</v>
      </c>
      <c r="AS112">
        <f>'Kullanılan gübre'!AS112*'Gübre oranlar'!AV$2</f>
        <v>0</v>
      </c>
      <c r="AT112">
        <f>'Kullanılan gübre'!AT112*'Gübre oranlar'!AW$2</f>
        <v>0</v>
      </c>
      <c r="AU112">
        <f>'Kullanılan gübre'!AU112*'Gübre oranlar'!AX$2</f>
        <v>0</v>
      </c>
      <c r="AV112">
        <f>'Kullanılan gübre'!AV112*'Gübre oranlar'!AY$2</f>
        <v>0</v>
      </c>
      <c r="AW112">
        <f t="shared" si="1"/>
        <v>1603.1349499999999</v>
      </c>
    </row>
    <row r="113" spans="1:49" x14ac:dyDescent="0.25">
      <c r="A113" t="str">
        <f>'Kullanılan gübre'!A113</f>
        <v>AK</v>
      </c>
      <c r="B113" t="str">
        <f>'Kullanılan gübre'!B113</f>
        <v>AFYONKARAHISAR</v>
      </c>
      <c r="C113" t="str">
        <f>'Kullanılan gübre'!C113</f>
        <v>BAYAT</v>
      </c>
      <c r="D113">
        <f>'Kullanılan gübre'!D113</f>
        <v>2017</v>
      </c>
      <c r="E113">
        <f>'Kullanılan gübre'!E113*'Gübre oranlar'!H$2</f>
        <v>11.34</v>
      </c>
      <c r="F113">
        <f>'Kullanılan gübre'!F113*'Gübre oranlar'!I$2</f>
        <v>0</v>
      </c>
      <c r="G113">
        <f>'Kullanılan gübre'!G113*'Gübre oranlar'!J$2</f>
        <v>0</v>
      </c>
      <c r="H113">
        <f>'Kullanılan gübre'!H113*'Gübre oranlar'!K$2</f>
        <v>0</v>
      </c>
      <c r="I113">
        <f>'Kullanılan gübre'!I113*'Gübre oranlar'!L$2</f>
        <v>0</v>
      </c>
      <c r="J113">
        <f>'Kullanılan gübre'!J113*'Gübre oranlar'!M$2</f>
        <v>12.347999999999999</v>
      </c>
      <c r="K113">
        <f>'Kullanılan gübre'!K113*'Gübre oranlar'!N$2</f>
        <v>0</v>
      </c>
      <c r="L113">
        <f>'Kullanılan gübre'!L113*'Gübre oranlar'!O$2</f>
        <v>17.05</v>
      </c>
      <c r="M113">
        <f>'Kullanılan gübre'!M113*'Gübre oranlar'!P$2</f>
        <v>0</v>
      </c>
      <c r="N113">
        <f>'Kullanılan gübre'!N113*'Gübre oranlar'!Q$2</f>
        <v>0</v>
      </c>
      <c r="O113">
        <f>'Kullanılan gübre'!O113*'Gübre oranlar'!R$2</f>
        <v>0</v>
      </c>
      <c r="P113">
        <f>'Kullanılan gübre'!P113*'Gübre oranlar'!S$2</f>
        <v>0</v>
      </c>
      <c r="Q113">
        <f>'Kullanılan gübre'!Q113*'Gübre oranlar'!T$2</f>
        <v>0</v>
      </c>
      <c r="R113">
        <f>'Kullanılan gübre'!R113*'Gübre oranlar'!U$2</f>
        <v>0</v>
      </c>
      <c r="S113">
        <f>'Kullanılan gübre'!S113*'Gübre oranlar'!V$2</f>
        <v>0</v>
      </c>
      <c r="T113">
        <f>'Kullanılan gübre'!T113*'Gübre oranlar'!W$2</f>
        <v>10.01</v>
      </c>
      <c r="U113">
        <f>'Kullanılan gübre'!U113*'Gübre oranlar'!X$2</f>
        <v>0</v>
      </c>
      <c r="V113">
        <f>'Kullanılan gübre'!V113*'Gübre oranlar'!Y$2</f>
        <v>0</v>
      </c>
      <c r="W113">
        <f>'Kullanılan gübre'!W113*'Gübre oranlar'!Z$2</f>
        <v>0</v>
      </c>
      <c r="X113">
        <f>'Kullanılan gübre'!X113*'Gübre oranlar'!AA$2</f>
        <v>0</v>
      </c>
      <c r="Y113">
        <f>'Kullanılan gübre'!Y113*'Gübre oranlar'!AB$2</f>
        <v>0</v>
      </c>
      <c r="Z113">
        <f>'Kullanılan gübre'!Z113*'Gübre oranlar'!AC$2</f>
        <v>0</v>
      </c>
      <c r="AA113">
        <f>'Kullanılan gübre'!AA113*'Gübre oranlar'!AD$2</f>
        <v>0</v>
      </c>
      <c r="AB113">
        <f>'Kullanılan gübre'!AB113*'Gübre oranlar'!AE$2</f>
        <v>0</v>
      </c>
      <c r="AC113">
        <f>'Kullanılan gübre'!AC113*'Gübre oranlar'!AF$2</f>
        <v>0</v>
      </c>
      <c r="AD113">
        <f>'Kullanılan gübre'!AD113*'Gübre oranlar'!AG$2</f>
        <v>0</v>
      </c>
      <c r="AE113">
        <f>'Kullanılan gübre'!AE113*'Gübre oranlar'!AH$2</f>
        <v>0</v>
      </c>
      <c r="AF113">
        <f>'Kullanılan gübre'!AF113*'Gübre oranlar'!AI$2</f>
        <v>0</v>
      </c>
      <c r="AG113">
        <f>'Kullanılan gübre'!AG113*'Gübre oranlar'!AJ$2</f>
        <v>0</v>
      </c>
      <c r="AH113">
        <f>'Kullanılan gübre'!AH113*'Gübre oranlar'!AK$2</f>
        <v>0</v>
      </c>
      <c r="AI113">
        <f>'Kullanılan gübre'!AI113*'Gübre oranlar'!AL$2</f>
        <v>0</v>
      </c>
      <c r="AJ113">
        <f>'Kullanılan gübre'!AJ113*'Gübre oranlar'!AM$2</f>
        <v>0</v>
      </c>
      <c r="AK113">
        <f>'Kullanılan gübre'!AK113*'Gübre oranlar'!AN$2</f>
        <v>0</v>
      </c>
      <c r="AL113">
        <f>'Kullanılan gübre'!AL113*'Gübre oranlar'!AO$2</f>
        <v>0</v>
      </c>
      <c r="AM113">
        <f>'Kullanılan gübre'!AM113*'Gübre oranlar'!AP$2</f>
        <v>0</v>
      </c>
      <c r="AN113">
        <f>'Kullanılan gübre'!AN113*'Gübre oranlar'!AQ$2</f>
        <v>0</v>
      </c>
      <c r="AO113">
        <f>'Kullanılan gübre'!AO113*'Gübre oranlar'!AR$2</f>
        <v>0</v>
      </c>
      <c r="AP113">
        <f>'Kullanılan gübre'!AP113*'Gübre oranlar'!AS$2</f>
        <v>38.28</v>
      </c>
      <c r="AQ113">
        <f>'Kullanılan gübre'!AQ113*'Gübre oranlar'!AT$2</f>
        <v>0</v>
      </c>
      <c r="AR113">
        <f>'Kullanılan gübre'!AR113*'Gübre oranlar'!AU$2</f>
        <v>0</v>
      </c>
      <c r="AS113">
        <f>'Kullanılan gübre'!AS113*'Gübre oranlar'!AV$2</f>
        <v>0</v>
      </c>
      <c r="AT113">
        <f>'Kullanılan gübre'!AT113*'Gübre oranlar'!AW$2</f>
        <v>0</v>
      </c>
      <c r="AU113">
        <f>'Kullanılan gübre'!AU113*'Gübre oranlar'!AX$2</f>
        <v>0</v>
      </c>
      <c r="AV113">
        <f>'Kullanılan gübre'!AV113*'Gübre oranlar'!AY$2</f>
        <v>0</v>
      </c>
      <c r="AW113">
        <f t="shared" si="1"/>
        <v>89.027999999999992</v>
      </c>
    </row>
    <row r="114" spans="1:49" x14ac:dyDescent="0.25">
      <c r="A114" t="str">
        <f>'Kullanılan gübre'!A114</f>
        <v>AK</v>
      </c>
      <c r="B114" t="str">
        <f>'Kullanılan gübre'!B114</f>
        <v>AFYONKARAHISAR</v>
      </c>
      <c r="C114" t="str">
        <f>'Kullanılan gübre'!C114</f>
        <v>BOLVADIN</v>
      </c>
      <c r="D114">
        <f>'Kullanılan gübre'!D114</f>
        <v>2017</v>
      </c>
      <c r="E114">
        <f>'Kullanılan gübre'!E114*'Gübre oranlar'!H$2</f>
        <v>63.503999999999991</v>
      </c>
      <c r="F114">
        <f>'Kullanılan gübre'!F114*'Gübre oranlar'!I$2</f>
        <v>22.36</v>
      </c>
      <c r="G114">
        <f>'Kullanılan gübre'!G114*'Gübre oranlar'!J$2</f>
        <v>0</v>
      </c>
      <c r="H114">
        <f>'Kullanılan gübre'!H114*'Gübre oranlar'!K$2</f>
        <v>467.47500000000008</v>
      </c>
      <c r="I114">
        <f>'Kullanılan gübre'!I114*'Gübre oranlar'!L$2</f>
        <v>0</v>
      </c>
      <c r="J114">
        <f>'Kullanılan gübre'!J114*'Gübre oranlar'!M$2</f>
        <v>205.14599999999999</v>
      </c>
      <c r="K114">
        <f>'Kullanılan gübre'!K114*'Gübre oranlar'!N$2</f>
        <v>0</v>
      </c>
      <c r="L114">
        <f>'Kullanılan gübre'!L114*'Gübre oranlar'!O$2</f>
        <v>14.100000000000001</v>
      </c>
      <c r="M114">
        <f>'Kullanılan gübre'!M114*'Gübre oranlar'!P$2</f>
        <v>0</v>
      </c>
      <c r="N114">
        <f>'Kullanılan gübre'!N114*'Gübre oranlar'!Q$2</f>
        <v>16.762499999999999</v>
      </c>
      <c r="O114">
        <f>'Kullanılan gübre'!O114*'Gübre oranlar'!R$2</f>
        <v>0</v>
      </c>
      <c r="P114">
        <f>'Kullanılan gübre'!P114*'Gübre oranlar'!S$2</f>
        <v>1.248</v>
      </c>
      <c r="Q114">
        <f>'Kullanılan gübre'!Q114*'Gübre oranlar'!T$2</f>
        <v>0</v>
      </c>
      <c r="R114">
        <f>'Kullanılan gübre'!R114*'Gübre oranlar'!U$2</f>
        <v>0</v>
      </c>
      <c r="S114">
        <f>'Kullanılan gübre'!S114*'Gübre oranlar'!V$2</f>
        <v>0</v>
      </c>
      <c r="T114">
        <f>'Kullanılan gübre'!T114*'Gübre oranlar'!W$2</f>
        <v>27.052999999999997</v>
      </c>
      <c r="U114">
        <f>'Kullanılan gübre'!U114*'Gübre oranlar'!X$2</f>
        <v>0</v>
      </c>
      <c r="V114">
        <f>'Kullanılan gübre'!V114*'Gübre oranlar'!Y$2</f>
        <v>0</v>
      </c>
      <c r="W114">
        <f>'Kullanılan gübre'!W114*'Gübre oranlar'!Z$2</f>
        <v>0</v>
      </c>
      <c r="X114">
        <f>'Kullanılan gübre'!X114*'Gübre oranlar'!AA$2</f>
        <v>0</v>
      </c>
      <c r="Y114">
        <f>'Kullanılan gübre'!Y114*'Gübre oranlar'!AB$2</f>
        <v>0</v>
      </c>
      <c r="Z114">
        <f>'Kullanılan gübre'!Z114*'Gübre oranlar'!AC$2</f>
        <v>0</v>
      </c>
      <c r="AA114">
        <f>'Kullanılan gübre'!AA114*'Gübre oranlar'!AD$2</f>
        <v>0</v>
      </c>
      <c r="AB114">
        <f>'Kullanılan gübre'!AB114*'Gübre oranlar'!AE$2</f>
        <v>0</v>
      </c>
      <c r="AC114">
        <f>'Kullanılan gübre'!AC114*'Gübre oranlar'!AF$2</f>
        <v>0</v>
      </c>
      <c r="AD114">
        <f>'Kullanılan gübre'!AD114*'Gübre oranlar'!AG$2</f>
        <v>0</v>
      </c>
      <c r="AE114">
        <f>'Kullanılan gübre'!AE114*'Gübre oranlar'!AH$2</f>
        <v>1.35</v>
      </c>
      <c r="AF114">
        <f>'Kullanılan gübre'!AF114*'Gübre oranlar'!AI$2</f>
        <v>0</v>
      </c>
      <c r="AG114">
        <f>'Kullanılan gübre'!AG114*'Gübre oranlar'!AJ$2</f>
        <v>0</v>
      </c>
      <c r="AH114">
        <f>'Kullanılan gübre'!AH114*'Gübre oranlar'!AK$2</f>
        <v>0</v>
      </c>
      <c r="AI114">
        <f>'Kullanılan gübre'!AI114*'Gübre oranlar'!AL$2</f>
        <v>0</v>
      </c>
      <c r="AJ114">
        <f>'Kullanılan gübre'!AJ114*'Gübre oranlar'!AM$2</f>
        <v>0</v>
      </c>
      <c r="AK114">
        <f>'Kullanılan gübre'!AK114*'Gübre oranlar'!AN$2</f>
        <v>0</v>
      </c>
      <c r="AL114">
        <f>'Kullanılan gübre'!AL114*'Gübre oranlar'!AO$2</f>
        <v>0</v>
      </c>
      <c r="AM114">
        <f>'Kullanılan gübre'!AM114*'Gübre oranlar'!AP$2</f>
        <v>0</v>
      </c>
      <c r="AN114">
        <f>'Kullanılan gübre'!AN114*'Gübre oranlar'!AQ$2</f>
        <v>0</v>
      </c>
      <c r="AO114">
        <f>'Kullanılan gübre'!AO114*'Gübre oranlar'!AR$2</f>
        <v>0</v>
      </c>
      <c r="AP114">
        <f>'Kullanılan gübre'!AP114*'Gübre oranlar'!AS$2</f>
        <v>17.605500000000003</v>
      </c>
      <c r="AQ114">
        <f>'Kullanılan gübre'!AQ114*'Gübre oranlar'!AT$2</f>
        <v>0</v>
      </c>
      <c r="AR114">
        <f>'Kullanılan gübre'!AR114*'Gübre oranlar'!AU$2</f>
        <v>0</v>
      </c>
      <c r="AS114">
        <f>'Kullanılan gübre'!AS114*'Gübre oranlar'!AV$2</f>
        <v>0</v>
      </c>
      <c r="AT114">
        <f>'Kullanılan gübre'!AT114*'Gübre oranlar'!AW$2</f>
        <v>0</v>
      </c>
      <c r="AU114">
        <f>'Kullanılan gübre'!AU114*'Gübre oranlar'!AX$2</f>
        <v>0</v>
      </c>
      <c r="AV114">
        <f>'Kullanılan gübre'!AV114*'Gübre oranlar'!AY$2</f>
        <v>0</v>
      </c>
      <c r="AW114">
        <f t="shared" si="1"/>
        <v>836.60400000000016</v>
      </c>
    </row>
    <row r="115" spans="1:49" x14ac:dyDescent="0.25">
      <c r="A115" t="str">
        <f>'Kullanılan gübre'!A115</f>
        <v>AK</v>
      </c>
      <c r="B115" t="str">
        <f>'Kullanılan gübre'!B115</f>
        <v>AFYONKARAHISAR</v>
      </c>
      <c r="C115" t="str">
        <f>'Kullanılan gübre'!C115</f>
        <v>CAY</v>
      </c>
      <c r="D115">
        <f>'Kullanılan gübre'!D115</f>
        <v>2017</v>
      </c>
      <c r="E115">
        <f>'Kullanılan gübre'!E115*'Gübre oranlar'!H$2</f>
        <v>102.95250000000001</v>
      </c>
      <c r="F115">
        <f>'Kullanılan gübre'!F115*'Gübre oranlar'!I$2</f>
        <v>14.702999999999999</v>
      </c>
      <c r="G115">
        <f>'Kullanılan gübre'!G115*'Gübre oranlar'!J$2</f>
        <v>2.97</v>
      </c>
      <c r="H115">
        <f>'Kullanılan gübre'!H115*'Gübre oranlar'!K$2</f>
        <v>836.06150000000002</v>
      </c>
      <c r="I115">
        <f>'Kullanılan gübre'!I115*'Gübre oranlar'!L$2</f>
        <v>0</v>
      </c>
      <c r="J115">
        <f>'Kullanılan gübre'!J115*'Gübre oranlar'!M$2</f>
        <v>144.126</v>
      </c>
      <c r="K115">
        <f>'Kullanılan gübre'!K115*'Gübre oranlar'!N$2</f>
        <v>0.1</v>
      </c>
      <c r="L115">
        <f>'Kullanılan gübre'!L115*'Gübre oranlar'!O$2</f>
        <v>118.92000000000002</v>
      </c>
      <c r="M115">
        <f>'Kullanılan gübre'!M115*'Gübre oranlar'!P$2</f>
        <v>1.875</v>
      </c>
      <c r="N115">
        <f>'Kullanılan gübre'!N115*'Gübre oranlar'!Q$2</f>
        <v>62.437499999999986</v>
      </c>
      <c r="O115">
        <f>'Kullanılan gübre'!O115*'Gübre oranlar'!R$2</f>
        <v>0</v>
      </c>
      <c r="P115">
        <f>'Kullanılan gübre'!P115*'Gübre oranlar'!S$2</f>
        <v>1.1648000000000001</v>
      </c>
      <c r="Q115">
        <f>'Kullanılan gübre'!Q115*'Gübre oranlar'!T$2</f>
        <v>0</v>
      </c>
      <c r="R115">
        <f>'Kullanılan gübre'!R115*'Gübre oranlar'!U$2</f>
        <v>0</v>
      </c>
      <c r="S115">
        <f>'Kullanılan gübre'!S115*'Gübre oranlar'!V$2</f>
        <v>0.12090000000000001</v>
      </c>
      <c r="T115">
        <f>'Kullanılan gübre'!T115*'Gübre oranlar'!W$2</f>
        <v>42.529499999999999</v>
      </c>
      <c r="U115">
        <f>'Kullanılan gübre'!U115*'Gübre oranlar'!X$2</f>
        <v>0</v>
      </c>
      <c r="V115">
        <f>'Kullanılan gübre'!V115*'Gübre oranlar'!Y$2</f>
        <v>0</v>
      </c>
      <c r="W115">
        <f>'Kullanılan gübre'!W115*'Gübre oranlar'!Z$2</f>
        <v>0</v>
      </c>
      <c r="X115">
        <f>'Kullanılan gübre'!X115*'Gübre oranlar'!AA$2</f>
        <v>0</v>
      </c>
      <c r="Y115">
        <f>'Kullanılan gübre'!Y115*'Gübre oranlar'!AB$2</f>
        <v>0</v>
      </c>
      <c r="Z115">
        <f>'Kullanılan gübre'!Z115*'Gübre oranlar'!AC$2</f>
        <v>0</v>
      </c>
      <c r="AA115">
        <f>'Kullanılan gübre'!AA115*'Gübre oranlar'!AD$2</f>
        <v>0</v>
      </c>
      <c r="AB115">
        <f>'Kullanılan gübre'!AB115*'Gübre oranlar'!AE$2</f>
        <v>1.3439999999999999</v>
      </c>
      <c r="AC115">
        <f>'Kullanılan gübre'!AC115*'Gübre oranlar'!AF$2</f>
        <v>0</v>
      </c>
      <c r="AD115">
        <f>'Kullanılan gübre'!AD115*'Gübre oranlar'!AG$2</f>
        <v>0</v>
      </c>
      <c r="AE115">
        <f>'Kullanılan gübre'!AE115*'Gübre oranlar'!AH$2</f>
        <v>0</v>
      </c>
      <c r="AF115">
        <f>'Kullanılan gübre'!AF115*'Gübre oranlar'!AI$2</f>
        <v>0</v>
      </c>
      <c r="AG115">
        <f>'Kullanılan gübre'!AG115*'Gübre oranlar'!AJ$2</f>
        <v>0</v>
      </c>
      <c r="AH115">
        <f>'Kullanılan gübre'!AH115*'Gübre oranlar'!AK$2</f>
        <v>0</v>
      </c>
      <c r="AI115">
        <f>'Kullanılan gübre'!AI115*'Gübre oranlar'!AL$2</f>
        <v>0</v>
      </c>
      <c r="AJ115">
        <f>'Kullanılan gübre'!AJ115*'Gübre oranlar'!AM$2</f>
        <v>0</v>
      </c>
      <c r="AK115">
        <f>'Kullanılan gübre'!AK115*'Gübre oranlar'!AN$2</f>
        <v>0</v>
      </c>
      <c r="AL115">
        <f>'Kullanılan gübre'!AL115*'Gübre oranlar'!AO$2</f>
        <v>0</v>
      </c>
      <c r="AM115">
        <f>'Kullanılan gübre'!AM115*'Gübre oranlar'!AP$2</f>
        <v>0</v>
      </c>
      <c r="AN115">
        <f>'Kullanılan gübre'!AN115*'Gübre oranlar'!AQ$2</f>
        <v>0</v>
      </c>
      <c r="AO115">
        <f>'Kullanılan gübre'!AO115*'Gübre oranlar'!AR$2</f>
        <v>0</v>
      </c>
      <c r="AP115">
        <f>'Kullanılan gübre'!AP115*'Gübre oranlar'!AS$2</f>
        <v>111.1935</v>
      </c>
      <c r="AQ115">
        <f>'Kullanılan gübre'!AQ115*'Gübre oranlar'!AT$2</f>
        <v>0</v>
      </c>
      <c r="AR115">
        <f>'Kullanılan gübre'!AR115*'Gübre oranlar'!AU$2</f>
        <v>0</v>
      </c>
      <c r="AS115">
        <f>'Kullanılan gübre'!AS115*'Gübre oranlar'!AV$2</f>
        <v>0</v>
      </c>
      <c r="AT115">
        <f>'Kullanılan gübre'!AT115*'Gübre oranlar'!AW$2</f>
        <v>0</v>
      </c>
      <c r="AU115">
        <f>'Kullanılan gübre'!AU115*'Gübre oranlar'!AX$2</f>
        <v>0</v>
      </c>
      <c r="AV115">
        <f>'Kullanılan gübre'!AV115*'Gübre oranlar'!AY$2</f>
        <v>0</v>
      </c>
      <c r="AW115">
        <f t="shared" si="1"/>
        <v>1440.4982000000002</v>
      </c>
    </row>
    <row r="116" spans="1:49" x14ac:dyDescent="0.25">
      <c r="A116" t="str">
        <f>'Kullanılan gübre'!A116</f>
        <v>AK</v>
      </c>
      <c r="B116" t="str">
        <f>'Kullanılan gübre'!B116</f>
        <v>AFYONKARAHISAR</v>
      </c>
      <c r="C116" t="str">
        <f>'Kullanılan gübre'!C116</f>
        <v>COBANLAR</v>
      </c>
      <c r="D116">
        <f>'Kullanılan gübre'!D116</f>
        <v>2017</v>
      </c>
      <c r="E116">
        <f>'Kullanılan gübre'!E116*'Gübre oranlar'!H$2</f>
        <v>13.754999999999999</v>
      </c>
      <c r="F116">
        <f>'Kullanılan gübre'!F116*'Gübre oranlar'!I$2</f>
        <v>0</v>
      </c>
      <c r="G116">
        <f>'Kullanılan gübre'!G116*'Gübre oranlar'!J$2</f>
        <v>0</v>
      </c>
      <c r="H116">
        <f>'Kullanılan gübre'!H116*'Gübre oranlar'!K$2</f>
        <v>358.93799999999999</v>
      </c>
      <c r="I116">
        <f>'Kullanılan gübre'!I116*'Gübre oranlar'!L$2</f>
        <v>0</v>
      </c>
      <c r="J116">
        <f>'Kullanılan gübre'!J116*'Gübre oranlar'!M$2</f>
        <v>118.44000000000001</v>
      </c>
      <c r="K116">
        <f>'Kullanılan gübre'!K116*'Gübre oranlar'!N$2</f>
        <v>0</v>
      </c>
      <c r="L116">
        <f>'Kullanılan gübre'!L116*'Gübre oranlar'!O$2</f>
        <v>65.8</v>
      </c>
      <c r="M116">
        <f>'Kullanılan gübre'!M116*'Gübre oranlar'!P$2</f>
        <v>0</v>
      </c>
      <c r="N116">
        <f>'Kullanılan gübre'!N116*'Gübre oranlar'!Q$2</f>
        <v>28.702499999999997</v>
      </c>
      <c r="O116">
        <f>'Kullanılan gübre'!O116*'Gübre oranlar'!R$2</f>
        <v>0</v>
      </c>
      <c r="P116">
        <f>'Kullanılan gübre'!P116*'Gübre oranlar'!S$2</f>
        <v>0.18590000000000001</v>
      </c>
      <c r="Q116">
        <f>'Kullanılan gübre'!Q116*'Gübre oranlar'!T$2</f>
        <v>0</v>
      </c>
      <c r="R116">
        <f>'Kullanılan gübre'!R116*'Gübre oranlar'!U$2</f>
        <v>0</v>
      </c>
      <c r="S116">
        <f>'Kullanılan gübre'!S116*'Gübre oranlar'!V$2</f>
        <v>0</v>
      </c>
      <c r="T116">
        <f>'Kullanılan gübre'!T116*'Gübre oranlar'!W$2</f>
        <v>23.66</v>
      </c>
      <c r="U116">
        <f>'Kullanılan gübre'!U116*'Gübre oranlar'!X$2</f>
        <v>0</v>
      </c>
      <c r="V116">
        <f>'Kullanılan gübre'!V116*'Gübre oranlar'!Y$2</f>
        <v>0</v>
      </c>
      <c r="W116">
        <f>'Kullanılan gübre'!W116*'Gübre oranlar'!Z$2</f>
        <v>0</v>
      </c>
      <c r="X116">
        <f>'Kullanılan gübre'!X116*'Gübre oranlar'!AA$2</f>
        <v>0</v>
      </c>
      <c r="Y116">
        <f>'Kullanılan gübre'!Y116*'Gübre oranlar'!AB$2</f>
        <v>0</v>
      </c>
      <c r="Z116">
        <f>'Kullanılan gübre'!Z116*'Gübre oranlar'!AC$2</f>
        <v>0</v>
      </c>
      <c r="AA116">
        <f>'Kullanılan gübre'!AA116*'Gübre oranlar'!AD$2</f>
        <v>0</v>
      </c>
      <c r="AB116">
        <f>'Kullanılan gübre'!AB116*'Gübre oranlar'!AE$2</f>
        <v>0</v>
      </c>
      <c r="AC116">
        <f>'Kullanılan gübre'!AC116*'Gübre oranlar'!AF$2</f>
        <v>0</v>
      </c>
      <c r="AD116">
        <f>'Kullanılan gübre'!AD116*'Gübre oranlar'!AG$2</f>
        <v>0</v>
      </c>
      <c r="AE116">
        <f>'Kullanılan gübre'!AE116*'Gübre oranlar'!AH$2</f>
        <v>0</v>
      </c>
      <c r="AF116">
        <f>'Kullanılan gübre'!AF116*'Gübre oranlar'!AI$2</f>
        <v>0</v>
      </c>
      <c r="AG116">
        <f>'Kullanılan gübre'!AG116*'Gübre oranlar'!AJ$2</f>
        <v>0</v>
      </c>
      <c r="AH116">
        <f>'Kullanılan gübre'!AH116*'Gübre oranlar'!AK$2</f>
        <v>0</v>
      </c>
      <c r="AI116">
        <f>'Kullanılan gübre'!AI116*'Gübre oranlar'!AL$2</f>
        <v>0</v>
      </c>
      <c r="AJ116">
        <f>'Kullanılan gübre'!AJ116*'Gübre oranlar'!AM$2</f>
        <v>0</v>
      </c>
      <c r="AK116">
        <f>'Kullanılan gübre'!AK116*'Gübre oranlar'!AN$2</f>
        <v>0</v>
      </c>
      <c r="AL116">
        <f>'Kullanılan gübre'!AL116*'Gübre oranlar'!AO$2</f>
        <v>0</v>
      </c>
      <c r="AM116">
        <f>'Kullanılan gübre'!AM116*'Gübre oranlar'!AP$2</f>
        <v>0</v>
      </c>
      <c r="AN116">
        <f>'Kullanılan gübre'!AN116*'Gübre oranlar'!AQ$2</f>
        <v>0</v>
      </c>
      <c r="AO116">
        <f>'Kullanılan gübre'!AO116*'Gübre oranlar'!AR$2</f>
        <v>0</v>
      </c>
      <c r="AP116">
        <f>'Kullanılan gübre'!AP116*'Gübre oranlar'!AS$2</f>
        <v>0</v>
      </c>
      <c r="AQ116">
        <f>'Kullanılan gübre'!AQ116*'Gübre oranlar'!AT$2</f>
        <v>0</v>
      </c>
      <c r="AR116">
        <f>'Kullanılan gübre'!AR116*'Gübre oranlar'!AU$2</f>
        <v>0</v>
      </c>
      <c r="AS116">
        <f>'Kullanılan gübre'!AS116*'Gübre oranlar'!AV$2</f>
        <v>0</v>
      </c>
      <c r="AT116">
        <f>'Kullanılan gübre'!AT116*'Gübre oranlar'!AW$2</f>
        <v>0</v>
      </c>
      <c r="AU116">
        <f>'Kullanılan gübre'!AU116*'Gübre oranlar'!AX$2</f>
        <v>0</v>
      </c>
      <c r="AV116">
        <f>'Kullanılan gübre'!AV116*'Gübre oranlar'!AY$2</f>
        <v>0</v>
      </c>
      <c r="AW116">
        <f t="shared" si="1"/>
        <v>609.48139999999989</v>
      </c>
    </row>
    <row r="117" spans="1:49" x14ac:dyDescent="0.25">
      <c r="A117" t="str">
        <f>'Kullanılan gübre'!A117</f>
        <v>AK</v>
      </c>
      <c r="B117" t="str">
        <f>'Kullanılan gübre'!B117</f>
        <v>AFYONKARAHISAR</v>
      </c>
      <c r="C117" t="str">
        <f>'Kullanılan gübre'!C117</f>
        <v>IHSANIYE</v>
      </c>
      <c r="D117">
        <f>'Kullanılan gübre'!D117</f>
        <v>2017</v>
      </c>
      <c r="E117">
        <f>'Kullanılan gübre'!E117*'Gübre oranlar'!H$2</f>
        <v>21.084</v>
      </c>
      <c r="F117">
        <f>'Kullanılan gübre'!F117*'Gübre oranlar'!I$2</f>
        <v>0</v>
      </c>
      <c r="G117">
        <f>'Kullanılan gübre'!G117*'Gübre oranlar'!J$2</f>
        <v>0</v>
      </c>
      <c r="H117">
        <f>'Kullanılan gübre'!H117*'Gübre oranlar'!K$2</f>
        <v>527.75800000000015</v>
      </c>
      <c r="I117">
        <f>'Kullanılan gübre'!I117*'Gübre oranlar'!L$2</f>
        <v>0</v>
      </c>
      <c r="J117">
        <f>'Kullanılan gübre'!J117*'Gübre oranlar'!M$2</f>
        <v>94.968000000000004</v>
      </c>
      <c r="K117">
        <f>'Kullanılan gübre'!K117*'Gübre oranlar'!N$2</f>
        <v>44</v>
      </c>
      <c r="L117">
        <f>'Kullanılan gübre'!L117*'Gübre oranlar'!O$2</f>
        <v>103.68000000000002</v>
      </c>
      <c r="M117">
        <f>'Kullanılan gübre'!M117*'Gübre oranlar'!P$2</f>
        <v>0</v>
      </c>
      <c r="N117">
        <f>'Kullanılan gübre'!N117*'Gübre oranlar'!Q$2</f>
        <v>23.774999999999999</v>
      </c>
      <c r="O117">
        <f>'Kullanılan gübre'!O117*'Gübre oranlar'!R$2</f>
        <v>0</v>
      </c>
      <c r="P117">
        <f>'Kullanılan gübre'!P117*'Gübre oranlar'!S$2</f>
        <v>0</v>
      </c>
      <c r="Q117">
        <f>'Kullanılan gübre'!Q117*'Gübre oranlar'!T$2</f>
        <v>8.64</v>
      </c>
      <c r="R117">
        <f>'Kullanılan gübre'!R117*'Gübre oranlar'!U$2</f>
        <v>0</v>
      </c>
      <c r="S117">
        <f>'Kullanılan gübre'!S117*'Gübre oranlar'!V$2</f>
        <v>0</v>
      </c>
      <c r="T117">
        <f>'Kullanılan gübre'!T117*'Gübre oranlar'!W$2</f>
        <v>76.869000000000014</v>
      </c>
      <c r="U117">
        <f>'Kullanılan gübre'!U117*'Gübre oranlar'!X$2</f>
        <v>0</v>
      </c>
      <c r="V117">
        <f>'Kullanılan gübre'!V117*'Gübre oranlar'!Y$2</f>
        <v>0.38000000000000006</v>
      </c>
      <c r="W117">
        <f>'Kullanılan gübre'!W117*'Gübre oranlar'!Z$2</f>
        <v>0</v>
      </c>
      <c r="X117">
        <f>'Kullanılan gübre'!X117*'Gübre oranlar'!AA$2</f>
        <v>0</v>
      </c>
      <c r="Y117">
        <f>'Kullanılan gübre'!Y117*'Gübre oranlar'!AB$2</f>
        <v>0</v>
      </c>
      <c r="Z117">
        <f>'Kullanılan gübre'!Z117*'Gübre oranlar'!AC$2</f>
        <v>0</v>
      </c>
      <c r="AA117">
        <f>'Kullanılan gübre'!AA117*'Gübre oranlar'!AD$2</f>
        <v>0</v>
      </c>
      <c r="AB117">
        <f>'Kullanılan gübre'!AB117*'Gübre oranlar'!AE$2</f>
        <v>0</v>
      </c>
      <c r="AC117">
        <f>'Kullanılan gübre'!AC117*'Gübre oranlar'!AF$2</f>
        <v>0</v>
      </c>
      <c r="AD117">
        <f>'Kullanılan gübre'!AD117*'Gübre oranlar'!AG$2</f>
        <v>0</v>
      </c>
      <c r="AE117">
        <f>'Kullanılan gübre'!AE117*'Gübre oranlar'!AH$2</f>
        <v>0</v>
      </c>
      <c r="AF117">
        <f>'Kullanılan gübre'!AF117*'Gübre oranlar'!AI$2</f>
        <v>0</v>
      </c>
      <c r="AG117">
        <f>'Kullanılan gübre'!AG117*'Gübre oranlar'!AJ$2</f>
        <v>0</v>
      </c>
      <c r="AH117">
        <f>'Kullanılan gübre'!AH117*'Gübre oranlar'!AK$2</f>
        <v>0</v>
      </c>
      <c r="AI117">
        <f>'Kullanılan gübre'!AI117*'Gübre oranlar'!AL$2</f>
        <v>0</v>
      </c>
      <c r="AJ117">
        <f>'Kullanılan gübre'!AJ117*'Gübre oranlar'!AM$2</f>
        <v>0</v>
      </c>
      <c r="AK117">
        <f>'Kullanılan gübre'!AK117*'Gübre oranlar'!AN$2</f>
        <v>0</v>
      </c>
      <c r="AL117">
        <f>'Kullanılan gübre'!AL117*'Gübre oranlar'!AO$2</f>
        <v>0</v>
      </c>
      <c r="AM117">
        <f>'Kullanılan gübre'!AM117*'Gübre oranlar'!AP$2</f>
        <v>0</v>
      </c>
      <c r="AN117">
        <f>'Kullanılan gübre'!AN117*'Gübre oranlar'!AQ$2</f>
        <v>0</v>
      </c>
      <c r="AO117">
        <f>'Kullanılan gübre'!AO117*'Gübre oranlar'!AR$2</f>
        <v>0</v>
      </c>
      <c r="AP117">
        <f>'Kullanılan gübre'!AP117*'Gübre oranlar'!AS$2</f>
        <v>53.839500000000001</v>
      </c>
      <c r="AQ117">
        <f>'Kullanılan gübre'!AQ117*'Gübre oranlar'!AT$2</f>
        <v>0</v>
      </c>
      <c r="AR117">
        <f>'Kullanılan gübre'!AR117*'Gübre oranlar'!AU$2</f>
        <v>0</v>
      </c>
      <c r="AS117">
        <f>'Kullanılan gübre'!AS117*'Gübre oranlar'!AV$2</f>
        <v>0</v>
      </c>
      <c r="AT117">
        <f>'Kullanılan gübre'!AT117*'Gübre oranlar'!AW$2</f>
        <v>0</v>
      </c>
      <c r="AU117">
        <f>'Kullanılan gübre'!AU117*'Gübre oranlar'!AX$2</f>
        <v>0</v>
      </c>
      <c r="AV117">
        <f>'Kullanılan gübre'!AV117*'Gübre oranlar'!AY$2</f>
        <v>0</v>
      </c>
      <c r="AW117">
        <f t="shared" si="1"/>
        <v>954.99350000000015</v>
      </c>
    </row>
    <row r="118" spans="1:49" x14ac:dyDescent="0.25">
      <c r="A118" t="str">
        <f>'Kullanılan gübre'!A118</f>
        <v>AK</v>
      </c>
      <c r="B118" t="str">
        <f>'Kullanılan gübre'!B118</f>
        <v>AFYONKARAHISAR</v>
      </c>
      <c r="C118" t="str">
        <f>'Kullanılan gübre'!C118</f>
        <v>ISCEHISAR</v>
      </c>
      <c r="D118">
        <f>'Kullanılan gübre'!D118</f>
        <v>2017</v>
      </c>
      <c r="E118">
        <f>'Kullanılan gübre'!E118*'Gübre oranlar'!H$2</f>
        <v>1.05</v>
      </c>
      <c r="F118">
        <f>'Kullanılan gübre'!F118*'Gübre oranlar'!I$2</f>
        <v>2.21</v>
      </c>
      <c r="G118">
        <f>'Kullanılan gübre'!G118*'Gübre oranlar'!J$2</f>
        <v>0</v>
      </c>
      <c r="H118">
        <f>'Kullanılan gübre'!H118*'Gübre oranlar'!K$2</f>
        <v>0.161</v>
      </c>
      <c r="I118">
        <f>'Kullanılan gübre'!I118*'Gübre oranlar'!L$2</f>
        <v>0</v>
      </c>
      <c r="J118">
        <f>'Kullanılan gübre'!J118*'Gübre oranlar'!M$2</f>
        <v>15.479999999999999</v>
      </c>
      <c r="K118">
        <f>'Kullanılan gübre'!K118*'Gübre oranlar'!N$2</f>
        <v>0</v>
      </c>
      <c r="L118">
        <f>'Kullanılan gübre'!L118*'Gübre oranlar'!O$2</f>
        <v>7.2</v>
      </c>
      <c r="M118">
        <f>'Kullanılan gübre'!M118*'Gübre oranlar'!P$2</f>
        <v>0</v>
      </c>
      <c r="N118">
        <f>'Kullanılan gübre'!N118*'Gübre oranlar'!Q$2</f>
        <v>0</v>
      </c>
      <c r="O118">
        <f>'Kullanılan gübre'!O118*'Gübre oranlar'!R$2</f>
        <v>0</v>
      </c>
      <c r="P118">
        <f>'Kullanılan gübre'!P118*'Gübre oranlar'!S$2</f>
        <v>0</v>
      </c>
      <c r="Q118">
        <f>'Kullanılan gübre'!Q118*'Gübre oranlar'!T$2</f>
        <v>0</v>
      </c>
      <c r="R118">
        <f>'Kullanılan gübre'!R118*'Gübre oranlar'!U$2</f>
        <v>0</v>
      </c>
      <c r="S118">
        <f>'Kullanılan gübre'!S118*'Gübre oranlar'!V$2</f>
        <v>0</v>
      </c>
      <c r="T118">
        <f>'Kullanılan gübre'!T118*'Gübre oranlar'!W$2</f>
        <v>34.216000000000001</v>
      </c>
      <c r="U118">
        <f>'Kullanılan gübre'!U118*'Gübre oranlar'!X$2</f>
        <v>0</v>
      </c>
      <c r="V118">
        <f>'Kullanılan gübre'!V118*'Gübre oranlar'!Y$2</f>
        <v>0</v>
      </c>
      <c r="W118">
        <f>'Kullanılan gübre'!W118*'Gübre oranlar'!Z$2</f>
        <v>0</v>
      </c>
      <c r="X118">
        <f>'Kullanılan gübre'!X118*'Gübre oranlar'!AA$2</f>
        <v>0</v>
      </c>
      <c r="Y118">
        <f>'Kullanılan gübre'!Y118*'Gübre oranlar'!AB$2</f>
        <v>0</v>
      </c>
      <c r="Z118">
        <f>'Kullanılan gübre'!Z118*'Gübre oranlar'!AC$2</f>
        <v>0</v>
      </c>
      <c r="AA118">
        <f>'Kullanılan gübre'!AA118*'Gübre oranlar'!AD$2</f>
        <v>0</v>
      </c>
      <c r="AB118">
        <f>'Kullanılan gübre'!AB118*'Gübre oranlar'!AE$2</f>
        <v>0</v>
      </c>
      <c r="AC118">
        <f>'Kullanılan gübre'!AC118*'Gübre oranlar'!AF$2</f>
        <v>0</v>
      </c>
      <c r="AD118">
        <f>'Kullanılan gübre'!AD118*'Gübre oranlar'!AG$2</f>
        <v>0</v>
      </c>
      <c r="AE118">
        <f>'Kullanılan gübre'!AE118*'Gübre oranlar'!AH$2</f>
        <v>0</v>
      </c>
      <c r="AF118">
        <f>'Kullanılan gübre'!AF118*'Gübre oranlar'!AI$2</f>
        <v>0</v>
      </c>
      <c r="AG118">
        <f>'Kullanılan gübre'!AG118*'Gübre oranlar'!AJ$2</f>
        <v>0</v>
      </c>
      <c r="AH118">
        <f>'Kullanılan gübre'!AH118*'Gübre oranlar'!AK$2</f>
        <v>0</v>
      </c>
      <c r="AI118">
        <f>'Kullanılan gübre'!AI118*'Gübre oranlar'!AL$2</f>
        <v>0</v>
      </c>
      <c r="AJ118">
        <f>'Kullanılan gübre'!AJ118*'Gübre oranlar'!AM$2</f>
        <v>0</v>
      </c>
      <c r="AK118">
        <f>'Kullanılan gübre'!AK118*'Gübre oranlar'!AN$2</f>
        <v>0</v>
      </c>
      <c r="AL118">
        <f>'Kullanılan gübre'!AL118*'Gübre oranlar'!AO$2</f>
        <v>0</v>
      </c>
      <c r="AM118">
        <f>'Kullanılan gübre'!AM118*'Gübre oranlar'!AP$2</f>
        <v>0</v>
      </c>
      <c r="AN118">
        <f>'Kullanılan gübre'!AN118*'Gübre oranlar'!AQ$2</f>
        <v>0</v>
      </c>
      <c r="AO118">
        <f>'Kullanılan gübre'!AO118*'Gübre oranlar'!AR$2</f>
        <v>0</v>
      </c>
      <c r="AP118">
        <f>'Kullanılan gübre'!AP118*'Gübre oranlar'!AS$2</f>
        <v>60.125999999999998</v>
      </c>
      <c r="AQ118">
        <f>'Kullanılan gübre'!AQ118*'Gübre oranlar'!AT$2</f>
        <v>0</v>
      </c>
      <c r="AR118">
        <f>'Kullanılan gübre'!AR118*'Gübre oranlar'!AU$2</f>
        <v>0</v>
      </c>
      <c r="AS118">
        <f>'Kullanılan gübre'!AS118*'Gübre oranlar'!AV$2</f>
        <v>0</v>
      </c>
      <c r="AT118">
        <f>'Kullanılan gübre'!AT118*'Gübre oranlar'!AW$2</f>
        <v>0</v>
      </c>
      <c r="AU118">
        <f>'Kullanılan gübre'!AU118*'Gübre oranlar'!AX$2</f>
        <v>0</v>
      </c>
      <c r="AV118">
        <f>'Kullanılan gübre'!AV118*'Gübre oranlar'!AY$2</f>
        <v>0</v>
      </c>
      <c r="AW118">
        <f t="shared" si="1"/>
        <v>120.443</v>
      </c>
    </row>
    <row r="119" spans="1:49" x14ac:dyDescent="0.25">
      <c r="A119" t="str">
        <f>'Kullanılan gübre'!A119</f>
        <v>AK</v>
      </c>
      <c r="B119" t="str">
        <f>'Kullanılan gübre'!B119</f>
        <v>AFYONKARAHISAR</v>
      </c>
      <c r="C119" t="str">
        <f>'Kullanılan gübre'!C119</f>
        <v>SINANPASA</v>
      </c>
      <c r="D119">
        <f>'Kullanılan gübre'!D119</f>
        <v>2017</v>
      </c>
      <c r="E119">
        <f>'Kullanılan gübre'!E119*'Gübre oranlar'!H$2</f>
        <v>186.94199999999998</v>
      </c>
      <c r="F119">
        <f>'Kullanılan gübre'!F119*'Gübre oranlar'!I$2</f>
        <v>3.198</v>
      </c>
      <c r="G119">
        <f>'Kullanılan gübre'!G119*'Gübre oranlar'!J$2</f>
        <v>0</v>
      </c>
      <c r="H119">
        <f>'Kullanılan gübre'!H119*'Gübre oranlar'!K$2</f>
        <v>421.77400000000006</v>
      </c>
      <c r="I119">
        <f>'Kullanılan gübre'!I119*'Gübre oranlar'!L$2</f>
        <v>0</v>
      </c>
      <c r="J119">
        <f>'Kullanılan gübre'!J119*'Gübre oranlar'!M$2</f>
        <v>202.95</v>
      </c>
      <c r="K119">
        <f>'Kullanılan gübre'!K119*'Gübre oranlar'!N$2</f>
        <v>65.8</v>
      </c>
      <c r="L119">
        <f>'Kullanılan gübre'!L119*'Gübre oranlar'!O$2</f>
        <v>80.747</v>
      </c>
      <c r="M119">
        <f>'Kullanılan gübre'!M119*'Gübre oranlar'!P$2</f>
        <v>1.05</v>
      </c>
      <c r="N119">
        <f>'Kullanılan gübre'!N119*'Gübre oranlar'!Q$2</f>
        <v>27.54</v>
      </c>
      <c r="O119">
        <f>'Kullanılan gübre'!O119*'Gübre oranlar'!R$2</f>
        <v>0</v>
      </c>
      <c r="P119">
        <f>'Kullanılan gübre'!P119*'Gübre oranlar'!S$2</f>
        <v>0.21450000000000005</v>
      </c>
      <c r="Q119">
        <f>'Kullanılan gübre'!Q119*'Gübre oranlar'!T$2</f>
        <v>10.799999999999999</v>
      </c>
      <c r="R119">
        <f>'Kullanılan gübre'!R119*'Gübre oranlar'!U$2</f>
        <v>0</v>
      </c>
      <c r="S119">
        <f>'Kullanılan gübre'!S119*'Gübre oranlar'!V$2</f>
        <v>0</v>
      </c>
      <c r="T119">
        <f>'Kullanılan gübre'!T119*'Gübre oranlar'!W$2</f>
        <v>70.518500000000003</v>
      </c>
      <c r="U119">
        <f>'Kullanılan gübre'!U119*'Gübre oranlar'!X$2</f>
        <v>0</v>
      </c>
      <c r="V119">
        <f>'Kullanılan gübre'!V119*'Gübre oranlar'!Y$2</f>
        <v>3.875</v>
      </c>
      <c r="W119">
        <f>'Kullanılan gübre'!W119*'Gübre oranlar'!Z$2</f>
        <v>0</v>
      </c>
      <c r="X119">
        <f>'Kullanılan gübre'!X119*'Gübre oranlar'!AA$2</f>
        <v>0</v>
      </c>
      <c r="Y119">
        <f>'Kullanılan gübre'!Y119*'Gübre oranlar'!AB$2</f>
        <v>0</v>
      </c>
      <c r="Z119">
        <f>'Kullanılan gübre'!Z119*'Gübre oranlar'!AC$2</f>
        <v>0</v>
      </c>
      <c r="AA119">
        <f>'Kullanılan gübre'!AA119*'Gübre oranlar'!AD$2</f>
        <v>0</v>
      </c>
      <c r="AB119">
        <f>'Kullanılan gübre'!AB119*'Gübre oranlar'!AE$2</f>
        <v>1.2E-2</v>
      </c>
      <c r="AC119">
        <f>'Kullanılan gübre'!AC119*'Gübre oranlar'!AF$2</f>
        <v>0</v>
      </c>
      <c r="AD119">
        <f>'Kullanılan gübre'!AD119*'Gübre oranlar'!AG$2</f>
        <v>0</v>
      </c>
      <c r="AE119">
        <f>'Kullanılan gübre'!AE119*'Gübre oranlar'!AH$2</f>
        <v>0</v>
      </c>
      <c r="AF119">
        <f>'Kullanılan gübre'!AF119*'Gübre oranlar'!AI$2</f>
        <v>0</v>
      </c>
      <c r="AG119">
        <f>'Kullanılan gübre'!AG119*'Gübre oranlar'!AJ$2</f>
        <v>0</v>
      </c>
      <c r="AH119">
        <f>'Kullanılan gübre'!AH119*'Gübre oranlar'!AK$2</f>
        <v>0</v>
      </c>
      <c r="AI119">
        <f>'Kullanılan gübre'!AI119*'Gübre oranlar'!AL$2</f>
        <v>0</v>
      </c>
      <c r="AJ119">
        <f>'Kullanılan gübre'!AJ119*'Gübre oranlar'!AM$2</f>
        <v>0</v>
      </c>
      <c r="AK119">
        <f>'Kullanılan gübre'!AK119*'Gübre oranlar'!AN$2</f>
        <v>0</v>
      </c>
      <c r="AL119">
        <f>'Kullanılan gübre'!AL119*'Gübre oranlar'!AO$2</f>
        <v>0</v>
      </c>
      <c r="AM119">
        <f>'Kullanılan gübre'!AM119*'Gübre oranlar'!AP$2</f>
        <v>0</v>
      </c>
      <c r="AN119">
        <f>'Kullanılan gübre'!AN119*'Gübre oranlar'!AQ$2</f>
        <v>0</v>
      </c>
      <c r="AO119">
        <f>'Kullanılan gübre'!AO119*'Gübre oranlar'!AR$2</f>
        <v>0</v>
      </c>
      <c r="AP119">
        <f>'Kullanılan gübre'!AP119*'Gübre oranlar'!AS$2</f>
        <v>329.57100000000003</v>
      </c>
      <c r="AQ119">
        <f>'Kullanılan gübre'!AQ119*'Gübre oranlar'!AT$2</f>
        <v>0</v>
      </c>
      <c r="AR119">
        <f>'Kullanılan gübre'!AR119*'Gübre oranlar'!AU$2</f>
        <v>0</v>
      </c>
      <c r="AS119">
        <f>'Kullanılan gübre'!AS119*'Gübre oranlar'!AV$2</f>
        <v>0</v>
      </c>
      <c r="AT119">
        <f>'Kullanılan gübre'!AT119*'Gübre oranlar'!AW$2</f>
        <v>0</v>
      </c>
      <c r="AU119">
        <f>'Kullanılan gübre'!AU119*'Gübre oranlar'!AX$2</f>
        <v>0</v>
      </c>
      <c r="AV119">
        <f>'Kullanılan gübre'!AV119*'Gübre oranlar'!AY$2</f>
        <v>0</v>
      </c>
      <c r="AW119">
        <f t="shared" si="1"/>
        <v>1404.9919999999997</v>
      </c>
    </row>
    <row r="120" spans="1:49" x14ac:dyDescent="0.25">
      <c r="A120" t="str">
        <f>'Kullanılan gübre'!A120</f>
        <v>AK</v>
      </c>
      <c r="B120" t="str">
        <f>'Kullanılan gübre'!B120</f>
        <v>AFYONKARAHISAR</v>
      </c>
      <c r="C120" t="str">
        <f>'Kullanılan gübre'!C120</f>
        <v>SULTANDAGI</v>
      </c>
      <c r="D120">
        <f>'Kullanılan gübre'!D120</f>
        <v>2017</v>
      </c>
      <c r="E120">
        <f>'Kullanılan gübre'!E120*'Gübre oranlar'!H$2</f>
        <v>71.483999999999995</v>
      </c>
      <c r="F120">
        <f>'Kullanılan gübre'!F120*'Gübre oranlar'!I$2</f>
        <v>15.314</v>
      </c>
      <c r="G120">
        <f>'Kullanılan gübre'!G120*'Gübre oranlar'!J$2</f>
        <v>0</v>
      </c>
      <c r="H120">
        <f>'Kullanılan gübre'!H120*'Gübre oranlar'!K$2</f>
        <v>84.64</v>
      </c>
      <c r="I120">
        <f>'Kullanılan gübre'!I120*'Gübre oranlar'!L$2</f>
        <v>0</v>
      </c>
      <c r="J120">
        <f>'Kullanılan gübre'!J120*'Gübre oranlar'!M$2</f>
        <v>26.55</v>
      </c>
      <c r="K120">
        <f>'Kullanılan gübre'!K120*'Gübre oranlar'!N$2</f>
        <v>0</v>
      </c>
      <c r="L120">
        <f>'Kullanılan gübre'!L120*'Gübre oranlar'!O$2</f>
        <v>18.900000000000002</v>
      </c>
      <c r="M120">
        <f>'Kullanılan gübre'!M120*'Gübre oranlar'!P$2</f>
        <v>0</v>
      </c>
      <c r="N120">
        <f>'Kullanılan gübre'!N120*'Gübre oranlar'!Q$2</f>
        <v>22.1325</v>
      </c>
      <c r="O120">
        <f>'Kullanılan gübre'!O120*'Gübre oranlar'!R$2</f>
        <v>0</v>
      </c>
      <c r="P120">
        <f>'Kullanılan gübre'!P120*'Gübre oranlar'!S$2</f>
        <v>0.37375000000000003</v>
      </c>
      <c r="Q120">
        <f>'Kullanılan gübre'!Q120*'Gübre oranlar'!T$2</f>
        <v>0</v>
      </c>
      <c r="R120">
        <f>'Kullanılan gübre'!R120*'Gübre oranlar'!U$2</f>
        <v>0</v>
      </c>
      <c r="S120">
        <f>'Kullanılan gübre'!S120*'Gübre oranlar'!V$2</f>
        <v>0</v>
      </c>
      <c r="T120">
        <f>'Kullanılan gübre'!T120*'Gübre oranlar'!W$2</f>
        <v>2.3010000000000002</v>
      </c>
      <c r="U120">
        <f>'Kullanılan gübre'!U120*'Gübre oranlar'!X$2</f>
        <v>0</v>
      </c>
      <c r="V120">
        <f>'Kullanılan gübre'!V120*'Gübre oranlar'!Y$2</f>
        <v>0</v>
      </c>
      <c r="W120">
        <f>'Kullanılan gübre'!W120*'Gübre oranlar'!Z$2</f>
        <v>0</v>
      </c>
      <c r="X120">
        <f>'Kullanılan gübre'!X120*'Gübre oranlar'!AA$2</f>
        <v>0</v>
      </c>
      <c r="Y120">
        <f>'Kullanılan gübre'!Y120*'Gübre oranlar'!AB$2</f>
        <v>0</v>
      </c>
      <c r="Z120">
        <f>'Kullanılan gübre'!Z120*'Gübre oranlar'!AC$2</f>
        <v>0</v>
      </c>
      <c r="AA120">
        <f>'Kullanılan gübre'!AA120*'Gübre oranlar'!AD$2</f>
        <v>0</v>
      </c>
      <c r="AB120">
        <f>'Kullanılan gübre'!AB120*'Gübre oranlar'!AE$2</f>
        <v>2.16</v>
      </c>
      <c r="AC120">
        <f>'Kullanılan gübre'!AC120*'Gübre oranlar'!AF$2</f>
        <v>0</v>
      </c>
      <c r="AD120">
        <f>'Kullanılan gübre'!AD120*'Gübre oranlar'!AG$2</f>
        <v>0</v>
      </c>
      <c r="AE120">
        <f>'Kullanılan gübre'!AE120*'Gübre oranlar'!AH$2</f>
        <v>0</v>
      </c>
      <c r="AF120">
        <f>'Kullanılan gübre'!AF120*'Gübre oranlar'!AI$2</f>
        <v>0</v>
      </c>
      <c r="AG120">
        <f>'Kullanılan gübre'!AG120*'Gübre oranlar'!AJ$2</f>
        <v>0</v>
      </c>
      <c r="AH120">
        <f>'Kullanılan gübre'!AH120*'Gübre oranlar'!AK$2</f>
        <v>0</v>
      </c>
      <c r="AI120">
        <f>'Kullanılan gübre'!AI120*'Gübre oranlar'!AL$2</f>
        <v>0</v>
      </c>
      <c r="AJ120">
        <f>'Kullanılan gübre'!AJ120*'Gübre oranlar'!AM$2</f>
        <v>0</v>
      </c>
      <c r="AK120">
        <f>'Kullanılan gübre'!AK120*'Gübre oranlar'!AN$2</f>
        <v>0</v>
      </c>
      <c r="AL120">
        <f>'Kullanılan gübre'!AL120*'Gübre oranlar'!AO$2</f>
        <v>0</v>
      </c>
      <c r="AM120">
        <f>'Kullanılan gübre'!AM120*'Gübre oranlar'!AP$2</f>
        <v>0</v>
      </c>
      <c r="AN120">
        <f>'Kullanılan gübre'!AN120*'Gübre oranlar'!AQ$2</f>
        <v>0</v>
      </c>
      <c r="AO120">
        <f>'Kullanılan gübre'!AO120*'Gübre oranlar'!AR$2</f>
        <v>1.7744999999999997</v>
      </c>
      <c r="AP120">
        <f>'Kullanılan gübre'!AP120*'Gübre oranlar'!AS$2</f>
        <v>29.106000000000002</v>
      </c>
      <c r="AQ120">
        <f>'Kullanılan gübre'!AQ120*'Gübre oranlar'!AT$2</f>
        <v>0</v>
      </c>
      <c r="AR120">
        <f>'Kullanılan gübre'!AR120*'Gübre oranlar'!AU$2</f>
        <v>0</v>
      </c>
      <c r="AS120">
        <f>'Kullanılan gübre'!AS120*'Gübre oranlar'!AV$2</f>
        <v>0</v>
      </c>
      <c r="AT120">
        <f>'Kullanılan gübre'!AT120*'Gübre oranlar'!AW$2</f>
        <v>0</v>
      </c>
      <c r="AU120">
        <f>'Kullanılan gübre'!AU120*'Gübre oranlar'!AX$2</f>
        <v>0</v>
      </c>
      <c r="AV120">
        <f>'Kullanılan gübre'!AV120*'Gübre oranlar'!AY$2</f>
        <v>0</v>
      </c>
      <c r="AW120">
        <f t="shared" si="1"/>
        <v>274.73575</v>
      </c>
    </row>
    <row r="121" spans="1:49" x14ac:dyDescent="0.25">
      <c r="A121" t="str">
        <f>'Kullanılan gübre'!A121</f>
        <v>AK</v>
      </c>
      <c r="B121" t="str">
        <f>'Kullanılan gübre'!B121</f>
        <v>AFYONKARAHISAR</v>
      </c>
      <c r="C121" t="str">
        <f>'Kullanılan gübre'!C121</f>
        <v>SUHUT</v>
      </c>
      <c r="D121">
        <f>'Kullanılan gübre'!D121</f>
        <v>2017</v>
      </c>
      <c r="E121">
        <f>'Kullanılan gübre'!E121*'Gübre oranlar'!H$2</f>
        <v>297.87974999999994</v>
      </c>
      <c r="F121">
        <f>'Kullanılan gübre'!F121*'Gübre oranlar'!I$2</f>
        <v>13.974999999999998</v>
      </c>
      <c r="G121">
        <f>'Kullanılan gübre'!G121*'Gübre oranlar'!J$2</f>
        <v>0</v>
      </c>
      <c r="H121">
        <f>'Kullanılan gübre'!H121*'Gübre oranlar'!K$2</f>
        <v>911.12200000000018</v>
      </c>
      <c r="I121">
        <f>'Kullanılan gübre'!I121*'Gübre oranlar'!L$2</f>
        <v>0</v>
      </c>
      <c r="J121">
        <f>'Kullanılan gübre'!J121*'Gübre oranlar'!M$2</f>
        <v>179.49599999999998</v>
      </c>
      <c r="K121">
        <f>'Kullanılan gübre'!K121*'Gübre oranlar'!N$2</f>
        <v>35.31</v>
      </c>
      <c r="L121">
        <f>'Kullanılan gübre'!L121*'Gübre oranlar'!O$2</f>
        <v>71.19</v>
      </c>
      <c r="M121">
        <f>'Kullanılan gübre'!M121*'Gübre oranlar'!P$2</f>
        <v>103.9575</v>
      </c>
      <c r="N121">
        <f>'Kullanılan gübre'!N121*'Gübre oranlar'!Q$2</f>
        <v>64.432500000000005</v>
      </c>
      <c r="O121">
        <f>'Kullanılan gübre'!O121*'Gübre oranlar'!R$2</f>
        <v>0</v>
      </c>
      <c r="P121">
        <f>'Kullanılan gübre'!P121*'Gübre oranlar'!S$2</f>
        <v>4.0521000000000003</v>
      </c>
      <c r="Q121">
        <f>'Kullanılan gübre'!Q121*'Gübre oranlar'!T$2</f>
        <v>0</v>
      </c>
      <c r="R121">
        <f>'Kullanılan gübre'!R121*'Gübre oranlar'!U$2</f>
        <v>0</v>
      </c>
      <c r="S121">
        <f>'Kullanılan gübre'!S121*'Gübre oranlar'!V$2</f>
        <v>30.628</v>
      </c>
      <c r="T121">
        <f>'Kullanılan gübre'!T121*'Gübre oranlar'!W$2</f>
        <v>28.619500000000002</v>
      </c>
      <c r="U121">
        <f>'Kullanılan gübre'!U121*'Gübre oranlar'!X$2</f>
        <v>0</v>
      </c>
      <c r="V121">
        <f>'Kullanılan gübre'!V121*'Gübre oranlar'!Y$2</f>
        <v>0</v>
      </c>
      <c r="W121">
        <f>'Kullanılan gübre'!W121*'Gübre oranlar'!Z$2</f>
        <v>0</v>
      </c>
      <c r="X121">
        <f>'Kullanılan gübre'!X121*'Gübre oranlar'!AA$2</f>
        <v>0</v>
      </c>
      <c r="Y121">
        <f>'Kullanılan gübre'!Y121*'Gübre oranlar'!AB$2</f>
        <v>0</v>
      </c>
      <c r="Z121">
        <f>'Kullanılan gübre'!Z121*'Gübre oranlar'!AC$2</f>
        <v>0</v>
      </c>
      <c r="AA121">
        <f>'Kullanılan gübre'!AA121*'Gübre oranlar'!AD$2</f>
        <v>0</v>
      </c>
      <c r="AB121">
        <f>'Kullanılan gübre'!AB121*'Gübre oranlar'!AE$2</f>
        <v>0</v>
      </c>
      <c r="AC121">
        <f>'Kullanılan gübre'!AC121*'Gübre oranlar'!AF$2</f>
        <v>0</v>
      </c>
      <c r="AD121">
        <f>'Kullanılan gübre'!AD121*'Gübre oranlar'!AG$2</f>
        <v>0</v>
      </c>
      <c r="AE121">
        <f>'Kullanılan gübre'!AE121*'Gübre oranlar'!AH$2</f>
        <v>0</v>
      </c>
      <c r="AF121">
        <f>'Kullanılan gübre'!AF121*'Gübre oranlar'!AI$2</f>
        <v>0</v>
      </c>
      <c r="AG121">
        <f>'Kullanılan gübre'!AG121*'Gübre oranlar'!AJ$2</f>
        <v>0</v>
      </c>
      <c r="AH121">
        <f>'Kullanılan gübre'!AH121*'Gübre oranlar'!AK$2</f>
        <v>0</v>
      </c>
      <c r="AI121">
        <f>'Kullanılan gübre'!AI121*'Gübre oranlar'!AL$2</f>
        <v>0</v>
      </c>
      <c r="AJ121">
        <f>'Kullanılan gübre'!AJ121*'Gübre oranlar'!AM$2</f>
        <v>0</v>
      </c>
      <c r="AK121">
        <f>'Kullanılan gübre'!AK121*'Gübre oranlar'!AN$2</f>
        <v>0</v>
      </c>
      <c r="AL121">
        <f>'Kullanılan gübre'!AL121*'Gübre oranlar'!AO$2</f>
        <v>0</v>
      </c>
      <c r="AM121">
        <f>'Kullanılan gübre'!AM121*'Gübre oranlar'!AP$2</f>
        <v>0</v>
      </c>
      <c r="AN121">
        <f>'Kullanılan gübre'!AN121*'Gübre oranlar'!AQ$2</f>
        <v>0</v>
      </c>
      <c r="AO121">
        <f>'Kullanılan gübre'!AO121*'Gübre oranlar'!AR$2</f>
        <v>0</v>
      </c>
      <c r="AP121">
        <f>'Kullanılan gübre'!AP121*'Gübre oranlar'!AS$2</f>
        <v>107.712</v>
      </c>
      <c r="AQ121">
        <f>'Kullanılan gübre'!AQ121*'Gübre oranlar'!AT$2</f>
        <v>0</v>
      </c>
      <c r="AR121">
        <f>'Kullanılan gübre'!AR121*'Gübre oranlar'!AU$2</f>
        <v>0</v>
      </c>
      <c r="AS121">
        <f>'Kullanılan gübre'!AS121*'Gübre oranlar'!AV$2</f>
        <v>0</v>
      </c>
      <c r="AT121">
        <f>'Kullanılan gübre'!AT121*'Gübre oranlar'!AW$2</f>
        <v>0</v>
      </c>
      <c r="AU121">
        <f>'Kullanılan gübre'!AU121*'Gübre oranlar'!AX$2</f>
        <v>0</v>
      </c>
      <c r="AV121">
        <f>'Kullanılan gübre'!AV121*'Gübre oranlar'!AY$2</f>
        <v>0</v>
      </c>
      <c r="AW121">
        <f t="shared" si="1"/>
        <v>1848.3743500000003</v>
      </c>
    </row>
    <row r="122" spans="1:49" hidden="1" x14ac:dyDescent="0.25">
      <c r="A122" t="str">
        <f>'Kullanılan gübre'!A122</f>
        <v>AK</v>
      </c>
      <c r="B122" t="str">
        <f>'Kullanılan gübre'!B122</f>
        <v>KONYA</v>
      </c>
      <c r="C122" t="str">
        <f>'Kullanılan gübre'!C122</f>
        <v>TUZLUKCU</v>
      </c>
      <c r="D122">
        <f>'Kullanılan gübre'!D122</f>
        <v>2006</v>
      </c>
      <c r="E122">
        <f>'Kullanılan gübre'!E122*'Gübre oranlar'!H$2</f>
        <v>11.077499999999999</v>
      </c>
      <c r="F122">
        <f>'Kullanılan gübre'!F122*'Gübre oranlar'!I$2</f>
        <v>4.1080000000000005</v>
      </c>
      <c r="G122">
        <f>'Kullanılan gübre'!G122*'Gübre oranlar'!J$2</f>
        <v>44.335500000000003</v>
      </c>
      <c r="H122">
        <f>'Kullanılan gübre'!H122*'Gübre oranlar'!K$2</f>
        <v>39.468000000000004</v>
      </c>
      <c r="I122">
        <f>'Kullanılan gübre'!I122*'Gübre oranlar'!L$2</f>
        <v>0</v>
      </c>
      <c r="J122">
        <f>'Kullanılan gübre'!J122*'Gübre oranlar'!M$2</f>
        <v>56.475000000000001</v>
      </c>
      <c r="K122">
        <f>'Kullanılan gübre'!K122*'Gübre oranlar'!N$2</f>
        <v>14</v>
      </c>
      <c r="L122">
        <f>'Kullanılan gübre'!L122*'Gübre oranlar'!O$2</f>
        <v>24.28</v>
      </c>
      <c r="M122">
        <f>'Kullanılan gübre'!M122*'Gübre oranlar'!P$2</f>
        <v>0</v>
      </c>
      <c r="N122">
        <f>'Kullanılan gübre'!N122*'Gübre oranlar'!Q$2</f>
        <v>7.4999999999999997E-2</v>
      </c>
      <c r="O122">
        <f>'Kullanılan gübre'!O122*'Gübre oranlar'!R$2</f>
        <v>0</v>
      </c>
      <c r="P122">
        <f>'Kullanılan gübre'!P122*'Gübre oranlar'!S$2</f>
        <v>0</v>
      </c>
      <c r="Q122">
        <f>'Kullanılan gübre'!Q122*'Gübre oranlar'!T$2</f>
        <v>0</v>
      </c>
      <c r="R122">
        <f>'Kullanılan gübre'!R122*'Gübre oranlar'!U$2</f>
        <v>0</v>
      </c>
      <c r="S122">
        <f>'Kullanılan gübre'!S122*'Gübre oranlar'!V$2</f>
        <v>0</v>
      </c>
      <c r="T122">
        <f>'Kullanılan gübre'!T122*'Gübre oranlar'!W$2</f>
        <v>0</v>
      </c>
      <c r="U122">
        <f>'Kullanılan gübre'!U122*'Gübre oranlar'!X$2</f>
        <v>0</v>
      </c>
      <c r="V122">
        <f>'Kullanılan gübre'!V122*'Gübre oranlar'!Y$2</f>
        <v>0</v>
      </c>
      <c r="W122">
        <f>'Kullanılan gübre'!W122*'Gübre oranlar'!Z$2</f>
        <v>0</v>
      </c>
      <c r="X122">
        <f>'Kullanılan gübre'!X122*'Gübre oranlar'!AA$2</f>
        <v>0</v>
      </c>
      <c r="Y122">
        <f>'Kullanılan gübre'!Y122*'Gübre oranlar'!AB$2</f>
        <v>0</v>
      </c>
      <c r="Z122">
        <f>'Kullanılan gübre'!Z122*'Gübre oranlar'!AC$2</f>
        <v>0</v>
      </c>
      <c r="AA122">
        <f>'Kullanılan gübre'!AA122*'Gübre oranlar'!AD$2</f>
        <v>0</v>
      </c>
      <c r="AB122">
        <f>'Kullanılan gübre'!AB122*'Gübre oranlar'!AE$2</f>
        <v>0</v>
      </c>
      <c r="AC122">
        <f>'Kullanılan gübre'!AC122*'Gübre oranlar'!AF$2</f>
        <v>0</v>
      </c>
      <c r="AD122">
        <f>'Kullanılan gübre'!AD122*'Gübre oranlar'!AG$2</f>
        <v>0</v>
      </c>
      <c r="AE122">
        <f>'Kullanılan gübre'!AE122*'Gübre oranlar'!AH$2</f>
        <v>0</v>
      </c>
      <c r="AF122">
        <f>'Kullanılan gübre'!AF122*'Gübre oranlar'!AI$2</f>
        <v>0</v>
      </c>
      <c r="AG122">
        <f>'Kullanılan gübre'!AG122*'Gübre oranlar'!AJ$2</f>
        <v>0</v>
      </c>
      <c r="AH122">
        <f>'Kullanılan gübre'!AH122*'Gübre oranlar'!AK$2</f>
        <v>0</v>
      </c>
      <c r="AI122">
        <f>'Kullanılan gübre'!AI122*'Gübre oranlar'!AL$2</f>
        <v>0</v>
      </c>
      <c r="AJ122">
        <f>'Kullanılan gübre'!AJ122*'Gübre oranlar'!AM$2</f>
        <v>0</v>
      </c>
      <c r="AK122">
        <f>'Kullanılan gübre'!AK122*'Gübre oranlar'!AN$2</f>
        <v>0</v>
      </c>
      <c r="AL122">
        <f>'Kullanılan gübre'!AL122*'Gübre oranlar'!AO$2</f>
        <v>0</v>
      </c>
      <c r="AM122">
        <f>'Kullanılan gübre'!AM122*'Gübre oranlar'!AP$2</f>
        <v>0</v>
      </c>
      <c r="AN122">
        <f>'Kullanılan gübre'!AN122*'Gübre oranlar'!AQ$2</f>
        <v>0</v>
      </c>
      <c r="AO122">
        <f>'Kullanılan gübre'!AO122*'Gübre oranlar'!AR$2</f>
        <v>0</v>
      </c>
      <c r="AP122">
        <f>'Kullanılan gübre'!AP122*'Gübre oranlar'!AS$2</f>
        <v>0</v>
      </c>
      <c r="AQ122">
        <f>'Kullanılan gübre'!AQ122*'Gübre oranlar'!AT$2</f>
        <v>0</v>
      </c>
      <c r="AR122">
        <f>'Kullanılan gübre'!AR122*'Gübre oranlar'!AU$2</f>
        <v>0</v>
      </c>
      <c r="AS122">
        <f>'Kullanılan gübre'!AS122*'Gübre oranlar'!AV$2</f>
        <v>0</v>
      </c>
      <c r="AT122">
        <f>'Kullanılan gübre'!AT122*'Gübre oranlar'!AW$2</f>
        <v>0</v>
      </c>
      <c r="AU122">
        <f>'Kullanılan gübre'!AU122*'Gübre oranlar'!AX$2</f>
        <v>0</v>
      </c>
      <c r="AV122">
        <f>'Kullanılan gübre'!AV122*'Gübre oranlar'!AY$2</f>
        <v>0</v>
      </c>
      <c r="AW122">
        <f t="shared" si="1"/>
        <v>193.81899999999999</v>
      </c>
    </row>
    <row r="123" spans="1:49" hidden="1" x14ac:dyDescent="0.25">
      <c r="A123" t="str">
        <f>'Kullanılan gübre'!A123</f>
        <v>AK</v>
      </c>
      <c r="B123" t="str">
        <f>'Kullanılan gübre'!B123</f>
        <v>KONYA</v>
      </c>
      <c r="C123" t="str">
        <f>'Kullanılan gübre'!C123</f>
        <v>AKSEHIR</v>
      </c>
      <c r="D123">
        <f>'Kullanılan gübre'!D123</f>
        <v>2006</v>
      </c>
      <c r="E123">
        <f>'Kullanılan gübre'!E123*'Gübre oranlar'!H$2</f>
        <v>135.63899999999998</v>
      </c>
      <c r="F123">
        <f>'Kullanılan gübre'!F123*'Gübre oranlar'!I$2</f>
        <v>632.54100000000005</v>
      </c>
      <c r="G123">
        <f>'Kullanılan gübre'!G123*'Gübre oranlar'!J$2</f>
        <v>946.30799999999999</v>
      </c>
      <c r="H123">
        <f>'Kullanılan gübre'!H123*'Gübre oranlar'!K$2</f>
        <v>941.7120000000001</v>
      </c>
      <c r="I123">
        <f>'Kullanılan gübre'!I123*'Gübre oranlar'!L$2</f>
        <v>0</v>
      </c>
      <c r="J123">
        <f>'Kullanılan gübre'!J123*'Gübre oranlar'!M$2</f>
        <v>558.45900000000006</v>
      </c>
      <c r="K123">
        <f>'Kullanılan gübre'!K123*'Gübre oranlar'!N$2</f>
        <v>280.63000000000005</v>
      </c>
      <c r="L123">
        <f>'Kullanılan gübre'!L123*'Gübre oranlar'!O$2</f>
        <v>252.01999999999998</v>
      </c>
      <c r="M123">
        <f>'Kullanılan gübre'!M123*'Gübre oranlar'!P$2</f>
        <v>19.2</v>
      </c>
      <c r="N123">
        <f>'Kullanılan gübre'!N123*'Gübre oranlar'!Q$2</f>
        <v>27.322500000000002</v>
      </c>
      <c r="O123">
        <f>'Kullanılan gübre'!O123*'Gübre oranlar'!R$2</f>
        <v>0</v>
      </c>
      <c r="P123">
        <f>'Kullanılan gübre'!P123*'Gübre oranlar'!S$2</f>
        <v>5.9215</v>
      </c>
      <c r="Q123">
        <f>'Kullanılan gübre'!Q123*'Gübre oranlar'!T$2</f>
        <v>100.2</v>
      </c>
      <c r="R123">
        <f>'Kullanılan gübre'!R123*'Gübre oranlar'!U$2</f>
        <v>0</v>
      </c>
      <c r="S123">
        <f>'Kullanılan gübre'!S123*'Gübre oranlar'!V$2</f>
        <v>0</v>
      </c>
      <c r="T123">
        <f>'Kullanılan gübre'!T123*'Gübre oranlar'!W$2</f>
        <v>0</v>
      </c>
      <c r="U123">
        <f>'Kullanılan gübre'!U123*'Gübre oranlar'!X$2</f>
        <v>0</v>
      </c>
      <c r="V123">
        <f>'Kullanılan gübre'!V123*'Gübre oranlar'!Y$2</f>
        <v>0</v>
      </c>
      <c r="W123">
        <f>'Kullanılan gübre'!W123*'Gübre oranlar'!Z$2</f>
        <v>0</v>
      </c>
      <c r="X123">
        <f>'Kullanılan gübre'!X123*'Gübre oranlar'!AA$2</f>
        <v>3.1</v>
      </c>
      <c r="Y123">
        <f>'Kullanılan gübre'!Y123*'Gübre oranlar'!AB$2</f>
        <v>0</v>
      </c>
      <c r="Z123">
        <f>'Kullanılan gübre'!Z123*'Gübre oranlar'!AC$2</f>
        <v>0</v>
      </c>
      <c r="AA123">
        <f>'Kullanılan gübre'!AA123*'Gübre oranlar'!AD$2</f>
        <v>0</v>
      </c>
      <c r="AB123">
        <f>'Kullanılan gübre'!AB123*'Gübre oranlar'!AE$2</f>
        <v>0</v>
      </c>
      <c r="AC123">
        <f>'Kullanılan gübre'!AC123*'Gübre oranlar'!AF$2</f>
        <v>0</v>
      </c>
      <c r="AD123">
        <f>'Kullanılan gübre'!AD123*'Gübre oranlar'!AG$2</f>
        <v>0</v>
      </c>
      <c r="AE123">
        <f>'Kullanılan gübre'!AE123*'Gübre oranlar'!AH$2</f>
        <v>0</v>
      </c>
      <c r="AF123">
        <f>'Kullanılan gübre'!AF123*'Gübre oranlar'!AI$2</f>
        <v>0</v>
      </c>
      <c r="AG123">
        <f>'Kullanılan gübre'!AG123*'Gübre oranlar'!AJ$2</f>
        <v>0</v>
      </c>
      <c r="AH123">
        <f>'Kullanılan gübre'!AH123*'Gübre oranlar'!AK$2</f>
        <v>0</v>
      </c>
      <c r="AI123">
        <f>'Kullanılan gübre'!AI123*'Gübre oranlar'!AL$2</f>
        <v>0</v>
      </c>
      <c r="AJ123">
        <f>'Kullanılan gübre'!AJ123*'Gübre oranlar'!AM$2</f>
        <v>0</v>
      </c>
      <c r="AK123">
        <f>'Kullanılan gübre'!AK123*'Gübre oranlar'!AN$2</f>
        <v>0</v>
      </c>
      <c r="AL123">
        <f>'Kullanılan gübre'!AL123*'Gübre oranlar'!AO$2</f>
        <v>0</v>
      </c>
      <c r="AM123">
        <f>'Kullanılan gübre'!AM123*'Gübre oranlar'!AP$2</f>
        <v>0</v>
      </c>
      <c r="AN123">
        <f>'Kullanılan gübre'!AN123*'Gübre oranlar'!AQ$2</f>
        <v>0</v>
      </c>
      <c r="AO123">
        <f>'Kullanılan gübre'!AO123*'Gübre oranlar'!AR$2</f>
        <v>0</v>
      </c>
      <c r="AP123">
        <f>'Kullanılan gübre'!AP123*'Gübre oranlar'!AS$2</f>
        <v>0</v>
      </c>
      <c r="AQ123">
        <f>'Kullanılan gübre'!AQ123*'Gübre oranlar'!AT$2</f>
        <v>0</v>
      </c>
      <c r="AR123">
        <f>'Kullanılan gübre'!AR123*'Gübre oranlar'!AU$2</f>
        <v>0</v>
      </c>
      <c r="AS123">
        <f>'Kullanılan gübre'!AS123*'Gübre oranlar'!AV$2</f>
        <v>0</v>
      </c>
      <c r="AT123">
        <f>'Kullanılan gübre'!AT123*'Gübre oranlar'!AW$2</f>
        <v>0</v>
      </c>
      <c r="AU123">
        <f>'Kullanılan gübre'!AU123*'Gübre oranlar'!AX$2</f>
        <v>0</v>
      </c>
      <c r="AV123">
        <f>'Kullanılan gübre'!AV123*'Gübre oranlar'!AY$2</f>
        <v>0</v>
      </c>
      <c r="AW123">
        <f t="shared" si="1"/>
        <v>3903.0530000000003</v>
      </c>
    </row>
    <row r="124" spans="1:49" hidden="1" x14ac:dyDescent="0.25">
      <c r="A124" t="str">
        <f>'Kullanılan gübre'!A124</f>
        <v>AK</v>
      </c>
      <c r="B124" t="str">
        <f>'Kullanılan gübre'!B124</f>
        <v>KONYA</v>
      </c>
      <c r="C124" t="str">
        <f>'Kullanılan gübre'!C124</f>
        <v>AKSEHIR</v>
      </c>
      <c r="D124">
        <f>'Kullanılan gübre'!D124</f>
        <v>2007</v>
      </c>
      <c r="E124">
        <f>'Kullanılan gübre'!E124*'Gübre oranlar'!H$2</f>
        <v>176.3895</v>
      </c>
      <c r="F124">
        <f>'Kullanılan gübre'!F124*'Gübre oranlar'!I$2</f>
        <v>1038.2450000000001</v>
      </c>
      <c r="G124">
        <f>'Kullanılan gübre'!G124*'Gübre oranlar'!J$2</f>
        <v>871.56299999999999</v>
      </c>
      <c r="H124">
        <f>'Kullanılan gübre'!H124*'Gübre oranlar'!K$2</f>
        <v>697.40599999999995</v>
      </c>
      <c r="I124">
        <f>'Kullanılan gübre'!I124*'Gübre oranlar'!L$2</f>
        <v>0</v>
      </c>
      <c r="J124">
        <f>'Kullanılan gübre'!J124*'Gübre oranlar'!M$2</f>
        <v>268.029</v>
      </c>
      <c r="K124">
        <f>'Kullanılan gübre'!K124*'Gübre oranlar'!N$2</f>
        <v>257.45999999999998</v>
      </c>
      <c r="L124">
        <f>'Kullanılan gübre'!L124*'Gübre oranlar'!O$2</f>
        <v>137.44000000000003</v>
      </c>
      <c r="M124">
        <f>'Kullanılan gübre'!M124*'Gübre oranlar'!P$2</f>
        <v>11.219999999999999</v>
      </c>
      <c r="N124">
        <f>'Kullanılan gübre'!N124*'Gübre oranlar'!Q$2</f>
        <v>34.1325</v>
      </c>
      <c r="O124">
        <f>'Kullanılan gübre'!O124*'Gübre oranlar'!R$2</f>
        <v>0</v>
      </c>
      <c r="P124">
        <f>'Kullanılan gübre'!P124*'Gübre oranlar'!S$2</f>
        <v>1.1179999999999999</v>
      </c>
      <c r="Q124">
        <f>'Kullanılan gübre'!Q124*'Gübre oranlar'!T$2</f>
        <v>101.52</v>
      </c>
      <c r="R124">
        <f>'Kullanılan gübre'!R124*'Gübre oranlar'!U$2</f>
        <v>0</v>
      </c>
      <c r="S124">
        <f>'Kullanılan gübre'!S124*'Gübre oranlar'!V$2</f>
        <v>0</v>
      </c>
      <c r="T124">
        <f>'Kullanılan gübre'!T124*'Gübre oranlar'!W$2</f>
        <v>0</v>
      </c>
      <c r="U124">
        <f>'Kullanılan gübre'!U124*'Gübre oranlar'!X$2</f>
        <v>0</v>
      </c>
      <c r="V124">
        <f>'Kullanılan gübre'!V124*'Gübre oranlar'!Y$2</f>
        <v>0</v>
      </c>
      <c r="W124">
        <f>'Kullanılan gübre'!W124*'Gübre oranlar'!Z$2</f>
        <v>0</v>
      </c>
      <c r="X124">
        <f>'Kullanılan gübre'!X124*'Gübre oranlar'!AA$2</f>
        <v>7.5</v>
      </c>
      <c r="Y124">
        <f>'Kullanılan gübre'!Y124*'Gübre oranlar'!AB$2</f>
        <v>0</v>
      </c>
      <c r="Z124">
        <f>'Kullanılan gübre'!Z124*'Gübre oranlar'!AC$2</f>
        <v>0</v>
      </c>
      <c r="AA124">
        <f>'Kullanılan gübre'!AA124*'Gübre oranlar'!AD$2</f>
        <v>3.6919999999999997</v>
      </c>
      <c r="AB124">
        <f>'Kullanılan gübre'!AB124*'Gübre oranlar'!AE$2</f>
        <v>0</v>
      </c>
      <c r="AC124">
        <f>'Kullanılan gübre'!AC124*'Gübre oranlar'!AF$2</f>
        <v>0</v>
      </c>
      <c r="AD124">
        <f>'Kullanılan gübre'!AD124*'Gübre oranlar'!AG$2</f>
        <v>0</v>
      </c>
      <c r="AE124">
        <f>'Kullanılan gübre'!AE124*'Gübre oranlar'!AH$2</f>
        <v>0</v>
      </c>
      <c r="AF124">
        <f>'Kullanılan gübre'!AF124*'Gübre oranlar'!AI$2</f>
        <v>0</v>
      </c>
      <c r="AG124">
        <f>'Kullanılan gübre'!AG124*'Gübre oranlar'!AJ$2</f>
        <v>0</v>
      </c>
      <c r="AH124">
        <f>'Kullanılan gübre'!AH124*'Gübre oranlar'!AK$2</f>
        <v>0</v>
      </c>
      <c r="AI124">
        <f>'Kullanılan gübre'!AI124*'Gübre oranlar'!AL$2</f>
        <v>0</v>
      </c>
      <c r="AJ124">
        <f>'Kullanılan gübre'!AJ124*'Gübre oranlar'!AM$2</f>
        <v>0</v>
      </c>
      <c r="AK124">
        <f>'Kullanılan gübre'!AK124*'Gübre oranlar'!AN$2</f>
        <v>0</v>
      </c>
      <c r="AL124">
        <f>'Kullanılan gübre'!AL124*'Gübre oranlar'!AO$2</f>
        <v>0</v>
      </c>
      <c r="AM124">
        <f>'Kullanılan gübre'!AM124*'Gübre oranlar'!AP$2</f>
        <v>0</v>
      </c>
      <c r="AN124">
        <f>'Kullanılan gübre'!AN124*'Gübre oranlar'!AQ$2</f>
        <v>0</v>
      </c>
      <c r="AO124">
        <f>'Kullanılan gübre'!AO124*'Gübre oranlar'!AR$2</f>
        <v>0</v>
      </c>
      <c r="AP124">
        <f>'Kullanılan gübre'!AP124*'Gübre oranlar'!AS$2</f>
        <v>0</v>
      </c>
      <c r="AQ124">
        <f>'Kullanılan gübre'!AQ124*'Gübre oranlar'!AT$2</f>
        <v>0</v>
      </c>
      <c r="AR124">
        <f>'Kullanılan gübre'!AR124*'Gübre oranlar'!AU$2</f>
        <v>0</v>
      </c>
      <c r="AS124">
        <f>'Kullanılan gübre'!AS124*'Gübre oranlar'!AV$2</f>
        <v>0</v>
      </c>
      <c r="AT124">
        <f>'Kullanılan gübre'!AT124*'Gübre oranlar'!AW$2</f>
        <v>0</v>
      </c>
      <c r="AU124">
        <f>'Kullanılan gübre'!AU124*'Gübre oranlar'!AX$2</f>
        <v>0</v>
      </c>
      <c r="AV124">
        <f>'Kullanılan gübre'!AV124*'Gübre oranlar'!AY$2</f>
        <v>0</v>
      </c>
      <c r="AW124">
        <f t="shared" si="1"/>
        <v>3605.7150000000001</v>
      </c>
    </row>
    <row r="125" spans="1:49" hidden="1" x14ac:dyDescent="0.25">
      <c r="A125" t="str">
        <f>'Kullanılan gübre'!A125</f>
        <v>AK</v>
      </c>
      <c r="B125" t="str">
        <f>'Kullanılan gübre'!B125</f>
        <v>KONYA</v>
      </c>
      <c r="C125" t="str">
        <f>'Kullanılan gübre'!C125</f>
        <v>TUZLUKCU</v>
      </c>
      <c r="D125">
        <f>'Kullanılan gübre'!D125</f>
        <v>2007</v>
      </c>
      <c r="E125">
        <f>'Kullanılan gübre'!E125*'Gübre oranlar'!H$2</f>
        <v>21.462</v>
      </c>
      <c r="F125">
        <f>'Kullanılan gübre'!F125*'Gübre oranlar'!I$2</f>
        <v>66.976000000000013</v>
      </c>
      <c r="G125">
        <f>'Kullanılan gübre'!G125*'Gübre oranlar'!J$2</f>
        <v>95.304000000000002</v>
      </c>
      <c r="H125">
        <f>'Kullanılan gübre'!H125*'Gübre oranlar'!K$2</f>
        <v>48.944000000000003</v>
      </c>
      <c r="I125">
        <f>'Kullanılan gübre'!I125*'Gübre oranlar'!L$2</f>
        <v>0</v>
      </c>
      <c r="J125">
        <f>'Kullanılan gübre'!J125*'Gübre oranlar'!M$2</f>
        <v>23.930999999999997</v>
      </c>
      <c r="K125">
        <f>'Kullanılan gübre'!K125*'Gübre oranlar'!N$2</f>
        <v>7.9700000000000006</v>
      </c>
      <c r="L125">
        <f>'Kullanılan gübre'!L125*'Gübre oranlar'!O$2</f>
        <v>30.8</v>
      </c>
      <c r="M125">
        <f>'Kullanılan gübre'!M125*'Gübre oranlar'!P$2</f>
        <v>0</v>
      </c>
      <c r="N125">
        <f>'Kullanılan gübre'!N125*'Gübre oranlar'!Q$2</f>
        <v>0</v>
      </c>
      <c r="O125">
        <f>'Kullanılan gübre'!O125*'Gübre oranlar'!R$2</f>
        <v>0</v>
      </c>
      <c r="P125">
        <f>'Kullanılan gübre'!P125*'Gübre oranlar'!S$2</f>
        <v>0</v>
      </c>
      <c r="Q125">
        <f>'Kullanılan gübre'!Q125*'Gübre oranlar'!T$2</f>
        <v>0</v>
      </c>
      <c r="R125">
        <f>'Kullanılan gübre'!R125*'Gübre oranlar'!U$2</f>
        <v>0</v>
      </c>
      <c r="S125">
        <f>'Kullanılan gübre'!S125*'Gübre oranlar'!V$2</f>
        <v>0</v>
      </c>
      <c r="T125">
        <f>'Kullanılan gübre'!T125*'Gübre oranlar'!W$2</f>
        <v>0</v>
      </c>
      <c r="U125">
        <f>'Kullanılan gübre'!U125*'Gübre oranlar'!X$2</f>
        <v>0</v>
      </c>
      <c r="V125">
        <f>'Kullanılan gübre'!V125*'Gübre oranlar'!Y$2</f>
        <v>0</v>
      </c>
      <c r="W125">
        <f>'Kullanılan gübre'!W125*'Gübre oranlar'!Z$2</f>
        <v>0</v>
      </c>
      <c r="X125">
        <f>'Kullanılan gübre'!X125*'Gübre oranlar'!AA$2</f>
        <v>4.9800000000000004</v>
      </c>
      <c r="Y125">
        <f>'Kullanılan gübre'!Y125*'Gübre oranlar'!AB$2</f>
        <v>0</v>
      </c>
      <c r="Z125">
        <f>'Kullanılan gübre'!Z125*'Gübre oranlar'!AC$2</f>
        <v>0</v>
      </c>
      <c r="AA125">
        <f>'Kullanılan gübre'!AA125*'Gübre oranlar'!AD$2</f>
        <v>0</v>
      </c>
      <c r="AB125">
        <f>'Kullanılan gübre'!AB125*'Gübre oranlar'!AE$2</f>
        <v>0</v>
      </c>
      <c r="AC125">
        <f>'Kullanılan gübre'!AC125*'Gübre oranlar'!AF$2</f>
        <v>0</v>
      </c>
      <c r="AD125">
        <f>'Kullanılan gübre'!AD125*'Gübre oranlar'!AG$2</f>
        <v>0</v>
      </c>
      <c r="AE125">
        <f>'Kullanılan gübre'!AE125*'Gübre oranlar'!AH$2</f>
        <v>0</v>
      </c>
      <c r="AF125">
        <f>'Kullanılan gübre'!AF125*'Gübre oranlar'!AI$2</f>
        <v>0</v>
      </c>
      <c r="AG125">
        <f>'Kullanılan gübre'!AG125*'Gübre oranlar'!AJ$2</f>
        <v>0</v>
      </c>
      <c r="AH125">
        <f>'Kullanılan gübre'!AH125*'Gübre oranlar'!AK$2</f>
        <v>0</v>
      </c>
      <c r="AI125">
        <f>'Kullanılan gübre'!AI125*'Gübre oranlar'!AL$2</f>
        <v>0</v>
      </c>
      <c r="AJ125">
        <f>'Kullanılan gübre'!AJ125*'Gübre oranlar'!AM$2</f>
        <v>0</v>
      </c>
      <c r="AK125">
        <f>'Kullanılan gübre'!AK125*'Gübre oranlar'!AN$2</f>
        <v>0</v>
      </c>
      <c r="AL125">
        <f>'Kullanılan gübre'!AL125*'Gübre oranlar'!AO$2</f>
        <v>0</v>
      </c>
      <c r="AM125">
        <f>'Kullanılan gübre'!AM125*'Gübre oranlar'!AP$2</f>
        <v>0</v>
      </c>
      <c r="AN125">
        <f>'Kullanılan gübre'!AN125*'Gübre oranlar'!AQ$2</f>
        <v>0</v>
      </c>
      <c r="AO125">
        <f>'Kullanılan gübre'!AO125*'Gübre oranlar'!AR$2</f>
        <v>0</v>
      </c>
      <c r="AP125">
        <f>'Kullanılan gübre'!AP125*'Gübre oranlar'!AS$2</f>
        <v>0</v>
      </c>
      <c r="AQ125">
        <f>'Kullanılan gübre'!AQ125*'Gübre oranlar'!AT$2</f>
        <v>0</v>
      </c>
      <c r="AR125">
        <f>'Kullanılan gübre'!AR125*'Gübre oranlar'!AU$2</f>
        <v>0</v>
      </c>
      <c r="AS125">
        <f>'Kullanılan gübre'!AS125*'Gübre oranlar'!AV$2</f>
        <v>0</v>
      </c>
      <c r="AT125">
        <f>'Kullanılan gübre'!AT125*'Gübre oranlar'!AW$2</f>
        <v>0</v>
      </c>
      <c r="AU125">
        <f>'Kullanılan gübre'!AU125*'Gübre oranlar'!AX$2</f>
        <v>0</v>
      </c>
      <c r="AV125">
        <f>'Kullanılan gübre'!AV125*'Gübre oranlar'!AY$2</f>
        <v>0</v>
      </c>
      <c r="AW125">
        <f t="shared" si="1"/>
        <v>300.36700000000008</v>
      </c>
    </row>
    <row r="126" spans="1:49" hidden="1" x14ac:dyDescent="0.25">
      <c r="A126" t="str">
        <f>'Kullanılan gübre'!A126</f>
        <v>AK</v>
      </c>
      <c r="B126" t="str">
        <f>'Kullanılan gübre'!B126</f>
        <v>KONYA</v>
      </c>
      <c r="C126" t="str">
        <f>'Kullanılan gübre'!C126</f>
        <v>AKSEHIR</v>
      </c>
      <c r="D126">
        <f>'Kullanılan gübre'!D126</f>
        <v>2008</v>
      </c>
      <c r="E126">
        <f>'Kullanılan gübre'!E126*'Gübre oranlar'!H$2</f>
        <v>65.183999999999997</v>
      </c>
      <c r="F126">
        <f>'Kullanılan gübre'!F126*'Gübre oranlar'!I$2</f>
        <v>638.95000000000005</v>
      </c>
      <c r="G126">
        <f>'Kullanılan gübre'!G126*'Gübre oranlar'!J$2</f>
        <v>771.8370000000001</v>
      </c>
      <c r="H126">
        <f>'Kullanılan gübre'!H126*'Gübre oranlar'!K$2</f>
        <v>894.99900000000014</v>
      </c>
      <c r="I126">
        <f>'Kullanılan gübre'!I126*'Gübre oranlar'!L$2</f>
        <v>0</v>
      </c>
      <c r="J126">
        <f>'Kullanılan gübre'!J126*'Gübre oranlar'!M$2</f>
        <v>157.47299999999998</v>
      </c>
      <c r="K126">
        <f>'Kullanılan gübre'!K126*'Gübre oranlar'!N$2</f>
        <v>216.01999999999998</v>
      </c>
      <c r="L126">
        <f>'Kullanılan gübre'!L126*'Gübre oranlar'!O$2</f>
        <v>198.55</v>
      </c>
      <c r="M126">
        <f>'Kullanılan gübre'!M126*'Gübre oranlar'!P$2</f>
        <v>18.247499999999999</v>
      </c>
      <c r="N126">
        <f>'Kullanılan gübre'!N126*'Gübre oranlar'!Q$2</f>
        <v>13.882499999999999</v>
      </c>
      <c r="O126">
        <f>'Kullanılan gübre'!O126*'Gübre oranlar'!R$2</f>
        <v>0</v>
      </c>
      <c r="P126">
        <f>'Kullanılan gübre'!P126*'Gübre oranlar'!S$2</f>
        <v>8.7750000000000004</v>
      </c>
      <c r="Q126">
        <f>'Kullanılan gübre'!Q126*'Gübre oranlar'!T$2</f>
        <v>95.784000000000006</v>
      </c>
      <c r="R126">
        <f>'Kullanılan gübre'!R126*'Gübre oranlar'!U$2</f>
        <v>0</v>
      </c>
      <c r="S126">
        <f>'Kullanılan gübre'!S126*'Gübre oranlar'!V$2</f>
        <v>0</v>
      </c>
      <c r="T126">
        <f>'Kullanılan gübre'!T126*'Gübre oranlar'!W$2</f>
        <v>0</v>
      </c>
      <c r="U126">
        <f>'Kullanılan gübre'!U126*'Gübre oranlar'!X$2</f>
        <v>0</v>
      </c>
      <c r="V126">
        <f>'Kullanılan gübre'!V126*'Gübre oranlar'!Y$2</f>
        <v>5.25</v>
      </c>
      <c r="W126">
        <f>'Kullanılan gübre'!W126*'Gübre oranlar'!Z$2</f>
        <v>0</v>
      </c>
      <c r="X126">
        <f>'Kullanılan gübre'!X126*'Gübre oranlar'!AA$2</f>
        <v>0</v>
      </c>
      <c r="Y126">
        <f>'Kullanılan gübre'!Y126*'Gübre oranlar'!AB$2</f>
        <v>0</v>
      </c>
      <c r="Z126">
        <f>'Kullanılan gübre'!Z126*'Gübre oranlar'!AC$2</f>
        <v>0</v>
      </c>
      <c r="AA126">
        <f>'Kullanılan gübre'!AA126*'Gübre oranlar'!AD$2</f>
        <v>16.445</v>
      </c>
      <c r="AB126">
        <f>'Kullanılan gübre'!AB126*'Gübre oranlar'!AE$2</f>
        <v>0</v>
      </c>
      <c r="AC126">
        <f>'Kullanılan gübre'!AC126*'Gübre oranlar'!AF$2</f>
        <v>0</v>
      </c>
      <c r="AD126">
        <f>'Kullanılan gübre'!AD126*'Gübre oranlar'!AG$2</f>
        <v>0</v>
      </c>
      <c r="AE126">
        <f>'Kullanılan gübre'!AE126*'Gübre oranlar'!AH$2</f>
        <v>0</v>
      </c>
      <c r="AF126">
        <f>'Kullanılan gübre'!AF126*'Gübre oranlar'!AI$2</f>
        <v>0</v>
      </c>
      <c r="AG126">
        <f>'Kullanılan gübre'!AG126*'Gübre oranlar'!AJ$2</f>
        <v>0</v>
      </c>
      <c r="AH126">
        <f>'Kullanılan gübre'!AH126*'Gübre oranlar'!AK$2</f>
        <v>0</v>
      </c>
      <c r="AI126">
        <f>'Kullanılan gübre'!AI126*'Gübre oranlar'!AL$2</f>
        <v>0</v>
      </c>
      <c r="AJ126">
        <f>'Kullanılan gübre'!AJ126*'Gübre oranlar'!AM$2</f>
        <v>0</v>
      </c>
      <c r="AK126">
        <f>'Kullanılan gübre'!AK126*'Gübre oranlar'!AN$2</f>
        <v>0</v>
      </c>
      <c r="AL126">
        <f>'Kullanılan gübre'!AL126*'Gübre oranlar'!AO$2</f>
        <v>0</v>
      </c>
      <c r="AM126">
        <f>'Kullanılan gübre'!AM126*'Gübre oranlar'!AP$2</f>
        <v>0</v>
      </c>
      <c r="AN126">
        <f>'Kullanılan gübre'!AN126*'Gübre oranlar'!AQ$2</f>
        <v>0</v>
      </c>
      <c r="AO126">
        <f>'Kullanılan gübre'!AO126*'Gübre oranlar'!AR$2</f>
        <v>0</v>
      </c>
      <c r="AP126">
        <f>'Kullanılan gübre'!AP126*'Gübre oranlar'!AS$2</f>
        <v>0</v>
      </c>
      <c r="AQ126">
        <f>'Kullanılan gübre'!AQ126*'Gübre oranlar'!AT$2</f>
        <v>0</v>
      </c>
      <c r="AR126">
        <f>'Kullanılan gübre'!AR126*'Gübre oranlar'!AU$2</f>
        <v>0</v>
      </c>
      <c r="AS126">
        <f>'Kullanılan gübre'!AS126*'Gübre oranlar'!AV$2</f>
        <v>0</v>
      </c>
      <c r="AT126">
        <f>'Kullanılan gübre'!AT126*'Gübre oranlar'!AW$2</f>
        <v>0</v>
      </c>
      <c r="AU126">
        <f>'Kullanılan gübre'!AU126*'Gübre oranlar'!AX$2</f>
        <v>0</v>
      </c>
      <c r="AV126">
        <f>'Kullanılan gübre'!AV126*'Gübre oranlar'!AY$2</f>
        <v>0</v>
      </c>
      <c r="AW126">
        <f t="shared" si="1"/>
        <v>3101.3970000000008</v>
      </c>
    </row>
    <row r="127" spans="1:49" hidden="1" x14ac:dyDescent="0.25">
      <c r="A127" t="str">
        <f>'Kullanılan gübre'!A127</f>
        <v>AK</v>
      </c>
      <c r="B127" t="str">
        <f>'Kullanılan gübre'!B127</f>
        <v>KONYA</v>
      </c>
      <c r="C127" t="str">
        <f>'Kullanılan gübre'!C127</f>
        <v>TUZLUKCU</v>
      </c>
      <c r="D127">
        <f>'Kullanılan gübre'!D127</f>
        <v>2008</v>
      </c>
      <c r="E127">
        <f>'Kullanılan gübre'!E127*'Gübre oranlar'!H$2</f>
        <v>9.7649999999999988</v>
      </c>
      <c r="F127">
        <f>'Kullanılan gübre'!F127*'Gübre oranlar'!I$2</f>
        <v>54.86</v>
      </c>
      <c r="G127">
        <f>'Kullanılan gübre'!G127*'Gübre oranlar'!J$2</f>
        <v>65.620500000000007</v>
      </c>
      <c r="H127">
        <f>'Kullanılan gübre'!H127*'Gübre oranlar'!K$2</f>
        <v>29.509000000000004</v>
      </c>
      <c r="I127">
        <f>'Kullanılan gübre'!I127*'Gübre oranlar'!L$2</f>
        <v>0</v>
      </c>
      <c r="J127">
        <f>'Kullanılan gübre'!J127*'Gübre oranlar'!M$2</f>
        <v>4.0229999999999997</v>
      </c>
      <c r="K127">
        <f>'Kullanılan gübre'!K127*'Gübre oranlar'!N$2</f>
        <v>10.780000000000001</v>
      </c>
      <c r="L127">
        <f>'Kullanılan gübre'!L127*'Gübre oranlar'!O$2</f>
        <v>0</v>
      </c>
      <c r="M127">
        <f>'Kullanılan gübre'!M127*'Gübre oranlar'!P$2</f>
        <v>0</v>
      </c>
      <c r="N127">
        <f>'Kullanılan gübre'!N127*'Gübre oranlar'!Q$2</f>
        <v>0</v>
      </c>
      <c r="O127">
        <f>'Kullanılan gübre'!O127*'Gübre oranlar'!R$2</f>
        <v>0</v>
      </c>
      <c r="P127">
        <f>'Kullanılan gübre'!P127*'Gübre oranlar'!S$2</f>
        <v>0</v>
      </c>
      <c r="Q127">
        <f>'Kullanılan gübre'!Q127*'Gübre oranlar'!T$2</f>
        <v>0</v>
      </c>
      <c r="R127">
        <f>'Kullanılan gübre'!R127*'Gübre oranlar'!U$2</f>
        <v>0</v>
      </c>
      <c r="S127">
        <f>'Kullanılan gübre'!S127*'Gübre oranlar'!V$2</f>
        <v>0</v>
      </c>
      <c r="T127">
        <f>'Kullanılan gübre'!T127*'Gübre oranlar'!W$2</f>
        <v>0</v>
      </c>
      <c r="U127">
        <f>'Kullanılan gübre'!U127*'Gübre oranlar'!X$2</f>
        <v>0</v>
      </c>
      <c r="V127">
        <f>'Kullanılan gübre'!V127*'Gübre oranlar'!Y$2</f>
        <v>0.2</v>
      </c>
      <c r="W127">
        <f>'Kullanılan gübre'!W127*'Gübre oranlar'!Z$2</f>
        <v>0</v>
      </c>
      <c r="X127">
        <f>'Kullanılan gübre'!X127*'Gübre oranlar'!AA$2</f>
        <v>3.88</v>
      </c>
      <c r="Y127">
        <f>'Kullanılan gübre'!Y127*'Gübre oranlar'!AB$2</f>
        <v>0</v>
      </c>
      <c r="Z127">
        <f>'Kullanılan gübre'!Z127*'Gübre oranlar'!AC$2</f>
        <v>0</v>
      </c>
      <c r="AA127">
        <f>'Kullanılan gübre'!AA127*'Gübre oranlar'!AD$2</f>
        <v>0.26</v>
      </c>
      <c r="AB127">
        <f>'Kullanılan gübre'!AB127*'Gübre oranlar'!AE$2</f>
        <v>0</v>
      </c>
      <c r="AC127">
        <f>'Kullanılan gübre'!AC127*'Gübre oranlar'!AF$2</f>
        <v>0</v>
      </c>
      <c r="AD127">
        <f>'Kullanılan gübre'!AD127*'Gübre oranlar'!AG$2</f>
        <v>0</v>
      </c>
      <c r="AE127">
        <f>'Kullanılan gübre'!AE127*'Gübre oranlar'!AH$2</f>
        <v>0</v>
      </c>
      <c r="AF127">
        <f>'Kullanılan gübre'!AF127*'Gübre oranlar'!AI$2</f>
        <v>0</v>
      </c>
      <c r="AG127">
        <f>'Kullanılan gübre'!AG127*'Gübre oranlar'!AJ$2</f>
        <v>0</v>
      </c>
      <c r="AH127">
        <f>'Kullanılan gübre'!AH127*'Gübre oranlar'!AK$2</f>
        <v>0</v>
      </c>
      <c r="AI127">
        <f>'Kullanılan gübre'!AI127*'Gübre oranlar'!AL$2</f>
        <v>0</v>
      </c>
      <c r="AJ127">
        <f>'Kullanılan gübre'!AJ127*'Gübre oranlar'!AM$2</f>
        <v>0</v>
      </c>
      <c r="AK127">
        <f>'Kullanılan gübre'!AK127*'Gübre oranlar'!AN$2</f>
        <v>0</v>
      </c>
      <c r="AL127">
        <f>'Kullanılan gübre'!AL127*'Gübre oranlar'!AO$2</f>
        <v>0</v>
      </c>
      <c r="AM127">
        <f>'Kullanılan gübre'!AM127*'Gübre oranlar'!AP$2</f>
        <v>0</v>
      </c>
      <c r="AN127">
        <f>'Kullanılan gübre'!AN127*'Gübre oranlar'!AQ$2</f>
        <v>0</v>
      </c>
      <c r="AO127">
        <f>'Kullanılan gübre'!AO127*'Gübre oranlar'!AR$2</f>
        <v>0</v>
      </c>
      <c r="AP127">
        <f>'Kullanılan gübre'!AP127*'Gübre oranlar'!AS$2</f>
        <v>0</v>
      </c>
      <c r="AQ127">
        <f>'Kullanılan gübre'!AQ127*'Gübre oranlar'!AT$2</f>
        <v>0</v>
      </c>
      <c r="AR127">
        <f>'Kullanılan gübre'!AR127*'Gübre oranlar'!AU$2</f>
        <v>0</v>
      </c>
      <c r="AS127">
        <f>'Kullanılan gübre'!AS127*'Gübre oranlar'!AV$2</f>
        <v>0</v>
      </c>
      <c r="AT127">
        <f>'Kullanılan gübre'!AT127*'Gübre oranlar'!AW$2</f>
        <v>0</v>
      </c>
      <c r="AU127">
        <f>'Kullanılan gübre'!AU127*'Gübre oranlar'!AX$2</f>
        <v>0</v>
      </c>
      <c r="AV127">
        <f>'Kullanılan gübre'!AV127*'Gübre oranlar'!AY$2</f>
        <v>0</v>
      </c>
      <c r="AW127">
        <f t="shared" si="1"/>
        <v>178.89749999999998</v>
      </c>
    </row>
    <row r="128" spans="1:49" hidden="1" x14ac:dyDescent="0.25">
      <c r="A128" t="str">
        <f>'Kullanılan gübre'!A128</f>
        <v>AK</v>
      </c>
      <c r="B128" t="str">
        <f>'Kullanılan gübre'!B128</f>
        <v>KONYA</v>
      </c>
      <c r="C128" t="str">
        <f>'Kullanılan gübre'!C128</f>
        <v>TUZLUKCU</v>
      </c>
      <c r="D128">
        <f>'Kullanılan gübre'!D128</f>
        <v>2009</v>
      </c>
      <c r="E128">
        <f>'Kullanılan gübre'!E128*'Gübre oranlar'!H$2</f>
        <v>125.69549999999998</v>
      </c>
      <c r="F128">
        <f>'Kullanılan gübre'!F128*'Gübre oranlar'!I$2</f>
        <v>408.21300000000002</v>
      </c>
      <c r="G128">
        <f>'Kullanılan gübre'!G128*'Gübre oranlar'!J$2</f>
        <v>819.55500000000006</v>
      </c>
      <c r="H128">
        <f>'Kullanılan gübre'!H128*'Gübre oranlar'!K$2</f>
        <v>876.48400000000004</v>
      </c>
      <c r="I128">
        <f>'Kullanılan gübre'!I128*'Gübre oranlar'!L$2</f>
        <v>0</v>
      </c>
      <c r="J128">
        <f>'Kullanılan gübre'!J128*'Gübre oranlar'!M$2</f>
        <v>471.375</v>
      </c>
      <c r="K128">
        <f>'Kullanılan gübre'!K128*'Gübre oranlar'!N$2</f>
        <v>136.16</v>
      </c>
      <c r="L128">
        <f>'Kullanılan gübre'!L128*'Gübre oranlar'!O$2</f>
        <v>127.71</v>
      </c>
      <c r="M128">
        <f>'Kullanılan gübre'!M128*'Gübre oranlar'!P$2</f>
        <v>16.5075</v>
      </c>
      <c r="N128">
        <f>'Kullanılan gübre'!N128*'Gübre oranlar'!Q$2</f>
        <v>7.2824999999999989</v>
      </c>
      <c r="O128">
        <f>'Kullanılan gübre'!O128*'Gübre oranlar'!R$2</f>
        <v>0</v>
      </c>
      <c r="P128">
        <f>'Kullanılan gübre'!P128*'Gübre oranlar'!S$2</f>
        <v>0.74750000000000005</v>
      </c>
      <c r="Q128">
        <f>'Kullanılan gübre'!Q128*'Gübre oranlar'!T$2</f>
        <v>100.8</v>
      </c>
      <c r="R128">
        <f>'Kullanılan gübre'!R128*'Gübre oranlar'!U$2</f>
        <v>0</v>
      </c>
      <c r="S128">
        <f>'Kullanılan gübre'!S128*'Gübre oranlar'!V$2</f>
        <v>0</v>
      </c>
      <c r="T128">
        <f>'Kullanılan gübre'!T128*'Gübre oranlar'!W$2</f>
        <v>0</v>
      </c>
      <c r="U128">
        <f>'Kullanılan gübre'!U128*'Gübre oranlar'!X$2</f>
        <v>0</v>
      </c>
      <c r="V128">
        <f>'Kullanılan gübre'!V128*'Gübre oranlar'!Y$2</f>
        <v>3.53</v>
      </c>
      <c r="W128">
        <f>'Kullanılan gübre'!W128*'Gübre oranlar'!Z$2</f>
        <v>0</v>
      </c>
      <c r="X128">
        <f>'Kullanılan gübre'!X128*'Gübre oranlar'!AA$2</f>
        <v>0</v>
      </c>
      <c r="Y128">
        <f>'Kullanılan gübre'!Y128*'Gübre oranlar'!AB$2</f>
        <v>0</v>
      </c>
      <c r="Z128">
        <f>'Kullanılan gübre'!Z128*'Gübre oranlar'!AC$2</f>
        <v>0</v>
      </c>
      <c r="AA128">
        <f>'Kullanılan gübre'!AA128*'Gübre oranlar'!AD$2</f>
        <v>4.4785000000000004</v>
      </c>
      <c r="AB128">
        <f>'Kullanılan gübre'!AB128*'Gübre oranlar'!AE$2</f>
        <v>0</v>
      </c>
      <c r="AC128">
        <f>'Kullanılan gübre'!AC128*'Gübre oranlar'!AF$2</f>
        <v>0</v>
      </c>
      <c r="AD128">
        <f>'Kullanılan gübre'!AD128*'Gübre oranlar'!AG$2</f>
        <v>0</v>
      </c>
      <c r="AE128">
        <f>'Kullanılan gübre'!AE128*'Gübre oranlar'!AH$2</f>
        <v>0</v>
      </c>
      <c r="AF128">
        <f>'Kullanılan gübre'!AF128*'Gübre oranlar'!AI$2</f>
        <v>0</v>
      </c>
      <c r="AG128">
        <f>'Kullanılan gübre'!AG128*'Gübre oranlar'!AJ$2</f>
        <v>0</v>
      </c>
      <c r="AH128">
        <f>'Kullanılan gübre'!AH128*'Gübre oranlar'!AK$2</f>
        <v>0</v>
      </c>
      <c r="AI128">
        <f>'Kullanılan gübre'!AI128*'Gübre oranlar'!AL$2</f>
        <v>0</v>
      </c>
      <c r="AJ128">
        <f>'Kullanılan gübre'!AJ128*'Gübre oranlar'!AM$2</f>
        <v>0</v>
      </c>
      <c r="AK128">
        <f>'Kullanılan gübre'!AK128*'Gübre oranlar'!AN$2</f>
        <v>0</v>
      </c>
      <c r="AL128">
        <f>'Kullanılan gübre'!AL128*'Gübre oranlar'!AO$2</f>
        <v>0</v>
      </c>
      <c r="AM128">
        <f>'Kullanılan gübre'!AM128*'Gübre oranlar'!AP$2</f>
        <v>0</v>
      </c>
      <c r="AN128">
        <f>'Kullanılan gübre'!AN128*'Gübre oranlar'!AQ$2</f>
        <v>0</v>
      </c>
      <c r="AO128">
        <f>'Kullanılan gübre'!AO128*'Gübre oranlar'!AR$2</f>
        <v>0</v>
      </c>
      <c r="AP128">
        <f>'Kullanılan gübre'!AP128*'Gübre oranlar'!AS$2</f>
        <v>0</v>
      </c>
      <c r="AQ128">
        <f>'Kullanılan gübre'!AQ128*'Gübre oranlar'!AT$2</f>
        <v>0</v>
      </c>
      <c r="AR128">
        <f>'Kullanılan gübre'!AR128*'Gübre oranlar'!AU$2</f>
        <v>0</v>
      </c>
      <c r="AS128">
        <f>'Kullanılan gübre'!AS128*'Gübre oranlar'!AV$2</f>
        <v>0</v>
      </c>
      <c r="AT128">
        <f>'Kullanılan gübre'!AT128*'Gübre oranlar'!AW$2</f>
        <v>0</v>
      </c>
      <c r="AU128">
        <f>'Kullanılan gübre'!AU128*'Gübre oranlar'!AX$2</f>
        <v>0</v>
      </c>
      <c r="AV128">
        <f>'Kullanılan gübre'!AV128*'Gübre oranlar'!AY$2</f>
        <v>0</v>
      </c>
      <c r="AW128">
        <f t="shared" si="1"/>
        <v>3098.5385000000006</v>
      </c>
    </row>
    <row r="129" spans="1:49" hidden="1" x14ac:dyDescent="0.25">
      <c r="A129" t="str">
        <f>'Kullanılan gübre'!A129</f>
        <v>AK</v>
      </c>
      <c r="B129" t="str">
        <f>'Kullanılan gübre'!B129</f>
        <v>KONYA</v>
      </c>
      <c r="C129" t="str">
        <f>'Kullanılan gübre'!C129</f>
        <v>AKSEHIR</v>
      </c>
      <c r="D129">
        <f>'Kullanılan gübre'!D129</f>
        <v>2009</v>
      </c>
      <c r="E129">
        <f>'Kullanılan gübre'!E129*'Gübre oranlar'!H$2</f>
        <v>16.8</v>
      </c>
      <c r="F129">
        <f>'Kullanılan gübre'!F129*'Gübre oranlar'!I$2</f>
        <v>32.253</v>
      </c>
      <c r="G129">
        <f>'Kullanılan gübre'!G129*'Gübre oranlar'!J$2</f>
        <v>58.294500000000006</v>
      </c>
      <c r="H129">
        <f>'Kullanılan gübre'!H129*'Gübre oranlar'!K$2</f>
        <v>30.82</v>
      </c>
      <c r="I129">
        <f>'Kullanılan gübre'!I129*'Gübre oranlar'!L$2</f>
        <v>0</v>
      </c>
      <c r="J129">
        <f>'Kullanılan gübre'!J129*'Gübre oranlar'!M$2</f>
        <v>46.278000000000006</v>
      </c>
      <c r="K129">
        <f>'Kullanılan gübre'!K129*'Gübre oranlar'!N$2</f>
        <v>34.130000000000003</v>
      </c>
      <c r="L129">
        <f>'Kullanılan gübre'!L129*'Gübre oranlar'!O$2</f>
        <v>0</v>
      </c>
      <c r="M129">
        <f>'Kullanılan gübre'!M129*'Gübre oranlar'!P$2</f>
        <v>0</v>
      </c>
      <c r="N129">
        <f>'Kullanılan gübre'!N129*'Gübre oranlar'!Q$2</f>
        <v>0</v>
      </c>
      <c r="O129">
        <f>'Kullanılan gübre'!O129*'Gübre oranlar'!R$2</f>
        <v>0</v>
      </c>
      <c r="P129">
        <f>'Kullanılan gübre'!P129*'Gübre oranlar'!S$2</f>
        <v>0</v>
      </c>
      <c r="Q129">
        <f>'Kullanılan gübre'!Q129*'Gübre oranlar'!T$2</f>
        <v>6.9179999999999993</v>
      </c>
      <c r="R129">
        <f>'Kullanılan gübre'!R129*'Gübre oranlar'!U$2</f>
        <v>0</v>
      </c>
      <c r="S129">
        <f>'Kullanılan gübre'!S129*'Gübre oranlar'!V$2</f>
        <v>0</v>
      </c>
      <c r="T129">
        <f>'Kullanılan gübre'!T129*'Gübre oranlar'!W$2</f>
        <v>0</v>
      </c>
      <c r="U129">
        <f>'Kullanılan gübre'!U129*'Gübre oranlar'!X$2</f>
        <v>0</v>
      </c>
      <c r="V129">
        <f>'Kullanılan gübre'!V129*'Gübre oranlar'!Y$2</f>
        <v>6.98</v>
      </c>
      <c r="W129">
        <f>'Kullanılan gübre'!W129*'Gübre oranlar'!Z$2</f>
        <v>0</v>
      </c>
      <c r="X129">
        <f>'Kullanılan gübre'!X129*'Gübre oranlar'!AA$2</f>
        <v>0</v>
      </c>
      <c r="Y129">
        <f>'Kullanılan gübre'!Y129*'Gübre oranlar'!AB$2</f>
        <v>0</v>
      </c>
      <c r="Z129">
        <f>'Kullanılan gübre'!Z129*'Gübre oranlar'!AC$2</f>
        <v>0</v>
      </c>
      <c r="AA129">
        <f>'Kullanılan gübre'!AA129*'Gübre oranlar'!AD$2</f>
        <v>0</v>
      </c>
      <c r="AB129">
        <f>'Kullanılan gübre'!AB129*'Gübre oranlar'!AE$2</f>
        <v>0</v>
      </c>
      <c r="AC129">
        <f>'Kullanılan gübre'!AC129*'Gübre oranlar'!AF$2</f>
        <v>0</v>
      </c>
      <c r="AD129">
        <f>'Kullanılan gübre'!AD129*'Gübre oranlar'!AG$2</f>
        <v>0</v>
      </c>
      <c r="AE129">
        <f>'Kullanılan gübre'!AE129*'Gübre oranlar'!AH$2</f>
        <v>0</v>
      </c>
      <c r="AF129">
        <f>'Kullanılan gübre'!AF129*'Gübre oranlar'!AI$2</f>
        <v>0</v>
      </c>
      <c r="AG129">
        <f>'Kullanılan gübre'!AG129*'Gübre oranlar'!AJ$2</f>
        <v>0</v>
      </c>
      <c r="AH129">
        <f>'Kullanılan gübre'!AH129*'Gübre oranlar'!AK$2</f>
        <v>0</v>
      </c>
      <c r="AI129">
        <f>'Kullanılan gübre'!AI129*'Gübre oranlar'!AL$2</f>
        <v>0</v>
      </c>
      <c r="AJ129">
        <f>'Kullanılan gübre'!AJ129*'Gübre oranlar'!AM$2</f>
        <v>0</v>
      </c>
      <c r="AK129">
        <f>'Kullanılan gübre'!AK129*'Gübre oranlar'!AN$2</f>
        <v>0</v>
      </c>
      <c r="AL129">
        <f>'Kullanılan gübre'!AL129*'Gübre oranlar'!AO$2</f>
        <v>0</v>
      </c>
      <c r="AM129">
        <f>'Kullanılan gübre'!AM129*'Gübre oranlar'!AP$2</f>
        <v>0</v>
      </c>
      <c r="AN129">
        <f>'Kullanılan gübre'!AN129*'Gübre oranlar'!AQ$2</f>
        <v>0</v>
      </c>
      <c r="AO129">
        <f>'Kullanılan gübre'!AO129*'Gübre oranlar'!AR$2</f>
        <v>0</v>
      </c>
      <c r="AP129">
        <f>'Kullanılan gübre'!AP129*'Gübre oranlar'!AS$2</f>
        <v>0</v>
      </c>
      <c r="AQ129">
        <f>'Kullanılan gübre'!AQ129*'Gübre oranlar'!AT$2</f>
        <v>0</v>
      </c>
      <c r="AR129">
        <f>'Kullanılan gübre'!AR129*'Gübre oranlar'!AU$2</f>
        <v>0</v>
      </c>
      <c r="AS129">
        <f>'Kullanılan gübre'!AS129*'Gübre oranlar'!AV$2</f>
        <v>0</v>
      </c>
      <c r="AT129">
        <f>'Kullanılan gübre'!AT129*'Gübre oranlar'!AW$2</f>
        <v>0</v>
      </c>
      <c r="AU129">
        <f>'Kullanılan gübre'!AU129*'Gübre oranlar'!AX$2</f>
        <v>0</v>
      </c>
      <c r="AV129">
        <f>'Kullanılan gübre'!AV129*'Gübre oranlar'!AY$2</f>
        <v>0</v>
      </c>
      <c r="AW129">
        <f t="shared" si="1"/>
        <v>232.47349999999997</v>
      </c>
    </row>
    <row r="130" spans="1:49" hidden="1" x14ac:dyDescent="0.25">
      <c r="A130" t="str">
        <f>'Kullanılan gübre'!A130</f>
        <v>AK</v>
      </c>
      <c r="B130" t="str">
        <f>'Kullanılan gübre'!B130</f>
        <v>KONYA</v>
      </c>
      <c r="C130" t="str">
        <f>'Kullanılan gübre'!C130</f>
        <v>AKSEHIR</v>
      </c>
      <c r="D130">
        <f>'Kullanılan gübre'!D130</f>
        <v>2010</v>
      </c>
      <c r="E130">
        <f>'Kullanılan gübre'!E130*'Gübre oranlar'!H$2</f>
        <v>144.01799999999997</v>
      </c>
      <c r="F130">
        <f>'Kullanılan gübre'!F130*'Gübre oranlar'!I$2</f>
        <v>363.27200000000005</v>
      </c>
      <c r="G130">
        <f>'Kullanılan gübre'!G130*'Gübre oranlar'!J$2</f>
        <v>717.17250000000001</v>
      </c>
      <c r="H130">
        <f>'Kullanılan gübre'!H130*'Gübre oranlar'!K$2</f>
        <v>861.39599999999996</v>
      </c>
      <c r="I130">
        <f>'Kullanılan gübre'!I130*'Gübre oranlar'!L$2</f>
        <v>0</v>
      </c>
      <c r="J130">
        <f>'Kullanılan gübre'!J130*'Gübre oranlar'!M$2</f>
        <v>241.155</v>
      </c>
      <c r="K130">
        <f>'Kullanılan gübre'!K130*'Gübre oranlar'!N$2</f>
        <v>212.03000000000003</v>
      </c>
      <c r="L130">
        <f>'Kullanılan gübre'!L130*'Gübre oranlar'!O$2</f>
        <v>128.88</v>
      </c>
      <c r="M130">
        <f>'Kullanılan gübre'!M130*'Gübre oranlar'!P$2</f>
        <v>12.0975</v>
      </c>
      <c r="N130">
        <f>'Kullanılan gübre'!N130*'Gübre oranlar'!Q$2</f>
        <v>3.0900000000000003</v>
      </c>
      <c r="O130">
        <f>'Kullanılan gübre'!O130*'Gübre oranlar'!R$2</f>
        <v>0</v>
      </c>
      <c r="P130">
        <f>'Kullanılan gübre'!P130*'Gübre oranlar'!S$2</f>
        <v>1.4755</v>
      </c>
      <c r="Q130">
        <f>'Kullanılan gübre'!Q130*'Gübre oranlar'!T$2</f>
        <v>90.72</v>
      </c>
      <c r="R130">
        <f>'Kullanılan gübre'!R130*'Gübre oranlar'!U$2</f>
        <v>0</v>
      </c>
      <c r="S130">
        <f>'Kullanılan gübre'!S130*'Gübre oranlar'!V$2</f>
        <v>0</v>
      </c>
      <c r="T130">
        <f>'Kullanılan gübre'!T130*'Gübre oranlar'!W$2</f>
        <v>0</v>
      </c>
      <c r="U130">
        <f>'Kullanılan gübre'!U130*'Gübre oranlar'!X$2</f>
        <v>0</v>
      </c>
      <c r="V130">
        <f>'Kullanılan gübre'!V130*'Gübre oranlar'!Y$2</f>
        <v>13.469999999999999</v>
      </c>
      <c r="W130">
        <f>'Kullanılan gübre'!W130*'Gübre oranlar'!Z$2</f>
        <v>1.08</v>
      </c>
      <c r="X130">
        <f>'Kullanılan gübre'!X130*'Gübre oranlar'!AA$2</f>
        <v>0</v>
      </c>
      <c r="Y130">
        <f>'Kullanılan gübre'!Y130*'Gübre oranlar'!AB$2</f>
        <v>0</v>
      </c>
      <c r="Z130">
        <f>'Kullanılan gübre'!Z130*'Gübre oranlar'!AC$2</f>
        <v>0</v>
      </c>
      <c r="AA130">
        <f>'Kullanılan gübre'!AA130*'Gübre oranlar'!AD$2</f>
        <v>3.2825000000000002</v>
      </c>
      <c r="AB130">
        <f>'Kullanılan gübre'!AB130*'Gübre oranlar'!AE$2</f>
        <v>0</v>
      </c>
      <c r="AC130">
        <f>'Kullanılan gübre'!AC130*'Gübre oranlar'!AF$2</f>
        <v>0</v>
      </c>
      <c r="AD130">
        <f>'Kullanılan gübre'!AD130*'Gübre oranlar'!AG$2</f>
        <v>0</v>
      </c>
      <c r="AE130">
        <f>'Kullanılan gübre'!AE130*'Gübre oranlar'!AH$2</f>
        <v>0</v>
      </c>
      <c r="AF130">
        <f>'Kullanılan gübre'!AF130*'Gübre oranlar'!AI$2</f>
        <v>0</v>
      </c>
      <c r="AG130">
        <f>'Kullanılan gübre'!AG130*'Gübre oranlar'!AJ$2</f>
        <v>0</v>
      </c>
      <c r="AH130">
        <f>'Kullanılan gübre'!AH130*'Gübre oranlar'!AK$2</f>
        <v>0</v>
      </c>
      <c r="AI130">
        <f>'Kullanılan gübre'!AI130*'Gübre oranlar'!AL$2</f>
        <v>0</v>
      </c>
      <c r="AJ130">
        <f>'Kullanılan gübre'!AJ130*'Gübre oranlar'!AM$2</f>
        <v>0</v>
      </c>
      <c r="AK130">
        <f>'Kullanılan gübre'!AK130*'Gübre oranlar'!AN$2</f>
        <v>0</v>
      </c>
      <c r="AL130">
        <f>'Kullanılan gübre'!AL130*'Gübre oranlar'!AO$2</f>
        <v>0</v>
      </c>
      <c r="AM130">
        <f>'Kullanılan gübre'!AM130*'Gübre oranlar'!AP$2</f>
        <v>0</v>
      </c>
      <c r="AN130">
        <f>'Kullanılan gübre'!AN130*'Gübre oranlar'!AQ$2</f>
        <v>0</v>
      </c>
      <c r="AO130">
        <f>'Kullanılan gübre'!AO130*'Gübre oranlar'!AR$2</f>
        <v>0</v>
      </c>
      <c r="AP130">
        <f>'Kullanılan gübre'!AP130*'Gübre oranlar'!AS$2</f>
        <v>0</v>
      </c>
      <c r="AQ130">
        <f>'Kullanılan gübre'!AQ130*'Gübre oranlar'!AT$2</f>
        <v>0</v>
      </c>
      <c r="AR130">
        <f>'Kullanılan gübre'!AR130*'Gübre oranlar'!AU$2</f>
        <v>0</v>
      </c>
      <c r="AS130">
        <f>'Kullanılan gübre'!AS130*'Gübre oranlar'!AV$2</f>
        <v>0</v>
      </c>
      <c r="AT130">
        <f>'Kullanılan gübre'!AT130*'Gübre oranlar'!AW$2</f>
        <v>0</v>
      </c>
      <c r="AU130">
        <f>'Kullanılan gübre'!AU130*'Gübre oranlar'!AX$2</f>
        <v>0</v>
      </c>
      <c r="AV130">
        <f>'Kullanılan gübre'!AV130*'Gübre oranlar'!AY$2</f>
        <v>0</v>
      </c>
      <c r="AW130">
        <f t="shared" si="1"/>
        <v>2793.1390000000001</v>
      </c>
    </row>
    <row r="131" spans="1:49" hidden="1" x14ac:dyDescent="0.25">
      <c r="A131" t="str">
        <f>'Kullanılan gübre'!A131</f>
        <v>AK</v>
      </c>
      <c r="B131" t="str">
        <f>'Kullanılan gübre'!B131</f>
        <v>KONYA</v>
      </c>
      <c r="C131" t="str">
        <f>'Kullanılan gübre'!C131</f>
        <v>TUZLUKCU</v>
      </c>
      <c r="D131">
        <f>'Kullanılan gübre'!D131</f>
        <v>2010</v>
      </c>
      <c r="E131">
        <f>'Kullanılan gübre'!E131*'Gübre oranlar'!H$2</f>
        <v>24.843</v>
      </c>
      <c r="F131">
        <f>'Kullanılan gübre'!F131*'Gübre oranlar'!I$2</f>
        <v>18.277999999999999</v>
      </c>
      <c r="G131">
        <f>'Kullanılan gübre'!G131*'Gübre oranlar'!J$2</f>
        <v>83.638499999999993</v>
      </c>
      <c r="H131">
        <f>'Kullanılan gübre'!H131*'Gübre oranlar'!K$2</f>
        <v>60.351999999999997</v>
      </c>
      <c r="I131">
        <f>'Kullanılan gübre'!I131*'Gübre oranlar'!L$2</f>
        <v>0</v>
      </c>
      <c r="J131">
        <f>'Kullanılan gübre'!J131*'Gübre oranlar'!M$2</f>
        <v>16.2</v>
      </c>
      <c r="K131">
        <f>'Kullanılan gübre'!K131*'Gübre oranlar'!N$2</f>
        <v>42.02</v>
      </c>
      <c r="L131">
        <f>'Kullanılan gübre'!L131*'Gübre oranlar'!O$2</f>
        <v>0.30000000000000004</v>
      </c>
      <c r="M131">
        <f>'Kullanılan gübre'!M131*'Gübre oranlar'!P$2</f>
        <v>2.97</v>
      </c>
      <c r="N131">
        <f>'Kullanılan gübre'!N131*'Gübre oranlar'!Q$2</f>
        <v>17.272500000000001</v>
      </c>
      <c r="O131">
        <f>'Kullanılan gübre'!O131*'Gübre oranlar'!R$2</f>
        <v>0</v>
      </c>
      <c r="P131">
        <f>'Kullanılan gübre'!P131*'Gübre oranlar'!S$2</f>
        <v>0</v>
      </c>
      <c r="Q131">
        <f>'Kullanılan gübre'!Q131*'Gübre oranlar'!T$2</f>
        <v>11.058</v>
      </c>
      <c r="R131">
        <f>'Kullanılan gübre'!R131*'Gübre oranlar'!U$2</f>
        <v>0</v>
      </c>
      <c r="S131">
        <f>'Kullanılan gübre'!S131*'Gübre oranlar'!V$2</f>
        <v>0</v>
      </c>
      <c r="T131">
        <f>'Kullanılan gübre'!T131*'Gübre oranlar'!W$2</f>
        <v>0</v>
      </c>
      <c r="U131">
        <f>'Kullanılan gübre'!U131*'Gübre oranlar'!X$2</f>
        <v>0</v>
      </c>
      <c r="V131">
        <f>'Kullanılan gübre'!V131*'Gübre oranlar'!Y$2</f>
        <v>3.2450000000000006</v>
      </c>
      <c r="W131">
        <f>'Kullanılan gübre'!W131*'Gübre oranlar'!Z$2</f>
        <v>0</v>
      </c>
      <c r="X131">
        <f>'Kullanılan gübre'!X131*'Gübre oranlar'!AA$2</f>
        <v>0</v>
      </c>
      <c r="Y131">
        <f>'Kullanılan gübre'!Y131*'Gübre oranlar'!AB$2</f>
        <v>0</v>
      </c>
      <c r="Z131">
        <f>'Kullanılan gübre'!Z131*'Gübre oranlar'!AC$2</f>
        <v>0</v>
      </c>
      <c r="AA131">
        <f>'Kullanılan gübre'!AA131*'Gübre oranlar'!AD$2</f>
        <v>0</v>
      </c>
      <c r="AB131">
        <f>'Kullanılan gübre'!AB131*'Gübre oranlar'!AE$2</f>
        <v>0</v>
      </c>
      <c r="AC131">
        <f>'Kullanılan gübre'!AC131*'Gübre oranlar'!AF$2</f>
        <v>0</v>
      </c>
      <c r="AD131">
        <f>'Kullanılan gübre'!AD131*'Gübre oranlar'!AG$2</f>
        <v>0</v>
      </c>
      <c r="AE131">
        <f>'Kullanılan gübre'!AE131*'Gübre oranlar'!AH$2</f>
        <v>0</v>
      </c>
      <c r="AF131">
        <f>'Kullanılan gübre'!AF131*'Gübre oranlar'!AI$2</f>
        <v>0</v>
      </c>
      <c r="AG131">
        <f>'Kullanılan gübre'!AG131*'Gübre oranlar'!AJ$2</f>
        <v>0</v>
      </c>
      <c r="AH131">
        <f>'Kullanılan gübre'!AH131*'Gübre oranlar'!AK$2</f>
        <v>0</v>
      </c>
      <c r="AI131">
        <f>'Kullanılan gübre'!AI131*'Gübre oranlar'!AL$2</f>
        <v>0</v>
      </c>
      <c r="AJ131">
        <f>'Kullanılan gübre'!AJ131*'Gübre oranlar'!AM$2</f>
        <v>0</v>
      </c>
      <c r="AK131">
        <f>'Kullanılan gübre'!AK131*'Gübre oranlar'!AN$2</f>
        <v>0</v>
      </c>
      <c r="AL131">
        <f>'Kullanılan gübre'!AL131*'Gübre oranlar'!AO$2</f>
        <v>0</v>
      </c>
      <c r="AM131">
        <f>'Kullanılan gübre'!AM131*'Gübre oranlar'!AP$2</f>
        <v>0</v>
      </c>
      <c r="AN131">
        <f>'Kullanılan gübre'!AN131*'Gübre oranlar'!AQ$2</f>
        <v>0</v>
      </c>
      <c r="AO131">
        <f>'Kullanılan gübre'!AO131*'Gübre oranlar'!AR$2</f>
        <v>0</v>
      </c>
      <c r="AP131">
        <f>'Kullanılan gübre'!AP131*'Gübre oranlar'!AS$2</f>
        <v>0</v>
      </c>
      <c r="AQ131">
        <f>'Kullanılan gübre'!AQ131*'Gübre oranlar'!AT$2</f>
        <v>0</v>
      </c>
      <c r="AR131">
        <f>'Kullanılan gübre'!AR131*'Gübre oranlar'!AU$2</f>
        <v>0</v>
      </c>
      <c r="AS131">
        <f>'Kullanılan gübre'!AS131*'Gübre oranlar'!AV$2</f>
        <v>0</v>
      </c>
      <c r="AT131">
        <f>'Kullanılan gübre'!AT131*'Gübre oranlar'!AW$2</f>
        <v>0</v>
      </c>
      <c r="AU131">
        <f>'Kullanılan gübre'!AU131*'Gübre oranlar'!AX$2</f>
        <v>0</v>
      </c>
      <c r="AV131">
        <f>'Kullanılan gübre'!AV131*'Gübre oranlar'!AY$2</f>
        <v>0</v>
      </c>
      <c r="AW131">
        <f t="shared" ref="AW131:AW194" si="2">SUM(E131:AV131)</f>
        <v>280.17699999999996</v>
      </c>
    </row>
    <row r="132" spans="1:49" hidden="1" x14ac:dyDescent="0.25">
      <c r="A132" t="str">
        <f>'Kullanılan gübre'!A132</f>
        <v>AK</v>
      </c>
      <c r="B132" t="str">
        <f>'Kullanılan gübre'!B132</f>
        <v>KONYA</v>
      </c>
      <c r="C132" t="str">
        <f>'Kullanılan gübre'!C132</f>
        <v>AKSEHIR</v>
      </c>
      <c r="D132">
        <f>'Kullanılan gübre'!D132</f>
        <v>2011</v>
      </c>
      <c r="E132">
        <f>'Kullanılan gübre'!E132*'Gübre oranlar'!H$2</f>
        <v>88.178999999999988</v>
      </c>
      <c r="F132">
        <f>'Kullanılan gübre'!F132*'Gübre oranlar'!I$2</f>
        <v>117.19500000000001</v>
      </c>
      <c r="G132">
        <f>'Kullanılan gübre'!G132*'Gübre oranlar'!J$2</f>
        <v>501.73200000000003</v>
      </c>
      <c r="H132">
        <f>'Kullanılan gübre'!H132*'Gübre oranlar'!K$2</f>
        <v>611.47799999999995</v>
      </c>
      <c r="I132">
        <f>'Kullanılan gübre'!I132*'Gübre oranlar'!L$2</f>
        <v>0</v>
      </c>
      <c r="J132">
        <f>'Kullanılan gübre'!J132*'Gübre oranlar'!M$2</f>
        <v>213.50700000000001</v>
      </c>
      <c r="K132">
        <f>'Kullanılan gübre'!K132*'Gübre oranlar'!N$2</f>
        <v>134.83000000000001</v>
      </c>
      <c r="L132">
        <f>'Kullanılan gübre'!L132*'Gübre oranlar'!O$2</f>
        <v>199.37</v>
      </c>
      <c r="M132">
        <f>'Kullanılan gübre'!M132*'Gübre oranlar'!P$2</f>
        <v>33.989999999999995</v>
      </c>
      <c r="N132">
        <f>'Kullanılan gübre'!N132*'Gübre oranlar'!Q$2</f>
        <v>4.47</v>
      </c>
      <c r="O132">
        <f>'Kullanılan gübre'!O132*'Gübre oranlar'!R$2</f>
        <v>0</v>
      </c>
      <c r="P132">
        <f>'Kullanılan gübre'!P132*'Gübre oranlar'!S$2</f>
        <v>5.6517500000000007</v>
      </c>
      <c r="Q132">
        <f>'Kullanılan gübre'!Q132*'Gübre oranlar'!T$2</f>
        <v>0</v>
      </c>
      <c r="R132">
        <f>'Kullanılan gübre'!R132*'Gübre oranlar'!U$2</f>
        <v>0</v>
      </c>
      <c r="S132">
        <f>'Kullanılan gübre'!S132*'Gübre oranlar'!V$2</f>
        <v>0</v>
      </c>
      <c r="T132">
        <f>'Kullanılan gübre'!T132*'Gübre oranlar'!W$2</f>
        <v>0</v>
      </c>
      <c r="U132">
        <f>'Kullanılan gübre'!U132*'Gübre oranlar'!X$2</f>
        <v>0</v>
      </c>
      <c r="V132">
        <f>'Kullanılan gübre'!V132*'Gübre oranlar'!Y$2</f>
        <v>12.66</v>
      </c>
      <c r="W132">
        <f>'Kullanılan gübre'!W132*'Gübre oranlar'!Z$2</f>
        <v>0</v>
      </c>
      <c r="X132">
        <f>'Kullanılan gübre'!X132*'Gübre oranlar'!AA$2</f>
        <v>0</v>
      </c>
      <c r="Y132">
        <f>'Kullanılan gübre'!Y132*'Gübre oranlar'!AB$2</f>
        <v>0</v>
      </c>
      <c r="Z132">
        <f>'Kullanılan gübre'!Z132*'Gübre oranlar'!AC$2</f>
        <v>0</v>
      </c>
      <c r="AA132">
        <f>'Kullanılan gübre'!AA132*'Gübre oranlar'!AD$2</f>
        <v>7.8845000000000001</v>
      </c>
      <c r="AB132">
        <f>'Kullanılan gübre'!AB132*'Gübre oranlar'!AE$2</f>
        <v>0</v>
      </c>
      <c r="AC132">
        <f>'Kullanılan gübre'!AC132*'Gübre oranlar'!AF$2</f>
        <v>0</v>
      </c>
      <c r="AD132">
        <f>'Kullanılan gübre'!AD132*'Gübre oranlar'!AG$2</f>
        <v>0</v>
      </c>
      <c r="AE132">
        <f>'Kullanılan gübre'!AE132*'Gübre oranlar'!AH$2</f>
        <v>0</v>
      </c>
      <c r="AF132">
        <f>'Kullanılan gübre'!AF132*'Gübre oranlar'!AI$2</f>
        <v>0</v>
      </c>
      <c r="AG132">
        <f>'Kullanılan gübre'!AG132*'Gübre oranlar'!AJ$2</f>
        <v>0</v>
      </c>
      <c r="AH132">
        <f>'Kullanılan gübre'!AH132*'Gübre oranlar'!AK$2</f>
        <v>0</v>
      </c>
      <c r="AI132">
        <f>'Kullanılan gübre'!AI132*'Gübre oranlar'!AL$2</f>
        <v>0</v>
      </c>
      <c r="AJ132">
        <f>'Kullanılan gübre'!AJ132*'Gübre oranlar'!AM$2</f>
        <v>0</v>
      </c>
      <c r="AK132">
        <f>'Kullanılan gübre'!AK132*'Gübre oranlar'!AN$2</f>
        <v>0</v>
      </c>
      <c r="AL132">
        <f>'Kullanılan gübre'!AL132*'Gübre oranlar'!AO$2</f>
        <v>0</v>
      </c>
      <c r="AM132">
        <f>'Kullanılan gübre'!AM132*'Gübre oranlar'!AP$2</f>
        <v>0</v>
      </c>
      <c r="AN132">
        <f>'Kullanılan gübre'!AN132*'Gübre oranlar'!AQ$2</f>
        <v>0</v>
      </c>
      <c r="AO132">
        <f>'Kullanılan gübre'!AO132*'Gübre oranlar'!AR$2</f>
        <v>0</v>
      </c>
      <c r="AP132">
        <f>'Kullanılan gübre'!AP132*'Gübre oranlar'!AS$2</f>
        <v>0</v>
      </c>
      <c r="AQ132">
        <f>'Kullanılan gübre'!AQ132*'Gübre oranlar'!AT$2</f>
        <v>0</v>
      </c>
      <c r="AR132">
        <f>'Kullanılan gübre'!AR132*'Gübre oranlar'!AU$2</f>
        <v>0</v>
      </c>
      <c r="AS132">
        <f>'Kullanılan gübre'!AS132*'Gübre oranlar'!AV$2</f>
        <v>0</v>
      </c>
      <c r="AT132">
        <f>'Kullanılan gübre'!AT132*'Gübre oranlar'!AW$2</f>
        <v>0</v>
      </c>
      <c r="AU132">
        <f>'Kullanılan gübre'!AU132*'Gübre oranlar'!AX$2</f>
        <v>0</v>
      </c>
      <c r="AV132">
        <f>'Kullanılan gübre'!AV132*'Gübre oranlar'!AY$2</f>
        <v>0</v>
      </c>
      <c r="AW132">
        <f t="shared" si="2"/>
        <v>1930.9472499999997</v>
      </c>
    </row>
    <row r="133" spans="1:49" hidden="1" x14ac:dyDescent="0.25">
      <c r="A133" t="str">
        <f>'Kullanılan gübre'!A133</f>
        <v>AK</v>
      </c>
      <c r="B133" t="str">
        <f>'Kullanılan gübre'!B133</f>
        <v>KONYA</v>
      </c>
      <c r="C133" t="str">
        <f>'Kullanılan gübre'!C133</f>
        <v>TUZLUKCU</v>
      </c>
      <c r="D133">
        <f>'Kullanılan gübre'!D133</f>
        <v>2011</v>
      </c>
      <c r="E133">
        <f>'Kullanılan gübre'!E133*'Gübre oranlar'!H$2</f>
        <v>18.605999999999998</v>
      </c>
      <c r="F133">
        <f>'Kullanılan gübre'!F133*'Gübre oranlar'!I$2</f>
        <v>22.217000000000002</v>
      </c>
      <c r="G133">
        <f>'Kullanılan gübre'!G133*'Gübre oranlar'!J$2</f>
        <v>98.769000000000005</v>
      </c>
      <c r="H133">
        <f>'Kullanılan gübre'!H133*'Gübre oranlar'!K$2</f>
        <v>46.828000000000003</v>
      </c>
      <c r="I133">
        <f>'Kullanılan gübre'!I133*'Gübre oranlar'!L$2</f>
        <v>0</v>
      </c>
      <c r="J133">
        <f>'Kullanılan gübre'!J133*'Gübre oranlar'!M$2</f>
        <v>32.85</v>
      </c>
      <c r="K133">
        <f>'Kullanılan gübre'!K133*'Gübre oranlar'!N$2</f>
        <v>0</v>
      </c>
      <c r="L133">
        <f>'Kullanılan gübre'!L133*'Gübre oranlar'!O$2</f>
        <v>42.42</v>
      </c>
      <c r="M133">
        <f>'Kullanılan gübre'!M133*'Gübre oranlar'!P$2</f>
        <v>5.8949999999999996</v>
      </c>
      <c r="N133">
        <f>'Kullanılan gübre'!N133*'Gübre oranlar'!Q$2</f>
        <v>0</v>
      </c>
      <c r="O133">
        <f>'Kullanılan gübre'!O133*'Gübre oranlar'!R$2</f>
        <v>0</v>
      </c>
      <c r="P133">
        <f>'Kullanılan gübre'!P133*'Gübre oranlar'!S$2</f>
        <v>0</v>
      </c>
      <c r="Q133">
        <f>'Kullanılan gübre'!Q133*'Gübre oranlar'!T$2</f>
        <v>7.4159999999999995</v>
      </c>
      <c r="R133">
        <f>'Kullanılan gübre'!R133*'Gübre oranlar'!U$2</f>
        <v>0</v>
      </c>
      <c r="S133">
        <f>'Kullanılan gübre'!S133*'Gübre oranlar'!V$2</f>
        <v>0</v>
      </c>
      <c r="T133">
        <f>'Kullanılan gübre'!T133*'Gübre oranlar'!W$2</f>
        <v>0</v>
      </c>
      <c r="U133">
        <f>'Kullanılan gübre'!U133*'Gübre oranlar'!X$2</f>
        <v>0</v>
      </c>
      <c r="V133">
        <f>'Kullanılan gübre'!V133*'Gübre oranlar'!Y$2</f>
        <v>2.7</v>
      </c>
      <c r="W133">
        <f>'Kullanılan gübre'!W133*'Gübre oranlar'!Z$2</f>
        <v>0</v>
      </c>
      <c r="X133">
        <f>'Kullanılan gübre'!X133*'Gübre oranlar'!AA$2</f>
        <v>0</v>
      </c>
      <c r="Y133">
        <f>'Kullanılan gübre'!Y133*'Gübre oranlar'!AB$2</f>
        <v>0</v>
      </c>
      <c r="Z133">
        <f>'Kullanılan gübre'!Z133*'Gübre oranlar'!AC$2</f>
        <v>0</v>
      </c>
      <c r="AA133">
        <f>'Kullanılan gübre'!AA133*'Gübre oranlar'!AD$2</f>
        <v>0</v>
      </c>
      <c r="AB133">
        <f>'Kullanılan gübre'!AB133*'Gübre oranlar'!AE$2</f>
        <v>0</v>
      </c>
      <c r="AC133">
        <f>'Kullanılan gübre'!AC133*'Gübre oranlar'!AF$2</f>
        <v>0</v>
      </c>
      <c r="AD133">
        <f>'Kullanılan gübre'!AD133*'Gübre oranlar'!AG$2</f>
        <v>0</v>
      </c>
      <c r="AE133">
        <f>'Kullanılan gübre'!AE133*'Gübre oranlar'!AH$2</f>
        <v>1.6</v>
      </c>
      <c r="AF133">
        <f>'Kullanılan gübre'!AF133*'Gübre oranlar'!AI$2</f>
        <v>0</v>
      </c>
      <c r="AG133">
        <f>'Kullanılan gübre'!AG133*'Gübre oranlar'!AJ$2</f>
        <v>0</v>
      </c>
      <c r="AH133">
        <f>'Kullanılan gübre'!AH133*'Gübre oranlar'!AK$2</f>
        <v>0</v>
      </c>
      <c r="AI133">
        <f>'Kullanılan gübre'!AI133*'Gübre oranlar'!AL$2</f>
        <v>0</v>
      </c>
      <c r="AJ133">
        <f>'Kullanılan gübre'!AJ133*'Gübre oranlar'!AM$2</f>
        <v>0</v>
      </c>
      <c r="AK133">
        <f>'Kullanılan gübre'!AK133*'Gübre oranlar'!AN$2</f>
        <v>0</v>
      </c>
      <c r="AL133">
        <f>'Kullanılan gübre'!AL133*'Gübre oranlar'!AO$2</f>
        <v>0</v>
      </c>
      <c r="AM133">
        <f>'Kullanılan gübre'!AM133*'Gübre oranlar'!AP$2</f>
        <v>0</v>
      </c>
      <c r="AN133">
        <f>'Kullanılan gübre'!AN133*'Gübre oranlar'!AQ$2</f>
        <v>0</v>
      </c>
      <c r="AO133">
        <f>'Kullanılan gübre'!AO133*'Gübre oranlar'!AR$2</f>
        <v>0</v>
      </c>
      <c r="AP133">
        <f>'Kullanılan gübre'!AP133*'Gübre oranlar'!AS$2</f>
        <v>0</v>
      </c>
      <c r="AQ133">
        <f>'Kullanılan gübre'!AQ133*'Gübre oranlar'!AT$2</f>
        <v>0</v>
      </c>
      <c r="AR133">
        <f>'Kullanılan gübre'!AR133*'Gübre oranlar'!AU$2</f>
        <v>0</v>
      </c>
      <c r="AS133">
        <f>'Kullanılan gübre'!AS133*'Gübre oranlar'!AV$2</f>
        <v>0</v>
      </c>
      <c r="AT133">
        <f>'Kullanılan gübre'!AT133*'Gübre oranlar'!AW$2</f>
        <v>0</v>
      </c>
      <c r="AU133">
        <f>'Kullanılan gübre'!AU133*'Gübre oranlar'!AX$2</f>
        <v>0</v>
      </c>
      <c r="AV133">
        <f>'Kullanılan gübre'!AV133*'Gübre oranlar'!AY$2</f>
        <v>0</v>
      </c>
      <c r="AW133">
        <f t="shared" si="2"/>
        <v>279.30099999999999</v>
      </c>
    </row>
    <row r="134" spans="1:49" hidden="1" x14ac:dyDescent="0.25">
      <c r="A134" t="str">
        <f>'Kullanılan gübre'!A134</f>
        <v>AK</v>
      </c>
      <c r="B134" t="str">
        <f>'Kullanılan gübre'!B134</f>
        <v>KONYA</v>
      </c>
      <c r="C134" t="str">
        <f>'Kullanılan gübre'!C134</f>
        <v>AKSEHIR</v>
      </c>
      <c r="D134">
        <f>'Kullanılan gübre'!D134</f>
        <v>2012</v>
      </c>
      <c r="E134">
        <f>'Kullanılan gübre'!E134*'Gübre oranlar'!H$2</f>
        <v>66.1815</v>
      </c>
      <c r="F134">
        <f>'Kullanılan gübre'!F134*'Gübre oranlar'!I$2</f>
        <v>202.72200000000001</v>
      </c>
      <c r="G134">
        <f>'Kullanılan gübre'!G134*'Gübre oranlar'!J$2</f>
        <v>848.06700000000012</v>
      </c>
      <c r="H134">
        <f>'Kullanılan gübre'!H134*'Gübre oranlar'!K$2</f>
        <v>882.80900000000008</v>
      </c>
      <c r="I134">
        <f>'Kullanılan gübre'!I134*'Gübre oranlar'!L$2</f>
        <v>0</v>
      </c>
      <c r="J134">
        <f>'Kullanılan gübre'!J134*'Gübre oranlar'!M$2</f>
        <v>394.91099999999994</v>
      </c>
      <c r="K134">
        <f>'Kullanılan gübre'!K134*'Gübre oranlar'!N$2</f>
        <v>134.34</v>
      </c>
      <c r="L134">
        <f>'Kullanılan gübre'!L134*'Gübre oranlar'!O$2</f>
        <v>214.39000000000001</v>
      </c>
      <c r="M134">
        <f>'Kullanılan gübre'!M134*'Gübre oranlar'!P$2</f>
        <v>27.15</v>
      </c>
      <c r="N134">
        <f>'Kullanılan gübre'!N134*'Gübre oranlar'!Q$2</f>
        <v>10.6875</v>
      </c>
      <c r="O134">
        <f>'Kullanılan gübre'!O134*'Gübre oranlar'!R$2</f>
        <v>0</v>
      </c>
      <c r="P134">
        <f>'Kullanılan gübre'!P134*'Gübre oranlar'!S$2</f>
        <v>1.9012500000000001</v>
      </c>
      <c r="Q134">
        <f>'Kullanılan gübre'!Q134*'Gübre oranlar'!T$2</f>
        <v>0</v>
      </c>
      <c r="R134">
        <f>'Kullanılan gübre'!R134*'Gübre oranlar'!U$2</f>
        <v>0</v>
      </c>
      <c r="S134">
        <f>'Kullanılan gübre'!S134*'Gübre oranlar'!V$2</f>
        <v>0</v>
      </c>
      <c r="T134">
        <f>'Kullanılan gübre'!T134*'Gübre oranlar'!W$2</f>
        <v>0</v>
      </c>
      <c r="U134">
        <f>'Kullanılan gübre'!U134*'Gübre oranlar'!X$2</f>
        <v>0</v>
      </c>
      <c r="V134">
        <f>'Kullanılan gübre'!V134*'Gübre oranlar'!Y$2</f>
        <v>26.614999999999998</v>
      </c>
      <c r="W134">
        <f>'Kullanılan gübre'!W134*'Gübre oranlar'!Z$2</f>
        <v>0</v>
      </c>
      <c r="X134">
        <f>'Kullanılan gübre'!X134*'Gübre oranlar'!AA$2</f>
        <v>0</v>
      </c>
      <c r="Y134">
        <f>'Kullanılan gübre'!Y134*'Gübre oranlar'!AB$2</f>
        <v>0</v>
      </c>
      <c r="Z134">
        <f>'Kullanılan gübre'!Z134*'Gübre oranlar'!AC$2</f>
        <v>0</v>
      </c>
      <c r="AA134">
        <f>'Kullanılan gübre'!AA134*'Gübre oranlar'!AD$2</f>
        <v>7.3125</v>
      </c>
      <c r="AB134">
        <f>'Kullanılan gübre'!AB134*'Gübre oranlar'!AE$2</f>
        <v>0</v>
      </c>
      <c r="AC134">
        <f>'Kullanılan gübre'!AC134*'Gübre oranlar'!AF$2</f>
        <v>0</v>
      </c>
      <c r="AD134">
        <f>'Kullanılan gübre'!AD134*'Gübre oranlar'!AG$2</f>
        <v>0</v>
      </c>
      <c r="AE134">
        <f>'Kullanılan gübre'!AE134*'Gübre oranlar'!AH$2</f>
        <v>2.2000000000000002</v>
      </c>
      <c r="AF134">
        <f>'Kullanılan gübre'!AF134*'Gübre oranlar'!AI$2</f>
        <v>0</v>
      </c>
      <c r="AG134">
        <f>'Kullanılan gübre'!AG134*'Gübre oranlar'!AJ$2</f>
        <v>0</v>
      </c>
      <c r="AH134">
        <f>'Kullanılan gübre'!AH134*'Gübre oranlar'!AK$2</f>
        <v>0</v>
      </c>
      <c r="AI134">
        <f>'Kullanılan gübre'!AI134*'Gübre oranlar'!AL$2</f>
        <v>0</v>
      </c>
      <c r="AJ134">
        <f>'Kullanılan gübre'!AJ134*'Gübre oranlar'!AM$2</f>
        <v>0</v>
      </c>
      <c r="AK134">
        <f>'Kullanılan gübre'!AK134*'Gübre oranlar'!AN$2</f>
        <v>0</v>
      </c>
      <c r="AL134">
        <f>'Kullanılan gübre'!AL134*'Gübre oranlar'!AO$2</f>
        <v>0</v>
      </c>
      <c r="AM134">
        <f>'Kullanılan gübre'!AM134*'Gübre oranlar'!AP$2</f>
        <v>0</v>
      </c>
      <c r="AN134">
        <f>'Kullanılan gübre'!AN134*'Gübre oranlar'!AQ$2</f>
        <v>0</v>
      </c>
      <c r="AO134">
        <f>'Kullanılan gübre'!AO134*'Gübre oranlar'!AR$2</f>
        <v>0</v>
      </c>
      <c r="AP134">
        <f>'Kullanılan gübre'!AP134*'Gübre oranlar'!AS$2</f>
        <v>0</v>
      </c>
      <c r="AQ134">
        <f>'Kullanılan gübre'!AQ134*'Gübre oranlar'!AT$2</f>
        <v>0</v>
      </c>
      <c r="AR134">
        <f>'Kullanılan gübre'!AR134*'Gübre oranlar'!AU$2</f>
        <v>0</v>
      </c>
      <c r="AS134">
        <f>'Kullanılan gübre'!AS134*'Gübre oranlar'!AV$2</f>
        <v>0</v>
      </c>
      <c r="AT134">
        <f>'Kullanılan gübre'!AT134*'Gübre oranlar'!AW$2</f>
        <v>0</v>
      </c>
      <c r="AU134">
        <f>'Kullanılan gübre'!AU134*'Gübre oranlar'!AX$2</f>
        <v>0</v>
      </c>
      <c r="AV134">
        <f>'Kullanılan gübre'!AV134*'Gübre oranlar'!AY$2</f>
        <v>0</v>
      </c>
      <c r="AW134">
        <f t="shared" si="2"/>
        <v>2819.2867499999998</v>
      </c>
    </row>
    <row r="135" spans="1:49" hidden="1" x14ac:dyDescent="0.25">
      <c r="A135" t="str">
        <f>'Kullanılan gübre'!A135</f>
        <v>AK</v>
      </c>
      <c r="B135" t="str">
        <f>'Kullanılan gübre'!B135</f>
        <v>KONYA</v>
      </c>
      <c r="C135" t="str">
        <f>'Kullanılan gübre'!C135</f>
        <v>TUZLUKCU</v>
      </c>
      <c r="D135">
        <f>'Kullanılan gübre'!D135</f>
        <v>2012</v>
      </c>
      <c r="E135">
        <f>'Kullanılan gübre'!E135*'Gübre oranlar'!H$2</f>
        <v>13.041</v>
      </c>
      <c r="F135">
        <f>'Kullanılan gübre'!F135*'Gübre oranlar'!I$2</f>
        <v>27.82</v>
      </c>
      <c r="G135">
        <f>'Kullanılan gübre'!G135*'Gübre oranlar'!J$2</f>
        <v>155.166</v>
      </c>
      <c r="H135">
        <f>'Kullanılan gübre'!H135*'Gübre oranlar'!K$2</f>
        <v>107.54800000000002</v>
      </c>
      <c r="I135">
        <f>'Kullanılan gübre'!I135*'Gübre oranlar'!L$2</f>
        <v>0</v>
      </c>
      <c r="J135">
        <f>'Kullanılan gübre'!J135*'Gübre oranlar'!M$2</f>
        <v>21.077999999999999</v>
      </c>
      <c r="K135">
        <f>'Kullanılan gübre'!K135*'Gübre oranlar'!N$2</f>
        <v>13.9</v>
      </c>
      <c r="L135">
        <f>'Kullanılan gübre'!L135*'Gübre oranlar'!O$2</f>
        <v>46.27</v>
      </c>
      <c r="M135">
        <f>'Kullanılan gübre'!M135*'Gübre oranlar'!P$2</f>
        <v>19.0275</v>
      </c>
      <c r="N135">
        <f>'Kullanılan gübre'!N135*'Gübre oranlar'!Q$2</f>
        <v>0</v>
      </c>
      <c r="O135">
        <f>'Kullanılan gübre'!O135*'Gübre oranlar'!R$2</f>
        <v>0</v>
      </c>
      <c r="P135">
        <f>'Kullanılan gübre'!P135*'Gübre oranlar'!S$2</f>
        <v>0</v>
      </c>
      <c r="Q135">
        <f>'Kullanılan gübre'!Q135*'Gübre oranlar'!T$2</f>
        <v>0</v>
      </c>
      <c r="R135">
        <f>'Kullanılan gübre'!R135*'Gübre oranlar'!U$2</f>
        <v>0</v>
      </c>
      <c r="S135">
        <f>'Kullanılan gübre'!S135*'Gübre oranlar'!V$2</f>
        <v>0</v>
      </c>
      <c r="T135">
        <f>'Kullanılan gübre'!T135*'Gübre oranlar'!W$2</f>
        <v>0</v>
      </c>
      <c r="U135">
        <f>'Kullanılan gübre'!U135*'Gübre oranlar'!X$2</f>
        <v>0</v>
      </c>
      <c r="V135">
        <f>'Kullanılan gübre'!V135*'Gübre oranlar'!Y$2</f>
        <v>3.1750000000000003</v>
      </c>
      <c r="W135">
        <f>'Kullanılan gübre'!W135*'Gübre oranlar'!Z$2</f>
        <v>0</v>
      </c>
      <c r="X135">
        <f>'Kullanılan gübre'!X135*'Gübre oranlar'!AA$2</f>
        <v>0</v>
      </c>
      <c r="Y135">
        <f>'Kullanılan gübre'!Y135*'Gübre oranlar'!AB$2</f>
        <v>0</v>
      </c>
      <c r="Z135">
        <f>'Kullanılan gübre'!Z135*'Gübre oranlar'!AC$2</f>
        <v>0</v>
      </c>
      <c r="AA135">
        <f>'Kullanılan gübre'!AA135*'Gübre oranlar'!AD$2</f>
        <v>0</v>
      </c>
      <c r="AB135">
        <f>'Kullanılan gübre'!AB135*'Gübre oranlar'!AE$2</f>
        <v>0</v>
      </c>
      <c r="AC135">
        <f>'Kullanılan gübre'!AC135*'Gübre oranlar'!AF$2</f>
        <v>0</v>
      </c>
      <c r="AD135">
        <f>'Kullanılan gübre'!AD135*'Gübre oranlar'!AG$2</f>
        <v>0</v>
      </c>
      <c r="AE135">
        <f>'Kullanılan gübre'!AE135*'Gübre oranlar'!AH$2</f>
        <v>0.25</v>
      </c>
      <c r="AF135">
        <f>'Kullanılan gübre'!AF135*'Gübre oranlar'!AI$2</f>
        <v>0</v>
      </c>
      <c r="AG135">
        <f>'Kullanılan gübre'!AG135*'Gübre oranlar'!AJ$2</f>
        <v>0</v>
      </c>
      <c r="AH135">
        <f>'Kullanılan gübre'!AH135*'Gübre oranlar'!AK$2</f>
        <v>0</v>
      </c>
      <c r="AI135">
        <f>'Kullanılan gübre'!AI135*'Gübre oranlar'!AL$2</f>
        <v>0</v>
      </c>
      <c r="AJ135">
        <f>'Kullanılan gübre'!AJ135*'Gübre oranlar'!AM$2</f>
        <v>0</v>
      </c>
      <c r="AK135">
        <f>'Kullanılan gübre'!AK135*'Gübre oranlar'!AN$2</f>
        <v>0</v>
      </c>
      <c r="AL135">
        <f>'Kullanılan gübre'!AL135*'Gübre oranlar'!AO$2</f>
        <v>0</v>
      </c>
      <c r="AM135">
        <f>'Kullanılan gübre'!AM135*'Gübre oranlar'!AP$2</f>
        <v>0</v>
      </c>
      <c r="AN135">
        <f>'Kullanılan gübre'!AN135*'Gübre oranlar'!AQ$2</f>
        <v>0</v>
      </c>
      <c r="AO135">
        <f>'Kullanılan gübre'!AO135*'Gübre oranlar'!AR$2</f>
        <v>0</v>
      </c>
      <c r="AP135">
        <f>'Kullanılan gübre'!AP135*'Gübre oranlar'!AS$2</f>
        <v>0</v>
      </c>
      <c r="AQ135">
        <f>'Kullanılan gübre'!AQ135*'Gübre oranlar'!AT$2</f>
        <v>0</v>
      </c>
      <c r="AR135">
        <f>'Kullanılan gübre'!AR135*'Gübre oranlar'!AU$2</f>
        <v>0</v>
      </c>
      <c r="AS135">
        <f>'Kullanılan gübre'!AS135*'Gübre oranlar'!AV$2</f>
        <v>0</v>
      </c>
      <c r="AT135">
        <f>'Kullanılan gübre'!AT135*'Gübre oranlar'!AW$2</f>
        <v>0</v>
      </c>
      <c r="AU135">
        <f>'Kullanılan gübre'!AU135*'Gübre oranlar'!AX$2</f>
        <v>0</v>
      </c>
      <c r="AV135">
        <f>'Kullanılan gübre'!AV135*'Gübre oranlar'!AY$2</f>
        <v>0</v>
      </c>
      <c r="AW135">
        <f t="shared" si="2"/>
        <v>407.27549999999991</v>
      </c>
    </row>
    <row r="136" spans="1:49" hidden="1" x14ac:dyDescent="0.25">
      <c r="A136" t="str">
        <f>'Kullanılan gübre'!A136</f>
        <v>AK</v>
      </c>
      <c r="B136" t="str">
        <f>'Kullanılan gübre'!B136</f>
        <v>KONYA</v>
      </c>
      <c r="C136" t="str">
        <f>'Kullanılan gübre'!C136</f>
        <v>AKSEHIR</v>
      </c>
      <c r="D136">
        <f>'Kullanılan gübre'!D136</f>
        <v>2013</v>
      </c>
      <c r="E136">
        <f>'Kullanılan gübre'!E136*'Gübre oranlar'!H$2</f>
        <v>101.934</v>
      </c>
      <c r="F136">
        <f>'Kullanılan gübre'!F136*'Gübre oranlar'!I$2</f>
        <v>245.596</v>
      </c>
      <c r="G136">
        <f>'Kullanılan gübre'!G136*'Gübre oranlar'!J$2</f>
        <v>712.83299999999997</v>
      </c>
      <c r="H136">
        <f>'Kullanılan gübre'!H136*'Gübre oranlar'!K$2</f>
        <v>1234.0650000000001</v>
      </c>
      <c r="I136">
        <f>'Kullanılan gübre'!I136*'Gübre oranlar'!L$2</f>
        <v>0</v>
      </c>
      <c r="J136">
        <f>'Kullanılan gübre'!J136*'Gübre oranlar'!M$2</f>
        <v>250.95599999999999</v>
      </c>
      <c r="K136">
        <f>'Kullanılan gübre'!K136*'Gübre oranlar'!N$2</f>
        <v>94.300000000000011</v>
      </c>
      <c r="L136">
        <f>'Kullanılan gübre'!L136*'Gübre oranlar'!O$2</f>
        <v>176.99</v>
      </c>
      <c r="M136">
        <f>'Kullanılan gübre'!M136*'Gübre oranlar'!P$2</f>
        <v>42.945</v>
      </c>
      <c r="N136">
        <f>'Kullanılan gübre'!N136*'Gübre oranlar'!Q$2</f>
        <v>33.464999999999996</v>
      </c>
      <c r="O136">
        <f>'Kullanılan gübre'!O136*'Gübre oranlar'!R$2</f>
        <v>0</v>
      </c>
      <c r="P136">
        <f>'Kullanılan gübre'!P136*'Gübre oranlar'!S$2</f>
        <v>0.62725000000000009</v>
      </c>
      <c r="Q136">
        <f>'Kullanılan gübre'!Q136*'Gübre oranlar'!T$2</f>
        <v>99.504000000000005</v>
      </c>
      <c r="R136">
        <f>'Kullanılan gübre'!R136*'Gübre oranlar'!U$2</f>
        <v>0</v>
      </c>
      <c r="S136">
        <f>'Kullanılan gübre'!S136*'Gübre oranlar'!V$2</f>
        <v>0</v>
      </c>
      <c r="T136">
        <f>'Kullanılan gübre'!T136*'Gübre oranlar'!W$2</f>
        <v>0</v>
      </c>
      <c r="U136">
        <f>'Kullanılan gübre'!U136*'Gübre oranlar'!X$2</f>
        <v>0</v>
      </c>
      <c r="V136">
        <f>'Kullanılan gübre'!V136*'Gübre oranlar'!Y$2</f>
        <v>0</v>
      </c>
      <c r="W136">
        <f>'Kullanılan gübre'!W136*'Gübre oranlar'!Z$2</f>
        <v>0</v>
      </c>
      <c r="X136">
        <f>'Kullanılan gübre'!X136*'Gübre oranlar'!AA$2</f>
        <v>0</v>
      </c>
      <c r="Y136">
        <f>'Kullanılan gübre'!Y136*'Gübre oranlar'!AB$2</f>
        <v>0</v>
      </c>
      <c r="Z136">
        <f>'Kullanılan gübre'!Z136*'Gübre oranlar'!AC$2</f>
        <v>0</v>
      </c>
      <c r="AA136">
        <f>'Kullanılan gübre'!AA136*'Gübre oranlar'!AD$2</f>
        <v>0</v>
      </c>
      <c r="AB136">
        <f>'Kullanılan gübre'!AB136*'Gübre oranlar'!AE$2</f>
        <v>0</v>
      </c>
      <c r="AC136">
        <f>'Kullanılan gübre'!AC136*'Gübre oranlar'!AF$2</f>
        <v>0</v>
      </c>
      <c r="AD136">
        <f>'Kullanılan gübre'!AD136*'Gübre oranlar'!AG$2</f>
        <v>0</v>
      </c>
      <c r="AE136">
        <f>'Kullanılan gübre'!AE136*'Gübre oranlar'!AH$2</f>
        <v>0</v>
      </c>
      <c r="AF136">
        <f>'Kullanılan gübre'!AF136*'Gübre oranlar'!AI$2</f>
        <v>0</v>
      </c>
      <c r="AG136">
        <f>'Kullanılan gübre'!AG136*'Gübre oranlar'!AJ$2</f>
        <v>0</v>
      </c>
      <c r="AH136">
        <f>'Kullanılan gübre'!AH136*'Gübre oranlar'!AK$2</f>
        <v>0</v>
      </c>
      <c r="AI136">
        <f>'Kullanılan gübre'!AI136*'Gübre oranlar'!AL$2</f>
        <v>15</v>
      </c>
      <c r="AJ136">
        <f>'Kullanılan gübre'!AJ136*'Gübre oranlar'!AM$2</f>
        <v>0</v>
      </c>
      <c r="AK136">
        <f>'Kullanılan gübre'!AK136*'Gübre oranlar'!AN$2</f>
        <v>0</v>
      </c>
      <c r="AL136">
        <f>'Kullanılan gübre'!AL136*'Gübre oranlar'!AO$2</f>
        <v>28.32</v>
      </c>
      <c r="AM136">
        <f>'Kullanılan gübre'!AM136*'Gübre oranlar'!AP$2</f>
        <v>1.44</v>
      </c>
      <c r="AN136">
        <f>'Kullanılan gübre'!AN136*'Gübre oranlar'!AQ$2</f>
        <v>0</v>
      </c>
      <c r="AO136">
        <f>'Kullanılan gübre'!AO136*'Gübre oranlar'!AR$2</f>
        <v>0</v>
      </c>
      <c r="AP136">
        <f>'Kullanılan gübre'!AP136*'Gübre oranlar'!AS$2</f>
        <v>0</v>
      </c>
      <c r="AQ136">
        <f>'Kullanılan gübre'!AQ136*'Gübre oranlar'!AT$2</f>
        <v>0</v>
      </c>
      <c r="AR136">
        <f>'Kullanılan gübre'!AR136*'Gübre oranlar'!AU$2</f>
        <v>0</v>
      </c>
      <c r="AS136">
        <f>'Kullanılan gübre'!AS136*'Gübre oranlar'!AV$2</f>
        <v>0</v>
      </c>
      <c r="AT136">
        <f>'Kullanılan gübre'!AT136*'Gübre oranlar'!AW$2</f>
        <v>0</v>
      </c>
      <c r="AU136">
        <f>'Kullanılan gübre'!AU136*'Gübre oranlar'!AX$2</f>
        <v>0</v>
      </c>
      <c r="AV136">
        <f>'Kullanılan gübre'!AV136*'Gübre oranlar'!AY$2</f>
        <v>0</v>
      </c>
      <c r="AW136">
        <f t="shared" si="2"/>
        <v>3037.9752500000004</v>
      </c>
    </row>
    <row r="137" spans="1:49" hidden="1" x14ac:dyDescent="0.25">
      <c r="A137" t="str">
        <f>'Kullanılan gübre'!A137</f>
        <v>AK</v>
      </c>
      <c r="B137" t="str">
        <f>'Kullanılan gübre'!B137</f>
        <v>KONYA</v>
      </c>
      <c r="C137" t="str">
        <f>'Kullanılan gübre'!C137</f>
        <v>TUZLUKCU</v>
      </c>
      <c r="D137">
        <f>'Kullanılan gübre'!D137</f>
        <v>2013</v>
      </c>
      <c r="E137">
        <f>'Kullanılan gübre'!E137*'Gübre oranlar'!H$2</f>
        <v>18.910499999999999</v>
      </c>
      <c r="F137">
        <f>'Kullanılan gübre'!F137*'Gübre oranlar'!I$2</f>
        <v>18.550999999999998</v>
      </c>
      <c r="G137">
        <f>'Kullanılan gübre'!G137*'Gübre oranlar'!J$2</f>
        <v>144.17699999999999</v>
      </c>
      <c r="H137">
        <f>'Kullanılan gübre'!H137*'Gübre oranlar'!K$2</f>
        <v>136.137</v>
      </c>
      <c r="I137">
        <f>'Kullanılan gübre'!I137*'Gübre oranlar'!L$2</f>
        <v>0</v>
      </c>
      <c r="J137">
        <f>'Kullanılan gübre'!J137*'Gübre oranlar'!M$2</f>
        <v>89.504999999999995</v>
      </c>
      <c r="K137">
        <f>'Kullanılan gübre'!K137*'Gübre oranlar'!N$2</f>
        <v>5.2</v>
      </c>
      <c r="L137">
        <f>'Kullanılan gübre'!L137*'Gübre oranlar'!O$2</f>
        <v>64.84</v>
      </c>
      <c r="M137">
        <f>'Kullanılan gübre'!M137*'Gübre oranlar'!P$2</f>
        <v>11.819999999999999</v>
      </c>
      <c r="N137">
        <f>'Kullanılan gübre'!N137*'Gübre oranlar'!Q$2</f>
        <v>0</v>
      </c>
      <c r="O137">
        <f>'Kullanılan gübre'!O137*'Gübre oranlar'!R$2</f>
        <v>0</v>
      </c>
      <c r="P137">
        <f>'Kullanılan gübre'!P137*'Gübre oranlar'!S$2</f>
        <v>0</v>
      </c>
      <c r="Q137">
        <f>'Kullanılan gübre'!Q137*'Gübre oranlar'!T$2</f>
        <v>18.257999999999999</v>
      </c>
      <c r="R137">
        <f>'Kullanılan gübre'!R137*'Gübre oranlar'!U$2</f>
        <v>0</v>
      </c>
      <c r="S137">
        <f>'Kullanılan gübre'!S137*'Gübre oranlar'!V$2</f>
        <v>0</v>
      </c>
      <c r="T137">
        <f>'Kullanılan gübre'!T137*'Gübre oranlar'!W$2</f>
        <v>0</v>
      </c>
      <c r="U137">
        <f>'Kullanılan gübre'!U137*'Gübre oranlar'!X$2</f>
        <v>0</v>
      </c>
      <c r="V137">
        <f>'Kullanılan gübre'!V137*'Gübre oranlar'!Y$2</f>
        <v>0</v>
      </c>
      <c r="W137">
        <f>'Kullanılan gübre'!W137*'Gübre oranlar'!Z$2</f>
        <v>0</v>
      </c>
      <c r="X137">
        <f>'Kullanılan gübre'!X137*'Gübre oranlar'!AA$2</f>
        <v>0</v>
      </c>
      <c r="Y137">
        <f>'Kullanılan gübre'!Y137*'Gübre oranlar'!AB$2</f>
        <v>0</v>
      </c>
      <c r="Z137">
        <f>'Kullanılan gübre'!Z137*'Gübre oranlar'!AC$2</f>
        <v>0</v>
      </c>
      <c r="AA137">
        <f>'Kullanılan gübre'!AA137*'Gübre oranlar'!AD$2</f>
        <v>0</v>
      </c>
      <c r="AB137">
        <f>'Kullanılan gübre'!AB137*'Gübre oranlar'!AE$2</f>
        <v>0</v>
      </c>
      <c r="AC137">
        <f>'Kullanılan gübre'!AC137*'Gübre oranlar'!AF$2</f>
        <v>0</v>
      </c>
      <c r="AD137">
        <f>'Kullanılan gübre'!AD137*'Gübre oranlar'!AG$2</f>
        <v>0</v>
      </c>
      <c r="AE137">
        <f>'Kullanılan gübre'!AE137*'Gübre oranlar'!AH$2</f>
        <v>1.3050000000000002</v>
      </c>
      <c r="AF137">
        <f>'Kullanılan gübre'!AF137*'Gübre oranlar'!AI$2</f>
        <v>0</v>
      </c>
      <c r="AG137">
        <f>'Kullanılan gübre'!AG137*'Gübre oranlar'!AJ$2</f>
        <v>0</v>
      </c>
      <c r="AH137">
        <f>'Kullanılan gübre'!AH137*'Gübre oranlar'!AK$2</f>
        <v>0</v>
      </c>
      <c r="AI137">
        <f>'Kullanılan gübre'!AI137*'Gübre oranlar'!AL$2</f>
        <v>0</v>
      </c>
      <c r="AJ137">
        <f>'Kullanılan gübre'!AJ137*'Gübre oranlar'!AM$2</f>
        <v>0</v>
      </c>
      <c r="AK137">
        <f>'Kullanılan gübre'!AK137*'Gübre oranlar'!AN$2</f>
        <v>0</v>
      </c>
      <c r="AL137">
        <f>'Kullanılan gübre'!AL137*'Gübre oranlar'!AO$2</f>
        <v>3.69</v>
      </c>
      <c r="AM137">
        <f>'Kullanılan gübre'!AM137*'Gübre oranlar'!AP$2</f>
        <v>0</v>
      </c>
      <c r="AN137">
        <f>'Kullanılan gübre'!AN137*'Gübre oranlar'!AQ$2</f>
        <v>0</v>
      </c>
      <c r="AO137">
        <f>'Kullanılan gübre'!AO137*'Gübre oranlar'!AR$2</f>
        <v>0</v>
      </c>
      <c r="AP137">
        <f>'Kullanılan gübre'!AP137*'Gübre oranlar'!AS$2</f>
        <v>0</v>
      </c>
      <c r="AQ137">
        <f>'Kullanılan gübre'!AQ137*'Gübre oranlar'!AT$2</f>
        <v>0</v>
      </c>
      <c r="AR137">
        <f>'Kullanılan gübre'!AR137*'Gübre oranlar'!AU$2</f>
        <v>0</v>
      </c>
      <c r="AS137">
        <f>'Kullanılan gübre'!AS137*'Gübre oranlar'!AV$2</f>
        <v>0</v>
      </c>
      <c r="AT137">
        <f>'Kullanılan gübre'!AT137*'Gübre oranlar'!AW$2</f>
        <v>0</v>
      </c>
      <c r="AU137">
        <f>'Kullanılan gübre'!AU137*'Gübre oranlar'!AX$2</f>
        <v>0</v>
      </c>
      <c r="AV137">
        <f>'Kullanılan gübre'!AV137*'Gübre oranlar'!AY$2</f>
        <v>0</v>
      </c>
      <c r="AW137">
        <f t="shared" si="2"/>
        <v>512.3934999999999</v>
      </c>
    </row>
    <row r="138" spans="1:49" hidden="1" x14ac:dyDescent="0.25">
      <c r="A138" t="str">
        <f>'Kullanılan gübre'!A138</f>
        <v>AK</v>
      </c>
      <c r="B138" t="str">
        <f>'Kullanılan gübre'!B138</f>
        <v>KONYA</v>
      </c>
      <c r="C138" t="str">
        <f>'Kullanılan gübre'!C138</f>
        <v>AKSEHIR</v>
      </c>
      <c r="D138">
        <f>'Kullanılan gübre'!D138</f>
        <v>2014</v>
      </c>
      <c r="E138">
        <f>'Kullanılan gübre'!E138*'Gübre oranlar'!H$2</f>
        <v>81.501000000000005</v>
      </c>
      <c r="F138">
        <f>'Kullanılan gübre'!F138*'Gübre oranlar'!I$2</f>
        <v>146.12</v>
      </c>
      <c r="G138">
        <f>'Kullanılan gübre'!G138*'Gübre oranlar'!J$2</f>
        <v>560.24099999999999</v>
      </c>
      <c r="H138">
        <f>'Kullanılan gübre'!H138*'Gübre oranlar'!K$2</f>
        <v>709.98700000000008</v>
      </c>
      <c r="I138">
        <f>'Kullanılan gübre'!I138*'Gübre oranlar'!L$2</f>
        <v>0</v>
      </c>
      <c r="J138">
        <f>'Kullanılan gübre'!J138*'Gübre oranlar'!M$2</f>
        <v>198.82799999999997</v>
      </c>
      <c r="K138">
        <f>'Kullanılan gübre'!K138*'Gübre oranlar'!N$2</f>
        <v>66.53</v>
      </c>
      <c r="L138">
        <f>'Kullanılan gübre'!L138*'Gübre oranlar'!O$2</f>
        <v>206.64000000000001</v>
      </c>
      <c r="M138">
        <f>'Kullanılan gübre'!M138*'Gübre oranlar'!P$2</f>
        <v>21.36</v>
      </c>
      <c r="N138">
        <f>'Kullanılan gübre'!N138*'Gübre oranlar'!Q$2</f>
        <v>1.56</v>
      </c>
      <c r="O138">
        <f>'Kullanılan gübre'!O138*'Gübre oranlar'!R$2</f>
        <v>0</v>
      </c>
      <c r="P138">
        <f>'Kullanılan gübre'!P138*'Gübre oranlar'!S$2</f>
        <v>0.91325000000000012</v>
      </c>
      <c r="Q138">
        <f>'Kullanılan gübre'!Q138*'Gübre oranlar'!T$2</f>
        <v>87.24</v>
      </c>
      <c r="R138">
        <f>'Kullanılan gübre'!R138*'Gübre oranlar'!U$2</f>
        <v>0</v>
      </c>
      <c r="S138">
        <f>'Kullanılan gübre'!S138*'Gübre oranlar'!V$2</f>
        <v>0</v>
      </c>
      <c r="T138">
        <f>'Kullanılan gübre'!T138*'Gübre oranlar'!W$2</f>
        <v>0</v>
      </c>
      <c r="U138">
        <f>'Kullanılan gübre'!U138*'Gübre oranlar'!X$2</f>
        <v>0</v>
      </c>
      <c r="V138">
        <f>'Kullanılan gübre'!V138*'Gübre oranlar'!Y$2</f>
        <v>0</v>
      </c>
      <c r="W138">
        <f>'Kullanılan gübre'!W138*'Gübre oranlar'!Z$2</f>
        <v>0</v>
      </c>
      <c r="X138">
        <f>'Kullanılan gübre'!X138*'Gübre oranlar'!AA$2</f>
        <v>0</v>
      </c>
      <c r="Y138">
        <f>'Kullanılan gübre'!Y138*'Gübre oranlar'!AB$2</f>
        <v>0</v>
      </c>
      <c r="Z138">
        <f>'Kullanılan gübre'!Z138*'Gübre oranlar'!AC$2</f>
        <v>0</v>
      </c>
      <c r="AA138">
        <f>'Kullanılan gübre'!AA138*'Gübre oranlar'!AD$2</f>
        <v>0</v>
      </c>
      <c r="AB138">
        <f>'Kullanılan gübre'!AB138*'Gübre oranlar'!AE$2</f>
        <v>0</v>
      </c>
      <c r="AC138">
        <f>'Kullanılan gübre'!AC138*'Gübre oranlar'!AF$2</f>
        <v>0</v>
      </c>
      <c r="AD138">
        <f>'Kullanılan gübre'!AD138*'Gübre oranlar'!AG$2</f>
        <v>0</v>
      </c>
      <c r="AE138">
        <f>'Kullanılan gübre'!AE138*'Gübre oranlar'!AH$2</f>
        <v>0</v>
      </c>
      <c r="AF138">
        <f>'Kullanılan gübre'!AF138*'Gübre oranlar'!AI$2</f>
        <v>0</v>
      </c>
      <c r="AG138">
        <f>'Kullanılan gübre'!AG138*'Gübre oranlar'!AJ$2</f>
        <v>0</v>
      </c>
      <c r="AH138">
        <f>'Kullanılan gübre'!AH138*'Gübre oranlar'!AK$2</f>
        <v>0</v>
      </c>
      <c r="AI138">
        <f>'Kullanılan gübre'!AI138*'Gübre oranlar'!AL$2</f>
        <v>0</v>
      </c>
      <c r="AJ138">
        <f>'Kullanılan gübre'!AJ138*'Gübre oranlar'!AM$2</f>
        <v>3.0224999999999995</v>
      </c>
      <c r="AK138">
        <f>'Kullanılan gübre'!AK138*'Gübre oranlar'!AN$2</f>
        <v>0</v>
      </c>
      <c r="AL138">
        <f>'Kullanılan gübre'!AL138*'Gübre oranlar'!AO$2</f>
        <v>35.64</v>
      </c>
      <c r="AM138">
        <f>'Kullanılan gübre'!AM138*'Gübre oranlar'!AP$2</f>
        <v>7.2560000000000002</v>
      </c>
      <c r="AN138">
        <f>'Kullanılan gübre'!AN138*'Gübre oranlar'!AQ$2</f>
        <v>0</v>
      </c>
      <c r="AO138">
        <f>'Kullanılan gübre'!AO138*'Gübre oranlar'!AR$2</f>
        <v>0</v>
      </c>
      <c r="AP138">
        <f>'Kullanılan gübre'!AP138*'Gübre oranlar'!AS$2</f>
        <v>0</v>
      </c>
      <c r="AQ138">
        <f>'Kullanılan gübre'!AQ138*'Gübre oranlar'!AT$2</f>
        <v>0</v>
      </c>
      <c r="AR138">
        <f>'Kullanılan gübre'!AR138*'Gübre oranlar'!AU$2</f>
        <v>0</v>
      </c>
      <c r="AS138">
        <f>'Kullanılan gübre'!AS138*'Gübre oranlar'!AV$2</f>
        <v>0</v>
      </c>
      <c r="AT138">
        <f>'Kullanılan gübre'!AT138*'Gübre oranlar'!AW$2</f>
        <v>0</v>
      </c>
      <c r="AU138">
        <f>'Kullanılan gübre'!AU138*'Gübre oranlar'!AX$2</f>
        <v>0</v>
      </c>
      <c r="AV138">
        <f>'Kullanılan gübre'!AV138*'Gübre oranlar'!AY$2</f>
        <v>0</v>
      </c>
      <c r="AW138">
        <f t="shared" si="2"/>
        <v>2126.8387499999999</v>
      </c>
    </row>
    <row r="139" spans="1:49" hidden="1" x14ac:dyDescent="0.25">
      <c r="A139" t="str">
        <f>'Kullanılan gübre'!A139</f>
        <v>AK</v>
      </c>
      <c r="B139" t="str">
        <f>'Kullanılan gübre'!B139</f>
        <v>KONYA</v>
      </c>
      <c r="C139" t="str">
        <f>'Kullanılan gübre'!C139</f>
        <v>TUZLUKCU</v>
      </c>
      <c r="D139">
        <f>'Kullanılan gübre'!D139</f>
        <v>2014</v>
      </c>
      <c r="E139">
        <f>'Kullanılan gübre'!E139*'Gübre oranlar'!H$2</f>
        <v>15.645</v>
      </c>
      <c r="F139">
        <f>'Kullanılan gübre'!F139*'Gübre oranlar'!I$2</f>
        <v>7.5010000000000003</v>
      </c>
      <c r="G139">
        <f>'Kullanılan gübre'!G139*'Gübre oranlar'!J$2</f>
        <v>210.72149999999999</v>
      </c>
      <c r="H139">
        <f>'Kullanılan gübre'!H139*'Gübre oranlar'!K$2</f>
        <v>167.60100000000003</v>
      </c>
      <c r="I139">
        <f>'Kullanılan gübre'!I139*'Gübre oranlar'!L$2</f>
        <v>0</v>
      </c>
      <c r="J139">
        <f>'Kullanılan gübre'!J139*'Gübre oranlar'!M$2</f>
        <v>57.050999999999995</v>
      </c>
      <c r="K139">
        <f>'Kullanılan gübre'!K139*'Gübre oranlar'!N$2</f>
        <v>0</v>
      </c>
      <c r="L139">
        <f>'Kullanılan gübre'!L139*'Gübre oranlar'!O$2</f>
        <v>54.879999999999995</v>
      </c>
      <c r="M139">
        <f>'Kullanılan gübre'!M139*'Gübre oranlar'!P$2</f>
        <v>0</v>
      </c>
      <c r="N139">
        <f>'Kullanılan gübre'!N139*'Gübre oranlar'!Q$2</f>
        <v>0</v>
      </c>
      <c r="O139">
        <f>'Kullanılan gübre'!O139*'Gübre oranlar'!R$2</f>
        <v>0</v>
      </c>
      <c r="P139">
        <f>'Kullanılan gübre'!P139*'Gübre oranlar'!S$2</f>
        <v>0</v>
      </c>
      <c r="Q139">
        <f>'Kullanılan gübre'!Q139*'Gübre oranlar'!T$2</f>
        <v>25.212</v>
      </c>
      <c r="R139">
        <f>'Kullanılan gübre'!R139*'Gübre oranlar'!U$2</f>
        <v>0</v>
      </c>
      <c r="S139">
        <f>'Kullanılan gübre'!S139*'Gübre oranlar'!V$2</f>
        <v>0</v>
      </c>
      <c r="T139">
        <f>'Kullanılan gübre'!T139*'Gübre oranlar'!W$2</f>
        <v>0</v>
      </c>
      <c r="U139">
        <f>'Kullanılan gübre'!U139*'Gübre oranlar'!X$2</f>
        <v>0</v>
      </c>
      <c r="V139">
        <f>'Kullanılan gübre'!V139*'Gübre oranlar'!Y$2</f>
        <v>0</v>
      </c>
      <c r="W139">
        <f>'Kullanılan gübre'!W139*'Gübre oranlar'!Z$2</f>
        <v>0</v>
      </c>
      <c r="X139">
        <f>'Kullanılan gübre'!X139*'Gübre oranlar'!AA$2</f>
        <v>0</v>
      </c>
      <c r="Y139">
        <f>'Kullanılan gübre'!Y139*'Gübre oranlar'!AB$2</f>
        <v>0</v>
      </c>
      <c r="Z139">
        <f>'Kullanılan gübre'!Z139*'Gübre oranlar'!AC$2</f>
        <v>0</v>
      </c>
      <c r="AA139">
        <f>'Kullanılan gübre'!AA139*'Gübre oranlar'!AD$2</f>
        <v>0</v>
      </c>
      <c r="AB139">
        <f>'Kullanılan gübre'!AB139*'Gübre oranlar'!AE$2</f>
        <v>0</v>
      </c>
      <c r="AC139">
        <f>'Kullanılan gübre'!AC139*'Gübre oranlar'!AF$2</f>
        <v>0</v>
      </c>
      <c r="AD139">
        <f>'Kullanılan gübre'!AD139*'Gübre oranlar'!AG$2</f>
        <v>0</v>
      </c>
      <c r="AE139">
        <f>'Kullanılan gübre'!AE139*'Gübre oranlar'!AH$2</f>
        <v>0</v>
      </c>
      <c r="AF139">
        <f>'Kullanılan gübre'!AF139*'Gübre oranlar'!AI$2</f>
        <v>0</v>
      </c>
      <c r="AG139">
        <f>'Kullanılan gübre'!AG139*'Gübre oranlar'!AJ$2</f>
        <v>0</v>
      </c>
      <c r="AH139">
        <f>'Kullanılan gübre'!AH139*'Gübre oranlar'!AK$2</f>
        <v>0</v>
      </c>
      <c r="AI139">
        <f>'Kullanılan gübre'!AI139*'Gübre oranlar'!AL$2</f>
        <v>0</v>
      </c>
      <c r="AJ139">
        <f>'Kullanılan gübre'!AJ139*'Gübre oranlar'!AM$2</f>
        <v>4.05</v>
      </c>
      <c r="AK139">
        <f>'Kullanılan gübre'!AK139*'Gübre oranlar'!AN$2</f>
        <v>0</v>
      </c>
      <c r="AL139">
        <f>'Kullanılan gübre'!AL139*'Gübre oranlar'!AO$2</f>
        <v>22.818000000000001</v>
      </c>
      <c r="AM139">
        <f>'Kullanılan gübre'!AM139*'Gübre oranlar'!AP$2</f>
        <v>0</v>
      </c>
      <c r="AN139">
        <f>'Kullanılan gübre'!AN139*'Gübre oranlar'!AQ$2</f>
        <v>0</v>
      </c>
      <c r="AO139">
        <f>'Kullanılan gübre'!AO139*'Gübre oranlar'!AR$2</f>
        <v>0</v>
      </c>
      <c r="AP139">
        <f>'Kullanılan gübre'!AP139*'Gübre oranlar'!AS$2</f>
        <v>0</v>
      </c>
      <c r="AQ139">
        <f>'Kullanılan gübre'!AQ139*'Gübre oranlar'!AT$2</f>
        <v>0</v>
      </c>
      <c r="AR139">
        <f>'Kullanılan gübre'!AR139*'Gübre oranlar'!AU$2</f>
        <v>0</v>
      </c>
      <c r="AS139">
        <f>'Kullanılan gübre'!AS139*'Gübre oranlar'!AV$2</f>
        <v>0</v>
      </c>
      <c r="AT139">
        <f>'Kullanılan gübre'!AT139*'Gübre oranlar'!AW$2</f>
        <v>0</v>
      </c>
      <c r="AU139">
        <f>'Kullanılan gübre'!AU139*'Gübre oranlar'!AX$2</f>
        <v>0</v>
      </c>
      <c r="AV139">
        <f>'Kullanılan gübre'!AV139*'Gübre oranlar'!AY$2</f>
        <v>0</v>
      </c>
      <c r="AW139">
        <f t="shared" si="2"/>
        <v>565.47949999999992</v>
      </c>
    </row>
    <row r="140" spans="1:49" hidden="1" x14ac:dyDescent="0.25">
      <c r="A140" t="str">
        <f>'Kullanılan gübre'!A140</f>
        <v>AK</v>
      </c>
      <c r="B140" t="str">
        <f>'Kullanılan gübre'!B140</f>
        <v>KONYA</v>
      </c>
      <c r="C140" t="str">
        <f>'Kullanılan gübre'!C140</f>
        <v>AKSEHIR</v>
      </c>
      <c r="D140">
        <f>'Kullanılan gübre'!D140</f>
        <v>2015</v>
      </c>
      <c r="E140">
        <f>'Kullanılan gübre'!E140*'Gübre oranlar'!H$2</f>
        <v>102.56399999999999</v>
      </c>
      <c r="F140">
        <f>'Kullanılan gübre'!F140*'Gübre oranlar'!I$2</f>
        <v>127.075</v>
      </c>
      <c r="G140">
        <f>'Kullanılan gübre'!G140*'Gübre oranlar'!J$2</f>
        <v>507.42450000000008</v>
      </c>
      <c r="H140">
        <f>'Kullanılan gübre'!H140*'Gübre oranlar'!K$2</f>
        <v>1128.357</v>
      </c>
      <c r="I140">
        <f>'Kullanılan gübre'!I140*'Gübre oranlar'!L$2</f>
        <v>0</v>
      </c>
      <c r="J140">
        <f>'Kullanılan gübre'!J140*'Gübre oranlar'!M$2</f>
        <v>153.351</v>
      </c>
      <c r="K140">
        <f>'Kullanılan gübre'!K140*'Gübre oranlar'!N$2</f>
        <v>43.930000000000007</v>
      </c>
      <c r="L140">
        <f>'Kullanılan gübre'!L140*'Gübre oranlar'!O$2</f>
        <v>188.35000000000002</v>
      </c>
      <c r="M140">
        <f>'Kullanılan gübre'!M140*'Gübre oranlar'!P$2</f>
        <v>23.767499999999998</v>
      </c>
      <c r="N140">
        <f>'Kullanılan gübre'!N140*'Gübre oranlar'!Q$2</f>
        <v>1.095</v>
      </c>
      <c r="O140">
        <f>'Kullanılan gübre'!O140*'Gübre oranlar'!R$2</f>
        <v>0</v>
      </c>
      <c r="P140">
        <f>'Kullanılan gübre'!P140*'Gübre oranlar'!S$2</f>
        <v>0.9425</v>
      </c>
      <c r="Q140">
        <f>'Kullanılan gübre'!Q140*'Gübre oranlar'!T$2</f>
        <v>95.16</v>
      </c>
      <c r="R140">
        <f>'Kullanılan gübre'!R140*'Gübre oranlar'!U$2</f>
        <v>0</v>
      </c>
      <c r="S140">
        <f>'Kullanılan gübre'!S140*'Gübre oranlar'!V$2</f>
        <v>0</v>
      </c>
      <c r="T140">
        <f>'Kullanılan gübre'!T140*'Gübre oranlar'!W$2</f>
        <v>0</v>
      </c>
      <c r="U140">
        <f>'Kullanılan gübre'!U140*'Gübre oranlar'!X$2</f>
        <v>0</v>
      </c>
      <c r="V140">
        <f>'Kullanılan gübre'!V140*'Gübre oranlar'!Y$2</f>
        <v>0</v>
      </c>
      <c r="W140">
        <f>'Kullanılan gübre'!W140*'Gübre oranlar'!Z$2</f>
        <v>6.0389999999999997</v>
      </c>
      <c r="X140">
        <f>'Kullanılan gübre'!X140*'Gübre oranlar'!AA$2</f>
        <v>0</v>
      </c>
      <c r="Y140">
        <f>'Kullanılan gübre'!Y140*'Gübre oranlar'!AB$2</f>
        <v>0</v>
      </c>
      <c r="Z140">
        <f>'Kullanılan gübre'!Z140*'Gübre oranlar'!AC$2</f>
        <v>0</v>
      </c>
      <c r="AA140">
        <f>'Kullanılan gübre'!AA140*'Gübre oranlar'!AD$2</f>
        <v>0</v>
      </c>
      <c r="AB140">
        <f>'Kullanılan gübre'!AB140*'Gübre oranlar'!AE$2</f>
        <v>0</v>
      </c>
      <c r="AC140">
        <f>'Kullanılan gübre'!AC140*'Gübre oranlar'!AF$2</f>
        <v>0</v>
      </c>
      <c r="AD140">
        <f>'Kullanılan gübre'!AD140*'Gübre oranlar'!AG$2</f>
        <v>0</v>
      </c>
      <c r="AE140">
        <f>'Kullanılan gübre'!AE140*'Gübre oranlar'!AH$2</f>
        <v>0</v>
      </c>
      <c r="AF140">
        <f>'Kullanılan gübre'!AF140*'Gübre oranlar'!AI$2</f>
        <v>0</v>
      </c>
      <c r="AG140">
        <f>'Kullanılan gübre'!AG140*'Gübre oranlar'!AJ$2</f>
        <v>0</v>
      </c>
      <c r="AH140">
        <f>'Kullanılan gübre'!AH140*'Gübre oranlar'!AK$2</f>
        <v>0</v>
      </c>
      <c r="AI140">
        <f>'Kullanılan gübre'!AI140*'Gübre oranlar'!AL$2</f>
        <v>4.9200000000000008</v>
      </c>
      <c r="AJ140">
        <f>'Kullanılan gübre'!AJ140*'Gübre oranlar'!AM$2</f>
        <v>0</v>
      </c>
      <c r="AK140">
        <f>'Kullanılan gübre'!AK140*'Gübre oranlar'!AN$2</f>
        <v>0</v>
      </c>
      <c r="AL140">
        <f>'Kullanılan gübre'!AL140*'Gübre oranlar'!AO$2</f>
        <v>55.536000000000001</v>
      </c>
      <c r="AM140">
        <f>'Kullanılan gübre'!AM140*'Gübre oranlar'!AP$2</f>
        <v>15.368</v>
      </c>
      <c r="AN140">
        <f>'Kullanılan gübre'!AN140*'Gübre oranlar'!AQ$2</f>
        <v>0</v>
      </c>
      <c r="AO140">
        <f>'Kullanılan gübre'!AO140*'Gübre oranlar'!AR$2</f>
        <v>0</v>
      </c>
      <c r="AP140">
        <f>'Kullanılan gübre'!AP140*'Gübre oranlar'!AS$2</f>
        <v>0</v>
      </c>
      <c r="AQ140">
        <f>'Kullanılan gübre'!AQ140*'Gübre oranlar'!AT$2</f>
        <v>0</v>
      </c>
      <c r="AR140">
        <f>'Kullanılan gübre'!AR140*'Gübre oranlar'!AU$2</f>
        <v>0</v>
      </c>
      <c r="AS140">
        <f>'Kullanılan gübre'!AS140*'Gübre oranlar'!AV$2</f>
        <v>0</v>
      </c>
      <c r="AT140">
        <f>'Kullanılan gübre'!AT140*'Gübre oranlar'!AW$2</f>
        <v>0</v>
      </c>
      <c r="AU140">
        <f>'Kullanılan gübre'!AU140*'Gübre oranlar'!AX$2</f>
        <v>0</v>
      </c>
      <c r="AV140">
        <f>'Kullanılan gübre'!AV140*'Gübre oranlar'!AY$2</f>
        <v>0</v>
      </c>
      <c r="AW140">
        <f t="shared" si="2"/>
        <v>2453.8795</v>
      </c>
    </row>
    <row r="141" spans="1:49" hidden="1" x14ac:dyDescent="0.25">
      <c r="A141" t="str">
        <f>'Kullanılan gübre'!A141</f>
        <v>AK</v>
      </c>
      <c r="B141" t="str">
        <f>'Kullanılan gübre'!B141</f>
        <v>KONYA</v>
      </c>
      <c r="C141" t="str">
        <f>'Kullanılan gübre'!C141</f>
        <v>TUZLUKCU</v>
      </c>
      <c r="D141">
        <f>'Kullanılan gübre'!D141</f>
        <v>2015</v>
      </c>
      <c r="E141">
        <f>'Kullanılan gübre'!E141*'Gübre oranlar'!H$2</f>
        <v>21</v>
      </c>
      <c r="F141">
        <f>'Kullanılan gübre'!F141*'Gübre oranlar'!I$2</f>
        <v>12.948</v>
      </c>
      <c r="G141">
        <f>'Kullanılan gübre'!G141*'Gübre oranlar'!J$2</f>
        <v>204.76500000000001</v>
      </c>
      <c r="H141">
        <f>'Kullanılan gübre'!H141*'Gübre oranlar'!K$2</f>
        <v>278.69100000000003</v>
      </c>
      <c r="I141">
        <f>'Kullanılan gübre'!I141*'Gübre oranlar'!L$2</f>
        <v>0</v>
      </c>
      <c r="J141">
        <f>'Kullanılan gübre'!J141*'Gübre oranlar'!M$2</f>
        <v>60.074999999999996</v>
      </c>
      <c r="K141">
        <f>'Kullanılan gübre'!K141*'Gübre oranlar'!N$2</f>
        <v>5.5200000000000005</v>
      </c>
      <c r="L141">
        <f>'Kullanılan gübre'!L141*'Gübre oranlar'!O$2</f>
        <v>48.150000000000006</v>
      </c>
      <c r="M141">
        <f>'Kullanılan gübre'!M141*'Gübre oranlar'!P$2</f>
        <v>0.03</v>
      </c>
      <c r="N141">
        <f>'Kullanılan gübre'!N141*'Gübre oranlar'!Q$2</f>
        <v>0</v>
      </c>
      <c r="O141">
        <f>'Kullanılan gübre'!O141*'Gübre oranlar'!R$2</f>
        <v>0</v>
      </c>
      <c r="P141">
        <f>'Kullanılan gübre'!P141*'Gübre oranlar'!S$2</f>
        <v>0</v>
      </c>
      <c r="Q141">
        <f>'Kullanılan gübre'!Q141*'Gübre oranlar'!T$2</f>
        <v>29.153999999999996</v>
      </c>
      <c r="R141">
        <f>'Kullanılan gübre'!R141*'Gübre oranlar'!U$2</f>
        <v>0</v>
      </c>
      <c r="S141">
        <f>'Kullanılan gübre'!S141*'Gübre oranlar'!V$2</f>
        <v>0</v>
      </c>
      <c r="T141">
        <f>'Kullanılan gübre'!T141*'Gübre oranlar'!W$2</f>
        <v>0</v>
      </c>
      <c r="U141">
        <f>'Kullanılan gübre'!U141*'Gübre oranlar'!X$2</f>
        <v>0</v>
      </c>
      <c r="V141">
        <f>'Kullanılan gübre'!V141*'Gübre oranlar'!Y$2</f>
        <v>0</v>
      </c>
      <c r="W141">
        <f>'Kullanılan gübre'!W141*'Gübre oranlar'!Z$2</f>
        <v>0</v>
      </c>
      <c r="X141">
        <f>'Kullanılan gübre'!X141*'Gübre oranlar'!AA$2</f>
        <v>0</v>
      </c>
      <c r="Y141">
        <f>'Kullanılan gübre'!Y141*'Gübre oranlar'!AB$2</f>
        <v>0</v>
      </c>
      <c r="Z141">
        <f>'Kullanılan gübre'!Z141*'Gübre oranlar'!AC$2</f>
        <v>0</v>
      </c>
      <c r="AA141">
        <f>'Kullanılan gübre'!AA141*'Gübre oranlar'!AD$2</f>
        <v>0</v>
      </c>
      <c r="AB141">
        <f>'Kullanılan gübre'!AB141*'Gübre oranlar'!AE$2</f>
        <v>0</v>
      </c>
      <c r="AC141">
        <f>'Kullanılan gübre'!AC141*'Gübre oranlar'!AF$2</f>
        <v>0</v>
      </c>
      <c r="AD141">
        <f>'Kullanılan gübre'!AD141*'Gübre oranlar'!AG$2</f>
        <v>0</v>
      </c>
      <c r="AE141">
        <f>'Kullanılan gübre'!AE141*'Gübre oranlar'!AH$2</f>
        <v>0</v>
      </c>
      <c r="AF141">
        <f>'Kullanılan gübre'!AF141*'Gübre oranlar'!AI$2</f>
        <v>0</v>
      </c>
      <c r="AG141">
        <f>'Kullanılan gübre'!AG141*'Gübre oranlar'!AJ$2</f>
        <v>0</v>
      </c>
      <c r="AH141">
        <f>'Kullanılan gübre'!AH141*'Gübre oranlar'!AK$2</f>
        <v>0</v>
      </c>
      <c r="AI141">
        <f>'Kullanılan gübre'!AI141*'Gübre oranlar'!AL$2</f>
        <v>5.0500000000000007</v>
      </c>
      <c r="AJ141">
        <f>'Kullanılan gübre'!AJ141*'Gübre oranlar'!AM$2</f>
        <v>0</v>
      </c>
      <c r="AK141">
        <f>'Kullanılan gübre'!AK141*'Gübre oranlar'!AN$2</f>
        <v>0</v>
      </c>
      <c r="AL141">
        <f>'Kullanılan gübre'!AL141*'Gübre oranlar'!AO$2</f>
        <v>25.212</v>
      </c>
      <c r="AM141">
        <f>'Kullanılan gübre'!AM141*'Gübre oranlar'!AP$2</f>
        <v>8</v>
      </c>
      <c r="AN141">
        <f>'Kullanılan gübre'!AN141*'Gübre oranlar'!AQ$2</f>
        <v>0</v>
      </c>
      <c r="AO141">
        <f>'Kullanılan gübre'!AO141*'Gübre oranlar'!AR$2</f>
        <v>0</v>
      </c>
      <c r="AP141">
        <f>'Kullanılan gübre'!AP141*'Gübre oranlar'!AS$2</f>
        <v>0</v>
      </c>
      <c r="AQ141">
        <f>'Kullanılan gübre'!AQ141*'Gübre oranlar'!AT$2</f>
        <v>0</v>
      </c>
      <c r="AR141">
        <f>'Kullanılan gübre'!AR141*'Gübre oranlar'!AU$2</f>
        <v>0</v>
      </c>
      <c r="AS141">
        <f>'Kullanılan gübre'!AS141*'Gübre oranlar'!AV$2</f>
        <v>0</v>
      </c>
      <c r="AT141">
        <f>'Kullanılan gübre'!AT141*'Gübre oranlar'!AW$2</f>
        <v>0</v>
      </c>
      <c r="AU141">
        <f>'Kullanılan gübre'!AU141*'Gübre oranlar'!AX$2</f>
        <v>0</v>
      </c>
      <c r="AV141">
        <f>'Kullanılan gübre'!AV141*'Gübre oranlar'!AY$2</f>
        <v>0</v>
      </c>
      <c r="AW141">
        <f t="shared" si="2"/>
        <v>698.59499999999991</v>
      </c>
    </row>
    <row r="142" spans="1:49" hidden="1" x14ac:dyDescent="0.25">
      <c r="A142" t="str">
        <f>'Kullanılan gübre'!A142</f>
        <v>AK</v>
      </c>
      <c r="B142" t="str">
        <f>'Kullanılan gübre'!B142</f>
        <v>KONYA</v>
      </c>
      <c r="C142" t="str">
        <f>'Kullanılan gübre'!C142</f>
        <v>AKSEHIR</v>
      </c>
      <c r="D142">
        <f>'Kullanılan gübre'!D142</f>
        <v>2016</v>
      </c>
      <c r="E142">
        <f>'Kullanılan gübre'!E142*'Gübre oranlar'!H$2</f>
        <v>107.50949999999999</v>
      </c>
      <c r="F142">
        <f>'Kullanılan gübre'!F142*'Gübre oranlar'!I$2</f>
        <v>178.828</v>
      </c>
      <c r="G142">
        <f>'Kullanılan gübre'!G142*'Gübre oranlar'!J$2</f>
        <v>760.66650000000004</v>
      </c>
      <c r="H142">
        <f>'Kullanılan gübre'!H142*'Gübre oranlar'!K$2</f>
        <v>1129.576</v>
      </c>
      <c r="I142">
        <f>'Kullanılan gübre'!I142*'Gübre oranlar'!L$2</f>
        <v>0</v>
      </c>
      <c r="J142">
        <f>'Kullanılan gübre'!J142*'Gübre oranlar'!M$2</f>
        <v>393.27299999999997</v>
      </c>
      <c r="K142">
        <f>'Kullanılan gübre'!K142*'Gübre oranlar'!N$2</f>
        <v>77.23</v>
      </c>
      <c r="L142">
        <f>'Kullanılan gübre'!L142*'Gübre oranlar'!O$2</f>
        <v>123.9</v>
      </c>
      <c r="M142">
        <f>'Kullanılan gübre'!M142*'Gübre oranlar'!P$2</f>
        <v>16.237500000000001</v>
      </c>
      <c r="N142">
        <f>'Kullanılan gübre'!N142*'Gübre oranlar'!Q$2</f>
        <v>33.5625</v>
      </c>
      <c r="O142">
        <f>'Kullanılan gübre'!O142*'Gübre oranlar'!R$2</f>
        <v>0</v>
      </c>
      <c r="P142">
        <f>'Kullanılan gübre'!P142*'Gübre oranlar'!S$2</f>
        <v>0.36725000000000002</v>
      </c>
      <c r="Q142">
        <f>'Kullanılan gübre'!Q142*'Gübre oranlar'!T$2</f>
        <v>96.69</v>
      </c>
      <c r="R142">
        <f>'Kullanılan gübre'!R142*'Gübre oranlar'!U$2</f>
        <v>0</v>
      </c>
      <c r="S142">
        <f>'Kullanılan gübre'!S142*'Gübre oranlar'!V$2</f>
        <v>0</v>
      </c>
      <c r="T142">
        <f>'Kullanılan gübre'!T142*'Gübre oranlar'!W$2</f>
        <v>0</v>
      </c>
      <c r="U142">
        <f>'Kullanılan gübre'!U142*'Gübre oranlar'!X$2</f>
        <v>0</v>
      </c>
      <c r="V142">
        <f>'Kullanılan gübre'!V142*'Gübre oranlar'!Y$2</f>
        <v>0</v>
      </c>
      <c r="W142">
        <f>'Kullanılan gübre'!W142*'Gübre oranlar'!Z$2</f>
        <v>0</v>
      </c>
      <c r="X142">
        <f>'Kullanılan gübre'!X142*'Gübre oranlar'!AA$2</f>
        <v>0</v>
      </c>
      <c r="Y142">
        <f>'Kullanılan gübre'!Y142*'Gübre oranlar'!AB$2</f>
        <v>0</v>
      </c>
      <c r="Z142">
        <f>'Kullanılan gübre'!Z142*'Gübre oranlar'!AC$2</f>
        <v>0</v>
      </c>
      <c r="AA142">
        <f>'Kullanılan gübre'!AA142*'Gübre oranlar'!AD$2</f>
        <v>0</v>
      </c>
      <c r="AB142">
        <f>'Kullanılan gübre'!AB142*'Gübre oranlar'!AE$2</f>
        <v>0.11699999999999999</v>
      </c>
      <c r="AC142">
        <f>'Kullanılan gübre'!AC142*'Gübre oranlar'!AF$2</f>
        <v>0</v>
      </c>
      <c r="AD142">
        <f>'Kullanılan gübre'!AD142*'Gübre oranlar'!AG$2</f>
        <v>0</v>
      </c>
      <c r="AE142">
        <f>'Kullanılan gübre'!AE142*'Gübre oranlar'!AH$2</f>
        <v>0</v>
      </c>
      <c r="AF142">
        <f>'Kullanılan gübre'!AF142*'Gübre oranlar'!AI$2</f>
        <v>0</v>
      </c>
      <c r="AG142">
        <f>'Kullanılan gübre'!AG142*'Gübre oranlar'!AJ$2</f>
        <v>0</v>
      </c>
      <c r="AH142">
        <f>'Kullanılan gübre'!AH142*'Gübre oranlar'!AK$2</f>
        <v>0</v>
      </c>
      <c r="AI142">
        <f>'Kullanılan gübre'!AI142*'Gübre oranlar'!AL$2</f>
        <v>0</v>
      </c>
      <c r="AJ142">
        <f>'Kullanılan gübre'!AJ142*'Gübre oranlar'!AM$2</f>
        <v>0</v>
      </c>
      <c r="AK142">
        <f>'Kullanılan gübre'!AK142*'Gübre oranlar'!AN$2</f>
        <v>0</v>
      </c>
      <c r="AL142">
        <f>'Kullanılan gübre'!AL142*'Gübre oranlar'!AO$2</f>
        <v>27.648</v>
      </c>
      <c r="AM142">
        <f>'Kullanılan gübre'!AM142*'Gübre oranlar'!AP$2</f>
        <v>27.776</v>
      </c>
      <c r="AN142">
        <f>'Kullanılan gübre'!AN142*'Gübre oranlar'!AQ$2</f>
        <v>2.6000000000000002E-2</v>
      </c>
      <c r="AO142">
        <f>'Kullanılan gübre'!AO142*'Gübre oranlar'!AR$2</f>
        <v>0</v>
      </c>
      <c r="AP142">
        <f>'Kullanılan gübre'!AP142*'Gübre oranlar'!AS$2</f>
        <v>0</v>
      </c>
      <c r="AQ142">
        <f>'Kullanılan gübre'!AQ142*'Gübre oranlar'!AT$2</f>
        <v>0</v>
      </c>
      <c r="AR142">
        <f>'Kullanılan gübre'!AR142*'Gübre oranlar'!AU$2</f>
        <v>0</v>
      </c>
      <c r="AS142">
        <f>'Kullanılan gübre'!AS142*'Gübre oranlar'!AV$2</f>
        <v>0</v>
      </c>
      <c r="AT142">
        <f>'Kullanılan gübre'!AT142*'Gübre oranlar'!AW$2</f>
        <v>0</v>
      </c>
      <c r="AU142">
        <f>'Kullanılan gübre'!AU142*'Gübre oranlar'!AX$2</f>
        <v>0</v>
      </c>
      <c r="AV142">
        <f>'Kullanılan gübre'!AV142*'Gübre oranlar'!AY$2</f>
        <v>0</v>
      </c>
      <c r="AW142">
        <f t="shared" si="2"/>
        <v>2973.4072500000002</v>
      </c>
    </row>
    <row r="143" spans="1:49" hidden="1" x14ac:dyDescent="0.25">
      <c r="A143" t="str">
        <f>'Kullanılan gübre'!A143</f>
        <v>AK</v>
      </c>
      <c r="B143" t="str">
        <f>'Kullanılan gübre'!B143</f>
        <v>KONYA</v>
      </c>
      <c r="C143" t="str">
        <f>'Kullanılan gübre'!C143</f>
        <v>TUZLUKCU</v>
      </c>
      <c r="D143">
        <f>'Kullanılan gübre'!D143</f>
        <v>2016</v>
      </c>
      <c r="E143">
        <f>'Kullanılan gübre'!E143*'Gübre oranlar'!H$2</f>
        <v>5.5964999999999998</v>
      </c>
      <c r="F143">
        <f>'Kullanılan gübre'!F143*'Gübre oranlar'!I$2</f>
        <v>32.76</v>
      </c>
      <c r="G143">
        <f>'Kullanılan gübre'!G143*'Gübre oranlar'!J$2</f>
        <v>222.10649999999998</v>
      </c>
      <c r="H143">
        <f>'Kullanılan gübre'!H143*'Gübre oranlar'!K$2</f>
        <v>332.92500000000001</v>
      </c>
      <c r="I143">
        <f>'Kullanılan gübre'!I143*'Gübre oranlar'!L$2</f>
        <v>0</v>
      </c>
      <c r="J143">
        <f>'Kullanılan gübre'!J143*'Gübre oranlar'!M$2</f>
        <v>101.961</v>
      </c>
      <c r="K143">
        <f>'Kullanılan gübre'!K143*'Gübre oranlar'!N$2</f>
        <v>4.59</v>
      </c>
      <c r="L143">
        <f>'Kullanılan gübre'!L143*'Gübre oranlar'!O$2</f>
        <v>31.84</v>
      </c>
      <c r="M143">
        <f>'Kullanılan gübre'!M143*'Gübre oranlar'!P$2</f>
        <v>5.5874999999999995</v>
      </c>
      <c r="N143">
        <f>'Kullanılan gübre'!N143*'Gübre oranlar'!Q$2</f>
        <v>5.3699999999999992</v>
      </c>
      <c r="O143">
        <f>'Kullanılan gübre'!O143*'Gübre oranlar'!R$2</f>
        <v>0</v>
      </c>
      <c r="P143">
        <f>'Kullanılan gübre'!P143*'Gübre oranlar'!S$2</f>
        <v>3.2500000000000001E-2</v>
      </c>
      <c r="Q143">
        <f>'Kullanılan gübre'!Q143*'Gübre oranlar'!T$2</f>
        <v>33.606000000000002</v>
      </c>
      <c r="R143">
        <f>'Kullanılan gübre'!R143*'Gübre oranlar'!U$2</f>
        <v>0</v>
      </c>
      <c r="S143">
        <f>'Kullanılan gübre'!S143*'Gübre oranlar'!V$2</f>
        <v>0</v>
      </c>
      <c r="T143">
        <f>'Kullanılan gübre'!T143*'Gübre oranlar'!W$2</f>
        <v>0</v>
      </c>
      <c r="U143">
        <f>'Kullanılan gübre'!U143*'Gübre oranlar'!X$2</f>
        <v>0</v>
      </c>
      <c r="V143">
        <f>'Kullanılan gübre'!V143*'Gübre oranlar'!Y$2</f>
        <v>0</v>
      </c>
      <c r="W143">
        <f>'Kullanılan gübre'!W143*'Gübre oranlar'!Z$2</f>
        <v>0</v>
      </c>
      <c r="X143">
        <f>'Kullanılan gübre'!X143*'Gübre oranlar'!AA$2</f>
        <v>0</v>
      </c>
      <c r="Y143">
        <f>'Kullanılan gübre'!Y143*'Gübre oranlar'!AB$2</f>
        <v>0</v>
      </c>
      <c r="Z143">
        <f>'Kullanılan gübre'!Z143*'Gübre oranlar'!AC$2</f>
        <v>0</v>
      </c>
      <c r="AA143">
        <f>'Kullanılan gübre'!AA143*'Gübre oranlar'!AD$2</f>
        <v>0</v>
      </c>
      <c r="AB143">
        <f>'Kullanılan gübre'!AB143*'Gübre oranlar'!AE$2</f>
        <v>0</v>
      </c>
      <c r="AC143">
        <f>'Kullanılan gübre'!AC143*'Gübre oranlar'!AF$2</f>
        <v>0</v>
      </c>
      <c r="AD143">
        <f>'Kullanılan gübre'!AD143*'Gübre oranlar'!AG$2</f>
        <v>0</v>
      </c>
      <c r="AE143">
        <f>'Kullanılan gübre'!AE143*'Gübre oranlar'!AH$2</f>
        <v>0</v>
      </c>
      <c r="AF143">
        <f>'Kullanılan gübre'!AF143*'Gübre oranlar'!AI$2</f>
        <v>0</v>
      </c>
      <c r="AG143">
        <f>'Kullanılan gübre'!AG143*'Gübre oranlar'!AJ$2</f>
        <v>0</v>
      </c>
      <c r="AH143">
        <f>'Kullanılan gübre'!AH143*'Gübre oranlar'!AK$2</f>
        <v>0</v>
      </c>
      <c r="AI143">
        <f>'Kullanılan gübre'!AI143*'Gübre oranlar'!AL$2</f>
        <v>0</v>
      </c>
      <c r="AJ143">
        <f>'Kullanılan gübre'!AJ143*'Gübre oranlar'!AM$2</f>
        <v>0</v>
      </c>
      <c r="AK143">
        <f>'Kullanılan gübre'!AK143*'Gübre oranlar'!AN$2</f>
        <v>0</v>
      </c>
      <c r="AL143">
        <f>'Kullanılan gübre'!AL143*'Gübre oranlar'!AO$2</f>
        <v>8.3460000000000001</v>
      </c>
      <c r="AM143">
        <f>'Kullanılan gübre'!AM143*'Gübre oranlar'!AP$2</f>
        <v>0.74400000000000011</v>
      </c>
      <c r="AN143">
        <f>'Kullanılan gübre'!AN143*'Gübre oranlar'!AQ$2</f>
        <v>0</v>
      </c>
      <c r="AO143">
        <f>'Kullanılan gübre'!AO143*'Gübre oranlar'!AR$2</f>
        <v>0</v>
      </c>
      <c r="AP143">
        <f>'Kullanılan gübre'!AP143*'Gübre oranlar'!AS$2</f>
        <v>0</v>
      </c>
      <c r="AQ143">
        <f>'Kullanılan gübre'!AQ143*'Gübre oranlar'!AT$2</f>
        <v>0</v>
      </c>
      <c r="AR143">
        <f>'Kullanılan gübre'!AR143*'Gübre oranlar'!AU$2</f>
        <v>0</v>
      </c>
      <c r="AS143">
        <f>'Kullanılan gübre'!AS143*'Gübre oranlar'!AV$2</f>
        <v>0</v>
      </c>
      <c r="AT143">
        <f>'Kullanılan gübre'!AT143*'Gübre oranlar'!AW$2</f>
        <v>0</v>
      </c>
      <c r="AU143">
        <f>'Kullanılan gübre'!AU143*'Gübre oranlar'!AX$2</f>
        <v>0</v>
      </c>
      <c r="AV143">
        <f>'Kullanılan gübre'!AV143*'Gübre oranlar'!AY$2</f>
        <v>0</v>
      </c>
      <c r="AW143">
        <f t="shared" si="2"/>
        <v>785.46500000000003</v>
      </c>
    </row>
    <row r="144" spans="1:49" hidden="1" x14ac:dyDescent="0.25">
      <c r="A144" t="str">
        <f>'Kullanılan gübre'!A144</f>
        <v>BA</v>
      </c>
      <c r="B144" t="str">
        <f>'Kullanılan gübre'!B144</f>
        <v>ANTALYA</v>
      </c>
      <c r="C144" t="str">
        <f>'Kullanılan gübre'!C144</f>
        <v>KEMER</v>
      </c>
      <c r="D144">
        <f>'Kullanılan gübre'!D144</f>
        <v>2007</v>
      </c>
      <c r="E144">
        <f>'Kullanılan gübre'!E144*'Gübre oranlar'!H$2</f>
        <v>2.31</v>
      </c>
      <c r="F144">
        <f>'Kullanılan gübre'!F144*'Gübre oranlar'!I$2</f>
        <v>0</v>
      </c>
      <c r="G144">
        <f>'Kullanılan gübre'!G144*'Gübre oranlar'!J$2</f>
        <v>5.94</v>
      </c>
      <c r="H144">
        <f>'Kullanılan gübre'!H144*'Gübre oranlar'!K$2</f>
        <v>2.7600000000000002</v>
      </c>
      <c r="I144">
        <f>'Kullanılan gübre'!I144*'Gübre oranlar'!L$2</f>
        <v>0</v>
      </c>
      <c r="J144">
        <f>'Kullanılan gübre'!J144*'Gübre oranlar'!M$2</f>
        <v>0.72</v>
      </c>
      <c r="K144">
        <f>'Kullanılan gübre'!K144*'Gübre oranlar'!N$2</f>
        <v>1</v>
      </c>
      <c r="L144">
        <f>'Kullanılan gübre'!L144*'Gübre oranlar'!O$2</f>
        <v>0</v>
      </c>
      <c r="M144">
        <f>'Kullanılan gübre'!M144*'Gübre oranlar'!P$2</f>
        <v>0.6</v>
      </c>
      <c r="N144">
        <f>'Kullanılan gübre'!N144*'Gübre oranlar'!Q$2</f>
        <v>0.15</v>
      </c>
      <c r="O144">
        <f>'Kullanılan gübre'!O144*'Gübre oranlar'!R$2</f>
        <v>0</v>
      </c>
      <c r="P144">
        <f>'Kullanılan gübre'!P144*'Gübre oranlar'!S$2</f>
        <v>0.26</v>
      </c>
      <c r="Q144">
        <f>'Kullanılan gübre'!Q144*'Gübre oranlar'!T$2</f>
        <v>0</v>
      </c>
      <c r="R144">
        <f>'Kullanılan gübre'!R144*'Gübre oranlar'!U$2</f>
        <v>0</v>
      </c>
      <c r="S144">
        <f>'Kullanılan gübre'!S144*'Gübre oranlar'!V$2</f>
        <v>0.155</v>
      </c>
      <c r="T144">
        <f>'Kullanılan gübre'!T144*'Gübre oranlar'!W$2</f>
        <v>0</v>
      </c>
      <c r="U144">
        <f>'Kullanılan gübre'!U144*'Gübre oranlar'!X$2</f>
        <v>0</v>
      </c>
      <c r="V144">
        <f>'Kullanılan gübre'!V144*'Gübre oranlar'!Y$2</f>
        <v>0</v>
      </c>
      <c r="W144">
        <f>'Kullanılan gübre'!W144*'Gübre oranlar'!Z$2</f>
        <v>0</v>
      </c>
      <c r="X144">
        <f>'Kullanılan gübre'!X144*'Gübre oranlar'!AA$2</f>
        <v>0</v>
      </c>
      <c r="Y144">
        <f>'Kullanılan gübre'!Y144*'Gübre oranlar'!AB$2</f>
        <v>0</v>
      </c>
      <c r="Z144">
        <f>'Kullanılan gübre'!Z144*'Gübre oranlar'!AC$2</f>
        <v>0</v>
      </c>
      <c r="AA144">
        <f>'Kullanılan gübre'!AA144*'Gübre oranlar'!AD$2</f>
        <v>0</v>
      </c>
      <c r="AB144">
        <f>'Kullanılan gübre'!AB144*'Gübre oranlar'!AE$2</f>
        <v>0</v>
      </c>
      <c r="AC144">
        <f>'Kullanılan gübre'!AC144*'Gübre oranlar'!AF$2</f>
        <v>0</v>
      </c>
      <c r="AD144">
        <f>'Kullanılan gübre'!AD144*'Gübre oranlar'!AG$2</f>
        <v>0</v>
      </c>
      <c r="AE144">
        <f>'Kullanılan gübre'!AE144*'Gübre oranlar'!AH$2</f>
        <v>0</v>
      </c>
      <c r="AF144">
        <f>'Kullanılan gübre'!AF144*'Gübre oranlar'!AI$2</f>
        <v>0</v>
      </c>
      <c r="AG144">
        <f>'Kullanılan gübre'!AG144*'Gübre oranlar'!AJ$2</f>
        <v>0</v>
      </c>
      <c r="AH144">
        <f>'Kullanılan gübre'!AH144*'Gübre oranlar'!AK$2</f>
        <v>0</v>
      </c>
      <c r="AI144">
        <f>'Kullanılan gübre'!AI144*'Gübre oranlar'!AL$2</f>
        <v>0</v>
      </c>
      <c r="AJ144">
        <f>'Kullanılan gübre'!AJ144*'Gübre oranlar'!AM$2</f>
        <v>0</v>
      </c>
      <c r="AK144">
        <f>'Kullanılan gübre'!AK144*'Gübre oranlar'!AN$2</f>
        <v>0</v>
      </c>
      <c r="AL144">
        <f>'Kullanılan gübre'!AL144*'Gübre oranlar'!AO$2</f>
        <v>0</v>
      </c>
      <c r="AM144">
        <f>'Kullanılan gübre'!AM144*'Gübre oranlar'!AP$2</f>
        <v>0</v>
      </c>
      <c r="AN144">
        <f>'Kullanılan gübre'!AN144*'Gübre oranlar'!AQ$2</f>
        <v>0</v>
      </c>
      <c r="AO144">
        <f>'Kullanılan gübre'!AO144*'Gübre oranlar'!AR$2</f>
        <v>0</v>
      </c>
      <c r="AP144">
        <f>'Kullanılan gübre'!AP144*'Gübre oranlar'!AS$2</f>
        <v>0</v>
      </c>
      <c r="AQ144">
        <f>'Kullanılan gübre'!AQ144*'Gübre oranlar'!AT$2</f>
        <v>0</v>
      </c>
      <c r="AR144">
        <f>'Kullanılan gübre'!AR144*'Gübre oranlar'!AU$2</f>
        <v>0</v>
      </c>
      <c r="AS144">
        <f>'Kullanılan gübre'!AS144*'Gübre oranlar'!AV$2</f>
        <v>0</v>
      </c>
      <c r="AT144">
        <f>'Kullanılan gübre'!AT144*'Gübre oranlar'!AW$2</f>
        <v>0</v>
      </c>
      <c r="AU144">
        <f>'Kullanılan gübre'!AU144*'Gübre oranlar'!AX$2</f>
        <v>0</v>
      </c>
      <c r="AV144">
        <f>'Kullanılan gübre'!AV144*'Gübre oranlar'!AY$2</f>
        <v>0</v>
      </c>
      <c r="AW144">
        <f t="shared" si="2"/>
        <v>13.895</v>
      </c>
    </row>
    <row r="145" spans="1:49" hidden="1" x14ac:dyDescent="0.25">
      <c r="A145" t="str">
        <f>'Kullanılan gübre'!A145</f>
        <v>BA</v>
      </c>
      <c r="B145" t="str">
        <f>'Kullanılan gübre'!B145</f>
        <v>ANTALYA</v>
      </c>
      <c r="C145" t="str">
        <f>'Kullanılan gübre'!C145</f>
        <v>KUMLUCA</v>
      </c>
      <c r="D145">
        <f>'Kullanılan gübre'!D145</f>
        <v>2007</v>
      </c>
      <c r="E145">
        <f>'Kullanılan gübre'!E145*'Gübre oranlar'!H$2</f>
        <v>233.94</v>
      </c>
      <c r="F145">
        <f>'Kullanılan gübre'!F145*'Gübre oranlar'!I$2</f>
        <v>3.64</v>
      </c>
      <c r="G145">
        <f>'Kullanılan gübre'!G145*'Gübre oranlar'!J$2</f>
        <v>283.47000000000003</v>
      </c>
      <c r="H145">
        <f>'Kullanılan gübre'!H145*'Gübre oranlar'!K$2</f>
        <v>113.16000000000001</v>
      </c>
      <c r="I145">
        <f>'Kullanılan gübre'!I145*'Gübre oranlar'!L$2</f>
        <v>0</v>
      </c>
      <c r="J145">
        <f>'Kullanılan gübre'!J145*'Gübre oranlar'!M$2</f>
        <v>94.14</v>
      </c>
      <c r="K145">
        <f>'Kullanılan gübre'!K145*'Gübre oranlar'!N$2</f>
        <v>68.600000000000009</v>
      </c>
      <c r="L145">
        <f>'Kullanılan gübre'!L145*'Gübre oranlar'!O$2</f>
        <v>27.200000000000003</v>
      </c>
      <c r="M145">
        <f>'Kullanılan gübre'!M145*'Gübre oranlar'!P$2</f>
        <v>231.45</v>
      </c>
      <c r="N145">
        <f>'Kullanılan gübre'!N145*'Gübre oranlar'!Q$2</f>
        <v>23.7</v>
      </c>
      <c r="O145">
        <f>'Kullanılan gübre'!O145*'Gübre oranlar'!R$2</f>
        <v>0</v>
      </c>
      <c r="P145">
        <f>'Kullanılan gübre'!P145*'Gübre oranlar'!S$2</f>
        <v>44.72</v>
      </c>
      <c r="Q145">
        <f>'Kullanılan gübre'!Q145*'Gübre oranlar'!T$2</f>
        <v>42.239999999999995</v>
      </c>
      <c r="R145">
        <f>'Kullanılan gübre'!R145*'Gübre oranlar'!U$2</f>
        <v>0</v>
      </c>
      <c r="S145">
        <f>'Kullanılan gübre'!S145*'Gübre oranlar'!V$2</f>
        <v>13.95</v>
      </c>
      <c r="T145">
        <f>'Kullanılan gübre'!T145*'Gübre oranlar'!W$2</f>
        <v>0</v>
      </c>
      <c r="U145">
        <f>'Kullanılan gübre'!U145*'Gübre oranlar'!X$2</f>
        <v>17.75</v>
      </c>
      <c r="V145">
        <f>'Kullanılan gübre'!V145*'Gübre oranlar'!Y$2</f>
        <v>0</v>
      </c>
      <c r="W145">
        <f>'Kullanılan gübre'!W145*'Gübre oranlar'!Z$2</f>
        <v>0</v>
      </c>
      <c r="X145">
        <f>'Kullanılan gübre'!X145*'Gübre oranlar'!AA$2</f>
        <v>0</v>
      </c>
      <c r="Y145">
        <f>'Kullanılan gübre'!Y145*'Gübre oranlar'!AB$2</f>
        <v>0</v>
      </c>
      <c r="Z145">
        <f>'Kullanılan gübre'!Z145*'Gübre oranlar'!AC$2</f>
        <v>0</v>
      </c>
      <c r="AA145">
        <f>'Kullanılan gübre'!AA145*'Gübre oranlar'!AD$2</f>
        <v>0</v>
      </c>
      <c r="AB145">
        <f>'Kullanılan gübre'!AB145*'Gübre oranlar'!AE$2</f>
        <v>0</v>
      </c>
      <c r="AC145">
        <f>'Kullanılan gübre'!AC145*'Gübre oranlar'!AF$2</f>
        <v>0</v>
      </c>
      <c r="AD145">
        <f>'Kullanılan gübre'!AD145*'Gübre oranlar'!AG$2</f>
        <v>0</v>
      </c>
      <c r="AE145">
        <f>'Kullanılan gübre'!AE145*'Gübre oranlar'!AH$2</f>
        <v>0</v>
      </c>
      <c r="AF145">
        <f>'Kullanılan gübre'!AF145*'Gübre oranlar'!AI$2</f>
        <v>0</v>
      </c>
      <c r="AG145">
        <f>'Kullanılan gübre'!AG145*'Gübre oranlar'!AJ$2</f>
        <v>0</v>
      </c>
      <c r="AH145">
        <f>'Kullanılan gübre'!AH145*'Gübre oranlar'!AK$2</f>
        <v>0</v>
      </c>
      <c r="AI145">
        <f>'Kullanılan gübre'!AI145*'Gübre oranlar'!AL$2</f>
        <v>0</v>
      </c>
      <c r="AJ145">
        <f>'Kullanılan gübre'!AJ145*'Gübre oranlar'!AM$2</f>
        <v>0</v>
      </c>
      <c r="AK145">
        <f>'Kullanılan gübre'!AK145*'Gübre oranlar'!AN$2</f>
        <v>0</v>
      </c>
      <c r="AL145">
        <f>'Kullanılan gübre'!AL145*'Gübre oranlar'!AO$2</f>
        <v>0</v>
      </c>
      <c r="AM145">
        <f>'Kullanılan gübre'!AM145*'Gübre oranlar'!AP$2</f>
        <v>0</v>
      </c>
      <c r="AN145">
        <f>'Kullanılan gübre'!AN145*'Gübre oranlar'!AQ$2</f>
        <v>0</v>
      </c>
      <c r="AO145">
        <f>'Kullanılan gübre'!AO145*'Gübre oranlar'!AR$2</f>
        <v>0</v>
      </c>
      <c r="AP145">
        <f>'Kullanılan gübre'!AP145*'Gübre oranlar'!AS$2</f>
        <v>0</v>
      </c>
      <c r="AQ145">
        <f>'Kullanılan gübre'!AQ145*'Gübre oranlar'!AT$2</f>
        <v>0</v>
      </c>
      <c r="AR145">
        <f>'Kullanılan gübre'!AR145*'Gübre oranlar'!AU$2</f>
        <v>0</v>
      </c>
      <c r="AS145">
        <f>'Kullanılan gübre'!AS145*'Gübre oranlar'!AV$2</f>
        <v>20.150000000000002</v>
      </c>
      <c r="AT145">
        <f>'Kullanılan gübre'!AT145*'Gübre oranlar'!AW$2</f>
        <v>0</v>
      </c>
      <c r="AU145">
        <f>'Kullanılan gübre'!AU145*'Gübre oranlar'!AX$2</f>
        <v>0</v>
      </c>
      <c r="AV145">
        <f>'Kullanılan gübre'!AV145*'Gübre oranlar'!AY$2</f>
        <v>0</v>
      </c>
      <c r="AW145">
        <f t="shared" si="2"/>
        <v>1218.1100000000001</v>
      </c>
    </row>
    <row r="146" spans="1:49" hidden="1" x14ac:dyDescent="0.25">
      <c r="A146" t="str">
        <f>'Kullanılan gübre'!A146</f>
        <v>BA</v>
      </c>
      <c r="B146" t="str">
        <f>'Kullanılan gübre'!B146</f>
        <v>ANTALYA</v>
      </c>
      <c r="C146" t="str">
        <f>'Kullanılan gübre'!C146</f>
        <v>FINIKE</v>
      </c>
      <c r="D146">
        <f>'Kullanılan gübre'!D146</f>
        <v>2007</v>
      </c>
      <c r="E146">
        <f>'Kullanılan gübre'!E146*'Gübre oranlar'!H$2</f>
        <v>222.6</v>
      </c>
      <c r="F146">
        <f>'Kullanılan gübre'!F146*'Gübre oranlar'!I$2</f>
        <v>54.08</v>
      </c>
      <c r="G146">
        <f>'Kullanılan gübre'!G146*'Gübre oranlar'!J$2</f>
        <v>158.07000000000002</v>
      </c>
      <c r="H146">
        <f>'Kullanılan gübre'!H146*'Gübre oranlar'!K$2</f>
        <v>90.62</v>
      </c>
      <c r="I146">
        <f>'Kullanılan gübre'!I146*'Gübre oranlar'!L$2</f>
        <v>0</v>
      </c>
      <c r="J146">
        <f>'Kullanılan gübre'!J146*'Gübre oranlar'!M$2</f>
        <v>52.919999999999995</v>
      </c>
      <c r="K146">
        <f>'Kullanılan gübre'!K146*'Gübre oranlar'!N$2</f>
        <v>22.8</v>
      </c>
      <c r="L146">
        <f>'Kullanılan gübre'!L146*'Gübre oranlar'!O$2</f>
        <v>0</v>
      </c>
      <c r="M146">
        <f>'Kullanılan gübre'!M146*'Gübre oranlar'!P$2</f>
        <v>53.85</v>
      </c>
      <c r="N146">
        <f>'Kullanılan gübre'!N146*'Gübre oranlar'!Q$2</f>
        <v>177</v>
      </c>
      <c r="O146">
        <f>'Kullanılan gübre'!O146*'Gübre oranlar'!R$2</f>
        <v>0</v>
      </c>
      <c r="P146">
        <f>'Kullanılan gübre'!P146*'Gübre oranlar'!S$2</f>
        <v>28.34</v>
      </c>
      <c r="Q146">
        <f>'Kullanılan gübre'!Q146*'Gübre oranlar'!T$2</f>
        <v>27.72</v>
      </c>
      <c r="R146">
        <f>'Kullanılan gübre'!R146*'Gübre oranlar'!U$2</f>
        <v>0</v>
      </c>
      <c r="S146">
        <f>'Kullanılan gübre'!S146*'Gübre oranlar'!V$2</f>
        <v>6.51</v>
      </c>
      <c r="T146">
        <f>'Kullanılan gübre'!T146*'Gübre oranlar'!W$2</f>
        <v>0</v>
      </c>
      <c r="U146">
        <f>'Kullanılan gübre'!U146*'Gübre oranlar'!X$2</f>
        <v>62.25</v>
      </c>
      <c r="V146">
        <f>'Kullanılan gübre'!V146*'Gübre oranlar'!Y$2</f>
        <v>0</v>
      </c>
      <c r="W146">
        <f>'Kullanılan gübre'!W146*'Gübre oranlar'!Z$2</f>
        <v>0</v>
      </c>
      <c r="X146">
        <f>'Kullanılan gübre'!X146*'Gübre oranlar'!AA$2</f>
        <v>0</v>
      </c>
      <c r="Y146">
        <f>'Kullanılan gübre'!Y146*'Gübre oranlar'!AB$2</f>
        <v>0</v>
      </c>
      <c r="Z146">
        <f>'Kullanılan gübre'!Z146*'Gübre oranlar'!AC$2</f>
        <v>0</v>
      </c>
      <c r="AA146">
        <f>'Kullanılan gübre'!AA146*'Gübre oranlar'!AD$2</f>
        <v>0</v>
      </c>
      <c r="AB146">
        <f>'Kullanılan gübre'!AB146*'Gübre oranlar'!AE$2</f>
        <v>3.48</v>
      </c>
      <c r="AC146">
        <f>'Kullanılan gübre'!AC146*'Gübre oranlar'!AF$2</f>
        <v>0</v>
      </c>
      <c r="AD146">
        <f>'Kullanılan gübre'!AD146*'Gübre oranlar'!AG$2</f>
        <v>0</v>
      </c>
      <c r="AE146">
        <f>'Kullanılan gübre'!AE146*'Gübre oranlar'!AH$2</f>
        <v>0</v>
      </c>
      <c r="AF146">
        <f>'Kullanılan gübre'!AF146*'Gübre oranlar'!AI$2</f>
        <v>0</v>
      </c>
      <c r="AG146">
        <f>'Kullanılan gübre'!AG146*'Gübre oranlar'!AJ$2</f>
        <v>0</v>
      </c>
      <c r="AH146">
        <f>'Kullanılan gübre'!AH146*'Gübre oranlar'!AK$2</f>
        <v>0</v>
      </c>
      <c r="AI146">
        <f>'Kullanılan gübre'!AI146*'Gübre oranlar'!AL$2</f>
        <v>0</v>
      </c>
      <c r="AJ146">
        <f>'Kullanılan gübre'!AJ146*'Gübre oranlar'!AM$2</f>
        <v>0</v>
      </c>
      <c r="AK146">
        <f>'Kullanılan gübre'!AK146*'Gübre oranlar'!AN$2</f>
        <v>0</v>
      </c>
      <c r="AL146">
        <f>'Kullanılan gübre'!AL146*'Gübre oranlar'!AO$2</f>
        <v>0</v>
      </c>
      <c r="AM146">
        <f>'Kullanılan gübre'!AM146*'Gübre oranlar'!AP$2</f>
        <v>0</v>
      </c>
      <c r="AN146">
        <f>'Kullanılan gübre'!AN146*'Gübre oranlar'!AQ$2</f>
        <v>0</v>
      </c>
      <c r="AO146">
        <f>'Kullanılan gübre'!AO146*'Gübre oranlar'!AR$2</f>
        <v>0</v>
      </c>
      <c r="AP146">
        <f>'Kullanılan gübre'!AP146*'Gübre oranlar'!AS$2</f>
        <v>0</v>
      </c>
      <c r="AQ146">
        <f>'Kullanılan gübre'!AQ146*'Gübre oranlar'!AT$2</f>
        <v>0</v>
      </c>
      <c r="AR146">
        <f>'Kullanılan gübre'!AR146*'Gübre oranlar'!AU$2</f>
        <v>0</v>
      </c>
      <c r="AS146">
        <f>'Kullanılan gübre'!AS146*'Gübre oranlar'!AV$2</f>
        <v>29.12</v>
      </c>
      <c r="AT146">
        <f>'Kullanılan gübre'!AT146*'Gübre oranlar'!AW$2</f>
        <v>0</v>
      </c>
      <c r="AU146">
        <f>'Kullanılan gübre'!AU146*'Gübre oranlar'!AX$2</f>
        <v>0</v>
      </c>
      <c r="AV146">
        <f>'Kullanılan gübre'!AV146*'Gübre oranlar'!AY$2</f>
        <v>0</v>
      </c>
      <c r="AW146">
        <f t="shared" si="2"/>
        <v>989.36</v>
      </c>
    </row>
    <row r="147" spans="1:49" hidden="1" x14ac:dyDescent="0.25">
      <c r="A147" t="str">
        <f>'Kullanılan gübre'!A147</f>
        <v>BA</v>
      </c>
      <c r="B147" t="str">
        <f>'Kullanılan gübre'!B147</f>
        <v>ANTALYA</v>
      </c>
      <c r="C147" t="str">
        <f>'Kullanılan gübre'!C147</f>
        <v>DEMRE</v>
      </c>
      <c r="D147">
        <f>'Kullanılan gübre'!D147</f>
        <v>2007</v>
      </c>
      <c r="E147">
        <f>'Kullanılan gübre'!E147*'Gübre oranlar'!H$2</f>
        <v>23.939999999999998</v>
      </c>
      <c r="F147">
        <f>'Kullanılan gübre'!F147*'Gübre oranlar'!I$2</f>
        <v>5.2</v>
      </c>
      <c r="G147">
        <f>'Kullanılan gübre'!G147*'Gübre oranlar'!J$2</f>
        <v>72.27000000000001</v>
      </c>
      <c r="H147">
        <f>'Kullanılan gübre'!H147*'Gübre oranlar'!K$2</f>
        <v>74.52000000000001</v>
      </c>
      <c r="I147">
        <f>'Kullanılan gübre'!I147*'Gübre oranlar'!L$2</f>
        <v>0</v>
      </c>
      <c r="J147">
        <f>'Kullanılan gübre'!J147*'Gübre oranlar'!M$2</f>
        <v>15.12</v>
      </c>
      <c r="K147">
        <f>'Kullanılan gübre'!K147*'Gübre oranlar'!N$2</f>
        <v>15.600000000000001</v>
      </c>
      <c r="L147">
        <f>'Kullanılan gübre'!L147*'Gübre oranlar'!O$2</f>
        <v>0</v>
      </c>
      <c r="M147">
        <f>'Kullanılan gübre'!M147*'Gübre oranlar'!P$2</f>
        <v>21.75</v>
      </c>
      <c r="N147">
        <f>'Kullanılan gübre'!N147*'Gübre oranlar'!Q$2</f>
        <v>11.25</v>
      </c>
      <c r="O147">
        <f>'Kullanılan gübre'!O147*'Gübre oranlar'!R$2</f>
        <v>0</v>
      </c>
      <c r="P147">
        <f>'Kullanılan gübre'!P147*'Gübre oranlar'!S$2</f>
        <v>48.88</v>
      </c>
      <c r="Q147">
        <f>'Kullanılan gübre'!Q147*'Gübre oranlar'!T$2</f>
        <v>0</v>
      </c>
      <c r="R147">
        <f>'Kullanılan gübre'!R147*'Gübre oranlar'!U$2</f>
        <v>0</v>
      </c>
      <c r="S147">
        <f>'Kullanılan gübre'!S147*'Gübre oranlar'!V$2</f>
        <v>5.7350000000000003</v>
      </c>
      <c r="T147">
        <f>'Kullanılan gübre'!T147*'Gübre oranlar'!W$2</f>
        <v>0</v>
      </c>
      <c r="U147">
        <f>'Kullanılan gübre'!U147*'Gübre oranlar'!X$2</f>
        <v>44.5</v>
      </c>
      <c r="V147">
        <f>'Kullanılan gübre'!V147*'Gübre oranlar'!Y$2</f>
        <v>0</v>
      </c>
      <c r="W147">
        <f>'Kullanılan gübre'!W147*'Gübre oranlar'!Z$2</f>
        <v>0</v>
      </c>
      <c r="X147">
        <f>'Kullanılan gübre'!X147*'Gübre oranlar'!AA$2</f>
        <v>0</v>
      </c>
      <c r="Y147">
        <f>'Kullanılan gübre'!Y147*'Gübre oranlar'!AB$2</f>
        <v>0</v>
      </c>
      <c r="Z147">
        <f>'Kullanılan gübre'!Z147*'Gübre oranlar'!AC$2</f>
        <v>0</v>
      </c>
      <c r="AA147">
        <f>'Kullanılan gübre'!AA147*'Gübre oranlar'!AD$2</f>
        <v>0</v>
      </c>
      <c r="AB147">
        <f>'Kullanılan gübre'!AB147*'Gübre oranlar'!AE$2</f>
        <v>15.84</v>
      </c>
      <c r="AC147">
        <f>'Kullanılan gübre'!AC147*'Gübre oranlar'!AF$2</f>
        <v>0</v>
      </c>
      <c r="AD147">
        <f>'Kullanılan gübre'!AD147*'Gübre oranlar'!AG$2</f>
        <v>0</v>
      </c>
      <c r="AE147">
        <f>'Kullanılan gübre'!AE147*'Gübre oranlar'!AH$2</f>
        <v>0</v>
      </c>
      <c r="AF147">
        <f>'Kullanılan gübre'!AF147*'Gübre oranlar'!AI$2</f>
        <v>0</v>
      </c>
      <c r="AG147">
        <f>'Kullanılan gübre'!AG147*'Gübre oranlar'!AJ$2</f>
        <v>0</v>
      </c>
      <c r="AH147">
        <f>'Kullanılan gübre'!AH147*'Gübre oranlar'!AK$2</f>
        <v>0</v>
      </c>
      <c r="AI147">
        <f>'Kullanılan gübre'!AI147*'Gübre oranlar'!AL$2</f>
        <v>0</v>
      </c>
      <c r="AJ147">
        <f>'Kullanılan gübre'!AJ147*'Gübre oranlar'!AM$2</f>
        <v>0</v>
      </c>
      <c r="AK147">
        <f>'Kullanılan gübre'!AK147*'Gübre oranlar'!AN$2</f>
        <v>0</v>
      </c>
      <c r="AL147">
        <f>'Kullanılan gübre'!AL147*'Gübre oranlar'!AO$2</f>
        <v>0</v>
      </c>
      <c r="AM147">
        <f>'Kullanılan gübre'!AM147*'Gübre oranlar'!AP$2</f>
        <v>0</v>
      </c>
      <c r="AN147">
        <f>'Kullanılan gübre'!AN147*'Gübre oranlar'!AQ$2</f>
        <v>0</v>
      </c>
      <c r="AO147">
        <f>'Kullanılan gübre'!AO147*'Gübre oranlar'!AR$2</f>
        <v>0</v>
      </c>
      <c r="AP147">
        <f>'Kullanılan gübre'!AP147*'Gübre oranlar'!AS$2</f>
        <v>0</v>
      </c>
      <c r="AQ147">
        <f>'Kullanılan gübre'!AQ147*'Gübre oranlar'!AT$2</f>
        <v>0</v>
      </c>
      <c r="AR147">
        <f>'Kullanılan gübre'!AR147*'Gübre oranlar'!AU$2</f>
        <v>0</v>
      </c>
      <c r="AS147">
        <f>'Kullanılan gübre'!AS147*'Gübre oranlar'!AV$2</f>
        <v>0</v>
      </c>
      <c r="AT147">
        <f>'Kullanılan gübre'!AT147*'Gübre oranlar'!AW$2</f>
        <v>0</v>
      </c>
      <c r="AU147">
        <f>'Kullanılan gübre'!AU147*'Gübre oranlar'!AX$2</f>
        <v>0</v>
      </c>
      <c r="AV147">
        <f>'Kullanılan gübre'!AV147*'Gübre oranlar'!AY$2</f>
        <v>0</v>
      </c>
      <c r="AW147">
        <f t="shared" si="2"/>
        <v>354.60500000000002</v>
      </c>
    </row>
    <row r="148" spans="1:49" hidden="1" x14ac:dyDescent="0.25">
      <c r="A148" t="str">
        <f>'Kullanılan gübre'!A148</f>
        <v>BA</v>
      </c>
      <c r="B148" t="str">
        <f>'Kullanılan gübre'!B148</f>
        <v>ANTALYA</v>
      </c>
      <c r="C148" t="str">
        <f>'Kullanılan gübre'!C148</f>
        <v>KAS</v>
      </c>
      <c r="D148">
        <f>'Kullanılan gübre'!D148</f>
        <v>2007</v>
      </c>
      <c r="E148">
        <f>'Kullanılan gübre'!E148*'Gübre oranlar'!H$2</f>
        <v>13.02</v>
      </c>
      <c r="F148">
        <f>'Kullanılan gübre'!F148*'Gübre oranlar'!I$2</f>
        <v>19.760000000000002</v>
      </c>
      <c r="G148">
        <f>'Kullanılan gübre'!G148*'Gübre oranlar'!J$2</f>
        <v>98.67</v>
      </c>
      <c r="H148">
        <f>'Kullanılan gübre'!H148*'Gübre oranlar'!K$2</f>
        <v>42.78</v>
      </c>
      <c r="I148">
        <f>'Kullanılan gübre'!I148*'Gübre oranlar'!L$2</f>
        <v>0</v>
      </c>
      <c r="J148">
        <f>'Kullanılan gübre'!J148*'Gübre oranlar'!M$2</f>
        <v>51.48</v>
      </c>
      <c r="K148">
        <f>'Kullanılan gübre'!K148*'Gübre oranlar'!N$2</f>
        <v>24.8</v>
      </c>
      <c r="L148">
        <f>'Kullanılan gübre'!L148*'Gübre oranlar'!O$2</f>
        <v>35.6</v>
      </c>
      <c r="M148">
        <f>'Kullanılan gübre'!M148*'Gübre oranlar'!P$2</f>
        <v>42.6</v>
      </c>
      <c r="N148">
        <f>'Kullanılan gübre'!N148*'Gübre oranlar'!Q$2</f>
        <v>6.3</v>
      </c>
      <c r="O148">
        <f>'Kullanılan gübre'!O148*'Gübre oranlar'!R$2</f>
        <v>0</v>
      </c>
      <c r="P148">
        <f>'Kullanılan gübre'!P148*'Gübre oranlar'!S$2</f>
        <v>3.64</v>
      </c>
      <c r="Q148">
        <f>'Kullanılan gübre'!Q148*'Gübre oranlar'!T$2</f>
        <v>0</v>
      </c>
      <c r="R148">
        <f>'Kullanılan gübre'!R148*'Gübre oranlar'!U$2</f>
        <v>0</v>
      </c>
      <c r="S148">
        <f>'Kullanılan gübre'!S148*'Gübre oranlar'!V$2</f>
        <v>2.9449999999999998</v>
      </c>
      <c r="T148">
        <f>'Kullanılan gübre'!T148*'Gübre oranlar'!W$2</f>
        <v>0</v>
      </c>
      <c r="U148">
        <f>'Kullanılan gübre'!U148*'Gübre oranlar'!X$2</f>
        <v>0</v>
      </c>
      <c r="V148">
        <f>'Kullanılan gübre'!V148*'Gübre oranlar'!Y$2</f>
        <v>0</v>
      </c>
      <c r="W148">
        <f>'Kullanılan gübre'!W148*'Gübre oranlar'!Z$2</f>
        <v>0</v>
      </c>
      <c r="X148">
        <f>'Kullanılan gübre'!X148*'Gübre oranlar'!AA$2</f>
        <v>0</v>
      </c>
      <c r="Y148">
        <f>'Kullanılan gübre'!Y148*'Gübre oranlar'!AB$2</f>
        <v>0</v>
      </c>
      <c r="Z148">
        <f>'Kullanılan gübre'!Z148*'Gübre oranlar'!AC$2</f>
        <v>0</v>
      </c>
      <c r="AA148">
        <f>'Kullanılan gübre'!AA148*'Gübre oranlar'!AD$2</f>
        <v>0</v>
      </c>
      <c r="AB148">
        <f>'Kullanılan gübre'!AB148*'Gübre oranlar'!AE$2</f>
        <v>3.12</v>
      </c>
      <c r="AC148">
        <f>'Kullanılan gübre'!AC148*'Gübre oranlar'!AF$2</f>
        <v>0</v>
      </c>
      <c r="AD148">
        <f>'Kullanılan gübre'!AD148*'Gübre oranlar'!AG$2</f>
        <v>0</v>
      </c>
      <c r="AE148">
        <f>'Kullanılan gübre'!AE148*'Gübre oranlar'!AH$2</f>
        <v>0</v>
      </c>
      <c r="AF148">
        <f>'Kullanılan gübre'!AF148*'Gübre oranlar'!AI$2</f>
        <v>0</v>
      </c>
      <c r="AG148">
        <f>'Kullanılan gübre'!AG148*'Gübre oranlar'!AJ$2</f>
        <v>0</v>
      </c>
      <c r="AH148">
        <f>'Kullanılan gübre'!AH148*'Gübre oranlar'!AK$2</f>
        <v>0</v>
      </c>
      <c r="AI148">
        <f>'Kullanılan gübre'!AI148*'Gübre oranlar'!AL$2</f>
        <v>0</v>
      </c>
      <c r="AJ148">
        <f>'Kullanılan gübre'!AJ148*'Gübre oranlar'!AM$2</f>
        <v>0</v>
      </c>
      <c r="AK148">
        <f>'Kullanılan gübre'!AK148*'Gübre oranlar'!AN$2</f>
        <v>0</v>
      </c>
      <c r="AL148">
        <f>'Kullanılan gübre'!AL148*'Gübre oranlar'!AO$2</f>
        <v>0</v>
      </c>
      <c r="AM148">
        <f>'Kullanılan gübre'!AM148*'Gübre oranlar'!AP$2</f>
        <v>0</v>
      </c>
      <c r="AN148">
        <f>'Kullanılan gübre'!AN148*'Gübre oranlar'!AQ$2</f>
        <v>0</v>
      </c>
      <c r="AO148">
        <f>'Kullanılan gübre'!AO148*'Gübre oranlar'!AR$2</f>
        <v>0</v>
      </c>
      <c r="AP148">
        <f>'Kullanılan gübre'!AP148*'Gübre oranlar'!AS$2</f>
        <v>0</v>
      </c>
      <c r="AQ148">
        <f>'Kullanılan gübre'!AQ148*'Gübre oranlar'!AT$2</f>
        <v>0</v>
      </c>
      <c r="AR148">
        <f>'Kullanılan gübre'!AR148*'Gübre oranlar'!AU$2</f>
        <v>0</v>
      </c>
      <c r="AS148">
        <f>'Kullanılan gübre'!AS148*'Gübre oranlar'!AV$2</f>
        <v>4.29</v>
      </c>
      <c r="AT148">
        <f>'Kullanılan gübre'!AT148*'Gübre oranlar'!AW$2</f>
        <v>0</v>
      </c>
      <c r="AU148">
        <f>'Kullanılan gübre'!AU148*'Gübre oranlar'!AX$2</f>
        <v>0</v>
      </c>
      <c r="AV148">
        <f>'Kullanılan gübre'!AV148*'Gübre oranlar'!AY$2</f>
        <v>0</v>
      </c>
      <c r="AW148">
        <f t="shared" si="2"/>
        <v>349.00500000000005</v>
      </c>
    </row>
    <row r="149" spans="1:49" hidden="1" x14ac:dyDescent="0.25">
      <c r="A149" t="str">
        <f>'Kullanılan gübre'!A149</f>
        <v>BA</v>
      </c>
      <c r="B149" t="str">
        <f>'Kullanılan gübre'!B149</f>
        <v>ANTALYA</v>
      </c>
      <c r="C149" t="str">
        <f>'Kullanılan gübre'!C149</f>
        <v>KORKUTELI</v>
      </c>
      <c r="D149">
        <f>'Kullanılan gübre'!D149</f>
        <v>2007</v>
      </c>
      <c r="E149">
        <f>'Kullanılan gübre'!E149*'Gübre oranlar'!H$2</f>
        <v>190.68</v>
      </c>
      <c r="F149">
        <f>'Kullanılan gübre'!F149*'Gübre oranlar'!I$2</f>
        <v>374.92</v>
      </c>
      <c r="G149">
        <f>'Kullanılan gübre'!G149*'Gübre oranlar'!J$2</f>
        <v>645.15</v>
      </c>
      <c r="H149">
        <f>'Kullanılan gübre'!H149*'Gübre oranlar'!K$2</f>
        <v>531.76</v>
      </c>
      <c r="I149">
        <f>'Kullanılan gübre'!I149*'Gübre oranlar'!L$2</f>
        <v>0</v>
      </c>
      <c r="J149">
        <f>'Kullanılan gübre'!J149*'Gübre oranlar'!M$2</f>
        <v>247.5</v>
      </c>
      <c r="K149">
        <f>'Kullanılan gübre'!K149*'Gübre oranlar'!N$2</f>
        <v>1173.8</v>
      </c>
      <c r="L149">
        <f>'Kullanılan gübre'!L149*'Gübre oranlar'!O$2</f>
        <v>154.60000000000002</v>
      </c>
      <c r="M149">
        <f>'Kullanılan gübre'!M149*'Gübre oranlar'!P$2</f>
        <v>139.5</v>
      </c>
      <c r="N149">
        <f>'Kullanılan gübre'!N149*'Gübre oranlar'!Q$2</f>
        <v>60.3</v>
      </c>
      <c r="O149">
        <f>'Kullanılan gübre'!O149*'Gübre oranlar'!R$2</f>
        <v>0</v>
      </c>
      <c r="P149">
        <f>'Kullanılan gübre'!P149*'Gübre oranlar'!S$2</f>
        <v>33.410000000000004</v>
      </c>
      <c r="Q149">
        <f>'Kullanılan gübre'!Q149*'Gübre oranlar'!T$2</f>
        <v>0</v>
      </c>
      <c r="R149">
        <f>'Kullanılan gübre'!R149*'Gübre oranlar'!U$2</f>
        <v>0</v>
      </c>
      <c r="S149">
        <f>'Kullanılan gübre'!S149*'Gübre oranlar'!V$2</f>
        <v>0</v>
      </c>
      <c r="T149">
        <f>'Kullanılan gübre'!T149*'Gübre oranlar'!W$2</f>
        <v>0</v>
      </c>
      <c r="U149">
        <f>'Kullanılan gübre'!U149*'Gübre oranlar'!X$2</f>
        <v>0</v>
      </c>
      <c r="V149">
        <f>'Kullanılan gübre'!V149*'Gübre oranlar'!Y$2</f>
        <v>0</v>
      </c>
      <c r="W149">
        <f>'Kullanılan gübre'!W149*'Gübre oranlar'!Z$2</f>
        <v>0</v>
      </c>
      <c r="X149">
        <f>'Kullanılan gübre'!X149*'Gübre oranlar'!AA$2</f>
        <v>0</v>
      </c>
      <c r="Y149">
        <f>'Kullanılan gübre'!Y149*'Gübre oranlar'!AB$2</f>
        <v>0</v>
      </c>
      <c r="Z149">
        <f>'Kullanılan gübre'!Z149*'Gübre oranlar'!AC$2</f>
        <v>0</v>
      </c>
      <c r="AA149">
        <f>'Kullanılan gübre'!AA149*'Gübre oranlar'!AD$2</f>
        <v>0</v>
      </c>
      <c r="AB149">
        <f>'Kullanılan gübre'!AB149*'Gübre oranlar'!AE$2</f>
        <v>0</v>
      </c>
      <c r="AC149">
        <f>'Kullanılan gübre'!AC149*'Gübre oranlar'!AF$2</f>
        <v>0</v>
      </c>
      <c r="AD149">
        <f>'Kullanılan gübre'!AD149*'Gübre oranlar'!AG$2</f>
        <v>0</v>
      </c>
      <c r="AE149">
        <f>'Kullanılan gübre'!AE149*'Gübre oranlar'!AH$2</f>
        <v>0</v>
      </c>
      <c r="AF149">
        <f>'Kullanılan gübre'!AF149*'Gübre oranlar'!AI$2</f>
        <v>0</v>
      </c>
      <c r="AG149">
        <f>'Kullanılan gübre'!AG149*'Gübre oranlar'!AJ$2</f>
        <v>0</v>
      </c>
      <c r="AH149">
        <f>'Kullanılan gübre'!AH149*'Gübre oranlar'!AK$2</f>
        <v>0</v>
      </c>
      <c r="AI149">
        <f>'Kullanılan gübre'!AI149*'Gübre oranlar'!AL$2</f>
        <v>0</v>
      </c>
      <c r="AJ149">
        <f>'Kullanılan gübre'!AJ149*'Gübre oranlar'!AM$2</f>
        <v>0</v>
      </c>
      <c r="AK149">
        <f>'Kullanılan gübre'!AK149*'Gübre oranlar'!AN$2</f>
        <v>0</v>
      </c>
      <c r="AL149">
        <f>'Kullanılan gübre'!AL149*'Gübre oranlar'!AO$2</f>
        <v>0</v>
      </c>
      <c r="AM149">
        <f>'Kullanılan gübre'!AM149*'Gübre oranlar'!AP$2</f>
        <v>0</v>
      </c>
      <c r="AN149">
        <f>'Kullanılan gübre'!AN149*'Gübre oranlar'!AQ$2</f>
        <v>0</v>
      </c>
      <c r="AO149">
        <f>'Kullanılan gübre'!AO149*'Gübre oranlar'!AR$2</f>
        <v>0</v>
      </c>
      <c r="AP149">
        <f>'Kullanılan gübre'!AP149*'Gübre oranlar'!AS$2</f>
        <v>0</v>
      </c>
      <c r="AQ149">
        <f>'Kullanılan gübre'!AQ149*'Gübre oranlar'!AT$2</f>
        <v>0</v>
      </c>
      <c r="AR149">
        <f>'Kullanılan gübre'!AR149*'Gübre oranlar'!AU$2</f>
        <v>0</v>
      </c>
      <c r="AS149">
        <f>'Kullanılan gübre'!AS149*'Gübre oranlar'!AV$2</f>
        <v>0</v>
      </c>
      <c r="AT149">
        <f>'Kullanılan gübre'!AT149*'Gübre oranlar'!AW$2</f>
        <v>0</v>
      </c>
      <c r="AU149">
        <f>'Kullanılan gübre'!AU149*'Gübre oranlar'!AX$2</f>
        <v>0</v>
      </c>
      <c r="AV149">
        <f>'Kullanılan gübre'!AV149*'Gübre oranlar'!AY$2</f>
        <v>0</v>
      </c>
      <c r="AW149">
        <f t="shared" si="2"/>
        <v>3551.62</v>
      </c>
    </row>
    <row r="150" spans="1:49" hidden="1" x14ac:dyDescent="0.25">
      <c r="A150" t="str">
        <f>'Kullanılan gübre'!A150</f>
        <v>BA</v>
      </c>
      <c r="B150" t="str">
        <f>'Kullanılan gübre'!B150</f>
        <v>ANTALYA</v>
      </c>
      <c r="C150" t="str">
        <f>'Kullanılan gübre'!C150</f>
        <v>ELMALI</v>
      </c>
      <c r="D150">
        <f>'Kullanılan gübre'!D150</f>
        <v>2007</v>
      </c>
      <c r="E150">
        <f>'Kullanılan gübre'!E150*'Gübre oranlar'!H$2</f>
        <v>176.19</v>
      </c>
      <c r="F150">
        <f>'Kullanılan gübre'!F150*'Gübre oranlar'!I$2</f>
        <v>142.74</v>
      </c>
      <c r="G150">
        <f>'Kullanılan gübre'!G150*'Gübre oranlar'!J$2</f>
        <v>407.88</v>
      </c>
      <c r="H150">
        <f>'Kullanılan gübre'!H150*'Gübre oranlar'!K$2</f>
        <v>355.12</v>
      </c>
      <c r="I150">
        <f>'Kullanılan gübre'!I150*'Gübre oranlar'!L$2</f>
        <v>0</v>
      </c>
      <c r="J150">
        <f>'Kullanılan gübre'!J150*'Gübre oranlar'!M$2</f>
        <v>107.82</v>
      </c>
      <c r="K150">
        <f>'Kullanılan gübre'!K150*'Gübre oranlar'!N$2</f>
        <v>212.8</v>
      </c>
      <c r="L150">
        <f>'Kullanılan gübre'!L150*'Gübre oranlar'!O$2</f>
        <v>59</v>
      </c>
      <c r="M150">
        <f>'Kullanılan gübre'!M150*'Gübre oranlar'!P$2</f>
        <v>146.54999999999998</v>
      </c>
      <c r="N150">
        <f>'Kullanılan gübre'!N150*'Gübre oranlar'!Q$2</f>
        <v>30.9</v>
      </c>
      <c r="O150">
        <f>'Kullanılan gübre'!O150*'Gübre oranlar'!R$2</f>
        <v>0</v>
      </c>
      <c r="P150">
        <f>'Kullanılan gübre'!P150*'Gübre oranlar'!S$2</f>
        <v>23.79</v>
      </c>
      <c r="Q150">
        <f>'Kullanılan gübre'!Q150*'Gübre oranlar'!T$2</f>
        <v>42.239999999999995</v>
      </c>
      <c r="R150">
        <f>'Kullanılan gübre'!R150*'Gübre oranlar'!U$2</f>
        <v>0</v>
      </c>
      <c r="S150">
        <f>'Kullanılan gübre'!S150*'Gübre oranlar'!V$2</f>
        <v>8.3699999999999992</v>
      </c>
      <c r="T150">
        <f>'Kullanılan gübre'!T150*'Gübre oranlar'!W$2</f>
        <v>0</v>
      </c>
      <c r="U150">
        <f>'Kullanılan gübre'!U150*'Gübre oranlar'!X$2</f>
        <v>6.25</v>
      </c>
      <c r="V150">
        <f>'Kullanılan gübre'!V150*'Gübre oranlar'!Y$2</f>
        <v>0</v>
      </c>
      <c r="W150">
        <f>'Kullanılan gübre'!W150*'Gübre oranlar'!Z$2</f>
        <v>0</v>
      </c>
      <c r="X150">
        <f>'Kullanılan gübre'!X150*'Gübre oranlar'!AA$2</f>
        <v>0</v>
      </c>
      <c r="Y150">
        <f>'Kullanılan gübre'!Y150*'Gübre oranlar'!AB$2</f>
        <v>0</v>
      </c>
      <c r="Z150">
        <f>'Kullanılan gübre'!Z150*'Gübre oranlar'!AC$2</f>
        <v>0</v>
      </c>
      <c r="AA150">
        <f>'Kullanılan gübre'!AA150*'Gübre oranlar'!AD$2</f>
        <v>0</v>
      </c>
      <c r="AB150">
        <f>'Kullanılan gübre'!AB150*'Gübre oranlar'!AE$2</f>
        <v>0</v>
      </c>
      <c r="AC150">
        <f>'Kullanılan gübre'!AC150*'Gübre oranlar'!AF$2</f>
        <v>0</v>
      </c>
      <c r="AD150">
        <f>'Kullanılan gübre'!AD150*'Gübre oranlar'!AG$2</f>
        <v>0</v>
      </c>
      <c r="AE150">
        <f>'Kullanılan gübre'!AE150*'Gübre oranlar'!AH$2</f>
        <v>0</v>
      </c>
      <c r="AF150">
        <f>'Kullanılan gübre'!AF150*'Gübre oranlar'!AI$2</f>
        <v>0</v>
      </c>
      <c r="AG150">
        <f>'Kullanılan gübre'!AG150*'Gübre oranlar'!AJ$2</f>
        <v>0</v>
      </c>
      <c r="AH150">
        <f>'Kullanılan gübre'!AH150*'Gübre oranlar'!AK$2</f>
        <v>0</v>
      </c>
      <c r="AI150">
        <f>'Kullanılan gübre'!AI150*'Gübre oranlar'!AL$2</f>
        <v>0</v>
      </c>
      <c r="AJ150">
        <f>'Kullanılan gübre'!AJ150*'Gübre oranlar'!AM$2</f>
        <v>0</v>
      </c>
      <c r="AK150">
        <f>'Kullanılan gübre'!AK150*'Gübre oranlar'!AN$2</f>
        <v>0</v>
      </c>
      <c r="AL150">
        <f>'Kullanılan gübre'!AL150*'Gübre oranlar'!AO$2</f>
        <v>0</v>
      </c>
      <c r="AM150">
        <f>'Kullanılan gübre'!AM150*'Gübre oranlar'!AP$2</f>
        <v>0</v>
      </c>
      <c r="AN150">
        <f>'Kullanılan gübre'!AN150*'Gübre oranlar'!AQ$2</f>
        <v>0</v>
      </c>
      <c r="AO150">
        <f>'Kullanılan gübre'!AO150*'Gübre oranlar'!AR$2</f>
        <v>0</v>
      </c>
      <c r="AP150">
        <f>'Kullanılan gübre'!AP150*'Gübre oranlar'!AS$2</f>
        <v>0</v>
      </c>
      <c r="AQ150">
        <f>'Kullanılan gübre'!AQ150*'Gübre oranlar'!AT$2</f>
        <v>0</v>
      </c>
      <c r="AR150">
        <f>'Kullanılan gübre'!AR150*'Gübre oranlar'!AU$2</f>
        <v>0</v>
      </c>
      <c r="AS150">
        <f>'Kullanılan gübre'!AS150*'Gübre oranlar'!AV$2</f>
        <v>0</v>
      </c>
      <c r="AT150">
        <f>'Kullanılan gübre'!AT150*'Gübre oranlar'!AW$2</f>
        <v>0</v>
      </c>
      <c r="AU150">
        <f>'Kullanılan gübre'!AU150*'Gübre oranlar'!AX$2</f>
        <v>0</v>
      </c>
      <c r="AV150">
        <f>'Kullanılan gübre'!AV150*'Gübre oranlar'!AY$2</f>
        <v>0</v>
      </c>
      <c r="AW150">
        <f t="shared" si="2"/>
        <v>1719.6499999999996</v>
      </c>
    </row>
    <row r="151" spans="1:49" hidden="1" x14ac:dyDescent="0.25">
      <c r="A151" t="str">
        <f>'Kullanılan gübre'!A151</f>
        <v>BA</v>
      </c>
      <c r="B151" t="str">
        <f>'Kullanılan gübre'!B151</f>
        <v>ANTALYA</v>
      </c>
      <c r="C151" t="str">
        <f>'Kullanılan gübre'!C151</f>
        <v>KEMER</v>
      </c>
      <c r="D151">
        <f>'Kullanılan gübre'!D151</f>
        <v>2008</v>
      </c>
      <c r="E151">
        <f>'Kullanılan gübre'!E151*'Gübre oranlar'!H$2</f>
        <v>14.49</v>
      </c>
      <c r="F151">
        <f>'Kullanılan gübre'!F151*'Gübre oranlar'!I$2</f>
        <v>4.9400000000000004</v>
      </c>
      <c r="G151">
        <f>'Kullanılan gübre'!G151*'Gübre oranlar'!J$2</f>
        <v>10.56</v>
      </c>
      <c r="H151">
        <f>'Kullanılan gübre'!H151*'Gübre oranlar'!K$2</f>
        <v>12.42</v>
      </c>
      <c r="I151">
        <f>'Kullanılan gübre'!I151*'Gübre oranlar'!L$2</f>
        <v>0</v>
      </c>
      <c r="J151">
        <f>'Kullanılan gübre'!J151*'Gübre oranlar'!M$2</f>
        <v>1.26</v>
      </c>
      <c r="K151">
        <f>'Kullanılan gübre'!K151*'Gübre oranlar'!N$2</f>
        <v>1.8</v>
      </c>
      <c r="L151">
        <f>'Kullanılan gübre'!L151*'Gübre oranlar'!O$2</f>
        <v>0</v>
      </c>
      <c r="M151">
        <f>'Kullanılan gübre'!M151*'Gübre oranlar'!P$2</f>
        <v>6.45</v>
      </c>
      <c r="N151">
        <f>'Kullanılan gübre'!N151*'Gübre oranlar'!Q$2</f>
        <v>14.7</v>
      </c>
      <c r="O151">
        <f>'Kullanılan gübre'!O151*'Gübre oranlar'!R$2</f>
        <v>0</v>
      </c>
      <c r="P151">
        <f>'Kullanılan gübre'!P151*'Gübre oranlar'!S$2</f>
        <v>0.13</v>
      </c>
      <c r="Q151">
        <f>'Kullanılan gübre'!Q151*'Gübre oranlar'!T$2</f>
        <v>0</v>
      </c>
      <c r="R151">
        <f>'Kullanılan gübre'!R151*'Gübre oranlar'!U$2</f>
        <v>0</v>
      </c>
      <c r="S151">
        <f>'Kullanılan gübre'!S151*'Gübre oranlar'!V$2</f>
        <v>0.155</v>
      </c>
      <c r="T151">
        <f>'Kullanılan gübre'!T151*'Gübre oranlar'!W$2</f>
        <v>0</v>
      </c>
      <c r="U151">
        <f>'Kullanılan gübre'!U151*'Gübre oranlar'!X$2</f>
        <v>0</v>
      </c>
      <c r="V151">
        <f>'Kullanılan gübre'!V151*'Gübre oranlar'!Y$2</f>
        <v>0</v>
      </c>
      <c r="W151">
        <f>'Kullanılan gübre'!W151*'Gübre oranlar'!Z$2</f>
        <v>0</v>
      </c>
      <c r="X151">
        <f>'Kullanılan gübre'!X151*'Gübre oranlar'!AA$2</f>
        <v>0</v>
      </c>
      <c r="Y151">
        <f>'Kullanılan gübre'!Y151*'Gübre oranlar'!AB$2</f>
        <v>0</v>
      </c>
      <c r="Z151">
        <f>'Kullanılan gübre'!Z151*'Gübre oranlar'!AC$2</f>
        <v>0</v>
      </c>
      <c r="AA151">
        <f>'Kullanılan gübre'!AA151*'Gübre oranlar'!AD$2</f>
        <v>0</v>
      </c>
      <c r="AB151">
        <f>'Kullanılan gübre'!AB151*'Gübre oranlar'!AE$2</f>
        <v>0</v>
      </c>
      <c r="AC151">
        <f>'Kullanılan gübre'!AC151*'Gübre oranlar'!AF$2</f>
        <v>0</v>
      </c>
      <c r="AD151">
        <f>'Kullanılan gübre'!AD151*'Gübre oranlar'!AG$2</f>
        <v>0</v>
      </c>
      <c r="AE151">
        <f>'Kullanılan gübre'!AE151*'Gübre oranlar'!AH$2</f>
        <v>0</v>
      </c>
      <c r="AF151">
        <f>'Kullanılan gübre'!AF151*'Gübre oranlar'!AI$2</f>
        <v>0</v>
      </c>
      <c r="AG151">
        <f>'Kullanılan gübre'!AG151*'Gübre oranlar'!AJ$2</f>
        <v>0</v>
      </c>
      <c r="AH151">
        <f>'Kullanılan gübre'!AH151*'Gübre oranlar'!AK$2</f>
        <v>0</v>
      </c>
      <c r="AI151">
        <f>'Kullanılan gübre'!AI151*'Gübre oranlar'!AL$2</f>
        <v>0</v>
      </c>
      <c r="AJ151">
        <f>'Kullanılan gübre'!AJ151*'Gübre oranlar'!AM$2</f>
        <v>0</v>
      </c>
      <c r="AK151">
        <f>'Kullanılan gübre'!AK151*'Gübre oranlar'!AN$2</f>
        <v>0</v>
      </c>
      <c r="AL151">
        <f>'Kullanılan gübre'!AL151*'Gübre oranlar'!AO$2</f>
        <v>0</v>
      </c>
      <c r="AM151">
        <f>'Kullanılan gübre'!AM151*'Gübre oranlar'!AP$2</f>
        <v>0</v>
      </c>
      <c r="AN151">
        <f>'Kullanılan gübre'!AN151*'Gübre oranlar'!AQ$2</f>
        <v>0</v>
      </c>
      <c r="AO151">
        <f>'Kullanılan gübre'!AO151*'Gübre oranlar'!AR$2</f>
        <v>0</v>
      </c>
      <c r="AP151">
        <f>'Kullanılan gübre'!AP151*'Gübre oranlar'!AS$2</f>
        <v>0</v>
      </c>
      <c r="AQ151">
        <f>'Kullanılan gübre'!AQ151*'Gübre oranlar'!AT$2</f>
        <v>0</v>
      </c>
      <c r="AR151">
        <f>'Kullanılan gübre'!AR151*'Gübre oranlar'!AU$2</f>
        <v>0</v>
      </c>
      <c r="AS151">
        <f>'Kullanılan gübre'!AS151*'Gübre oranlar'!AV$2</f>
        <v>0</v>
      </c>
      <c r="AT151">
        <f>'Kullanılan gübre'!AT151*'Gübre oranlar'!AW$2</f>
        <v>0</v>
      </c>
      <c r="AU151">
        <f>'Kullanılan gübre'!AU151*'Gübre oranlar'!AX$2</f>
        <v>0</v>
      </c>
      <c r="AV151">
        <f>'Kullanılan gübre'!AV151*'Gübre oranlar'!AY$2</f>
        <v>0</v>
      </c>
      <c r="AW151">
        <f t="shared" si="2"/>
        <v>66.905000000000001</v>
      </c>
    </row>
    <row r="152" spans="1:49" hidden="1" x14ac:dyDescent="0.25">
      <c r="A152" t="str">
        <f>'Kullanılan gübre'!A152</f>
        <v>BA</v>
      </c>
      <c r="B152" t="str">
        <f>'Kullanılan gübre'!B152</f>
        <v>ANTALYA</v>
      </c>
      <c r="C152" t="str">
        <f>'Kullanılan gübre'!C152</f>
        <v>KUMLUCA</v>
      </c>
      <c r="D152">
        <f>'Kullanılan gübre'!D152</f>
        <v>2008</v>
      </c>
      <c r="E152">
        <f>'Kullanılan gübre'!E152*'Gübre oranlar'!H$2</f>
        <v>289.17</v>
      </c>
      <c r="F152">
        <f>'Kullanılan gübre'!F152*'Gübre oranlar'!I$2</f>
        <v>21.060000000000002</v>
      </c>
      <c r="G152">
        <f>'Kullanılan gübre'!G152*'Gübre oranlar'!J$2</f>
        <v>266.64</v>
      </c>
      <c r="H152">
        <f>'Kullanılan gübre'!H152*'Gübre oranlar'!K$2</f>
        <v>134.32</v>
      </c>
      <c r="I152">
        <f>'Kullanılan gübre'!I152*'Gübre oranlar'!L$2</f>
        <v>0</v>
      </c>
      <c r="J152">
        <f>'Kullanılan gübre'!J152*'Gübre oranlar'!M$2</f>
        <v>69.84</v>
      </c>
      <c r="K152">
        <f>'Kullanılan gübre'!K152*'Gübre oranlar'!N$2</f>
        <v>29.200000000000003</v>
      </c>
      <c r="L152">
        <f>'Kullanılan gübre'!L152*'Gübre oranlar'!O$2</f>
        <v>39.6</v>
      </c>
      <c r="M152">
        <f>'Kullanılan gübre'!M152*'Gübre oranlar'!P$2</f>
        <v>62.25</v>
      </c>
      <c r="N152">
        <f>'Kullanılan gübre'!N152*'Gübre oranlar'!Q$2</f>
        <v>207.15</v>
      </c>
      <c r="O152">
        <f>'Kullanılan gübre'!O152*'Gübre oranlar'!R$2</f>
        <v>0</v>
      </c>
      <c r="P152">
        <f>'Kullanılan gübre'!P152*'Gübre oranlar'!S$2</f>
        <v>48.620000000000005</v>
      </c>
      <c r="Q152">
        <f>'Kullanılan gübre'!Q152*'Gübre oranlar'!T$2</f>
        <v>0</v>
      </c>
      <c r="R152">
        <f>'Kullanılan gübre'!R152*'Gübre oranlar'!U$2</f>
        <v>0</v>
      </c>
      <c r="S152">
        <f>'Kullanılan gübre'!S152*'Gübre oranlar'!V$2</f>
        <v>29.294999999999998</v>
      </c>
      <c r="T152">
        <f>'Kullanılan gübre'!T152*'Gübre oranlar'!W$2</f>
        <v>0</v>
      </c>
      <c r="U152">
        <f>'Kullanılan gübre'!U152*'Gübre oranlar'!X$2</f>
        <v>16.5</v>
      </c>
      <c r="V152">
        <f>'Kullanılan gübre'!V152*'Gübre oranlar'!Y$2</f>
        <v>0</v>
      </c>
      <c r="W152">
        <f>'Kullanılan gübre'!W152*'Gübre oranlar'!Z$2</f>
        <v>0</v>
      </c>
      <c r="X152">
        <f>'Kullanılan gübre'!X152*'Gübre oranlar'!AA$2</f>
        <v>0</v>
      </c>
      <c r="Y152">
        <f>'Kullanılan gübre'!Y152*'Gübre oranlar'!AB$2</f>
        <v>0</v>
      </c>
      <c r="Z152">
        <f>'Kullanılan gübre'!Z152*'Gübre oranlar'!AC$2</f>
        <v>0</v>
      </c>
      <c r="AA152">
        <f>'Kullanılan gübre'!AA152*'Gübre oranlar'!AD$2</f>
        <v>0</v>
      </c>
      <c r="AB152">
        <f>'Kullanılan gübre'!AB152*'Gübre oranlar'!AE$2</f>
        <v>0</v>
      </c>
      <c r="AC152">
        <f>'Kullanılan gübre'!AC152*'Gübre oranlar'!AF$2</f>
        <v>0</v>
      </c>
      <c r="AD152">
        <f>'Kullanılan gübre'!AD152*'Gübre oranlar'!AG$2</f>
        <v>0</v>
      </c>
      <c r="AE152">
        <f>'Kullanılan gübre'!AE152*'Gübre oranlar'!AH$2</f>
        <v>0</v>
      </c>
      <c r="AF152">
        <f>'Kullanılan gübre'!AF152*'Gübre oranlar'!AI$2</f>
        <v>0</v>
      </c>
      <c r="AG152">
        <f>'Kullanılan gübre'!AG152*'Gübre oranlar'!AJ$2</f>
        <v>0</v>
      </c>
      <c r="AH152">
        <f>'Kullanılan gübre'!AH152*'Gübre oranlar'!AK$2</f>
        <v>0</v>
      </c>
      <c r="AI152">
        <f>'Kullanılan gübre'!AI152*'Gübre oranlar'!AL$2</f>
        <v>0</v>
      </c>
      <c r="AJ152">
        <f>'Kullanılan gübre'!AJ152*'Gübre oranlar'!AM$2</f>
        <v>0</v>
      </c>
      <c r="AK152">
        <f>'Kullanılan gübre'!AK152*'Gübre oranlar'!AN$2</f>
        <v>0</v>
      </c>
      <c r="AL152">
        <f>'Kullanılan gübre'!AL152*'Gübre oranlar'!AO$2</f>
        <v>0</v>
      </c>
      <c r="AM152">
        <f>'Kullanılan gübre'!AM152*'Gübre oranlar'!AP$2</f>
        <v>0</v>
      </c>
      <c r="AN152">
        <f>'Kullanılan gübre'!AN152*'Gübre oranlar'!AQ$2</f>
        <v>0</v>
      </c>
      <c r="AO152">
        <f>'Kullanılan gübre'!AO152*'Gübre oranlar'!AR$2</f>
        <v>0</v>
      </c>
      <c r="AP152">
        <f>'Kullanılan gübre'!AP152*'Gübre oranlar'!AS$2</f>
        <v>0</v>
      </c>
      <c r="AQ152">
        <f>'Kullanılan gübre'!AQ152*'Gübre oranlar'!AT$2</f>
        <v>0</v>
      </c>
      <c r="AR152">
        <f>'Kullanılan gübre'!AR152*'Gübre oranlar'!AU$2</f>
        <v>0</v>
      </c>
      <c r="AS152">
        <f>'Kullanılan gübre'!AS152*'Gübre oranlar'!AV$2</f>
        <v>24.310000000000002</v>
      </c>
      <c r="AT152">
        <f>'Kullanılan gübre'!AT152*'Gübre oranlar'!AW$2</f>
        <v>0</v>
      </c>
      <c r="AU152">
        <f>'Kullanılan gübre'!AU152*'Gübre oranlar'!AX$2</f>
        <v>0</v>
      </c>
      <c r="AV152">
        <f>'Kullanılan gübre'!AV152*'Gübre oranlar'!AY$2</f>
        <v>0</v>
      </c>
      <c r="AW152">
        <f t="shared" si="2"/>
        <v>1237.9550000000004</v>
      </c>
    </row>
    <row r="153" spans="1:49" hidden="1" x14ac:dyDescent="0.25">
      <c r="A153" t="str">
        <f>'Kullanılan gübre'!A153</f>
        <v>BA</v>
      </c>
      <c r="B153" t="str">
        <f>'Kullanılan gübre'!B153</f>
        <v>ANTALYA</v>
      </c>
      <c r="C153" t="str">
        <f>'Kullanılan gübre'!C153</f>
        <v>FINIKE</v>
      </c>
      <c r="D153">
        <f>'Kullanılan gübre'!D153</f>
        <v>2008</v>
      </c>
      <c r="E153">
        <f>'Kullanılan gübre'!E153*'Gübre oranlar'!H$2</f>
        <v>191.1</v>
      </c>
      <c r="F153">
        <f>'Kullanılan gübre'!F153*'Gübre oranlar'!I$2</f>
        <v>27.560000000000002</v>
      </c>
      <c r="G153">
        <f>'Kullanılan gübre'!G153*'Gübre oranlar'!J$2</f>
        <v>158.07000000000002</v>
      </c>
      <c r="H153">
        <f>'Kullanılan gübre'!H153*'Gübre oranlar'!K$2</f>
        <v>81.42</v>
      </c>
      <c r="I153">
        <f>'Kullanılan gübre'!I153*'Gübre oranlar'!L$2</f>
        <v>0</v>
      </c>
      <c r="J153">
        <f>'Kullanılan gübre'!J153*'Gübre oranlar'!M$2</f>
        <v>41.22</v>
      </c>
      <c r="K153">
        <f>'Kullanılan gübre'!K153*'Gübre oranlar'!N$2</f>
        <v>20.8</v>
      </c>
      <c r="L153">
        <f>'Kullanılan gübre'!L153*'Gübre oranlar'!O$2</f>
        <v>0</v>
      </c>
      <c r="M153">
        <f>'Kullanılan gübre'!M153*'Gübre oranlar'!P$2</f>
        <v>39</v>
      </c>
      <c r="N153">
        <f>'Kullanılan gübre'!N153*'Gübre oranlar'!Q$2</f>
        <v>154.5</v>
      </c>
      <c r="O153">
        <f>'Kullanılan gübre'!O153*'Gübre oranlar'!R$2</f>
        <v>0</v>
      </c>
      <c r="P153">
        <f>'Kullanılan gübre'!P153*'Gübre oranlar'!S$2</f>
        <v>19.240000000000002</v>
      </c>
      <c r="Q153">
        <f>'Kullanılan gübre'!Q153*'Gübre oranlar'!T$2</f>
        <v>0</v>
      </c>
      <c r="R153">
        <f>'Kullanılan gübre'!R153*'Gübre oranlar'!U$2</f>
        <v>0</v>
      </c>
      <c r="S153">
        <f>'Kullanılan gübre'!S153*'Gübre oranlar'!V$2</f>
        <v>1.8599999999999999</v>
      </c>
      <c r="T153">
        <f>'Kullanılan gübre'!T153*'Gübre oranlar'!W$2</f>
        <v>0</v>
      </c>
      <c r="U153">
        <f>'Kullanılan gübre'!U153*'Gübre oranlar'!X$2</f>
        <v>54.75</v>
      </c>
      <c r="V153">
        <f>'Kullanılan gübre'!V153*'Gübre oranlar'!Y$2</f>
        <v>0</v>
      </c>
      <c r="W153">
        <f>'Kullanılan gübre'!W153*'Gübre oranlar'!Z$2</f>
        <v>0</v>
      </c>
      <c r="X153">
        <f>'Kullanılan gübre'!X153*'Gübre oranlar'!AA$2</f>
        <v>0</v>
      </c>
      <c r="Y153">
        <f>'Kullanılan gübre'!Y153*'Gübre oranlar'!AB$2</f>
        <v>0</v>
      </c>
      <c r="Z153">
        <f>'Kullanılan gübre'!Z153*'Gübre oranlar'!AC$2</f>
        <v>0</v>
      </c>
      <c r="AA153">
        <f>'Kullanılan gübre'!AA153*'Gübre oranlar'!AD$2</f>
        <v>0</v>
      </c>
      <c r="AB153">
        <f>'Kullanılan gübre'!AB153*'Gübre oranlar'!AE$2</f>
        <v>3.2399999999999998</v>
      </c>
      <c r="AC153">
        <f>'Kullanılan gübre'!AC153*'Gübre oranlar'!AF$2</f>
        <v>0</v>
      </c>
      <c r="AD153">
        <f>'Kullanılan gübre'!AD153*'Gübre oranlar'!AG$2</f>
        <v>0</v>
      </c>
      <c r="AE153">
        <f>'Kullanılan gübre'!AE153*'Gübre oranlar'!AH$2</f>
        <v>0</v>
      </c>
      <c r="AF153">
        <f>'Kullanılan gübre'!AF153*'Gübre oranlar'!AI$2</f>
        <v>0</v>
      </c>
      <c r="AG153">
        <f>'Kullanılan gübre'!AG153*'Gübre oranlar'!AJ$2</f>
        <v>0</v>
      </c>
      <c r="AH153">
        <f>'Kullanılan gübre'!AH153*'Gübre oranlar'!AK$2</f>
        <v>0</v>
      </c>
      <c r="AI153">
        <f>'Kullanılan gübre'!AI153*'Gübre oranlar'!AL$2</f>
        <v>0</v>
      </c>
      <c r="AJ153">
        <f>'Kullanılan gübre'!AJ153*'Gübre oranlar'!AM$2</f>
        <v>0</v>
      </c>
      <c r="AK153">
        <f>'Kullanılan gübre'!AK153*'Gübre oranlar'!AN$2</f>
        <v>0</v>
      </c>
      <c r="AL153">
        <f>'Kullanılan gübre'!AL153*'Gübre oranlar'!AO$2</f>
        <v>0</v>
      </c>
      <c r="AM153">
        <f>'Kullanılan gübre'!AM153*'Gübre oranlar'!AP$2</f>
        <v>0</v>
      </c>
      <c r="AN153">
        <f>'Kullanılan gübre'!AN153*'Gübre oranlar'!AQ$2</f>
        <v>0</v>
      </c>
      <c r="AO153">
        <f>'Kullanılan gübre'!AO153*'Gübre oranlar'!AR$2</f>
        <v>0</v>
      </c>
      <c r="AP153">
        <f>'Kullanılan gübre'!AP153*'Gübre oranlar'!AS$2</f>
        <v>0</v>
      </c>
      <c r="AQ153">
        <f>'Kullanılan gübre'!AQ153*'Gübre oranlar'!AT$2</f>
        <v>0</v>
      </c>
      <c r="AR153">
        <f>'Kullanılan gübre'!AR153*'Gübre oranlar'!AU$2</f>
        <v>0</v>
      </c>
      <c r="AS153">
        <f>'Kullanılan gübre'!AS153*'Gübre oranlar'!AV$2</f>
        <v>84.5</v>
      </c>
      <c r="AT153">
        <f>'Kullanılan gübre'!AT153*'Gübre oranlar'!AW$2</f>
        <v>0</v>
      </c>
      <c r="AU153">
        <f>'Kullanılan gübre'!AU153*'Gübre oranlar'!AX$2</f>
        <v>0</v>
      </c>
      <c r="AV153">
        <f>'Kullanılan gübre'!AV153*'Gübre oranlar'!AY$2</f>
        <v>0</v>
      </c>
      <c r="AW153">
        <f t="shared" si="2"/>
        <v>877.26</v>
      </c>
    </row>
    <row r="154" spans="1:49" hidden="1" x14ac:dyDescent="0.25">
      <c r="A154" t="str">
        <f>'Kullanılan gübre'!A154</f>
        <v>BA</v>
      </c>
      <c r="B154" t="str">
        <f>'Kullanılan gübre'!B154</f>
        <v>ANTALYA</v>
      </c>
      <c r="C154" t="str">
        <f>'Kullanılan gübre'!C154</f>
        <v>DEMRE</v>
      </c>
      <c r="D154">
        <f>'Kullanılan gübre'!D154</f>
        <v>2008</v>
      </c>
      <c r="E154">
        <f>'Kullanılan gübre'!E154*'Gübre oranlar'!H$2</f>
        <v>23.099999999999998</v>
      </c>
      <c r="F154">
        <f>'Kullanılan gübre'!F154*'Gübre oranlar'!I$2</f>
        <v>14.82</v>
      </c>
      <c r="G154">
        <f>'Kullanılan gübre'!G154*'Gübre oranlar'!J$2</f>
        <v>63.36</v>
      </c>
      <c r="H154">
        <f>'Kullanılan gübre'!H154*'Gübre oranlar'!K$2</f>
        <v>34.96</v>
      </c>
      <c r="I154">
        <f>'Kullanılan gübre'!I154*'Gübre oranlar'!L$2</f>
        <v>0</v>
      </c>
      <c r="J154">
        <f>'Kullanılan gübre'!J154*'Gübre oranlar'!M$2</f>
        <v>12.959999999999999</v>
      </c>
      <c r="K154">
        <f>'Kullanılan gübre'!K154*'Gübre oranlar'!N$2</f>
        <v>11</v>
      </c>
      <c r="L154">
        <f>'Kullanılan gübre'!L154*'Gübre oranlar'!O$2</f>
        <v>0</v>
      </c>
      <c r="M154">
        <f>'Kullanılan gübre'!M154*'Gübre oranlar'!P$2</f>
        <v>21.15</v>
      </c>
      <c r="N154">
        <f>'Kullanılan gübre'!N154*'Gübre oranlar'!Q$2</f>
        <v>4.6499999999999995</v>
      </c>
      <c r="O154">
        <f>'Kullanılan gübre'!O154*'Gübre oranlar'!R$2</f>
        <v>0</v>
      </c>
      <c r="P154">
        <f>'Kullanılan gübre'!P154*'Gübre oranlar'!S$2</f>
        <v>35.49</v>
      </c>
      <c r="Q154">
        <f>'Kullanılan gübre'!Q154*'Gübre oranlar'!T$2</f>
        <v>0</v>
      </c>
      <c r="R154">
        <f>'Kullanılan gübre'!R154*'Gübre oranlar'!U$2</f>
        <v>0</v>
      </c>
      <c r="S154">
        <f>'Kullanılan gübre'!S154*'Gübre oranlar'!V$2</f>
        <v>15.81</v>
      </c>
      <c r="T154">
        <f>'Kullanılan gübre'!T154*'Gübre oranlar'!W$2</f>
        <v>0</v>
      </c>
      <c r="U154">
        <f>'Kullanılan gübre'!U154*'Gübre oranlar'!X$2</f>
        <v>3</v>
      </c>
      <c r="V154">
        <f>'Kullanılan gübre'!V154*'Gübre oranlar'!Y$2</f>
        <v>0</v>
      </c>
      <c r="W154">
        <f>'Kullanılan gübre'!W154*'Gübre oranlar'!Z$2</f>
        <v>0</v>
      </c>
      <c r="X154">
        <f>'Kullanılan gübre'!X154*'Gübre oranlar'!AA$2</f>
        <v>0</v>
      </c>
      <c r="Y154">
        <f>'Kullanılan gübre'!Y154*'Gübre oranlar'!AB$2</f>
        <v>0</v>
      </c>
      <c r="Z154">
        <f>'Kullanılan gübre'!Z154*'Gübre oranlar'!AC$2</f>
        <v>0</v>
      </c>
      <c r="AA154">
        <f>'Kullanılan gübre'!AA154*'Gübre oranlar'!AD$2</f>
        <v>0</v>
      </c>
      <c r="AB154">
        <f>'Kullanılan gübre'!AB154*'Gübre oranlar'!AE$2</f>
        <v>6.12</v>
      </c>
      <c r="AC154">
        <f>'Kullanılan gübre'!AC154*'Gübre oranlar'!AF$2</f>
        <v>0</v>
      </c>
      <c r="AD154">
        <f>'Kullanılan gübre'!AD154*'Gübre oranlar'!AG$2</f>
        <v>0</v>
      </c>
      <c r="AE154">
        <f>'Kullanılan gübre'!AE154*'Gübre oranlar'!AH$2</f>
        <v>0</v>
      </c>
      <c r="AF154">
        <f>'Kullanılan gübre'!AF154*'Gübre oranlar'!AI$2</f>
        <v>0</v>
      </c>
      <c r="AG154">
        <f>'Kullanılan gübre'!AG154*'Gübre oranlar'!AJ$2</f>
        <v>0</v>
      </c>
      <c r="AH154">
        <f>'Kullanılan gübre'!AH154*'Gübre oranlar'!AK$2</f>
        <v>0</v>
      </c>
      <c r="AI154">
        <f>'Kullanılan gübre'!AI154*'Gübre oranlar'!AL$2</f>
        <v>0</v>
      </c>
      <c r="AJ154">
        <f>'Kullanılan gübre'!AJ154*'Gübre oranlar'!AM$2</f>
        <v>0</v>
      </c>
      <c r="AK154">
        <f>'Kullanılan gübre'!AK154*'Gübre oranlar'!AN$2</f>
        <v>0</v>
      </c>
      <c r="AL154">
        <f>'Kullanılan gübre'!AL154*'Gübre oranlar'!AO$2</f>
        <v>0</v>
      </c>
      <c r="AM154">
        <f>'Kullanılan gübre'!AM154*'Gübre oranlar'!AP$2</f>
        <v>0</v>
      </c>
      <c r="AN154">
        <f>'Kullanılan gübre'!AN154*'Gübre oranlar'!AQ$2</f>
        <v>0</v>
      </c>
      <c r="AO154">
        <f>'Kullanılan gübre'!AO154*'Gübre oranlar'!AR$2</f>
        <v>0</v>
      </c>
      <c r="AP154">
        <f>'Kullanılan gübre'!AP154*'Gübre oranlar'!AS$2</f>
        <v>0</v>
      </c>
      <c r="AQ154">
        <f>'Kullanılan gübre'!AQ154*'Gübre oranlar'!AT$2</f>
        <v>0</v>
      </c>
      <c r="AR154">
        <f>'Kullanılan gübre'!AR154*'Gübre oranlar'!AU$2</f>
        <v>0</v>
      </c>
      <c r="AS154">
        <f>'Kullanılan gübre'!AS154*'Gübre oranlar'!AV$2</f>
        <v>0.65</v>
      </c>
      <c r="AT154">
        <f>'Kullanılan gübre'!AT154*'Gübre oranlar'!AW$2</f>
        <v>0</v>
      </c>
      <c r="AU154">
        <f>'Kullanılan gübre'!AU154*'Gübre oranlar'!AX$2</f>
        <v>0</v>
      </c>
      <c r="AV154">
        <f>'Kullanılan gübre'!AV154*'Gübre oranlar'!AY$2</f>
        <v>0</v>
      </c>
      <c r="AW154">
        <f t="shared" si="2"/>
        <v>247.07000000000005</v>
      </c>
    </row>
    <row r="155" spans="1:49" hidden="1" x14ac:dyDescent="0.25">
      <c r="A155" t="str">
        <f>'Kullanılan gübre'!A155</f>
        <v>BA</v>
      </c>
      <c r="B155" t="str">
        <f>'Kullanılan gübre'!B155</f>
        <v>ANTALYA</v>
      </c>
      <c r="C155" t="str">
        <f>'Kullanılan gübre'!C155</f>
        <v>KAS</v>
      </c>
      <c r="D155">
        <f>'Kullanılan gübre'!D155</f>
        <v>2008</v>
      </c>
      <c r="E155">
        <f>'Kullanılan gübre'!E155*'Gübre oranlar'!H$2</f>
        <v>43.89</v>
      </c>
      <c r="F155">
        <f>'Kullanılan gübre'!F155*'Gübre oranlar'!I$2</f>
        <v>33.54</v>
      </c>
      <c r="G155">
        <f>'Kullanılan gübre'!G155*'Gübre oranlar'!J$2</f>
        <v>46.86</v>
      </c>
      <c r="H155">
        <f>'Kullanılan gübre'!H155*'Gübre oranlar'!K$2</f>
        <v>56.120000000000005</v>
      </c>
      <c r="I155">
        <f>'Kullanılan gübre'!I155*'Gübre oranlar'!L$2</f>
        <v>0</v>
      </c>
      <c r="J155">
        <f>'Kullanılan gübre'!J155*'Gübre oranlar'!M$2</f>
        <v>10.26</v>
      </c>
      <c r="K155">
        <f>'Kullanılan gübre'!K155*'Gübre oranlar'!N$2</f>
        <v>38.200000000000003</v>
      </c>
      <c r="L155">
        <f>'Kullanılan gübre'!L155*'Gübre oranlar'!O$2</f>
        <v>0.8</v>
      </c>
      <c r="M155">
        <f>'Kullanılan gübre'!M155*'Gübre oranlar'!P$2</f>
        <v>15.299999999999999</v>
      </c>
      <c r="N155">
        <f>'Kullanılan gübre'!N155*'Gübre oranlar'!Q$2</f>
        <v>29.4</v>
      </c>
      <c r="O155">
        <f>'Kullanılan gübre'!O155*'Gübre oranlar'!R$2</f>
        <v>0</v>
      </c>
      <c r="P155">
        <f>'Kullanılan gübre'!P155*'Gübre oranlar'!S$2</f>
        <v>21.19</v>
      </c>
      <c r="Q155">
        <f>'Kullanılan gübre'!Q155*'Gübre oranlar'!T$2</f>
        <v>0</v>
      </c>
      <c r="R155">
        <f>'Kullanılan gübre'!R155*'Gübre oranlar'!U$2</f>
        <v>0</v>
      </c>
      <c r="S155">
        <f>'Kullanılan gübre'!S155*'Gübre oranlar'!V$2</f>
        <v>0</v>
      </c>
      <c r="T155">
        <f>'Kullanılan gübre'!T155*'Gübre oranlar'!W$2</f>
        <v>0</v>
      </c>
      <c r="U155">
        <f>'Kullanılan gübre'!U155*'Gübre oranlar'!X$2</f>
        <v>0</v>
      </c>
      <c r="V155">
        <f>'Kullanılan gübre'!V155*'Gübre oranlar'!Y$2</f>
        <v>0</v>
      </c>
      <c r="W155">
        <f>'Kullanılan gübre'!W155*'Gübre oranlar'!Z$2</f>
        <v>0</v>
      </c>
      <c r="X155">
        <f>'Kullanılan gübre'!X155*'Gübre oranlar'!AA$2</f>
        <v>0</v>
      </c>
      <c r="Y155">
        <f>'Kullanılan gübre'!Y155*'Gübre oranlar'!AB$2</f>
        <v>0</v>
      </c>
      <c r="Z155">
        <f>'Kullanılan gübre'!Z155*'Gübre oranlar'!AC$2</f>
        <v>0</v>
      </c>
      <c r="AA155">
        <f>'Kullanılan gübre'!AA155*'Gübre oranlar'!AD$2</f>
        <v>0</v>
      </c>
      <c r="AB155">
        <f>'Kullanılan gübre'!AB155*'Gübre oranlar'!AE$2</f>
        <v>0</v>
      </c>
      <c r="AC155">
        <f>'Kullanılan gübre'!AC155*'Gübre oranlar'!AF$2</f>
        <v>0</v>
      </c>
      <c r="AD155">
        <f>'Kullanılan gübre'!AD155*'Gübre oranlar'!AG$2</f>
        <v>0</v>
      </c>
      <c r="AE155">
        <f>'Kullanılan gübre'!AE155*'Gübre oranlar'!AH$2</f>
        <v>0</v>
      </c>
      <c r="AF155">
        <f>'Kullanılan gübre'!AF155*'Gübre oranlar'!AI$2</f>
        <v>0</v>
      </c>
      <c r="AG155">
        <f>'Kullanılan gübre'!AG155*'Gübre oranlar'!AJ$2</f>
        <v>0</v>
      </c>
      <c r="AH155">
        <f>'Kullanılan gübre'!AH155*'Gübre oranlar'!AK$2</f>
        <v>0</v>
      </c>
      <c r="AI155">
        <f>'Kullanılan gübre'!AI155*'Gübre oranlar'!AL$2</f>
        <v>0</v>
      </c>
      <c r="AJ155">
        <f>'Kullanılan gübre'!AJ155*'Gübre oranlar'!AM$2</f>
        <v>0</v>
      </c>
      <c r="AK155">
        <f>'Kullanılan gübre'!AK155*'Gübre oranlar'!AN$2</f>
        <v>0</v>
      </c>
      <c r="AL155">
        <f>'Kullanılan gübre'!AL155*'Gübre oranlar'!AO$2</f>
        <v>0</v>
      </c>
      <c r="AM155">
        <f>'Kullanılan gübre'!AM155*'Gübre oranlar'!AP$2</f>
        <v>0</v>
      </c>
      <c r="AN155">
        <f>'Kullanılan gübre'!AN155*'Gübre oranlar'!AQ$2</f>
        <v>0</v>
      </c>
      <c r="AO155">
        <f>'Kullanılan gübre'!AO155*'Gübre oranlar'!AR$2</f>
        <v>0</v>
      </c>
      <c r="AP155">
        <f>'Kullanılan gübre'!AP155*'Gübre oranlar'!AS$2</f>
        <v>0</v>
      </c>
      <c r="AQ155">
        <f>'Kullanılan gübre'!AQ155*'Gübre oranlar'!AT$2</f>
        <v>0</v>
      </c>
      <c r="AR155">
        <f>'Kullanılan gübre'!AR155*'Gübre oranlar'!AU$2</f>
        <v>0</v>
      </c>
      <c r="AS155">
        <f>'Kullanılan gübre'!AS155*'Gübre oranlar'!AV$2</f>
        <v>0</v>
      </c>
      <c r="AT155">
        <f>'Kullanılan gübre'!AT155*'Gübre oranlar'!AW$2</f>
        <v>0</v>
      </c>
      <c r="AU155">
        <f>'Kullanılan gübre'!AU155*'Gübre oranlar'!AX$2</f>
        <v>0</v>
      </c>
      <c r="AV155">
        <f>'Kullanılan gübre'!AV155*'Gübre oranlar'!AY$2</f>
        <v>0</v>
      </c>
      <c r="AW155">
        <f t="shared" si="2"/>
        <v>295.56</v>
      </c>
    </row>
    <row r="156" spans="1:49" hidden="1" x14ac:dyDescent="0.25">
      <c r="A156" t="str">
        <f>'Kullanılan gübre'!A156</f>
        <v>BA</v>
      </c>
      <c r="B156" t="str">
        <f>'Kullanılan gübre'!B156</f>
        <v>ANTALYA</v>
      </c>
      <c r="C156" t="str">
        <f>'Kullanılan gübre'!C156</f>
        <v>KORKUTELI</v>
      </c>
      <c r="D156">
        <f>'Kullanılan gübre'!D156</f>
        <v>2008</v>
      </c>
      <c r="E156">
        <f>'Kullanılan gübre'!E156*'Gübre oranlar'!H$2</f>
        <v>221.13</v>
      </c>
      <c r="F156">
        <f>'Kullanılan gübre'!F156*'Gübre oranlar'!I$2</f>
        <v>383.5</v>
      </c>
      <c r="G156">
        <f>'Kullanılan gübre'!G156*'Gübre oranlar'!J$2</f>
        <v>580.80000000000007</v>
      </c>
      <c r="H156">
        <f>'Kullanılan gübre'!H156*'Gübre oranlar'!K$2</f>
        <v>325.68</v>
      </c>
      <c r="I156">
        <f>'Kullanılan gübre'!I156*'Gübre oranlar'!L$2</f>
        <v>0</v>
      </c>
      <c r="J156">
        <f>'Kullanılan gübre'!J156*'Gübre oranlar'!M$2</f>
        <v>116.1</v>
      </c>
      <c r="K156">
        <f>'Kullanılan gübre'!K156*'Gübre oranlar'!N$2</f>
        <v>863.2</v>
      </c>
      <c r="L156">
        <f>'Kullanılan gübre'!L156*'Gübre oranlar'!O$2</f>
        <v>46.6</v>
      </c>
      <c r="M156">
        <f>'Kullanılan gübre'!M156*'Gübre oranlar'!P$2</f>
        <v>211.95</v>
      </c>
      <c r="N156">
        <f>'Kullanılan gübre'!N156*'Gübre oranlar'!Q$2</f>
        <v>79.05</v>
      </c>
      <c r="O156">
        <f>'Kullanılan gübre'!O156*'Gübre oranlar'!R$2</f>
        <v>0</v>
      </c>
      <c r="P156">
        <f>'Kullanılan gübre'!P156*'Gübre oranlar'!S$2</f>
        <v>14.950000000000001</v>
      </c>
      <c r="Q156">
        <f>'Kullanılan gübre'!Q156*'Gübre oranlar'!T$2</f>
        <v>0</v>
      </c>
      <c r="R156">
        <f>'Kullanılan gübre'!R156*'Gübre oranlar'!U$2</f>
        <v>0</v>
      </c>
      <c r="S156">
        <f>'Kullanılan gübre'!S156*'Gübre oranlar'!V$2</f>
        <v>0</v>
      </c>
      <c r="T156">
        <f>'Kullanılan gübre'!T156*'Gübre oranlar'!W$2</f>
        <v>0</v>
      </c>
      <c r="U156">
        <f>'Kullanılan gübre'!U156*'Gübre oranlar'!X$2</f>
        <v>8</v>
      </c>
      <c r="V156">
        <f>'Kullanılan gübre'!V156*'Gübre oranlar'!Y$2</f>
        <v>0</v>
      </c>
      <c r="W156">
        <f>'Kullanılan gübre'!W156*'Gübre oranlar'!Z$2</f>
        <v>0</v>
      </c>
      <c r="X156">
        <f>'Kullanılan gübre'!X156*'Gübre oranlar'!AA$2</f>
        <v>0</v>
      </c>
      <c r="Y156">
        <f>'Kullanılan gübre'!Y156*'Gübre oranlar'!AB$2</f>
        <v>0</v>
      </c>
      <c r="Z156">
        <f>'Kullanılan gübre'!Z156*'Gübre oranlar'!AC$2</f>
        <v>0</v>
      </c>
      <c r="AA156">
        <f>'Kullanılan gübre'!AA156*'Gübre oranlar'!AD$2</f>
        <v>0</v>
      </c>
      <c r="AB156">
        <f>'Kullanılan gübre'!AB156*'Gübre oranlar'!AE$2</f>
        <v>0.12</v>
      </c>
      <c r="AC156">
        <f>'Kullanılan gübre'!AC156*'Gübre oranlar'!AF$2</f>
        <v>0</v>
      </c>
      <c r="AD156">
        <f>'Kullanılan gübre'!AD156*'Gübre oranlar'!AG$2</f>
        <v>0</v>
      </c>
      <c r="AE156">
        <f>'Kullanılan gübre'!AE156*'Gübre oranlar'!AH$2</f>
        <v>0</v>
      </c>
      <c r="AF156">
        <f>'Kullanılan gübre'!AF156*'Gübre oranlar'!AI$2</f>
        <v>0</v>
      </c>
      <c r="AG156">
        <f>'Kullanılan gübre'!AG156*'Gübre oranlar'!AJ$2</f>
        <v>0</v>
      </c>
      <c r="AH156">
        <f>'Kullanılan gübre'!AH156*'Gübre oranlar'!AK$2</f>
        <v>0</v>
      </c>
      <c r="AI156">
        <f>'Kullanılan gübre'!AI156*'Gübre oranlar'!AL$2</f>
        <v>0</v>
      </c>
      <c r="AJ156">
        <f>'Kullanılan gübre'!AJ156*'Gübre oranlar'!AM$2</f>
        <v>0</v>
      </c>
      <c r="AK156">
        <f>'Kullanılan gübre'!AK156*'Gübre oranlar'!AN$2</f>
        <v>0</v>
      </c>
      <c r="AL156">
        <f>'Kullanılan gübre'!AL156*'Gübre oranlar'!AO$2</f>
        <v>0</v>
      </c>
      <c r="AM156">
        <f>'Kullanılan gübre'!AM156*'Gübre oranlar'!AP$2</f>
        <v>0</v>
      </c>
      <c r="AN156">
        <f>'Kullanılan gübre'!AN156*'Gübre oranlar'!AQ$2</f>
        <v>0</v>
      </c>
      <c r="AO156">
        <f>'Kullanılan gübre'!AO156*'Gübre oranlar'!AR$2</f>
        <v>0</v>
      </c>
      <c r="AP156">
        <f>'Kullanılan gübre'!AP156*'Gübre oranlar'!AS$2</f>
        <v>0</v>
      </c>
      <c r="AQ156">
        <f>'Kullanılan gübre'!AQ156*'Gübre oranlar'!AT$2</f>
        <v>0</v>
      </c>
      <c r="AR156">
        <f>'Kullanılan gübre'!AR156*'Gübre oranlar'!AU$2</f>
        <v>0</v>
      </c>
      <c r="AS156">
        <f>'Kullanılan gübre'!AS156*'Gübre oranlar'!AV$2</f>
        <v>4.9400000000000004</v>
      </c>
      <c r="AT156">
        <f>'Kullanılan gübre'!AT156*'Gübre oranlar'!AW$2</f>
        <v>0</v>
      </c>
      <c r="AU156">
        <f>'Kullanılan gübre'!AU156*'Gübre oranlar'!AX$2</f>
        <v>0</v>
      </c>
      <c r="AV156">
        <f>'Kullanılan gübre'!AV156*'Gübre oranlar'!AY$2</f>
        <v>0</v>
      </c>
      <c r="AW156">
        <f t="shared" si="2"/>
        <v>2856.0199999999995</v>
      </c>
    </row>
    <row r="157" spans="1:49" hidden="1" x14ac:dyDescent="0.25">
      <c r="A157" t="str">
        <f>'Kullanılan gübre'!A157</f>
        <v>BA</v>
      </c>
      <c r="B157" t="str">
        <f>'Kullanılan gübre'!B157</f>
        <v>ANTALYA</v>
      </c>
      <c r="C157" t="str">
        <f>'Kullanılan gübre'!C157</f>
        <v>ELMALI</v>
      </c>
      <c r="D157">
        <f>'Kullanılan gübre'!D157</f>
        <v>2008</v>
      </c>
      <c r="E157">
        <f>'Kullanılan gübre'!E157*'Gübre oranlar'!H$2</f>
        <v>107.52</v>
      </c>
      <c r="F157">
        <f>'Kullanılan gübre'!F157*'Gübre oranlar'!I$2</f>
        <v>114.92</v>
      </c>
      <c r="G157">
        <f>'Kullanılan gübre'!G157*'Gübre oranlar'!J$2</f>
        <v>287.76</v>
      </c>
      <c r="H157">
        <f>'Kullanılan gübre'!H157*'Gübre oranlar'!K$2</f>
        <v>290.26</v>
      </c>
      <c r="I157">
        <f>'Kullanılan gübre'!I157*'Gübre oranlar'!L$2</f>
        <v>0</v>
      </c>
      <c r="J157">
        <f>'Kullanılan gübre'!J157*'Gübre oranlar'!M$2</f>
        <v>41.58</v>
      </c>
      <c r="K157">
        <f>'Kullanılan gübre'!K157*'Gübre oranlar'!N$2</f>
        <v>199.4</v>
      </c>
      <c r="L157">
        <f>'Kullanılan gübre'!L157*'Gübre oranlar'!O$2</f>
        <v>11.200000000000001</v>
      </c>
      <c r="M157">
        <f>'Kullanılan gübre'!M157*'Gübre oranlar'!P$2</f>
        <v>76.5</v>
      </c>
      <c r="N157">
        <f>'Kullanılan gübre'!N157*'Gübre oranlar'!Q$2</f>
        <v>42.449999999999996</v>
      </c>
      <c r="O157">
        <f>'Kullanılan gübre'!O157*'Gübre oranlar'!R$2</f>
        <v>0</v>
      </c>
      <c r="P157">
        <f>'Kullanılan gübre'!P157*'Gübre oranlar'!S$2</f>
        <v>17.16</v>
      </c>
      <c r="Q157">
        <f>'Kullanılan gübre'!Q157*'Gübre oranlar'!T$2</f>
        <v>43.08</v>
      </c>
      <c r="R157">
        <f>'Kullanılan gübre'!R157*'Gübre oranlar'!U$2</f>
        <v>0</v>
      </c>
      <c r="S157">
        <f>'Kullanılan gübre'!S157*'Gübre oranlar'!V$2</f>
        <v>1.8599999999999999</v>
      </c>
      <c r="T157">
        <f>'Kullanılan gübre'!T157*'Gübre oranlar'!W$2</f>
        <v>0</v>
      </c>
      <c r="U157">
        <f>'Kullanılan gübre'!U157*'Gübre oranlar'!X$2</f>
        <v>2.25</v>
      </c>
      <c r="V157">
        <f>'Kullanılan gübre'!V157*'Gübre oranlar'!Y$2</f>
        <v>0</v>
      </c>
      <c r="W157">
        <f>'Kullanılan gübre'!W157*'Gübre oranlar'!Z$2</f>
        <v>0</v>
      </c>
      <c r="X157">
        <f>'Kullanılan gübre'!X157*'Gübre oranlar'!AA$2</f>
        <v>0</v>
      </c>
      <c r="Y157">
        <f>'Kullanılan gübre'!Y157*'Gübre oranlar'!AB$2</f>
        <v>0</v>
      </c>
      <c r="Z157">
        <f>'Kullanılan gübre'!Z157*'Gübre oranlar'!AC$2</f>
        <v>0</v>
      </c>
      <c r="AA157">
        <f>'Kullanılan gübre'!AA157*'Gübre oranlar'!AD$2</f>
        <v>0</v>
      </c>
      <c r="AB157">
        <f>'Kullanılan gübre'!AB157*'Gübre oranlar'!AE$2</f>
        <v>0.6</v>
      </c>
      <c r="AC157">
        <f>'Kullanılan gübre'!AC157*'Gübre oranlar'!AF$2</f>
        <v>0</v>
      </c>
      <c r="AD157">
        <f>'Kullanılan gübre'!AD157*'Gübre oranlar'!AG$2</f>
        <v>0</v>
      </c>
      <c r="AE157">
        <f>'Kullanılan gübre'!AE157*'Gübre oranlar'!AH$2</f>
        <v>0</v>
      </c>
      <c r="AF157">
        <f>'Kullanılan gübre'!AF157*'Gübre oranlar'!AI$2</f>
        <v>0</v>
      </c>
      <c r="AG157">
        <f>'Kullanılan gübre'!AG157*'Gübre oranlar'!AJ$2</f>
        <v>0</v>
      </c>
      <c r="AH157">
        <f>'Kullanılan gübre'!AH157*'Gübre oranlar'!AK$2</f>
        <v>0</v>
      </c>
      <c r="AI157">
        <f>'Kullanılan gübre'!AI157*'Gübre oranlar'!AL$2</f>
        <v>0</v>
      </c>
      <c r="AJ157">
        <f>'Kullanılan gübre'!AJ157*'Gübre oranlar'!AM$2</f>
        <v>0</v>
      </c>
      <c r="AK157">
        <f>'Kullanılan gübre'!AK157*'Gübre oranlar'!AN$2</f>
        <v>0</v>
      </c>
      <c r="AL157">
        <f>'Kullanılan gübre'!AL157*'Gübre oranlar'!AO$2</f>
        <v>0</v>
      </c>
      <c r="AM157">
        <f>'Kullanılan gübre'!AM157*'Gübre oranlar'!AP$2</f>
        <v>0</v>
      </c>
      <c r="AN157">
        <f>'Kullanılan gübre'!AN157*'Gübre oranlar'!AQ$2</f>
        <v>0</v>
      </c>
      <c r="AO157">
        <f>'Kullanılan gübre'!AO157*'Gübre oranlar'!AR$2</f>
        <v>0</v>
      </c>
      <c r="AP157">
        <f>'Kullanılan gübre'!AP157*'Gübre oranlar'!AS$2</f>
        <v>0</v>
      </c>
      <c r="AQ157">
        <f>'Kullanılan gübre'!AQ157*'Gübre oranlar'!AT$2</f>
        <v>0</v>
      </c>
      <c r="AR157">
        <f>'Kullanılan gübre'!AR157*'Gübre oranlar'!AU$2</f>
        <v>0</v>
      </c>
      <c r="AS157">
        <f>'Kullanılan gübre'!AS157*'Gübre oranlar'!AV$2</f>
        <v>9.49</v>
      </c>
      <c r="AT157">
        <f>'Kullanılan gübre'!AT157*'Gübre oranlar'!AW$2</f>
        <v>0</v>
      </c>
      <c r="AU157">
        <f>'Kullanılan gübre'!AU157*'Gübre oranlar'!AX$2</f>
        <v>0</v>
      </c>
      <c r="AV157">
        <f>'Kullanılan gübre'!AV157*'Gübre oranlar'!AY$2</f>
        <v>0</v>
      </c>
      <c r="AW157">
        <f t="shared" si="2"/>
        <v>1246.03</v>
      </c>
    </row>
    <row r="158" spans="1:49" hidden="1" x14ac:dyDescent="0.25">
      <c r="A158" t="str">
        <f>'Kullanılan gübre'!A158</f>
        <v>BA</v>
      </c>
      <c r="B158" t="str">
        <f>'Kullanılan gübre'!B158</f>
        <v>ANTALYA</v>
      </c>
      <c r="C158" t="str">
        <f>'Kullanılan gübre'!C158</f>
        <v>KEMER</v>
      </c>
      <c r="D158">
        <f>'Kullanılan gübre'!D158</f>
        <v>2009</v>
      </c>
      <c r="E158">
        <f>'Kullanılan gübre'!E158*'Gübre oranlar'!H$2</f>
        <v>5.25</v>
      </c>
      <c r="F158">
        <f>'Kullanılan gübre'!F158*'Gübre oranlar'!I$2</f>
        <v>0</v>
      </c>
      <c r="G158">
        <f>'Kullanılan gübre'!G158*'Gübre oranlar'!J$2</f>
        <v>3.6300000000000003</v>
      </c>
      <c r="H158">
        <f>'Kullanılan gübre'!H158*'Gübre oranlar'!K$2</f>
        <v>3.68</v>
      </c>
      <c r="I158">
        <f>'Kullanılan gübre'!I158*'Gübre oranlar'!L$2</f>
        <v>0</v>
      </c>
      <c r="J158">
        <f>'Kullanılan gübre'!J158*'Gübre oranlar'!M$2</f>
        <v>0.36</v>
      </c>
      <c r="K158">
        <f>'Kullanılan gübre'!K158*'Gübre oranlar'!N$2</f>
        <v>0.4</v>
      </c>
      <c r="L158">
        <f>'Kullanılan gübre'!L158*'Gübre oranlar'!O$2</f>
        <v>0</v>
      </c>
      <c r="M158">
        <f>'Kullanılan gübre'!M158*'Gübre oranlar'!P$2</f>
        <v>0</v>
      </c>
      <c r="N158">
        <f>'Kullanılan gübre'!N158*'Gübre oranlar'!Q$2</f>
        <v>6.75</v>
      </c>
      <c r="O158">
        <f>'Kullanılan gübre'!O158*'Gübre oranlar'!R$2</f>
        <v>0</v>
      </c>
      <c r="P158">
        <f>'Kullanılan gübre'!P158*'Gübre oranlar'!S$2</f>
        <v>0</v>
      </c>
      <c r="Q158">
        <f>'Kullanılan gübre'!Q158*'Gübre oranlar'!T$2</f>
        <v>0</v>
      </c>
      <c r="R158">
        <f>'Kullanılan gübre'!R158*'Gübre oranlar'!U$2</f>
        <v>0</v>
      </c>
      <c r="S158">
        <f>'Kullanılan gübre'!S158*'Gübre oranlar'!V$2</f>
        <v>0</v>
      </c>
      <c r="T158">
        <f>'Kullanılan gübre'!T158*'Gübre oranlar'!W$2</f>
        <v>0</v>
      </c>
      <c r="U158">
        <f>'Kullanılan gübre'!U158*'Gübre oranlar'!X$2</f>
        <v>0</v>
      </c>
      <c r="V158">
        <f>'Kullanılan gübre'!V158*'Gübre oranlar'!Y$2</f>
        <v>0</v>
      </c>
      <c r="W158">
        <f>'Kullanılan gübre'!W158*'Gübre oranlar'!Z$2</f>
        <v>0</v>
      </c>
      <c r="X158">
        <f>'Kullanılan gübre'!X158*'Gübre oranlar'!AA$2</f>
        <v>0</v>
      </c>
      <c r="Y158">
        <f>'Kullanılan gübre'!Y158*'Gübre oranlar'!AB$2</f>
        <v>0</v>
      </c>
      <c r="Z158">
        <f>'Kullanılan gübre'!Z158*'Gübre oranlar'!AC$2</f>
        <v>0</v>
      </c>
      <c r="AA158">
        <f>'Kullanılan gübre'!AA158*'Gübre oranlar'!AD$2</f>
        <v>0</v>
      </c>
      <c r="AB158">
        <f>'Kullanılan gübre'!AB158*'Gübre oranlar'!AE$2</f>
        <v>0</v>
      </c>
      <c r="AC158">
        <f>'Kullanılan gübre'!AC158*'Gübre oranlar'!AF$2</f>
        <v>0</v>
      </c>
      <c r="AD158">
        <f>'Kullanılan gübre'!AD158*'Gübre oranlar'!AG$2</f>
        <v>0</v>
      </c>
      <c r="AE158">
        <f>'Kullanılan gübre'!AE158*'Gübre oranlar'!AH$2</f>
        <v>0</v>
      </c>
      <c r="AF158">
        <f>'Kullanılan gübre'!AF158*'Gübre oranlar'!AI$2</f>
        <v>0</v>
      </c>
      <c r="AG158">
        <f>'Kullanılan gübre'!AG158*'Gübre oranlar'!AJ$2</f>
        <v>0</v>
      </c>
      <c r="AH158">
        <f>'Kullanılan gübre'!AH158*'Gübre oranlar'!AK$2</f>
        <v>0</v>
      </c>
      <c r="AI158">
        <f>'Kullanılan gübre'!AI158*'Gübre oranlar'!AL$2</f>
        <v>0</v>
      </c>
      <c r="AJ158">
        <f>'Kullanılan gübre'!AJ158*'Gübre oranlar'!AM$2</f>
        <v>0</v>
      </c>
      <c r="AK158">
        <f>'Kullanılan gübre'!AK158*'Gübre oranlar'!AN$2</f>
        <v>0</v>
      </c>
      <c r="AL158">
        <f>'Kullanılan gübre'!AL158*'Gübre oranlar'!AO$2</f>
        <v>0</v>
      </c>
      <c r="AM158">
        <f>'Kullanılan gübre'!AM158*'Gübre oranlar'!AP$2</f>
        <v>0</v>
      </c>
      <c r="AN158">
        <f>'Kullanılan gübre'!AN158*'Gübre oranlar'!AQ$2</f>
        <v>0</v>
      </c>
      <c r="AO158">
        <f>'Kullanılan gübre'!AO158*'Gübre oranlar'!AR$2</f>
        <v>0</v>
      </c>
      <c r="AP158">
        <f>'Kullanılan gübre'!AP158*'Gübre oranlar'!AS$2</f>
        <v>0</v>
      </c>
      <c r="AQ158">
        <f>'Kullanılan gübre'!AQ158*'Gübre oranlar'!AT$2</f>
        <v>0</v>
      </c>
      <c r="AR158">
        <f>'Kullanılan gübre'!AR158*'Gübre oranlar'!AU$2</f>
        <v>0</v>
      </c>
      <c r="AS158">
        <f>'Kullanılan gübre'!AS158*'Gübre oranlar'!AV$2</f>
        <v>0</v>
      </c>
      <c r="AT158">
        <f>'Kullanılan gübre'!AT158*'Gübre oranlar'!AW$2</f>
        <v>0</v>
      </c>
      <c r="AU158">
        <f>'Kullanılan gübre'!AU158*'Gübre oranlar'!AX$2</f>
        <v>0</v>
      </c>
      <c r="AV158">
        <f>'Kullanılan gübre'!AV158*'Gübre oranlar'!AY$2</f>
        <v>0</v>
      </c>
      <c r="AW158">
        <f t="shared" si="2"/>
        <v>20.07</v>
      </c>
    </row>
    <row r="159" spans="1:49" hidden="1" x14ac:dyDescent="0.25">
      <c r="A159" t="str">
        <f>'Kullanılan gübre'!A159</f>
        <v>BA</v>
      </c>
      <c r="B159" t="str">
        <f>'Kullanılan gübre'!B159</f>
        <v>ANTALYA</v>
      </c>
      <c r="C159" t="str">
        <f>'Kullanılan gübre'!C159</f>
        <v>KUMLUCA</v>
      </c>
      <c r="D159">
        <f>'Kullanılan gübre'!D159</f>
        <v>2009</v>
      </c>
      <c r="E159">
        <f>'Kullanılan gübre'!E159*'Gübre oranlar'!H$2</f>
        <v>276.36</v>
      </c>
      <c r="F159">
        <f>'Kullanılan gübre'!F159*'Gübre oranlar'!I$2</f>
        <v>5.7200000000000006</v>
      </c>
      <c r="G159">
        <f>'Kullanılan gübre'!G159*'Gübre oranlar'!J$2</f>
        <v>350.79</v>
      </c>
      <c r="H159">
        <f>'Kullanılan gübre'!H159*'Gübre oranlar'!K$2</f>
        <v>130.64000000000001</v>
      </c>
      <c r="I159">
        <f>'Kullanılan gübre'!I159*'Gübre oranlar'!L$2</f>
        <v>0</v>
      </c>
      <c r="J159">
        <f>'Kullanılan gübre'!J159*'Gübre oranlar'!M$2</f>
        <v>109.8</v>
      </c>
      <c r="K159">
        <f>'Kullanılan gübre'!K159*'Gübre oranlar'!N$2</f>
        <v>36</v>
      </c>
      <c r="L159">
        <f>'Kullanılan gübre'!L159*'Gübre oranlar'!O$2</f>
        <v>7.4</v>
      </c>
      <c r="M159">
        <f>'Kullanılan gübre'!M159*'Gübre oranlar'!P$2</f>
        <v>66.75</v>
      </c>
      <c r="N159">
        <f>'Kullanılan gübre'!N159*'Gübre oranlar'!Q$2</f>
        <v>183.29999999999998</v>
      </c>
      <c r="O159">
        <f>'Kullanılan gübre'!O159*'Gübre oranlar'!R$2</f>
        <v>0</v>
      </c>
      <c r="P159">
        <f>'Kullanılan gübre'!P159*'Gübre oranlar'!S$2</f>
        <v>61.49</v>
      </c>
      <c r="Q159">
        <f>'Kullanılan gübre'!Q159*'Gübre oranlar'!T$2</f>
        <v>37.199999999999996</v>
      </c>
      <c r="R159">
        <f>'Kullanılan gübre'!R159*'Gübre oranlar'!U$2</f>
        <v>0</v>
      </c>
      <c r="S159">
        <f>'Kullanılan gübre'!S159*'Gübre oranlar'!V$2</f>
        <v>11.625</v>
      </c>
      <c r="T159">
        <f>'Kullanılan gübre'!T159*'Gübre oranlar'!W$2</f>
        <v>0</v>
      </c>
      <c r="U159">
        <f>'Kullanılan gübre'!U159*'Gübre oranlar'!X$2</f>
        <v>12.5</v>
      </c>
      <c r="V159">
        <f>'Kullanılan gübre'!V159*'Gübre oranlar'!Y$2</f>
        <v>0</v>
      </c>
      <c r="W159">
        <f>'Kullanılan gübre'!W159*'Gübre oranlar'!Z$2</f>
        <v>0</v>
      </c>
      <c r="X159">
        <f>'Kullanılan gübre'!X159*'Gübre oranlar'!AA$2</f>
        <v>0</v>
      </c>
      <c r="Y159">
        <f>'Kullanılan gübre'!Y159*'Gübre oranlar'!AB$2</f>
        <v>0</v>
      </c>
      <c r="Z159">
        <f>'Kullanılan gübre'!Z159*'Gübre oranlar'!AC$2</f>
        <v>0</v>
      </c>
      <c r="AA159">
        <f>'Kullanılan gübre'!AA159*'Gübre oranlar'!AD$2</f>
        <v>0</v>
      </c>
      <c r="AB159">
        <f>'Kullanılan gübre'!AB159*'Gübre oranlar'!AE$2</f>
        <v>3.7199999999999998</v>
      </c>
      <c r="AC159">
        <f>'Kullanılan gübre'!AC159*'Gübre oranlar'!AF$2</f>
        <v>0</v>
      </c>
      <c r="AD159">
        <f>'Kullanılan gübre'!AD159*'Gübre oranlar'!AG$2</f>
        <v>0</v>
      </c>
      <c r="AE159">
        <f>'Kullanılan gübre'!AE159*'Gübre oranlar'!AH$2</f>
        <v>0</v>
      </c>
      <c r="AF159">
        <f>'Kullanılan gübre'!AF159*'Gübre oranlar'!AI$2</f>
        <v>0</v>
      </c>
      <c r="AG159">
        <f>'Kullanılan gübre'!AG159*'Gübre oranlar'!AJ$2</f>
        <v>0</v>
      </c>
      <c r="AH159">
        <f>'Kullanılan gübre'!AH159*'Gübre oranlar'!AK$2</f>
        <v>0</v>
      </c>
      <c r="AI159">
        <f>'Kullanılan gübre'!AI159*'Gübre oranlar'!AL$2</f>
        <v>0</v>
      </c>
      <c r="AJ159">
        <f>'Kullanılan gübre'!AJ159*'Gübre oranlar'!AM$2</f>
        <v>0</v>
      </c>
      <c r="AK159">
        <f>'Kullanılan gübre'!AK159*'Gübre oranlar'!AN$2</f>
        <v>0</v>
      </c>
      <c r="AL159">
        <f>'Kullanılan gübre'!AL159*'Gübre oranlar'!AO$2</f>
        <v>0</v>
      </c>
      <c r="AM159">
        <f>'Kullanılan gübre'!AM159*'Gübre oranlar'!AP$2</f>
        <v>0</v>
      </c>
      <c r="AN159">
        <f>'Kullanılan gübre'!AN159*'Gübre oranlar'!AQ$2</f>
        <v>0</v>
      </c>
      <c r="AO159">
        <f>'Kullanılan gübre'!AO159*'Gübre oranlar'!AR$2</f>
        <v>0</v>
      </c>
      <c r="AP159">
        <f>'Kullanılan gübre'!AP159*'Gübre oranlar'!AS$2</f>
        <v>0</v>
      </c>
      <c r="AQ159">
        <f>'Kullanılan gübre'!AQ159*'Gübre oranlar'!AT$2</f>
        <v>0</v>
      </c>
      <c r="AR159">
        <f>'Kullanılan gübre'!AR159*'Gübre oranlar'!AU$2</f>
        <v>0</v>
      </c>
      <c r="AS159">
        <f>'Kullanılan gübre'!AS159*'Gübre oranlar'!AV$2</f>
        <v>26.130000000000003</v>
      </c>
      <c r="AT159">
        <f>'Kullanılan gübre'!AT159*'Gübre oranlar'!AW$2</f>
        <v>0</v>
      </c>
      <c r="AU159">
        <f>'Kullanılan gübre'!AU159*'Gübre oranlar'!AX$2</f>
        <v>0</v>
      </c>
      <c r="AV159">
        <f>'Kullanılan gübre'!AV159*'Gübre oranlar'!AY$2</f>
        <v>0</v>
      </c>
      <c r="AW159">
        <f t="shared" si="2"/>
        <v>1319.4250000000002</v>
      </c>
    </row>
    <row r="160" spans="1:49" hidden="1" x14ac:dyDescent="0.25">
      <c r="A160" t="str">
        <f>'Kullanılan gübre'!A160</f>
        <v>BA</v>
      </c>
      <c r="B160" t="str">
        <f>'Kullanılan gübre'!B160</f>
        <v>ANTALYA</v>
      </c>
      <c r="C160" t="str">
        <f>'Kullanılan gübre'!C160</f>
        <v>FINIKE</v>
      </c>
      <c r="D160">
        <f>'Kullanılan gübre'!D160</f>
        <v>2009</v>
      </c>
      <c r="E160">
        <f>'Kullanılan gübre'!E160*'Gübre oranlar'!H$2</f>
        <v>191.1</v>
      </c>
      <c r="F160">
        <f>'Kullanılan gübre'!F160*'Gübre oranlar'!I$2</f>
        <v>32.5</v>
      </c>
      <c r="G160">
        <f>'Kullanılan gübre'!G160*'Gübre oranlar'!J$2</f>
        <v>256.74</v>
      </c>
      <c r="H160">
        <f>'Kullanılan gübre'!H160*'Gübre oranlar'!K$2</f>
        <v>81.42</v>
      </c>
      <c r="I160">
        <f>'Kullanılan gübre'!I160*'Gübre oranlar'!L$2</f>
        <v>0</v>
      </c>
      <c r="J160">
        <f>'Kullanılan gübre'!J160*'Gübre oranlar'!M$2</f>
        <v>41.22</v>
      </c>
      <c r="K160">
        <f>'Kullanılan gübre'!K160*'Gübre oranlar'!N$2</f>
        <v>20.8</v>
      </c>
      <c r="L160">
        <f>'Kullanılan gübre'!L160*'Gübre oranlar'!O$2</f>
        <v>0</v>
      </c>
      <c r="M160">
        <f>'Kullanılan gübre'!M160*'Gübre oranlar'!P$2</f>
        <v>39</v>
      </c>
      <c r="N160">
        <f>'Kullanılan gübre'!N160*'Gübre oranlar'!Q$2</f>
        <v>154.5</v>
      </c>
      <c r="O160">
        <f>'Kullanılan gübre'!O160*'Gübre oranlar'!R$2</f>
        <v>0</v>
      </c>
      <c r="P160">
        <f>'Kullanılan gübre'!P160*'Gübre oranlar'!S$2</f>
        <v>20.41</v>
      </c>
      <c r="Q160">
        <f>'Kullanılan gübre'!Q160*'Gübre oranlar'!T$2</f>
        <v>34.44</v>
      </c>
      <c r="R160">
        <f>'Kullanılan gübre'!R160*'Gübre oranlar'!U$2</f>
        <v>0</v>
      </c>
      <c r="S160">
        <f>'Kullanılan gübre'!S160*'Gübre oranlar'!V$2</f>
        <v>6.0449999999999999</v>
      </c>
      <c r="T160">
        <f>'Kullanılan gübre'!T160*'Gübre oranlar'!W$2</f>
        <v>0</v>
      </c>
      <c r="U160">
        <f>'Kullanılan gübre'!U160*'Gübre oranlar'!X$2</f>
        <v>54.75</v>
      </c>
      <c r="V160">
        <f>'Kullanılan gübre'!V160*'Gübre oranlar'!Y$2</f>
        <v>0</v>
      </c>
      <c r="W160">
        <f>'Kullanılan gübre'!W160*'Gübre oranlar'!Z$2</f>
        <v>0</v>
      </c>
      <c r="X160">
        <f>'Kullanılan gübre'!X160*'Gübre oranlar'!AA$2</f>
        <v>0</v>
      </c>
      <c r="Y160">
        <f>'Kullanılan gübre'!Y160*'Gübre oranlar'!AB$2</f>
        <v>0</v>
      </c>
      <c r="Z160">
        <f>'Kullanılan gübre'!Z160*'Gübre oranlar'!AC$2</f>
        <v>0</v>
      </c>
      <c r="AA160">
        <f>'Kullanılan gübre'!AA160*'Gübre oranlar'!AD$2</f>
        <v>0</v>
      </c>
      <c r="AB160">
        <f>'Kullanılan gübre'!AB160*'Gübre oranlar'!AE$2</f>
        <v>3.2399999999999998</v>
      </c>
      <c r="AC160">
        <f>'Kullanılan gübre'!AC160*'Gübre oranlar'!AF$2</f>
        <v>0</v>
      </c>
      <c r="AD160">
        <f>'Kullanılan gübre'!AD160*'Gübre oranlar'!AG$2</f>
        <v>0</v>
      </c>
      <c r="AE160">
        <f>'Kullanılan gübre'!AE160*'Gübre oranlar'!AH$2</f>
        <v>0</v>
      </c>
      <c r="AF160">
        <f>'Kullanılan gübre'!AF160*'Gübre oranlar'!AI$2</f>
        <v>0</v>
      </c>
      <c r="AG160">
        <f>'Kullanılan gübre'!AG160*'Gübre oranlar'!AJ$2</f>
        <v>0</v>
      </c>
      <c r="AH160">
        <f>'Kullanılan gübre'!AH160*'Gübre oranlar'!AK$2</f>
        <v>0</v>
      </c>
      <c r="AI160">
        <f>'Kullanılan gübre'!AI160*'Gübre oranlar'!AL$2</f>
        <v>0</v>
      </c>
      <c r="AJ160">
        <f>'Kullanılan gübre'!AJ160*'Gübre oranlar'!AM$2</f>
        <v>0</v>
      </c>
      <c r="AK160">
        <f>'Kullanılan gübre'!AK160*'Gübre oranlar'!AN$2</f>
        <v>0</v>
      </c>
      <c r="AL160">
        <f>'Kullanılan gübre'!AL160*'Gübre oranlar'!AO$2</f>
        <v>0</v>
      </c>
      <c r="AM160">
        <f>'Kullanılan gübre'!AM160*'Gübre oranlar'!AP$2</f>
        <v>0</v>
      </c>
      <c r="AN160">
        <f>'Kullanılan gübre'!AN160*'Gübre oranlar'!AQ$2</f>
        <v>0</v>
      </c>
      <c r="AO160">
        <f>'Kullanılan gübre'!AO160*'Gübre oranlar'!AR$2</f>
        <v>0</v>
      </c>
      <c r="AP160">
        <f>'Kullanılan gübre'!AP160*'Gübre oranlar'!AS$2</f>
        <v>0</v>
      </c>
      <c r="AQ160">
        <f>'Kullanılan gübre'!AQ160*'Gübre oranlar'!AT$2</f>
        <v>0</v>
      </c>
      <c r="AR160">
        <f>'Kullanılan gübre'!AR160*'Gübre oranlar'!AU$2</f>
        <v>0</v>
      </c>
      <c r="AS160">
        <f>'Kullanılan gübre'!AS160*'Gübre oranlar'!AV$2</f>
        <v>51.09</v>
      </c>
      <c r="AT160">
        <f>'Kullanılan gübre'!AT160*'Gübre oranlar'!AW$2</f>
        <v>0</v>
      </c>
      <c r="AU160">
        <f>'Kullanılan gübre'!AU160*'Gübre oranlar'!AX$2</f>
        <v>0</v>
      </c>
      <c r="AV160">
        <f>'Kullanılan gübre'!AV160*'Gübre oranlar'!AY$2</f>
        <v>0</v>
      </c>
      <c r="AW160">
        <f t="shared" si="2"/>
        <v>987.25499999999988</v>
      </c>
    </row>
    <row r="161" spans="1:49" hidden="1" x14ac:dyDescent="0.25">
      <c r="A161" t="str">
        <f>'Kullanılan gübre'!A161</f>
        <v>BA</v>
      </c>
      <c r="B161" t="str">
        <f>'Kullanılan gübre'!B161</f>
        <v>ANTALYA</v>
      </c>
      <c r="C161" t="str">
        <f>'Kullanılan gübre'!C161</f>
        <v>DEMRE</v>
      </c>
      <c r="D161">
        <f>'Kullanılan gübre'!D161</f>
        <v>2009</v>
      </c>
      <c r="E161">
        <f>'Kullanılan gübre'!E161*'Gübre oranlar'!H$2</f>
        <v>48.93</v>
      </c>
      <c r="F161">
        <f>'Kullanılan gübre'!F161*'Gübre oranlar'!I$2</f>
        <v>8.58</v>
      </c>
      <c r="G161">
        <f>'Kullanılan gübre'!G161*'Gübre oranlar'!J$2</f>
        <v>89.76</v>
      </c>
      <c r="H161">
        <f>'Kullanılan gübre'!H161*'Gübre oranlar'!K$2</f>
        <v>48.760000000000005</v>
      </c>
      <c r="I161">
        <f>'Kullanılan gübre'!I161*'Gübre oranlar'!L$2</f>
        <v>0</v>
      </c>
      <c r="J161">
        <f>'Kullanılan gübre'!J161*'Gübre oranlar'!M$2</f>
        <v>25.919999999999998</v>
      </c>
      <c r="K161">
        <f>'Kullanılan gübre'!K161*'Gübre oranlar'!N$2</f>
        <v>9.6000000000000014</v>
      </c>
      <c r="L161">
        <f>'Kullanılan gübre'!L161*'Gübre oranlar'!O$2</f>
        <v>0</v>
      </c>
      <c r="M161">
        <f>'Kullanılan gübre'!M161*'Gübre oranlar'!P$2</f>
        <v>4.3499999999999996</v>
      </c>
      <c r="N161">
        <f>'Kullanılan gübre'!N161*'Gübre oranlar'!Q$2</f>
        <v>14.549999999999999</v>
      </c>
      <c r="O161">
        <f>'Kullanılan gübre'!O161*'Gübre oranlar'!R$2</f>
        <v>0</v>
      </c>
      <c r="P161">
        <f>'Kullanılan gübre'!P161*'Gübre oranlar'!S$2</f>
        <v>23.27</v>
      </c>
      <c r="Q161">
        <f>'Kullanılan gübre'!Q161*'Gübre oranlar'!T$2</f>
        <v>0</v>
      </c>
      <c r="R161">
        <f>'Kullanılan gübre'!R161*'Gübre oranlar'!U$2</f>
        <v>0</v>
      </c>
      <c r="S161">
        <f>'Kullanılan gübre'!S161*'Gübre oranlar'!V$2</f>
        <v>18.600000000000001</v>
      </c>
      <c r="T161">
        <f>'Kullanılan gübre'!T161*'Gübre oranlar'!W$2</f>
        <v>0</v>
      </c>
      <c r="U161">
        <f>'Kullanılan gübre'!U161*'Gübre oranlar'!X$2</f>
        <v>7.25</v>
      </c>
      <c r="V161">
        <f>'Kullanılan gübre'!V161*'Gübre oranlar'!Y$2</f>
        <v>0</v>
      </c>
      <c r="W161">
        <f>'Kullanılan gübre'!W161*'Gübre oranlar'!Z$2</f>
        <v>0</v>
      </c>
      <c r="X161">
        <f>'Kullanılan gübre'!X161*'Gübre oranlar'!AA$2</f>
        <v>0</v>
      </c>
      <c r="Y161">
        <f>'Kullanılan gübre'!Y161*'Gübre oranlar'!AB$2</f>
        <v>0</v>
      </c>
      <c r="Z161">
        <f>'Kullanılan gübre'!Z161*'Gübre oranlar'!AC$2</f>
        <v>0</v>
      </c>
      <c r="AA161">
        <f>'Kullanılan gübre'!AA161*'Gübre oranlar'!AD$2</f>
        <v>0</v>
      </c>
      <c r="AB161">
        <f>'Kullanılan gübre'!AB161*'Gübre oranlar'!AE$2</f>
        <v>8.76</v>
      </c>
      <c r="AC161">
        <f>'Kullanılan gübre'!AC161*'Gübre oranlar'!AF$2</f>
        <v>0</v>
      </c>
      <c r="AD161">
        <f>'Kullanılan gübre'!AD161*'Gübre oranlar'!AG$2</f>
        <v>0</v>
      </c>
      <c r="AE161">
        <f>'Kullanılan gübre'!AE161*'Gübre oranlar'!AH$2</f>
        <v>0</v>
      </c>
      <c r="AF161">
        <f>'Kullanılan gübre'!AF161*'Gübre oranlar'!AI$2</f>
        <v>0</v>
      </c>
      <c r="AG161">
        <f>'Kullanılan gübre'!AG161*'Gübre oranlar'!AJ$2</f>
        <v>0</v>
      </c>
      <c r="AH161">
        <f>'Kullanılan gübre'!AH161*'Gübre oranlar'!AK$2</f>
        <v>0</v>
      </c>
      <c r="AI161">
        <f>'Kullanılan gübre'!AI161*'Gübre oranlar'!AL$2</f>
        <v>0</v>
      </c>
      <c r="AJ161">
        <f>'Kullanılan gübre'!AJ161*'Gübre oranlar'!AM$2</f>
        <v>0</v>
      </c>
      <c r="AK161">
        <f>'Kullanılan gübre'!AK161*'Gübre oranlar'!AN$2</f>
        <v>0</v>
      </c>
      <c r="AL161">
        <f>'Kullanılan gübre'!AL161*'Gübre oranlar'!AO$2</f>
        <v>0</v>
      </c>
      <c r="AM161">
        <f>'Kullanılan gübre'!AM161*'Gübre oranlar'!AP$2</f>
        <v>0</v>
      </c>
      <c r="AN161">
        <f>'Kullanılan gübre'!AN161*'Gübre oranlar'!AQ$2</f>
        <v>0</v>
      </c>
      <c r="AO161">
        <f>'Kullanılan gübre'!AO161*'Gübre oranlar'!AR$2</f>
        <v>0</v>
      </c>
      <c r="AP161">
        <f>'Kullanılan gübre'!AP161*'Gübre oranlar'!AS$2</f>
        <v>0</v>
      </c>
      <c r="AQ161">
        <f>'Kullanılan gübre'!AQ161*'Gübre oranlar'!AT$2</f>
        <v>0</v>
      </c>
      <c r="AR161">
        <f>'Kullanılan gübre'!AR161*'Gübre oranlar'!AU$2</f>
        <v>0</v>
      </c>
      <c r="AS161">
        <f>'Kullanılan gübre'!AS161*'Gübre oranlar'!AV$2</f>
        <v>0</v>
      </c>
      <c r="AT161">
        <f>'Kullanılan gübre'!AT161*'Gübre oranlar'!AW$2</f>
        <v>0</v>
      </c>
      <c r="AU161">
        <f>'Kullanılan gübre'!AU161*'Gübre oranlar'!AX$2</f>
        <v>0</v>
      </c>
      <c r="AV161">
        <f>'Kullanılan gübre'!AV161*'Gübre oranlar'!AY$2</f>
        <v>0</v>
      </c>
      <c r="AW161">
        <f t="shared" si="2"/>
        <v>308.33000000000004</v>
      </c>
    </row>
    <row r="162" spans="1:49" hidden="1" x14ac:dyDescent="0.25">
      <c r="A162" t="str">
        <f>'Kullanılan gübre'!A162</f>
        <v>BA</v>
      </c>
      <c r="B162" t="str">
        <f>'Kullanılan gübre'!B162</f>
        <v>ANTALYA</v>
      </c>
      <c r="C162" t="str">
        <f>'Kullanılan gübre'!C162</f>
        <v>KAS</v>
      </c>
      <c r="D162">
        <f>'Kullanılan gübre'!D162</f>
        <v>2009</v>
      </c>
      <c r="E162">
        <f>'Kullanılan gübre'!E162*'Gübre oranlar'!H$2</f>
        <v>66.78</v>
      </c>
      <c r="F162">
        <f>'Kullanılan gübre'!F162*'Gübre oranlar'!I$2</f>
        <v>59.800000000000004</v>
      </c>
      <c r="G162">
        <f>'Kullanılan gübre'!G162*'Gübre oranlar'!J$2</f>
        <v>72.27000000000001</v>
      </c>
      <c r="H162">
        <f>'Kullanılan gübre'!H162*'Gübre oranlar'!K$2</f>
        <v>56.580000000000005</v>
      </c>
      <c r="I162">
        <f>'Kullanılan gübre'!I162*'Gübre oranlar'!L$2</f>
        <v>0</v>
      </c>
      <c r="J162">
        <f>'Kullanılan gübre'!J162*'Gübre oranlar'!M$2</f>
        <v>8.4599999999999991</v>
      </c>
      <c r="K162">
        <f>'Kullanılan gübre'!K162*'Gübre oranlar'!N$2</f>
        <v>18.8</v>
      </c>
      <c r="L162">
        <f>'Kullanılan gübre'!L162*'Gübre oranlar'!O$2</f>
        <v>0.8</v>
      </c>
      <c r="M162">
        <f>'Kullanılan gübre'!M162*'Gübre oranlar'!P$2</f>
        <v>8.5499999999999989</v>
      </c>
      <c r="N162">
        <f>'Kullanılan gübre'!N162*'Gübre oranlar'!Q$2</f>
        <v>44.55</v>
      </c>
      <c r="O162">
        <f>'Kullanılan gübre'!O162*'Gübre oranlar'!R$2</f>
        <v>0</v>
      </c>
      <c r="P162">
        <f>'Kullanılan gübre'!P162*'Gübre oranlar'!S$2</f>
        <v>20.67</v>
      </c>
      <c r="Q162">
        <f>'Kullanılan gübre'!Q162*'Gübre oranlar'!T$2</f>
        <v>0</v>
      </c>
      <c r="R162">
        <f>'Kullanılan gübre'!R162*'Gübre oranlar'!U$2</f>
        <v>0</v>
      </c>
      <c r="S162">
        <f>'Kullanılan gübre'!S162*'Gübre oranlar'!V$2</f>
        <v>0</v>
      </c>
      <c r="T162">
        <f>'Kullanılan gübre'!T162*'Gübre oranlar'!W$2</f>
        <v>0</v>
      </c>
      <c r="U162">
        <f>'Kullanılan gübre'!U162*'Gübre oranlar'!X$2</f>
        <v>0</v>
      </c>
      <c r="V162">
        <f>'Kullanılan gübre'!V162*'Gübre oranlar'!Y$2</f>
        <v>0</v>
      </c>
      <c r="W162">
        <f>'Kullanılan gübre'!W162*'Gübre oranlar'!Z$2</f>
        <v>0</v>
      </c>
      <c r="X162">
        <f>'Kullanılan gübre'!X162*'Gübre oranlar'!AA$2</f>
        <v>0</v>
      </c>
      <c r="Y162">
        <f>'Kullanılan gübre'!Y162*'Gübre oranlar'!AB$2</f>
        <v>0</v>
      </c>
      <c r="Z162">
        <f>'Kullanılan gübre'!Z162*'Gübre oranlar'!AC$2</f>
        <v>0</v>
      </c>
      <c r="AA162">
        <f>'Kullanılan gübre'!AA162*'Gübre oranlar'!AD$2</f>
        <v>0</v>
      </c>
      <c r="AB162">
        <f>'Kullanılan gübre'!AB162*'Gübre oranlar'!AE$2</f>
        <v>0</v>
      </c>
      <c r="AC162">
        <f>'Kullanılan gübre'!AC162*'Gübre oranlar'!AF$2</f>
        <v>0</v>
      </c>
      <c r="AD162">
        <f>'Kullanılan gübre'!AD162*'Gübre oranlar'!AG$2</f>
        <v>0</v>
      </c>
      <c r="AE162">
        <f>'Kullanılan gübre'!AE162*'Gübre oranlar'!AH$2</f>
        <v>0</v>
      </c>
      <c r="AF162">
        <f>'Kullanılan gübre'!AF162*'Gübre oranlar'!AI$2</f>
        <v>0</v>
      </c>
      <c r="AG162">
        <f>'Kullanılan gübre'!AG162*'Gübre oranlar'!AJ$2</f>
        <v>0</v>
      </c>
      <c r="AH162">
        <f>'Kullanılan gübre'!AH162*'Gübre oranlar'!AK$2</f>
        <v>0</v>
      </c>
      <c r="AI162">
        <f>'Kullanılan gübre'!AI162*'Gübre oranlar'!AL$2</f>
        <v>0</v>
      </c>
      <c r="AJ162">
        <f>'Kullanılan gübre'!AJ162*'Gübre oranlar'!AM$2</f>
        <v>0</v>
      </c>
      <c r="AK162">
        <f>'Kullanılan gübre'!AK162*'Gübre oranlar'!AN$2</f>
        <v>0</v>
      </c>
      <c r="AL162">
        <f>'Kullanılan gübre'!AL162*'Gübre oranlar'!AO$2</f>
        <v>0</v>
      </c>
      <c r="AM162">
        <f>'Kullanılan gübre'!AM162*'Gübre oranlar'!AP$2</f>
        <v>0</v>
      </c>
      <c r="AN162">
        <f>'Kullanılan gübre'!AN162*'Gübre oranlar'!AQ$2</f>
        <v>0</v>
      </c>
      <c r="AO162">
        <f>'Kullanılan gübre'!AO162*'Gübre oranlar'!AR$2</f>
        <v>0</v>
      </c>
      <c r="AP162">
        <f>'Kullanılan gübre'!AP162*'Gübre oranlar'!AS$2</f>
        <v>0</v>
      </c>
      <c r="AQ162">
        <f>'Kullanılan gübre'!AQ162*'Gübre oranlar'!AT$2</f>
        <v>0</v>
      </c>
      <c r="AR162">
        <f>'Kullanılan gübre'!AR162*'Gübre oranlar'!AU$2</f>
        <v>0</v>
      </c>
      <c r="AS162">
        <f>'Kullanılan gübre'!AS162*'Gübre oranlar'!AV$2</f>
        <v>0</v>
      </c>
      <c r="AT162">
        <f>'Kullanılan gübre'!AT162*'Gübre oranlar'!AW$2</f>
        <v>0</v>
      </c>
      <c r="AU162">
        <f>'Kullanılan gübre'!AU162*'Gübre oranlar'!AX$2</f>
        <v>0</v>
      </c>
      <c r="AV162">
        <f>'Kullanılan gübre'!AV162*'Gübre oranlar'!AY$2</f>
        <v>0</v>
      </c>
      <c r="AW162">
        <f t="shared" si="2"/>
        <v>357.2600000000001</v>
      </c>
    </row>
    <row r="163" spans="1:49" hidden="1" x14ac:dyDescent="0.25">
      <c r="A163" t="str">
        <f>'Kullanılan gübre'!A163</f>
        <v>BA</v>
      </c>
      <c r="B163" t="str">
        <f>'Kullanılan gübre'!B163</f>
        <v>ANTALYA</v>
      </c>
      <c r="C163" t="str">
        <f>'Kullanılan gübre'!C163</f>
        <v>KORKUTELI</v>
      </c>
      <c r="D163">
        <f>'Kullanılan gübre'!D163</f>
        <v>2009</v>
      </c>
      <c r="E163">
        <f>'Kullanılan gübre'!E163*'Gübre oranlar'!H$2</f>
        <v>288.12</v>
      </c>
      <c r="F163">
        <f>'Kullanılan gübre'!F163*'Gübre oranlar'!I$2</f>
        <v>516.36</v>
      </c>
      <c r="G163">
        <f>'Kullanılan gübre'!G163*'Gübre oranlar'!J$2</f>
        <v>777.48</v>
      </c>
      <c r="H163">
        <f>'Kullanılan gübre'!H163*'Gübre oranlar'!K$2</f>
        <v>458.16</v>
      </c>
      <c r="I163">
        <f>'Kullanılan gübre'!I163*'Gübre oranlar'!L$2</f>
        <v>0</v>
      </c>
      <c r="J163">
        <f>'Kullanılan gübre'!J163*'Gübre oranlar'!M$2</f>
        <v>247.14</v>
      </c>
      <c r="K163">
        <f>'Kullanılan gübre'!K163*'Gübre oranlar'!N$2</f>
        <v>826.40000000000009</v>
      </c>
      <c r="L163">
        <f>'Kullanılan gübre'!L163*'Gübre oranlar'!O$2</f>
        <v>44.2</v>
      </c>
      <c r="M163">
        <f>'Kullanılan gübre'!M163*'Gübre oranlar'!P$2</f>
        <v>186.75</v>
      </c>
      <c r="N163">
        <f>'Kullanılan gübre'!N163*'Gübre oranlar'!Q$2</f>
        <v>40.35</v>
      </c>
      <c r="O163">
        <f>'Kullanılan gübre'!O163*'Gübre oranlar'!R$2</f>
        <v>0</v>
      </c>
      <c r="P163">
        <f>'Kullanılan gübre'!P163*'Gübre oranlar'!S$2</f>
        <v>7.0200000000000005</v>
      </c>
      <c r="Q163">
        <f>'Kullanılan gübre'!Q163*'Gübre oranlar'!T$2</f>
        <v>0</v>
      </c>
      <c r="R163">
        <f>'Kullanılan gübre'!R163*'Gübre oranlar'!U$2</f>
        <v>0</v>
      </c>
      <c r="S163">
        <f>'Kullanılan gübre'!S163*'Gübre oranlar'!V$2</f>
        <v>0.31</v>
      </c>
      <c r="T163">
        <f>'Kullanılan gübre'!T163*'Gübre oranlar'!W$2</f>
        <v>0</v>
      </c>
      <c r="U163">
        <f>'Kullanılan gübre'!U163*'Gübre oranlar'!X$2</f>
        <v>2.75</v>
      </c>
      <c r="V163">
        <f>'Kullanılan gübre'!V163*'Gübre oranlar'!Y$2</f>
        <v>0</v>
      </c>
      <c r="W163">
        <f>'Kullanılan gübre'!W163*'Gübre oranlar'!Z$2</f>
        <v>0</v>
      </c>
      <c r="X163">
        <f>'Kullanılan gübre'!X163*'Gübre oranlar'!AA$2</f>
        <v>0</v>
      </c>
      <c r="Y163">
        <f>'Kullanılan gübre'!Y163*'Gübre oranlar'!AB$2</f>
        <v>0</v>
      </c>
      <c r="Z163">
        <f>'Kullanılan gübre'!Z163*'Gübre oranlar'!AC$2</f>
        <v>0</v>
      </c>
      <c r="AA163">
        <f>'Kullanılan gübre'!AA163*'Gübre oranlar'!AD$2</f>
        <v>0</v>
      </c>
      <c r="AB163">
        <f>'Kullanılan gübre'!AB163*'Gübre oranlar'!AE$2</f>
        <v>0.6</v>
      </c>
      <c r="AC163">
        <f>'Kullanılan gübre'!AC163*'Gübre oranlar'!AF$2</f>
        <v>0</v>
      </c>
      <c r="AD163">
        <f>'Kullanılan gübre'!AD163*'Gübre oranlar'!AG$2</f>
        <v>0</v>
      </c>
      <c r="AE163">
        <f>'Kullanılan gübre'!AE163*'Gübre oranlar'!AH$2</f>
        <v>0</v>
      </c>
      <c r="AF163">
        <f>'Kullanılan gübre'!AF163*'Gübre oranlar'!AI$2</f>
        <v>0</v>
      </c>
      <c r="AG163">
        <f>'Kullanılan gübre'!AG163*'Gübre oranlar'!AJ$2</f>
        <v>0</v>
      </c>
      <c r="AH163">
        <f>'Kullanılan gübre'!AH163*'Gübre oranlar'!AK$2</f>
        <v>0</v>
      </c>
      <c r="AI163">
        <f>'Kullanılan gübre'!AI163*'Gübre oranlar'!AL$2</f>
        <v>0</v>
      </c>
      <c r="AJ163">
        <f>'Kullanılan gübre'!AJ163*'Gübre oranlar'!AM$2</f>
        <v>0</v>
      </c>
      <c r="AK163">
        <f>'Kullanılan gübre'!AK163*'Gübre oranlar'!AN$2</f>
        <v>0</v>
      </c>
      <c r="AL163">
        <f>'Kullanılan gübre'!AL163*'Gübre oranlar'!AO$2</f>
        <v>0</v>
      </c>
      <c r="AM163">
        <f>'Kullanılan gübre'!AM163*'Gübre oranlar'!AP$2</f>
        <v>0</v>
      </c>
      <c r="AN163">
        <f>'Kullanılan gübre'!AN163*'Gübre oranlar'!AQ$2</f>
        <v>0</v>
      </c>
      <c r="AO163">
        <f>'Kullanılan gübre'!AO163*'Gübre oranlar'!AR$2</f>
        <v>0</v>
      </c>
      <c r="AP163">
        <f>'Kullanılan gübre'!AP163*'Gübre oranlar'!AS$2</f>
        <v>0</v>
      </c>
      <c r="AQ163">
        <f>'Kullanılan gübre'!AQ163*'Gübre oranlar'!AT$2</f>
        <v>0</v>
      </c>
      <c r="AR163">
        <f>'Kullanılan gübre'!AR163*'Gübre oranlar'!AU$2</f>
        <v>0</v>
      </c>
      <c r="AS163">
        <f>'Kullanılan gübre'!AS163*'Gübre oranlar'!AV$2</f>
        <v>0</v>
      </c>
      <c r="AT163">
        <f>'Kullanılan gübre'!AT163*'Gübre oranlar'!AW$2</f>
        <v>0</v>
      </c>
      <c r="AU163">
        <f>'Kullanılan gübre'!AU163*'Gübre oranlar'!AX$2</f>
        <v>0</v>
      </c>
      <c r="AV163">
        <f>'Kullanılan gübre'!AV163*'Gübre oranlar'!AY$2</f>
        <v>0</v>
      </c>
      <c r="AW163">
        <f t="shared" si="2"/>
        <v>3395.64</v>
      </c>
    </row>
    <row r="164" spans="1:49" hidden="1" x14ac:dyDescent="0.25">
      <c r="A164" t="str">
        <f>'Kullanılan gübre'!A164</f>
        <v>BA</v>
      </c>
      <c r="B164" t="str">
        <f>'Kullanılan gübre'!B164</f>
        <v>ANTALYA</v>
      </c>
      <c r="C164" t="str">
        <f>'Kullanılan gübre'!C164</f>
        <v>ELMALI</v>
      </c>
      <c r="D164">
        <f>'Kullanılan gübre'!D164</f>
        <v>2009</v>
      </c>
      <c r="E164">
        <f>'Kullanılan gübre'!E164*'Gübre oranlar'!H$2</f>
        <v>173.04</v>
      </c>
      <c r="F164">
        <f>'Kullanılan gübre'!F164*'Gübre oranlar'!I$2</f>
        <v>104.52000000000001</v>
      </c>
      <c r="G164">
        <f>'Kullanılan gübre'!G164*'Gübre oranlar'!J$2</f>
        <v>302.94</v>
      </c>
      <c r="H164">
        <f>'Kullanılan gübre'!H164*'Gübre oranlar'!K$2</f>
        <v>418.6</v>
      </c>
      <c r="I164">
        <f>'Kullanılan gübre'!I164*'Gübre oranlar'!L$2</f>
        <v>0</v>
      </c>
      <c r="J164">
        <f>'Kullanılan gübre'!J164*'Gübre oranlar'!M$2</f>
        <v>100.08</v>
      </c>
      <c r="K164">
        <f>'Kullanılan gübre'!K164*'Gübre oranlar'!N$2</f>
        <v>239.8</v>
      </c>
      <c r="L164">
        <f>'Kullanılan gübre'!L164*'Gübre oranlar'!O$2</f>
        <v>3.4000000000000004</v>
      </c>
      <c r="M164">
        <f>'Kullanılan gübre'!M164*'Gübre oranlar'!P$2</f>
        <v>116.39999999999999</v>
      </c>
      <c r="N164">
        <f>'Kullanılan gübre'!N164*'Gübre oranlar'!Q$2</f>
        <v>11.1</v>
      </c>
      <c r="O164">
        <f>'Kullanılan gübre'!O164*'Gübre oranlar'!R$2</f>
        <v>0</v>
      </c>
      <c r="P164">
        <f>'Kullanılan gübre'!P164*'Gübre oranlar'!S$2</f>
        <v>12.22</v>
      </c>
      <c r="Q164">
        <f>'Kullanılan gübre'!Q164*'Gübre oranlar'!T$2</f>
        <v>2.04</v>
      </c>
      <c r="R164">
        <f>'Kullanılan gübre'!R164*'Gübre oranlar'!U$2</f>
        <v>0</v>
      </c>
      <c r="S164">
        <f>'Kullanılan gübre'!S164*'Gübre oranlar'!V$2</f>
        <v>1.395</v>
      </c>
      <c r="T164">
        <f>'Kullanılan gübre'!T164*'Gübre oranlar'!W$2</f>
        <v>0</v>
      </c>
      <c r="U164">
        <f>'Kullanılan gübre'!U164*'Gübre oranlar'!X$2</f>
        <v>2.5</v>
      </c>
      <c r="V164">
        <f>'Kullanılan gübre'!V164*'Gübre oranlar'!Y$2</f>
        <v>0</v>
      </c>
      <c r="W164">
        <f>'Kullanılan gübre'!W164*'Gübre oranlar'!Z$2</f>
        <v>0</v>
      </c>
      <c r="X164">
        <f>'Kullanılan gübre'!X164*'Gübre oranlar'!AA$2</f>
        <v>0</v>
      </c>
      <c r="Y164">
        <f>'Kullanılan gübre'!Y164*'Gübre oranlar'!AB$2</f>
        <v>0</v>
      </c>
      <c r="Z164">
        <f>'Kullanılan gübre'!Z164*'Gübre oranlar'!AC$2</f>
        <v>0</v>
      </c>
      <c r="AA164">
        <f>'Kullanılan gübre'!AA164*'Gübre oranlar'!AD$2</f>
        <v>0</v>
      </c>
      <c r="AB164">
        <f>'Kullanılan gübre'!AB164*'Gübre oranlar'!AE$2</f>
        <v>0</v>
      </c>
      <c r="AC164">
        <f>'Kullanılan gübre'!AC164*'Gübre oranlar'!AF$2</f>
        <v>0</v>
      </c>
      <c r="AD164">
        <f>'Kullanılan gübre'!AD164*'Gübre oranlar'!AG$2</f>
        <v>0</v>
      </c>
      <c r="AE164">
        <f>'Kullanılan gübre'!AE164*'Gübre oranlar'!AH$2</f>
        <v>0</v>
      </c>
      <c r="AF164">
        <f>'Kullanılan gübre'!AF164*'Gübre oranlar'!AI$2</f>
        <v>0</v>
      </c>
      <c r="AG164">
        <f>'Kullanılan gübre'!AG164*'Gübre oranlar'!AJ$2</f>
        <v>0</v>
      </c>
      <c r="AH164">
        <f>'Kullanılan gübre'!AH164*'Gübre oranlar'!AK$2</f>
        <v>0</v>
      </c>
      <c r="AI164">
        <f>'Kullanılan gübre'!AI164*'Gübre oranlar'!AL$2</f>
        <v>0</v>
      </c>
      <c r="AJ164">
        <f>'Kullanılan gübre'!AJ164*'Gübre oranlar'!AM$2</f>
        <v>0</v>
      </c>
      <c r="AK164">
        <f>'Kullanılan gübre'!AK164*'Gübre oranlar'!AN$2</f>
        <v>0</v>
      </c>
      <c r="AL164">
        <f>'Kullanılan gübre'!AL164*'Gübre oranlar'!AO$2</f>
        <v>0</v>
      </c>
      <c r="AM164">
        <f>'Kullanılan gübre'!AM164*'Gübre oranlar'!AP$2</f>
        <v>0</v>
      </c>
      <c r="AN164">
        <f>'Kullanılan gübre'!AN164*'Gübre oranlar'!AQ$2</f>
        <v>0</v>
      </c>
      <c r="AO164">
        <f>'Kullanılan gübre'!AO164*'Gübre oranlar'!AR$2</f>
        <v>0</v>
      </c>
      <c r="AP164">
        <f>'Kullanılan gübre'!AP164*'Gübre oranlar'!AS$2</f>
        <v>0</v>
      </c>
      <c r="AQ164">
        <f>'Kullanılan gübre'!AQ164*'Gübre oranlar'!AT$2</f>
        <v>0</v>
      </c>
      <c r="AR164">
        <f>'Kullanılan gübre'!AR164*'Gübre oranlar'!AU$2</f>
        <v>0</v>
      </c>
      <c r="AS164">
        <f>'Kullanılan gübre'!AS164*'Gübre oranlar'!AV$2</f>
        <v>0</v>
      </c>
      <c r="AT164">
        <f>'Kullanılan gübre'!AT164*'Gübre oranlar'!AW$2</f>
        <v>0</v>
      </c>
      <c r="AU164">
        <f>'Kullanılan gübre'!AU164*'Gübre oranlar'!AX$2</f>
        <v>0</v>
      </c>
      <c r="AV164">
        <f>'Kullanılan gübre'!AV164*'Gübre oranlar'!AY$2</f>
        <v>0</v>
      </c>
      <c r="AW164">
        <f t="shared" si="2"/>
        <v>1488.0350000000001</v>
      </c>
    </row>
    <row r="165" spans="1:49" hidden="1" x14ac:dyDescent="0.25">
      <c r="A165" t="str">
        <f>'Kullanılan gübre'!A165</f>
        <v>BA</v>
      </c>
      <c r="B165" t="str">
        <f>'Kullanılan gübre'!B165</f>
        <v>ANTALYA</v>
      </c>
      <c r="C165" t="str">
        <f>'Kullanılan gübre'!C165</f>
        <v>KEMER</v>
      </c>
      <c r="D165">
        <f>'Kullanılan gübre'!D165</f>
        <v>2010</v>
      </c>
      <c r="E165">
        <f>'Kullanılan gübre'!E165*'Gübre oranlar'!H$2</f>
        <v>11.76</v>
      </c>
      <c r="F165">
        <f>'Kullanılan gübre'!F165*'Gübre oranlar'!I$2</f>
        <v>0</v>
      </c>
      <c r="G165">
        <f>'Kullanılan gübre'!G165*'Gübre oranlar'!J$2</f>
        <v>7.92</v>
      </c>
      <c r="H165">
        <f>'Kullanılan gübre'!H165*'Gübre oranlar'!K$2</f>
        <v>6.44</v>
      </c>
      <c r="I165">
        <f>'Kullanılan gübre'!I165*'Gübre oranlar'!L$2</f>
        <v>0</v>
      </c>
      <c r="J165">
        <f>'Kullanılan gübre'!J165*'Gübre oranlar'!M$2</f>
        <v>0.54</v>
      </c>
      <c r="K165">
        <f>'Kullanılan gübre'!K165*'Gübre oranlar'!N$2</f>
        <v>0.4</v>
      </c>
      <c r="L165">
        <f>'Kullanılan gübre'!L165*'Gübre oranlar'!O$2</f>
        <v>0</v>
      </c>
      <c r="M165">
        <f>'Kullanılan gübre'!M165*'Gübre oranlar'!P$2</f>
        <v>7.35</v>
      </c>
      <c r="N165">
        <f>'Kullanılan gübre'!N165*'Gübre oranlar'!Q$2</f>
        <v>5.25</v>
      </c>
      <c r="O165">
        <f>'Kullanılan gübre'!O165*'Gübre oranlar'!R$2</f>
        <v>0</v>
      </c>
      <c r="P165">
        <f>'Kullanılan gübre'!P165*'Gübre oranlar'!S$2</f>
        <v>0.39</v>
      </c>
      <c r="Q165">
        <f>'Kullanılan gübre'!Q165*'Gübre oranlar'!T$2</f>
        <v>0</v>
      </c>
      <c r="R165">
        <f>'Kullanılan gübre'!R165*'Gübre oranlar'!U$2</f>
        <v>0</v>
      </c>
      <c r="S165">
        <f>'Kullanılan gübre'!S165*'Gübre oranlar'!V$2</f>
        <v>0</v>
      </c>
      <c r="T165">
        <f>'Kullanılan gübre'!T165*'Gübre oranlar'!W$2</f>
        <v>0</v>
      </c>
      <c r="U165">
        <f>'Kullanılan gübre'!U165*'Gübre oranlar'!X$2</f>
        <v>0</v>
      </c>
      <c r="V165">
        <f>'Kullanılan gübre'!V165*'Gübre oranlar'!Y$2</f>
        <v>0</v>
      </c>
      <c r="W165">
        <f>'Kullanılan gübre'!W165*'Gübre oranlar'!Z$2</f>
        <v>0</v>
      </c>
      <c r="X165">
        <f>'Kullanılan gübre'!X165*'Gübre oranlar'!AA$2</f>
        <v>0</v>
      </c>
      <c r="Y165">
        <f>'Kullanılan gübre'!Y165*'Gübre oranlar'!AB$2</f>
        <v>0</v>
      </c>
      <c r="Z165">
        <f>'Kullanılan gübre'!Z165*'Gübre oranlar'!AC$2</f>
        <v>0</v>
      </c>
      <c r="AA165">
        <f>'Kullanılan gübre'!AA165*'Gübre oranlar'!AD$2</f>
        <v>0</v>
      </c>
      <c r="AB165">
        <f>'Kullanılan gübre'!AB165*'Gübre oranlar'!AE$2</f>
        <v>0</v>
      </c>
      <c r="AC165">
        <f>'Kullanılan gübre'!AC165*'Gübre oranlar'!AF$2</f>
        <v>0</v>
      </c>
      <c r="AD165">
        <f>'Kullanılan gübre'!AD165*'Gübre oranlar'!AG$2</f>
        <v>0</v>
      </c>
      <c r="AE165">
        <f>'Kullanılan gübre'!AE165*'Gübre oranlar'!AH$2</f>
        <v>0</v>
      </c>
      <c r="AF165">
        <f>'Kullanılan gübre'!AF165*'Gübre oranlar'!AI$2</f>
        <v>0</v>
      </c>
      <c r="AG165">
        <f>'Kullanılan gübre'!AG165*'Gübre oranlar'!AJ$2</f>
        <v>0</v>
      </c>
      <c r="AH165">
        <f>'Kullanılan gübre'!AH165*'Gübre oranlar'!AK$2</f>
        <v>0</v>
      </c>
      <c r="AI165">
        <f>'Kullanılan gübre'!AI165*'Gübre oranlar'!AL$2</f>
        <v>0</v>
      </c>
      <c r="AJ165">
        <f>'Kullanılan gübre'!AJ165*'Gübre oranlar'!AM$2</f>
        <v>0</v>
      </c>
      <c r="AK165">
        <f>'Kullanılan gübre'!AK165*'Gübre oranlar'!AN$2</f>
        <v>0</v>
      </c>
      <c r="AL165">
        <f>'Kullanılan gübre'!AL165*'Gübre oranlar'!AO$2</f>
        <v>0</v>
      </c>
      <c r="AM165">
        <f>'Kullanılan gübre'!AM165*'Gübre oranlar'!AP$2</f>
        <v>0</v>
      </c>
      <c r="AN165">
        <f>'Kullanılan gübre'!AN165*'Gübre oranlar'!AQ$2</f>
        <v>0</v>
      </c>
      <c r="AO165">
        <f>'Kullanılan gübre'!AO165*'Gübre oranlar'!AR$2</f>
        <v>0</v>
      </c>
      <c r="AP165">
        <f>'Kullanılan gübre'!AP165*'Gübre oranlar'!AS$2</f>
        <v>0</v>
      </c>
      <c r="AQ165">
        <f>'Kullanılan gübre'!AQ165*'Gübre oranlar'!AT$2</f>
        <v>0</v>
      </c>
      <c r="AR165">
        <f>'Kullanılan gübre'!AR165*'Gübre oranlar'!AU$2</f>
        <v>0</v>
      </c>
      <c r="AS165">
        <f>'Kullanılan gübre'!AS165*'Gübre oranlar'!AV$2</f>
        <v>0</v>
      </c>
      <c r="AT165">
        <f>'Kullanılan gübre'!AT165*'Gübre oranlar'!AW$2</f>
        <v>0</v>
      </c>
      <c r="AU165">
        <f>'Kullanılan gübre'!AU165*'Gübre oranlar'!AX$2</f>
        <v>0</v>
      </c>
      <c r="AV165">
        <f>'Kullanılan gübre'!AV165*'Gübre oranlar'!AY$2</f>
        <v>0</v>
      </c>
      <c r="AW165">
        <f t="shared" si="2"/>
        <v>40.049999999999997</v>
      </c>
    </row>
    <row r="166" spans="1:49" hidden="1" x14ac:dyDescent="0.25">
      <c r="A166" t="str">
        <f>'Kullanılan gübre'!A166</f>
        <v>BA</v>
      </c>
      <c r="B166" t="str">
        <f>'Kullanılan gübre'!B166</f>
        <v>ANTALYA</v>
      </c>
      <c r="C166" t="str">
        <f>'Kullanılan gübre'!C166</f>
        <v>KUMLUCA</v>
      </c>
      <c r="D166">
        <f>'Kullanılan gübre'!D166</f>
        <v>2010</v>
      </c>
      <c r="E166">
        <f>'Kullanılan gübre'!E166*'Gübre oranlar'!H$2</f>
        <v>233.94</v>
      </c>
      <c r="F166">
        <f>'Kullanılan gübre'!F166*'Gübre oranlar'!I$2</f>
        <v>0.52</v>
      </c>
      <c r="G166">
        <f>'Kullanılan gübre'!G166*'Gübre oranlar'!J$2</f>
        <v>261.36</v>
      </c>
      <c r="H166">
        <f>'Kullanılan gübre'!H166*'Gübre oranlar'!K$2</f>
        <v>173.42000000000002</v>
      </c>
      <c r="I166">
        <f>'Kullanılan gübre'!I166*'Gübre oranlar'!L$2</f>
        <v>0</v>
      </c>
      <c r="J166">
        <f>'Kullanılan gübre'!J166*'Gübre oranlar'!M$2</f>
        <v>72.539999999999992</v>
      </c>
      <c r="K166">
        <f>'Kullanılan gübre'!K166*'Gübre oranlar'!N$2</f>
        <v>25.200000000000003</v>
      </c>
      <c r="L166">
        <f>'Kullanılan gübre'!L166*'Gübre oranlar'!O$2</f>
        <v>11</v>
      </c>
      <c r="M166">
        <f>'Kullanılan gübre'!M166*'Gübre oranlar'!P$2</f>
        <v>24</v>
      </c>
      <c r="N166">
        <f>'Kullanılan gübre'!N166*'Gübre oranlar'!Q$2</f>
        <v>147.15</v>
      </c>
      <c r="O166">
        <f>'Kullanılan gübre'!O166*'Gübre oranlar'!R$2</f>
        <v>0</v>
      </c>
      <c r="P166">
        <f>'Kullanılan gübre'!P166*'Gübre oranlar'!S$2</f>
        <v>70.2</v>
      </c>
      <c r="Q166">
        <f>'Kullanılan gübre'!Q166*'Gübre oranlar'!T$2</f>
        <v>79.56</v>
      </c>
      <c r="R166">
        <f>'Kullanılan gübre'!R166*'Gübre oranlar'!U$2</f>
        <v>0</v>
      </c>
      <c r="S166">
        <f>'Kullanılan gübre'!S166*'Gübre oranlar'!V$2</f>
        <v>29.294999999999998</v>
      </c>
      <c r="T166">
        <f>'Kullanılan gübre'!T166*'Gübre oranlar'!W$2</f>
        <v>0</v>
      </c>
      <c r="U166">
        <f>'Kullanılan gübre'!U166*'Gübre oranlar'!X$2</f>
        <v>24</v>
      </c>
      <c r="V166">
        <f>'Kullanılan gübre'!V166*'Gübre oranlar'!Y$2</f>
        <v>0</v>
      </c>
      <c r="W166">
        <f>'Kullanılan gübre'!W166*'Gübre oranlar'!Z$2</f>
        <v>0</v>
      </c>
      <c r="X166">
        <f>'Kullanılan gübre'!X166*'Gübre oranlar'!AA$2</f>
        <v>0</v>
      </c>
      <c r="Y166">
        <f>'Kullanılan gübre'!Y166*'Gübre oranlar'!AB$2</f>
        <v>0</v>
      </c>
      <c r="Z166">
        <f>'Kullanılan gübre'!Z166*'Gübre oranlar'!AC$2</f>
        <v>0</v>
      </c>
      <c r="AA166">
        <f>'Kullanılan gübre'!AA166*'Gübre oranlar'!AD$2</f>
        <v>0</v>
      </c>
      <c r="AB166">
        <f>'Kullanılan gübre'!AB166*'Gübre oranlar'!AE$2</f>
        <v>0</v>
      </c>
      <c r="AC166">
        <f>'Kullanılan gübre'!AC166*'Gübre oranlar'!AF$2</f>
        <v>0</v>
      </c>
      <c r="AD166">
        <f>'Kullanılan gübre'!AD166*'Gübre oranlar'!AG$2</f>
        <v>0</v>
      </c>
      <c r="AE166">
        <f>'Kullanılan gübre'!AE166*'Gübre oranlar'!AH$2</f>
        <v>0</v>
      </c>
      <c r="AF166">
        <f>'Kullanılan gübre'!AF166*'Gübre oranlar'!AI$2</f>
        <v>0</v>
      </c>
      <c r="AG166">
        <f>'Kullanılan gübre'!AG166*'Gübre oranlar'!AJ$2</f>
        <v>0</v>
      </c>
      <c r="AH166">
        <f>'Kullanılan gübre'!AH166*'Gübre oranlar'!AK$2</f>
        <v>0</v>
      </c>
      <c r="AI166">
        <f>'Kullanılan gübre'!AI166*'Gübre oranlar'!AL$2</f>
        <v>0</v>
      </c>
      <c r="AJ166">
        <f>'Kullanılan gübre'!AJ166*'Gübre oranlar'!AM$2</f>
        <v>0</v>
      </c>
      <c r="AK166">
        <f>'Kullanılan gübre'!AK166*'Gübre oranlar'!AN$2</f>
        <v>0</v>
      </c>
      <c r="AL166">
        <f>'Kullanılan gübre'!AL166*'Gübre oranlar'!AO$2</f>
        <v>0</v>
      </c>
      <c r="AM166">
        <f>'Kullanılan gübre'!AM166*'Gübre oranlar'!AP$2</f>
        <v>0</v>
      </c>
      <c r="AN166">
        <f>'Kullanılan gübre'!AN166*'Gübre oranlar'!AQ$2</f>
        <v>0</v>
      </c>
      <c r="AO166">
        <f>'Kullanılan gübre'!AO166*'Gübre oranlar'!AR$2</f>
        <v>0</v>
      </c>
      <c r="AP166">
        <f>'Kullanılan gübre'!AP166*'Gübre oranlar'!AS$2</f>
        <v>0</v>
      </c>
      <c r="AQ166">
        <f>'Kullanılan gübre'!AQ166*'Gübre oranlar'!AT$2</f>
        <v>0</v>
      </c>
      <c r="AR166">
        <f>'Kullanılan gübre'!AR166*'Gübre oranlar'!AU$2</f>
        <v>0</v>
      </c>
      <c r="AS166">
        <f>'Kullanılan gübre'!AS166*'Gübre oranlar'!AV$2</f>
        <v>64.22</v>
      </c>
      <c r="AT166">
        <f>'Kullanılan gübre'!AT166*'Gübre oranlar'!AW$2</f>
        <v>0</v>
      </c>
      <c r="AU166">
        <f>'Kullanılan gübre'!AU166*'Gübre oranlar'!AX$2</f>
        <v>0</v>
      </c>
      <c r="AV166">
        <f>'Kullanılan gübre'!AV166*'Gübre oranlar'!AY$2</f>
        <v>0</v>
      </c>
      <c r="AW166">
        <f t="shared" si="2"/>
        <v>1216.4050000000002</v>
      </c>
    </row>
    <row r="167" spans="1:49" hidden="1" x14ac:dyDescent="0.25">
      <c r="A167" t="str">
        <f>'Kullanılan gübre'!A167</f>
        <v>BA</v>
      </c>
      <c r="B167" t="str">
        <f>'Kullanılan gübre'!B167</f>
        <v>ANTALYA</v>
      </c>
      <c r="C167" t="str">
        <f>'Kullanılan gübre'!C167</f>
        <v>FINIKE</v>
      </c>
      <c r="D167">
        <f>'Kullanılan gübre'!D167</f>
        <v>2010</v>
      </c>
      <c r="E167">
        <f>'Kullanılan gübre'!E167*'Gübre oranlar'!H$2</f>
        <v>153.29999999999998</v>
      </c>
      <c r="F167">
        <f>'Kullanılan gübre'!F167*'Gübre oranlar'!I$2</f>
        <v>12.22</v>
      </c>
      <c r="G167">
        <f>'Kullanılan gübre'!G167*'Gübre oranlar'!J$2</f>
        <v>225.72</v>
      </c>
      <c r="H167">
        <f>'Kullanılan gübre'!H167*'Gübre oranlar'!K$2</f>
        <v>86.02000000000001</v>
      </c>
      <c r="I167">
        <f>'Kullanılan gübre'!I167*'Gübre oranlar'!L$2</f>
        <v>0</v>
      </c>
      <c r="J167">
        <f>'Kullanılan gübre'!J167*'Gübre oranlar'!M$2</f>
        <v>41.22</v>
      </c>
      <c r="K167">
        <f>'Kullanılan gübre'!K167*'Gübre oranlar'!N$2</f>
        <v>20.8</v>
      </c>
      <c r="L167">
        <f>'Kullanılan gübre'!L167*'Gübre oranlar'!O$2</f>
        <v>0</v>
      </c>
      <c r="M167">
        <f>'Kullanılan gübre'!M167*'Gübre oranlar'!P$2</f>
        <v>39</v>
      </c>
      <c r="N167">
        <f>'Kullanılan gübre'!N167*'Gübre oranlar'!Q$2</f>
        <v>154.5</v>
      </c>
      <c r="O167">
        <f>'Kullanılan gübre'!O167*'Gübre oranlar'!R$2</f>
        <v>0</v>
      </c>
      <c r="P167">
        <f>'Kullanılan gübre'!P167*'Gübre oranlar'!S$2</f>
        <v>29.12</v>
      </c>
      <c r="Q167">
        <f>'Kullanılan gübre'!Q167*'Gübre oranlar'!T$2</f>
        <v>42.48</v>
      </c>
      <c r="R167">
        <f>'Kullanılan gübre'!R167*'Gübre oranlar'!U$2</f>
        <v>0</v>
      </c>
      <c r="S167">
        <f>'Kullanılan gübre'!S167*'Gübre oranlar'!V$2</f>
        <v>1.8599999999999999</v>
      </c>
      <c r="T167">
        <f>'Kullanılan gübre'!T167*'Gübre oranlar'!W$2</f>
        <v>0</v>
      </c>
      <c r="U167">
        <f>'Kullanılan gübre'!U167*'Gübre oranlar'!X$2</f>
        <v>54.75</v>
      </c>
      <c r="V167">
        <f>'Kullanılan gübre'!V167*'Gübre oranlar'!Y$2</f>
        <v>0</v>
      </c>
      <c r="W167">
        <f>'Kullanılan gübre'!W167*'Gübre oranlar'!Z$2</f>
        <v>0</v>
      </c>
      <c r="X167">
        <f>'Kullanılan gübre'!X167*'Gübre oranlar'!AA$2</f>
        <v>0</v>
      </c>
      <c r="Y167">
        <f>'Kullanılan gübre'!Y167*'Gübre oranlar'!AB$2</f>
        <v>0</v>
      </c>
      <c r="Z167">
        <f>'Kullanılan gübre'!Z167*'Gübre oranlar'!AC$2</f>
        <v>0</v>
      </c>
      <c r="AA167">
        <f>'Kullanılan gübre'!AA167*'Gübre oranlar'!AD$2</f>
        <v>0</v>
      </c>
      <c r="AB167">
        <f>'Kullanılan gübre'!AB167*'Gübre oranlar'!AE$2</f>
        <v>3.2399999999999998</v>
      </c>
      <c r="AC167">
        <f>'Kullanılan gübre'!AC167*'Gübre oranlar'!AF$2</f>
        <v>0</v>
      </c>
      <c r="AD167">
        <f>'Kullanılan gübre'!AD167*'Gübre oranlar'!AG$2</f>
        <v>0</v>
      </c>
      <c r="AE167">
        <f>'Kullanılan gübre'!AE167*'Gübre oranlar'!AH$2</f>
        <v>0</v>
      </c>
      <c r="AF167">
        <f>'Kullanılan gübre'!AF167*'Gübre oranlar'!AI$2</f>
        <v>0</v>
      </c>
      <c r="AG167">
        <f>'Kullanılan gübre'!AG167*'Gübre oranlar'!AJ$2</f>
        <v>0</v>
      </c>
      <c r="AH167">
        <f>'Kullanılan gübre'!AH167*'Gübre oranlar'!AK$2</f>
        <v>0</v>
      </c>
      <c r="AI167">
        <f>'Kullanılan gübre'!AI167*'Gübre oranlar'!AL$2</f>
        <v>0</v>
      </c>
      <c r="AJ167">
        <f>'Kullanılan gübre'!AJ167*'Gübre oranlar'!AM$2</f>
        <v>0</v>
      </c>
      <c r="AK167">
        <f>'Kullanılan gübre'!AK167*'Gübre oranlar'!AN$2</f>
        <v>0</v>
      </c>
      <c r="AL167">
        <f>'Kullanılan gübre'!AL167*'Gübre oranlar'!AO$2</f>
        <v>0</v>
      </c>
      <c r="AM167">
        <f>'Kullanılan gübre'!AM167*'Gübre oranlar'!AP$2</f>
        <v>0</v>
      </c>
      <c r="AN167">
        <f>'Kullanılan gübre'!AN167*'Gübre oranlar'!AQ$2</f>
        <v>0</v>
      </c>
      <c r="AO167">
        <f>'Kullanılan gübre'!AO167*'Gübre oranlar'!AR$2</f>
        <v>0</v>
      </c>
      <c r="AP167">
        <f>'Kullanılan gübre'!AP167*'Gübre oranlar'!AS$2</f>
        <v>0</v>
      </c>
      <c r="AQ167">
        <f>'Kullanılan gübre'!AQ167*'Gübre oranlar'!AT$2</f>
        <v>0</v>
      </c>
      <c r="AR167">
        <f>'Kullanılan gübre'!AR167*'Gübre oranlar'!AU$2</f>
        <v>0</v>
      </c>
      <c r="AS167">
        <f>'Kullanılan gübre'!AS167*'Gübre oranlar'!AV$2</f>
        <v>45.89</v>
      </c>
      <c r="AT167">
        <f>'Kullanılan gübre'!AT167*'Gübre oranlar'!AW$2</f>
        <v>0</v>
      </c>
      <c r="AU167">
        <f>'Kullanılan gübre'!AU167*'Gübre oranlar'!AX$2</f>
        <v>0</v>
      </c>
      <c r="AV167">
        <f>'Kullanılan gübre'!AV167*'Gübre oranlar'!AY$2</f>
        <v>0</v>
      </c>
      <c r="AW167">
        <f t="shared" si="2"/>
        <v>910.12</v>
      </c>
    </row>
    <row r="168" spans="1:49" hidden="1" x14ac:dyDescent="0.25">
      <c r="A168" t="str">
        <f>'Kullanılan gübre'!A168</f>
        <v>BA</v>
      </c>
      <c r="B168" t="str">
        <f>'Kullanılan gübre'!B168</f>
        <v>ANTALYA</v>
      </c>
      <c r="C168" t="str">
        <f>'Kullanılan gübre'!C168</f>
        <v>DEMRE</v>
      </c>
      <c r="D168">
        <f>'Kullanılan gübre'!D168</f>
        <v>2010</v>
      </c>
      <c r="E168">
        <f>'Kullanılan gübre'!E168*'Gübre oranlar'!H$2</f>
        <v>38.64</v>
      </c>
      <c r="F168">
        <f>'Kullanılan gübre'!F168*'Gübre oranlar'!I$2</f>
        <v>11.700000000000001</v>
      </c>
      <c r="G168">
        <f>'Kullanılan gübre'!G168*'Gübre oranlar'!J$2</f>
        <v>61.050000000000004</v>
      </c>
      <c r="H168">
        <f>'Kullanılan gübre'!H168*'Gübre oranlar'!K$2</f>
        <v>47.84</v>
      </c>
      <c r="I168">
        <f>'Kullanılan gübre'!I168*'Gübre oranlar'!L$2</f>
        <v>0</v>
      </c>
      <c r="J168">
        <f>'Kullanılan gübre'!J168*'Gübre oranlar'!M$2</f>
        <v>18.54</v>
      </c>
      <c r="K168">
        <f>'Kullanılan gübre'!K168*'Gübre oranlar'!N$2</f>
        <v>10</v>
      </c>
      <c r="L168">
        <f>'Kullanılan gübre'!L168*'Gübre oranlar'!O$2</f>
        <v>0</v>
      </c>
      <c r="M168">
        <f>'Kullanılan gübre'!M168*'Gübre oranlar'!P$2</f>
        <v>8.5499999999999989</v>
      </c>
      <c r="N168">
        <f>'Kullanılan gübre'!N168*'Gübre oranlar'!Q$2</f>
        <v>16.8</v>
      </c>
      <c r="O168">
        <f>'Kullanılan gübre'!O168*'Gübre oranlar'!R$2</f>
        <v>0</v>
      </c>
      <c r="P168">
        <f>'Kullanılan gübre'!P168*'Gübre oranlar'!S$2</f>
        <v>28.470000000000002</v>
      </c>
      <c r="Q168">
        <f>'Kullanılan gübre'!Q168*'Gübre oranlar'!T$2</f>
        <v>0</v>
      </c>
      <c r="R168">
        <f>'Kullanılan gübre'!R168*'Gübre oranlar'!U$2</f>
        <v>0</v>
      </c>
      <c r="S168">
        <f>'Kullanılan gübre'!S168*'Gübre oranlar'!V$2</f>
        <v>7.13</v>
      </c>
      <c r="T168">
        <f>'Kullanılan gübre'!T168*'Gübre oranlar'!W$2</f>
        <v>0</v>
      </c>
      <c r="U168">
        <f>'Kullanılan gübre'!U168*'Gübre oranlar'!X$2</f>
        <v>9.5</v>
      </c>
      <c r="V168">
        <f>'Kullanılan gübre'!V168*'Gübre oranlar'!Y$2</f>
        <v>0</v>
      </c>
      <c r="W168">
        <f>'Kullanılan gübre'!W168*'Gübre oranlar'!Z$2</f>
        <v>0</v>
      </c>
      <c r="X168">
        <f>'Kullanılan gübre'!X168*'Gübre oranlar'!AA$2</f>
        <v>0</v>
      </c>
      <c r="Y168">
        <f>'Kullanılan gübre'!Y168*'Gübre oranlar'!AB$2</f>
        <v>0</v>
      </c>
      <c r="Z168">
        <f>'Kullanılan gübre'!Z168*'Gübre oranlar'!AC$2</f>
        <v>0</v>
      </c>
      <c r="AA168">
        <f>'Kullanılan gübre'!AA168*'Gübre oranlar'!AD$2</f>
        <v>0</v>
      </c>
      <c r="AB168">
        <f>'Kullanılan gübre'!AB168*'Gübre oranlar'!AE$2</f>
        <v>6</v>
      </c>
      <c r="AC168">
        <f>'Kullanılan gübre'!AC168*'Gübre oranlar'!AF$2</f>
        <v>0</v>
      </c>
      <c r="AD168">
        <f>'Kullanılan gübre'!AD168*'Gübre oranlar'!AG$2</f>
        <v>0</v>
      </c>
      <c r="AE168">
        <f>'Kullanılan gübre'!AE168*'Gübre oranlar'!AH$2</f>
        <v>0</v>
      </c>
      <c r="AF168">
        <f>'Kullanılan gübre'!AF168*'Gübre oranlar'!AI$2</f>
        <v>0</v>
      </c>
      <c r="AG168">
        <f>'Kullanılan gübre'!AG168*'Gübre oranlar'!AJ$2</f>
        <v>0</v>
      </c>
      <c r="AH168">
        <f>'Kullanılan gübre'!AH168*'Gübre oranlar'!AK$2</f>
        <v>0</v>
      </c>
      <c r="AI168">
        <f>'Kullanılan gübre'!AI168*'Gübre oranlar'!AL$2</f>
        <v>0</v>
      </c>
      <c r="AJ168">
        <f>'Kullanılan gübre'!AJ168*'Gübre oranlar'!AM$2</f>
        <v>0</v>
      </c>
      <c r="AK168">
        <f>'Kullanılan gübre'!AK168*'Gübre oranlar'!AN$2</f>
        <v>0</v>
      </c>
      <c r="AL168">
        <f>'Kullanılan gübre'!AL168*'Gübre oranlar'!AO$2</f>
        <v>0</v>
      </c>
      <c r="AM168">
        <f>'Kullanılan gübre'!AM168*'Gübre oranlar'!AP$2</f>
        <v>0</v>
      </c>
      <c r="AN168">
        <f>'Kullanılan gübre'!AN168*'Gübre oranlar'!AQ$2</f>
        <v>0</v>
      </c>
      <c r="AO168">
        <f>'Kullanılan gübre'!AO168*'Gübre oranlar'!AR$2</f>
        <v>0</v>
      </c>
      <c r="AP168">
        <f>'Kullanılan gübre'!AP168*'Gübre oranlar'!AS$2</f>
        <v>0</v>
      </c>
      <c r="AQ168">
        <f>'Kullanılan gübre'!AQ168*'Gübre oranlar'!AT$2</f>
        <v>0</v>
      </c>
      <c r="AR168">
        <f>'Kullanılan gübre'!AR168*'Gübre oranlar'!AU$2</f>
        <v>0</v>
      </c>
      <c r="AS168">
        <f>'Kullanılan gübre'!AS168*'Gübre oranlar'!AV$2</f>
        <v>3.5100000000000002</v>
      </c>
      <c r="AT168">
        <f>'Kullanılan gübre'!AT168*'Gübre oranlar'!AW$2</f>
        <v>0</v>
      </c>
      <c r="AU168">
        <f>'Kullanılan gübre'!AU168*'Gübre oranlar'!AX$2</f>
        <v>0</v>
      </c>
      <c r="AV168">
        <f>'Kullanılan gübre'!AV168*'Gübre oranlar'!AY$2</f>
        <v>0</v>
      </c>
      <c r="AW168">
        <f t="shared" si="2"/>
        <v>267.73</v>
      </c>
    </row>
    <row r="169" spans="1:49" hidden="1" x14ac:dyDescent="0.25">
      <c r="A169" t="str">
        <f>'Kullanılan gübre'!A169</f>
        <v>BA</v>
      </c>
      <c r="B169" t="str">
        <f>'Kullanılan gübre'!B169</f>
        <v>ANTALYA</v>
      </c>
      <c r="C169" t="str">
        <f>'Kullanılan gübre'!C169</f>
        <v>KAS</v>
      </c>
      <c r="D169">
        <f>'Kullanılan gübre'!D169</f>
        <v>2010</v>
      </c>
      <c r="E169">
        <f>'Kullanılan gübre'!E169*'Gübre oranlar'!H$2</f>
        <v>68.039999999999992</v>
      </c>
      <c r="F169">
        <f>'Kullanılan gübre'!F169*'Gübre oranlar'!I$2</f>
        <v>66.56</v>
      </c>
      <c r="G169">
        <f>'Kullanılan gübre'!G169*'Gübre oranlar'!J$2</f>
        <v>208.89000000000001</v>
      </c>
      <c r="H169">
        <f>'Kullanılan gübre'!H169*'Gübre oranlar'!K$2</f>
        <v>110.4</v>
      </c>
      <c r="I169">
        <f>'Kullanılan gübre'!I169*'Gübre oranlar'!L$2</f>
        <v>0</v>
      </c>
      <c r="J169">
        <f>'Kullanılan gübre'!J169*'Gübre oranlar'!M$2</f>
        <v>18.72</v>
      </c>
      <c r="K169">
        <f>'Kullanılan gübre'!K169*'Gübre oranlar'!N$2</f>
        <v>24.8</v>
      </c>
      <c r="L169">
        <f>'Kullanılan gübre'!L169*'Gübre oranlar'!O$2</f>
        <v>0</v>
      </c>
      <c r="M169">
        <f>'Kullanılan gübre'!M169*'Gübre oranlar'!P$2</f>
        <v>27.45</v>
      </c>
      <c r="N169">
        <f>'Kullanılan gübre'!N169*'Gübre oranlar'!Q$2</f>
        <v>40.5</v>
      </c>
      <c r="O169">
        <f>'Kullanılan gübre'!O169*'Gübre oranlar'!R$2</f>
        <v>0</v>
      </c>
      <c r="P169">
        <f>'Kullanılan gübre'!P169*'Gübre oranlar'!S$2</f>
        <v>8.4500000000000011</v>
      </c>
      <c r="Q169">
        <f>'Kullanılan gübre'!Q169*'Gübre oranlar'!T$2</f>
        <v>0</v>
      </c>
      <c r="R169">
        <f>'Kullanılan gübre'!R169*'Gübre oranlar'!U$2</f>
        <v>0</v>
      </c>
      <c r="S169">
        <f>'Kullanılan gübre'!S169*'Gübre oranlar'!V$2</f>
        <v>9.4550000000000001</v>
      </c>
      <c r="T169">
        <f>'Kullanılan gübre'!T169*'Gübre oranlar'!W$2</f>
        <v>0</v>
      </c>
      <c r="U169">
        <f>'Kullanılan gübre'!U169*'Gübre oranlar'!X$2</f>
        <v>0</v>
      </c>
      <c r="V169">
        <f>'Kullanılan gübre'!V169*'Gübre oranlar'!Y$2</f>
        <v>0</v>
      </c>
      <c r="W169">
        <f>'Kullanılan gübre'!W169*'Gübre oranlar'!Z$2</f>
        <v>0</v>
      </c>
      <c r="X169">
        <f>'Kullanılan gübre'!X169*'Gübre oranlar'!AA$2</f>
        <v>0</v>
      </c>
      <c r="Y169">
        <f>'Kullanılan gübre'!Y169*'Gübre oranlar'!AB$2</f>
        <v>0</v>
      </c>
      <c r="Z169">
        <f>'Kullanılan gübre'!Z169*'Gübre oranlar'!AC$2</f>
        <v>0</v>
      </c>
      <c r="AA169">
        <f>'Kullanılan gübre'!AA169*'Gübre oranlar'!AD$2</f>
        <v>0</v>
      </c>
      <c r="AB169">
        <f>'Kullanılan gübre'!AB169*'Gübre oranlar'!AE$2</f>
        <v>0</v>
      </c>
      <c r="AC169">
        <f>'Kullanılan gübre'!AC169*'Gübre oranlar'!AF$2</f>
        <v>0</v>
      </c>
      <c r="AD169">
        <f>'Kullanılan gübre'!AD169*'Gübre oranlar'!AG$2</f>
        <v>0</v>
      </c>
      <c r="AE169">
        <f>'Kullanılan gübre'!AE169*'Gübre oranlar'!AH$2</f>
        <v>0</v>
      </c>
      <c r="AF169">
        <f>'Kullanılan gübre'!AF169*'Gübre oranlar'!AI$2</f>
        <v>0</v>
      </c>
      <c r="AG169">
        <f>'Kullanılan gübre'!AG169*'Gübre oranlar'!AJ$2</f>
        <v>0</v>
      </c>
      <c r="AH169">
        <f>'Kullanılan gübre'!AH169*'Gübre oranlar'!AK$2</f>
        <v>0</v>
      </c>
      <c r="AI169">
        <f>'Kullanılan gübre'!AI169*'Gübre oranlar'!AL$2</f>
        <v>0</v>
      </c>
      <c r="AJ169">
        <f>'Kullanılan gübre'!AJ169*'Gübre oranlar'!AM$2</f>
        <v>0</v>
      </c>
      <c r="AK169">
        <f>'Kullanılan gübre'!AK169*'Gübre oranlar'!AN$2</f>
        <v>0</v>
      </c>
      <c r="AL169">
        <f>'Kullanılan gübre'!AL169*'Gübre oranlar'!AO$2</f>
        <v>0</v>
      </c>
      <c r="AM169">
        <f>'Kullanılan gübre'!AM169*'Gübre oranlar'!AP$2</f>
        <v>0</v>
      </c>
      <c r="AN169">
        <f>'Kullanılan gübre'!AN169*'Gübre oranlar'!AQ$2</f>
        <v>0</v>
      </c>
      <c r="AO169">
        <f>'Kullanılan gübre'!AO169*'Gübre oranlar'!AR$2</f>
        <v>0</v>
      </c>
      <c r="AP169">
        <f>'Kullanılan gübre'!AP169*'Gübre oranlar'!AS$2</f>
        <v>0</v>
      </c>
      <c r="AQ169">
        <f>'Kullanılan gübre'!AQ169*'Gübre oranlar'!AT$2</f>
        <v>0</v>
      </c>
      <c r="AR169">
        <f>'Kullanılan gübre'!AR169*'Gübre oranlar'!AU$2</f>
        <v>0</v>
      </c>
      <c r="AS169">
        <f>'Kullanılan gübre'!AS169*'Gübre oranlar'!AV$2</f>
        <v>0</v>
      </c>
      <c r="AT169">
        <f>'Kullanılan gübre'!AT169*'Gübre oranlar'!AW$2</f>
        <v>0</v>
      </c>
      <c r="AU169">
        <f>'Kullanılan gübre'!AU169*'Gübre oranlar'!AX$2</f>
        <v>0</v>
      </c>
      <c r="AV169">
        <f>'Kullanılan gübre'!AV169*'Gübre oranlar'!AY$2</f>
        <v>0</v>
      </c>
      <c r="AW169">
        <f t="shared" si="2"/>
        <v>583.2650000000001</v>
      </c>
    </row>
    <row r="170" spans="1:49" hidden="1" x14ac:dyDescent="0.25">
      <c r="A170" t="str">
        <f>'Kullanılan gübre'!A170</f>
        <v>BA</v>
      </c>
      <c r="B170" t="str">
        <f>'Kullanılan gübre'!B170</f>
        <v>ANTALYA</v>
      </c>
      <c r="C170" t="str">
        <f>'Kullanılan gübre'!C170</f>
        <v>KORKUTELI</v>
      </c>
      <c r="D170">
        <f>'Kullanılan gübre'!D170</f>
        <v>2010</v>
      </c>
      <c r="E170">
        <f>'Kullanılan gübre'!E170*'Gübre oranlar'!H$2</f>
        <v>267.75</v>
      </c>
      <c r="F170">
        <f>'Kullanılan gübre'!F170*'Gübre oranlar'!I$2</f>
        <v>474.24</v>
      </c>
      <c r="G170">
        <f>'Kullanılan gübre'!G170*'Gübre oranlar'!J$2</f>
        <v>623.70000000000005</v>
      </c>
      <c r="H170">
        <f>'Kullanılan gübre'!H170*'Gübre oranlar'!K$2</f>
        <v>440.68</v>
      </c>
      <c r="I170">
        <f>'Kullanılan gübre'!I170*'Gübre oranlar'!L$2</f>
        <v>0</v>
      </c>
      <c r="J170">
        <f>'Kullanılan gübre'!J170*'Gübre oranlar'!M$2</f>
        <v>256.32</v>
      </c>
      <c r="K170">
        <f>'Kullanılan gübre'!K170*'Gübre oranlar'!N$2</f>
        <v>986.40000000000009</v>
      </c>
      <c r="L170">
        <f>'Kullanılan gübre'!L170*'Gübre oranlar'!O$2</f>
        <v>31</v>
      </c>
      <c r="M170">
        <f>'Kullanılan gübre'!M170*'Gübre oranlar'!P$2</f>
        <v>282.89999999999998</v>
      </c>
      <c r="N170">
        <f>'Kullanılan gübre'!N170*'Gübre oranlar'!Q$2</f>
        <v>147.6</v>
      </c>
      <c r="O170">
        <f>'Kullanılan gübre'!O170*'Gübre oranlar'!R$2</f>
        <v>0</v>
      </c>
      <c r="P170">
        <f>'Kullanılan gübre'!P170*'Gübre oranlar'!S$2</f>
        <v>9.75</v>
      </c>
      <c r="Q170">
        <f>'Kullanılan gübre'!Q170*'Gübre oranlar'!T$2</f>
        <v>4.2</v>
      </c>
      <c r="R170">
        <f>'Kullanılan gübre'!R170*'Gübre oranlar'!U$2</f>
        <v>0</v>
      </c>
      <c r="S170">
        <f>'Kullanılan gübre'!S170*'Gübre oranlar'!V$2</f>
        <v>0.62</v>
      </c>
      <c r="T170">
        <f>'Kullanılan gübre'!T170*'Gübre oranlar'!W$2</f>
        <v>0</v>
      </c>
      <c r="U170">
        <f>'Kullanılan gübre'!U170*'Gübre oranlar'!X$2</f>
        <v>12</v>
      </c>
      <c r="V170">
        <f>'Kullanılan gübre'!V170*'Gübre oranlar'!Y$2</f>
        <v>0</v>
      </c>
      <c r="W170">
        <f>'Kullanılan gübre'!W170*'Gübre oranlar'!Z$2</f>
        <v>0</v>
      </c>
      <c r="X170">
        <f>'Kullanılan gübre'!X170*'Gübre oranlar'!AA$2</f>
        <v>0</v>
      </c>
      <c r="Y170">
        <f>'Kullanılan gübre'!Y170*'Gübre oranlar'!AB$2</f>
        <v>0</v>
      </c>
      <c r="Z170">
        <f>'Kullanılan gübre'!Z170*'Gübre oranlar'!AC$2</f>
        <v>0</v>
      </c>
      <c r="AA170">
        <f>'Kullanılan gübre'!AA170*'Gübre oranlar'!AD$2</f>
        <v>0</v>
      </c>
      <c r="AB170">
        <f>'Kullanılan gübre'!AB170*'Gübre oranlar'!AE$2</f>
        <v>2.2799999999999998</v>
      </c>
      <c r="AC170">
        <f>'Kullanılan gübre'!AC170*'Gübre oranlar'!AF$2</f>
        <v>0</v>
      </c>
      <c r="AD170">
        <f>'Kullanılan gübre'!AD170*'Gübre oranlar'!AG$2</f>
        <v>0</v>
      </c>
      <c r="AE170">
        <f>'Kullanılan gübre'!AE170*'Gübre oranlar'!AH$2</f>
        <v>0</v>
      </c>
      <c r="AF170">
        <f>'Kullanılan gübre'!AF170*'Gübre oranlar'!AI$2</f>
        <v>0</v>
      </c>
      <c r="AG170">
        <f>'Kullanılan gübre'!AG170*'Gübre oranlar'!AJ$2</f>
        <v>0</v>
      </c>
      <c r="AH170">
        <f>'Kullanılan gübre'!AH170*'Gübre oranlar'!AK$2</f>
        <v>0</v>
      </c>
      <c r="AI170">
        <f>'Kullanılan gübre'!AI170*'Gübre oranlar'!AL$2</f>
        <v>0</v>
      </c>
      <c r="AJ170">
        <f>'Kullanılan gübre'!AJ170*'Gübre oranlar'!AM$2</f>
        <v>0</v>
      </c>
      <c r="AK170">
        <f>'Kullanılan gübre'!AK170*'Gübre oranlar'!AN$2</f>
        <v>0</v>
      </c>
      <c r="AL170">
        <f>'Kullanılan gübre'!AL170*'Gübre oranlar'!AO$2</f>
        <v>0</v>
      </c>
      <c r="AM170">
        <f>'Kullanılan gübre'!AM170*'Gübre oranlar'!AP$2</f>
        <v>0</v>
      </c>
      <c r="AN170">
        <f>'Kullanılan gübre'!AN170*'Gübre oranlar'!AQ$2</f>
        <v>0</v>
      </c>
      <c r="AO170">
        <f>'Kullanılan gübre'!AO170*'Gübre oranlar'!AR$2</f>
        <v>0</v>
      </c>
      <c r="AP170">
        <f>'Kullanılan gübre'!AP170*'Gübre oranlar'!AS$2</f>
        <v>0</v>
      </c>
      <c r="AQ170">
        <f>'Kullanılan gübre'!AQ170*'Gübre oranlar'!AT$2</f>
        <v>0</v>
      </c>
      <c r="AR170">
        <f>'Kullanılan gübre'!AR170*'Gübre oranlar'!AU$2</f>
        <v>0</v>
      </c>
      <c r="AS170">
        <f>'Kullanılan gübre'!AS170*'Gübre oranlar'!AV$2</f>
        <v>12.870000000000001</v>
      </c>
      <c r="AT170">
        <f>'Kullanılan gübre'!AT170*'Gübre oranlar'!AW$2</f>
        <v>0</v>
      </c>
      <c r="AU170">
        <f>'Kullanılan gübre'!AU170*'Gübre oranlar'!AX$2</f>
        <v>0</v>
      </c>
      <c r="AV170">
        <f>'Kullanılan gübre'!AV170*'Gübre oranlar'!AY$2</f>
        <v>0</v>
      </c>
      <c r="AW170">
        <f t="shared" si="2"/>
        <v>3552.31</v>
      </c>
    </row>
    <row r="171" spans="1:49" hidden="1" x14ac:dyDescent="0.25">
      <c r="A171" t="str">
        <f>'Kullanılan gübre'!A171</f>
        <v>BA</v>
      </c>
      <c r="B171" t="str">
        <f>'Kullanılan gübre'!B171</f>
        <v>ANTALYA</v>
      </c>
      <c r="C171" t="str">
        <f>'Kullanılan gübre'!C171</f>
        <v>ELMALI</v>
      </c>
      <c r="D171">
        <f>'Kullanılan gübre'!D171</f>
        <v>2010</v>
      </c>
      <c r="E171">
        <f>'Kullanılan gübre'!E171*'Gübre oranlar'!H$2</f>
        <v>168.21</v>
      </c>
      <c r="F171">
        <f>'Kullanılan gübre'!F171*'Gübre oranlar'!I$2</f>
        <v>147.94</v>
      </c>
      <c r="G171">
        <f>'Kullanılan gübre'!G171*'Gübre oranlar'!J$2</f>
        <v>365.97</v>
      </c>
      <c r="H171">
        <f>'Kullanılan gübre'!H171*'Gübre oranlar'!K$2</f>
        <v>467.82</v>
      </c>
      <c r="I171">
        <f>'Kullanılan gübre'!I171*'Gübre oranlar'!L$2</f>
        <v>0</v>
      </c>
      <c r="J171">
        <f>'Kullanılan gübre'!J171*'Gübre oranlar'!M$2</f>
        <v>89.82</v>
      </c>
      <c r="K171">
        <f>'Kullanılan gübre'!K171*'Gübre oranlar'!N$2</f>
        <v>225.8</v>
      </c>
      <c r="L171">
        <f>'Kullanılan gübre'!L171*'Gübre oranlar'!O$2</f>
        <v>16.400000000000002</v>
      </c>
      <c r="M171">
        <f>'Kullanılan gübre'!M171*'Gübre oranlar'!P$2</f>
        <v>116.39999999999999</v>
      </c>
      <c r="N171">
        <f>'Kullanılan gübre'!N171*'Gübre oranlar'!Q$2</f>
        <v>21</v>
      </c>
      <c r="O171">
        <f>'Kullanılan gübre'!O171*'Gübre oranlar'!R$2</f>
        <v>0</v>
      </c>
      <c r="P171">
        <f>'Kullanılan gübre'!P171*'Gübre oranlar'!S$2</f>
        <v>16.900000000000002</v>
      </c>
      <c r="Q171">
        <f>'Kullanılan gübre'!Q171*'Gübre oranlar'!T$2</f>
        <v>35.519999999999996</v>
      </c>
      <c r="R171">
        <f>'Kullanılan gübre'!R171*'Gübre oranlar'!U$2</f>
        <v>0</v>
      </c>
      <c r="S171">
        <f>'Kullanılan gübre'!S171*'Gübre oranlar'!V$2</f>
        <v>0.77500000000000002</v>
      </c>
      <c r="T171">
        <f>'Kullanılan gübre'!T171*'Gübre oranlar'!W$2</f>
        <v>0</v>
      </c>
      <c r="U171">
        <f>'Kullanılan gübre'!U171*'Gübre oranlar'!X$2</f>
        <v>0.5</v>
      </c>
      <c r="V171">
        <f>'Kullanılan gübre'!V171*'Gübre oranlar'!Y$2</f>
        <v>0</v>
      </c>
      <c r="W171">
        <f>'Kullanılan gübre'!W171*'Gübre oranlar'!Z$2</f>
        <v>0</v>
      </c>
      <c r="X171">
        <f>'Kullanılan gübre'!X171*'Gübre oranlar'!AA$2</f>
        <v>0</v>
      </c>
      <c r="Y171">
        <f>'Kullanılan gübre'!Y171*'Gübre oranlar'!AB$2</f>
        <v>0</v>
      </c>
      <c r="Z171">
        <f>'Kullanılan gübre'!Z171*'Gübre oranlar'!AC$2</f>
        <v>0</v>
      </c>
      <c r="AA171">
        <f>'Kullanılan gübre'!AA171*'Gübre oranlar'!AD$2</f>
        <v>0</v>
      </c>
      <c r="AB171">
        <f>'Kullanılan gübre'!AB171*'Gübre oranlar'!AE$2</f>
        <v>0</v>
      </c>
      <c r="AC171">
        <f>'Kullanılan gübre'!AC171*'Gübre oranlar'!AF$2</f>
        <v>0</v>
      </c>
      <c r="AD171">
        <f>'Kullanılan gübre'!AD171*'Gübre oranlar'!AG$2</f>
        <v>0</v>
      </c>
      <c r="AE171">
        <f>'Kullanılan gübre'!AE171*'Gübre oranlar'!AH$2</f>
        <v>0</v>
      </c>
      <c r="AF171">
        <f>'Kullanılan gübre'!AF171*'Gübre oranlar'!AI$2</f>
        <v>0</v>
      </c>
      <c r="AG171">
        <f>'Kullanılan gübre'!AG171*'Gübre oranlar'!AJ$2</f>
        <v>0</v>
      </c>
      <c r="AH171">
        <f>'Kullanılan gübre'!AH171*'Gübre oranlar'!AK$2</f>
        <v>0</v>
      </c>
      <c r="AI171">
        <f>'Kullanılan gübre'!AI171*'Gübre oranlar'!AL$2</f>
        <v>0</v>
      </c>
      <c r="AJ171">
        <f>'Kullanılan gübre'!AJ171*'Gübre oranlar'!AM$2</f>
        <v>0</v>
      </c>
      <c r="AK171">
        <f>'Kullanılan gübre'!AK171*'Gübre oranlar'!AN$2</f>
        <v>0</v>
      </c>
      <c r="AL171">
        <f>'Kullanılan gübre'!AL171*'Gübre oranlar'!AO$2</f>
        <v>0</v>
      </c>
      <c r="AM171">
        <f>'Kullanılan gübre'!AM171*'Gübre oranlar'!AP$2</f>
        <v>0</v>
      </c>
      <c r="AN171">
        <f>'Kullanılan gübre'!AN171*'Gübre oranlar'!AQ$2</f>
        <v>0</v>
      </c>
      <c r="AO171">
        <f>'Kullanılan gübre'!AO171*'Gübre oranlar'!AR$2</f>
        <v>0</v>
      </c>
      <c r="AP171">
        <f>'Kullanılan gübre'!AP171*'Gübre oranlar'!AS$2</f>
        <v>0</v>
      </c>
      <c r="AQ171">
        <f>'Kullanılan gübre'!AQ171*'Gübre oranlar'!AT$2</f>
        <v>0</v>
      </c>
      <c r="AR171">
        <f>'Kullanılan gübre'!AR171*'Gübre oranlar'!AU$2</f>
        <v>0</v>
      </c>
      <c r="AS171">
        <f>'Kullanılan gübre'!AS171*'Gübre oranlar'!AV$2</f>
        <v>0</v>
      </c>
      <c r="AT171">
        <f>'Kullanılan gübre'!AT171*'Gübre oranlar'!AW$2</f>
        <v>0</v>
      </c>
      <c r="AU171">
        <f>'Kullanılan gübre'!AU171*'Gübre oranlar'!AX$2</f>
        <v>0</v>
      </c>
      <c r="AV171">
        <f>'Kullanılan gübre'!AV171*'Gübre oranlar'!AY$2</f>
        <v>0</v>
      </c>
      <c r="AW171">
        <f t="shared" si="2"/>
        <v>1673.0550000000003</v>
      </c>
    </row>
    <row r="172" spans="1:49" hidden="1" x14ac:dyDescent="0.25">
      <c r="A172" t="str">
        <f>'Kullanılan gübre'!A172</f>
        <v>BA</v>
      </c>
      <c r="B172" t="str">
        <f>'Kullanılan gübre'!B172</f>
        <v>ANTALYA</v>
      </c>
      <c r="C172" t="str">
        <f>'Kullanılan gübre'!C172</f>
        <v>KEMER</v>
      </c>
      <c r="D172">
        <f>'Kullanılan gübre'!D172</f>
        <v>2011</v>
      </c>
      <c r="E172">
        <f>'Kullanılan gübre'!E172*'Gübre oranlar'!H$2</f>
        <v>7.77</v>
      </c>
      <c r="F172">
        <f>'Kullanılan gübre'!F172*'Gübre oranlar'!I$2</f>
        <v>0</v>
      </c>
      <c r="G172">
        <f>'Kullanılan gübre'!G172*'Gübre oranlar'!J$2</f>
        <v>6.2700000000000005</v>
      </c>
      <c r="H172">
        <f>'Kullanılan gübre'!H172*'Gübre oranlar'!K$2</f>
        <v>3.68</v>
      </c>
      <c r="I172">
        <f>'Kullanılan gübre'!I172*'Gübre oranlar'!L$2</f>
        <v>0</v>
      </c>
      <c r="J172">
        <f>'Kullanılan gübre'!J172*'Gübre oranlar'!M$2</f>
        <v>0.72</v>
      </c>
      <c r="K172">
        <f>'Kullanılan gübre'!K172*'Gübre oranlar'!N$2</f>
        <v>0.4</v>
      </c>
      <c r="L172">
        <f>'Kullanılan gübre'!L172*'Gübre oranlar'!O$2</f>
        <v>0</v>
      </c>
      <c r="M172">
        <f>'Kullanılan gübre'!M172*'Gübre oranlar'!P$2</f>
        <v>4.6499999999999995</v>
      </c>
      <c r="N172">
        <f>'Kullanılan gübre'!N172*'Gübre oranlar'!Q$2</f>
        <v>3.9</v>
      </c>
      <c r="O172">
        <f>'Kullanılan gübre'!O172*'Gübre oranlar'!R$2</f>
        <v>0</v>
      </c>
      <c r="P172">
        <f>'Kullanılan gübre'!P172*'Gübre oranlar'!S$2</f>
        <v>0.26</v>
      </c>
      <c r="Q172">
        <f>'Kullanılan gübre'!Q172*'Gübre oranlar'!T$2</f>
        <v>0</v>
      </c>
      <c r="R172">
        <f>'Kullanılan gübre'!R172*'Gübre oranlar'!U$2</f>
        <v>0</v>
      </c>
      <c r="S172">
        <f>'Kullanılan gübre'!S172*'Gübre oranlar'!V$2</f>
        <v>0</v>
      </c>
      <c r="T172">
        <f>'Kullanılan gübre'!T172*'Gübre oranlar'!W$2</f>
        <v>0</v>
      </c>
      <c r="U172">
        <f>'Kullanılan gübre'!U172*'Gübre oranlar'!X$2</f>
        <v>0</v>
      </c>
      <c r="V172">
        <f>'Kullanılan gübre'!V172*'Gübre oranlar'!Y$2</f>
        <v>0</v>
      </c>
      <c r="W172">
        <f>'Kullanılan gübre'!W172*'Gübre oranlar'!Z$2</f>
        <v>0</v>
      </c>
      <c r="X172">
        <f>'Kullanılan gübre'!X172*'Gübre oranlar'!AA$2</f>
        <v>0</v>
      </c>
      <c r="Y172">
        <f>'Kullanılan gübre'!Y172*'Gübre oranlar'!AB$2</f>
        <v>0</v>
      </c>
      <c r="Z172">
        <f>'Kullanılan gübre'!Z172*'Gübre oranlar'!AC$2</f>
        <v>0</v>
      </c>
      <c r="AA172">
        <f>'Kullanılan gübre'!AA172*'Gübre oranlar'!AD$2</f>
        <v>0</v>
      </c>
      <c r="AB172">
        <f>'Kullanılan gübre'!AB172*'Gübre oranlar'!AE$2</f>
        <v>0</v>
      </c>
      <c r="AC172">
        <f>'Kullanılan gübre'!AC172*'Gübre oranlar'!AF$2</f>
        <v>0</v>
      </c>
      <c r="AD172">
        <f>'Kullanılan gübre'!AD172*'Gübre oranlar'!AG$2</f>
        <v>0</v>
      </c>
      <c r="AE172">
        <f>'Kullanılan gübre'!AE172*'Gübre oranlar'!AH$2</f>
        <v>0</v>
      </c>
      <c r="AF172">
        <f>'Kullanılan gübre'!AF172*'Gübre oranlar'!AI$2</f>
        <v>0</v>
      </c>
      <c r="AG172">
        <f>'Kullanılan gübre'!AG172*'Gübre oranlar'!AJ$2</f>
        <v>0</v>
      </c>
      <c r="AH172">
        <f>'Kullanılan gübre'!AH172*'Gübre oranlar'!AK$2</f>
        <v>0</v>
      </c>
      <c r="AI172">
        <f>'Kullanılan gübre'!AI172*'Gübre oranlar'!AL$2</f>
        <v>0</v>
      </c>
      <c r="AJ172">
        <f>'Kullanılan gübre'!AJ172*'Gübre oranlar'!AM$2</f>
        <v>0</v>
      </c>
      <c r="AK172">
        <f>'Kullanılan gübre'!AK172*'Gübre oranlar'!AN$2</f>
        <v>0</v>
      </c>
      <c r="AL172">
        <f>'Kullanılan gübre'!AL172*'Gübre oranlar'!AO$2</f>
        <v>0</v>
      </c>
      <c r="AM172">
        <f>'Kullanılan gübre'!AM172*'Gübre oranlar'!AP$2</f>
        <v>0</v>
      </c>
      <c r="AN172">
        <f>'Kullanılan gübre'!AN172*'Gübre oranlar'!AQ$2</f>
        <v>0</v>
      </c>
      <c r="AO172">
        <f>'Kullanılan gübre'!AO172*'Gübre oranlar'!AR$2</f>
        <v>0</v>
      </c>
      <c r="AP172">
        <f>'Kullanılan gübre'!AP172*'Gübre oranlar'!AS$2</f>
        <v>0</v>
      </c>
      <c r="AQ172">
        <f>'Kullanılan gübre'!AQ172*'Gübre oranlar'!AT$2</f>
        <v>0</v>
      </c>
      <c r="AR172">
        <f>'Kullanılan gübre'!AR172*'Gübre oranlar'!AU$2</f>
        <v>0</v>
      </c>
      <c r="AS172">
        <f>'Kullanılan gübre'!AS172*'Gübre oranlar'!AV$2</f>
        <v>0</v>
      </c>
      <c r="AT172">
        <f>'Kullanılan gübre'!AT172*'Gübre oranlar'!AW$2</f>
        <v>0</v>
      </c>
      <c r="AU172">
        <f>'Kullanılan gübre'!AU172*'Gübre oranlar'!AX$2</f>
        <v>0</v>
      </c>
      <c r="AV172">
        <f>'Kullanılan gübre'!AV172*'Gübre oranlar'!AY$2</f>
        <v>0</v>
      </c>
      <c r="AW172">
        <f t="shared" si="2"/>
        <v>27.649999999999995</v>
      </c>
    </row>
    <row r="173" spans="1:49" hidden="1" x14ac:dyDescent="0.25">
      <c r="A173" t="str">
        <f>'Kullanılan gübre'!A173</f>
        <v>BA</v>
      </c>
      <c r="B173" t="str">
        <f>'Kullanılan gübre'!B173</f>
        <v>ANTALYA</v>
      </c>
      <c r="C173" t="str">
        <f>'Kullanılan gübre'!C173</f>
        <v>KUMLUCA</v>
      </c>
      <c r="D173">
        <f>'Kullanılan gübre'!D173</f>
        <v>2011</v>
      </c>
      <c r="E173">
        <f>'Kullanılan gübre'!E173*'Gübre oranlar'!H$2</f>
        <v>320.88</v>
      </c>
      <c r="F173">
        <f>'Kullanılan gübre'!F173*'Gübre oranlar'!I$2</f>
        <v>4.42</v>
      </c>
      <c r="G173">
        <f>'Kullanılan gübre'!G173*'Gübre oranlar'!J$2</f>
        <v>346.5</v>
      </c>
      <c r="H173">
        <f>'Kullanılan gübre'!H173*'Gübre oranlar'!K$2</f>
        <v>167.9</v>
      </c>
      <c r="I173">
        <f>'Kullanılan gübre'!I173*'Gübre oranlar'!L$2</f>
        <v>0</v>
      </c>
      <c r="J173">
        <f>'Kullanılan gübre'!J173*'Gübre oranlar'!M$2</f>
        <v>116.1</v>
      </c>
      <c r="K173">
        <f>'Kullanılan gübre'!K173*'Gübre oranlar'!N$2</f>
        <v>38</v>
      </c>
      <c r="L173">
        <f>'Kullanılan gübre'!L173*'Gübre oranlar'!O$2</f>
        <v>10</v>
      </c>
      <c r="M173">
        <f>'Kullanılan gübre'!M173*'Gübre oranlar'!P$2</f>
        <v>36.6</v>
      </c>
      <c r="N173">
        <f>'Kullanılan gübre'!N173*'Gübre oranlar'!Q$2</f>
        <v>204.15</v>
      </c>
      <c r="O173">
        <f>'Kullanılan gübre'!O173*'Gübre oranlar'!R$2</f>
        <v>0</v>
      </c>
      <c r="P173">
        <f>'Kullanılan gübre'!P173*'Gübre oranlar'!S$2</f>
        <v>51.480000000000004</v>
      </c>
      <c r="Q173">
        <f>'Kullanılan gübre'!Q173*'Gübre oranlar'!T$2</f>
        <v>0</v>
      </c>
      <c r="R173">
        <f>'Kullanılan gübre'!R173*'Gübre oranlar'!U$2</f>
        <v>0</v>
      </c>
      <c r="S173">
        <f>'Kullanılan gübre'!S173*'Gübre oranlar'!V$2</f>
        <v>26.97</v>
      </c>
      <c r="T173">
        <f>'Kullanılan gübre'!T173*'Gübre oranlar'!W$2</f>
        <v>0</v>
      </c>
      <c r="U173">
        <f>'Kullanılan gübre'!U173*'Gübre oranlar'!X$2</f>
        <v>13.5</v>
      </c>
      <c r="V173">
        <f>'Kullanılan gübre'!V173*'Gübre oranlar'!Y$2</f>
        <v>0</v>
      </c>
      <c r="W173">
        <f>'Kullanılan gübre'!W173*'Gübre oranlar'!Z$2</f>
        <v>0</v>
      </c>
      <c r="X173">
        <f>'Kullanılan gübre'!X173*'Gübre oranlar'!AA$2</f>
        <v>0</v>
      </c>
      <c r="Y173">
        <f>'Kullanılan gübre'!Y173*'Gübre oranlar'!AB$2</f>
        <v>0</v>
      </c>
      <c r="Z173">
        <f>'Kullanılan gübre'!Z173*'Gübre oranlar'!AC$2</f>
        <v>0</v>
      </c>
      <c r="AA173">
        <f>'Kullanılan gübre'!AA173*'Gübre oranlar'!AD$2</f>
        <v>0</v>
      </c>
      <c r="AB173">
        <f>'Kullanılan gübre'!AB173*'Gübre oranlar'!AE$2</f>
        <v>0</v>
      </c>
      <c r="AC173">
        <f>'Kullanılan gübre'!AC173*'Gübre oranlar'!AF$2</f>
        <v>0</v>
      </c>
      <c r="AD173">
        <f>'Kullanılan gübre'!AD173*'Gübre oranlar'!AG$2</f>
        <v>0</v>
      </c>
      <c r="AE173">
        <f>'Kullanılan gübre'!AE173*'Gübre oranlar'!AH$2</f>
        <v>0</v>
      </c>
      <c r="AF173">
        <f>'Kullanılan gübre'!AF173*'Gübre oranlar'!AI$2</f>
        <v>0</v>
      </c>
      <c r="AG173">
        <f>'Kullanılan gübre'!AG173*'Gübre oranlar'!AJ$2</f>
        <v>0</v>
      </c>
      <c r="AH173">
        <f>'Kullanılan gübre'!AH173*'Gübre oranlar'!AK$2</f>
        <v>0</v>
      </c>
      <c r="AI173">
        <f>'Kullanılan gübre'!AI173*'Gübre oranlar'!AL$2</f>
        <v>0</v>
      </c>
      <c r="AJ173">
        <f>'Kullanılan gübre'!AJ173*'Gübre oranlar'!AM$2</f>
        <v>0</v>
      </c>
      <c r="AK173">
        <f>'Kullanılan gübre'!AK173*'Gübre oranlar'!AN$2</f>
        <v>0</v>
      </c>
      <c r="AL173">
        <f>'Kullanılan gübre'!AL173*'Gübre oranlar'!AO$2</f>
        <v>0</v>
      </c>
      <c r="AM173">
        <f>'Kullanılan gübre'!AM173*'Gübre oranlar'!AP$2</f>
        <v>0</v>
      </c>
      <c r="AN173">
        <f>'Kullanılan gübre'!AN173*'Gübre oranlar'!AQ$2</f>
        <v>0</v>
      </c>
      <c r="AO173">
        <f>'Kullanılan gübre'!AO173*'Gübre oranlar'!AR$2</f>
        <v>0</v>
      </c>
      <c r="AP173">
        <f>'Kullanılan gübre'!AP173*'Gübre oranlar'!AS$2</f>
        <v>0</v>
      </c>
      <c r="AQ173">
        <f>'Kullanılan gübre'!AQ173*'Gübre oranlar'!AT$2</f>
        <v>0</v>
      </c>
      <c r="AR173">
        <f>'Kullanılan gübre'!AR173*'Gübre oranlar'!AU$2</f>
        <v>0</v>
      </c>
      <c r="AS173">
        <f>'Kullanılan gübre'!AS173*'Gübre oranlar'!AV$2</f>
        <v>0</v>
      </c>
      <c r="AT173">
        <f>'Kullanılan gübre'!AT173*'Gübre oranlar'!AW$2</f>
        <v>0</v>
      </c>
      <c r="AU173">
        <f>'Kullanılan gübre'!AU173*'Gübre oranlar'!AX$2</f>
        <v>0</v>
      </c>
      <c r="AV173">
        <f>'Kullanılan gübre'!AV173*'Gübre oranlar'!AY$2</f>
        <v>0</v>
      </c>
      <c r="AW173">
        <f t="shared" si="2"/>
        <v>1336.5</v>
      </c>
    </row>
    <row r="174" spans="1:49" hidden="1" x14ac:dyDescent="0.25">
      <c r="A174" t="str">
        <f>'Kullanılan gübre'!A174</f>
        <v>BA</v>
      </c>
      <c r="B174" t="str">
        <f>'Kullanılan gübre'!B174</f>
        <v>ANTALYA</v>
      </c>
      <c r="C174" t="str">
        <f>'Kullanılan gübre'!C174</f>
        <v>FINIKE</v>
      </c>
      <c r="D174">
        <f>'Kullanılan gübre'!D174</f>
        <v>2011</v>
      </c>
      <c r="E174">
        <f>'Kullanılan gübre'!E174*'Gübre oranlar'!H$2</f>
        <v>121.8</v>
      </c>
      <c r="F174">
        <f>'Kullanılan gübre'!F174*'Gübre oranlar'!I$2</f>
        <v>16.38</v>
      </c>
      <c r="G174">
        <f>'Kullanılan gübre'!G174*'Gübre oranlar'!J$2</f>
        <v>216.48000000000002</v>
      </c>
      <c r="H174">
        <f>'Kullanılan gübre'!H174*'Gübre oranlar'!K$2</f>
        <v>70.84</v>
      </c>
      <c r="I174">
        <f>'Kullanılan gübre'!I174*'Gübre oranlar'!L$2</f>
        <v>0</v>
      </c>
      <c r="J174">
        <f>'Kullanılan gübre'!J174*'Gübre oranlar'!M$2</f>
        <v>33.839999999999996</v>
      </c>
      <c r="K174">
        <f>'Kullanılan gübre'!K174*'Gübre oranlar'!N$2</f>
        <v>17.600000000000001</v>
      </c>
      <c r="L174">
        <f>'Kullanılan gübre'!L174*'Gübre oranlar'!O$2</f>
        <v>0</v>
      </c>
      <c r="M174">
        <f>'Kullanılan gübre'!M174*'Gübre oranlar'!P$2</f>
        <v>30</v>
      </c>
      <c r="N174">
        <f>'Kullanılan gübre'!N174*'Gübre oranlar'!Q$2</f>
        <v>144</v>
      </c>
      <c r="O174">
        <f>'Kullanılan gübre'!O174*'Gübre oranlar'!R$2</f>
        <v>0</v>
      </c>
      <c r="P174">
        <f>'Kullanılan gübre'!P174*'Gübre oranlar'!S$2</f>
        <v>23.79</v>
      </c>
      <c r="Q174">
        <f>'Kullanılan gübre'!Q174*'Gübre oranlar'!T$2</f>
        <v>19.68</v>
      </c>
      <c r="R174">
        <f>'Kullanılan gübre'!R174*'Gübre oranlar'!U$2</f>
        <v>0</v>
      </c>
      <c r="S174">
        <f>'Kullanılan gübre'!S174*'Gübre oranlar'!V$2</f>
        <v>3.7199999999999998</v>
      </c>
      <c r="T174">
        <f>'Kullanılan gübre'!T174*'Gübre oranlar'!W$2</f>
        <v>0</v>
      </c>
      <c r="U174">
        <f>'Kullanılan gübre'!U174*'Gübre oranlar'!X$2</f>
        <v>49.5</v>
      </c>
      <c r="V174">
        <f>'Kullanılan gübre'!V174*'Gübre oranlar'!Y$2</f>
        <v>0</v>
      </c>
      <c r="W174">
        <f>'Kullanılan gübre'!W174*'Gübre oranlar'!Z$2</f>
        <v>0</v>
      </c>
      <c r="X174">
        <f>'Kullanılan gübre'!X174*'Gübre oranlar'!AA$2</f>
        <v>0</v>
      </c>
      <c r="Y174">
        <f>'Kullanılan gübre'!Y174*'Gübre oranlar'!AB$2</f>
        <v>0</v>
      </c>
      <c r="Z174">
        <f>'Kullanılan gübre'!Z174*'Gübre oranlar'!AC$2</f>
        <v>0</v>
      </c>
      <c r="AA174">
        <f>'Kullanılan gübre'!AA174*'Gübre oranlar'!AD$2</f>
        <v>0</v>
      </c>
      <c r="AB174">
        <f>'Kullanılan gübre'!AB174*'Gübre oranlar'!AE$2</f>
        <v>0</v>
      </c>
      <c r="AC174">
        <f>'Kullanılan gübre'!AC174*'Gübre oranlar'!AF$2</f>
        <v>0</v>
      </c>
      <c r="AD174">
        <f>'Kullanılan gübre'!AD174*'Gübre oranlar'!AG$2</f>
        <v>0</v>
      </c>
      <c r="AE174">
        <f>'Kullanılan gübre'!AE174*'Gübre oranlar'!AH$2</f>
        <v>0</v>
      </c>
      <c r="AF174">
        <f>'Kullanılan gübre'!AF174*'Gübre oranlar'!AI$2</f>
        <v>0</v>
      </c>
      <c r="AG174">
        <f>'Kullanılan gübre'!AG174*'Gübre oranlar'!AJ$2</f>
        <v>0</v>
      </c>
      <c r="AH174">
        <f>'Kullanılan gübre'!AH174*'Gübre oranlar'!AK$2</f>
        <v>0</v>
      </c>
      <c r="AI174">
        <f>'Kullanılan gübre'!AI174*'Gübre oranlar'!AL$2</f>
        <v>0</v>
      </c>
      <c r="AJ174">
        <f>'Kullanılan gübre'!AJ174*'Gübre oranlar'!AM$2</f>
        <v>0</v>
      </c>
      <c r="AK174">
        <f>'Kullanılan gübre'!AK174*'Gübre oranlar'!AN$2</f>
        <v>0</v>
      </c>
      <c r="AL174">
        <f>'Kullanılan gübre'!AL174*'Gübre oranlar'!AO$2</f>
        <v>0</v>
      </c>
      <c r="AM174">
        <f>'Kullanılan gübre'!AM174*'Gübre oranlar'!AP$2</f>
        <v>0</v>
      </c>
      <c r="AN174">
        <f>'Kullanılan gübre'!AN174*'Gübre oranlar'!AQ$2</f>
        <v>0</v>
      </c>
      <c r="AO174">
        <f>'Kullanılan gübre'!AO174*'Gübre oranlar'!AR$2</f>
        <v>0</v>
      </c>
      <c r="AP174">
        <f>'Kullanılan gübre'!AP174*'Gübre oranlar'!AS$2</f>
        <v>0</v>
      </c>
      <c r="AQ174">
        <f>'Kullanılan gübre'!AQ174*'Gübre oranlar'!AT$2</f>
        <v>0</v>
      </c>
      <c r="AR174">
        <f>'Kullanılan gübre'!AR174*'Gübre oranlar'!AU$2</f>
        <v>0</v>
      </c>
      <c r="AS174">
        <f>'Kullanılan gübre'!AS174*'Gübre oranlar'!AV$2</f>
        <v>28.990000000000002</v>
      </c>
      <c r="AT174">
        <f>'Kullanılan gübre'!AT174*'Gübre oranlar'!AW$2</f>
        <v>0</v>
      </c>
      <c r="AU174">
        <f>'Kullanılan gübre'!AU174*'Gübre oranlar'!AX$2</f>
        <v>0</v>
      </c>
      <c r="AV174">
        <f>'Kullanılan gübre'!AV174*'Gübre oranlar'!AY$2</f>
        <v>0</v>
      </c>
      <c r="AW174">
        <f t="shared" si="2"/>
        <v>776.62</v>
      </c>
    </row>
    <row r="175" spans="1:49" hidden="1" x14ac:dyDescent="0.25">
      <c r="A175" t="str">
        <f>'Kullanılan gübre'!A175</f>
        <v>BA</v>
      </c>
      <c r="B175" t="str">
        <f>'Kullanılan gübre'!B175</f>
        <v>ANTALYA</v>
      </c>
      <c r="C175" t="str">
        <f>'Kullanılan gübre'!C175</f>
        <v>DEMRE</v>
      </c>
      <c r="D175">
        <f>'Kullanılan gübre'!D175</f>
        <v>2011</v>
      </c>
      <c r="E175">
        <f>'Kullanılan gübre'!E175*'Gübre oranlar'!H$2</f>
        <v>42.21</v>
      </c>
      <c r="F175">
        <f>'Kullanılan gübre'!F175*'Gübre oranlar'!I$2</f>
        <v>35.620000000000005</v>
      </c>
      <c r="G175">
        <f>'Kullanılan gübre'!G175*'Gübre oranlar'!J$2</f>
        <v>91.410000000000011</v>
      </c>
      <c r="H175">
        <f>'Kullanılan gübre'!H175*'Gübre oranlar'!K$2</f>
        <v>52.440000000000005</v>
      </c>
      <c r="I175">
        <f>'Kullanılan gübre'!I175*'Gübre oranlar'!L$2</f>
        <v>0</v>
      </c>
      <c r="J175">
        <f>'Kullanılan gübre'!J175*'Gübre oranlar'!M$2</f>
        <v>20.52</v>
      </c>
      <c r="K175">
        <f>'Kullanılan gübre'!K175*'Gübre oranlar'!N$2</f>
        <v>14.600000000000001</v>
      </c>
      <c r="L175">
        <f>'Kullanılan gübre'!L175*'Gübre oranlar'!O$2</f>
        <v>0</v>
      </c>
      <c r="M175">
        <f>'Kullanılan gübre'!M175*'Gübre oranlar'!P$2</f>
        <v>0.89999999999999991</v>
      </c>
      <c r="N175">
        <f>'Kullanılan gübre'!N175*'Gübre oranlar'!Q$2</f>
        <v>14.399999999999999</v>
      </c>
      <c r="O175">
        <f>'Kullanılan gübre'!O175*'Gübre oranlar'!R$2</f>
        <v>0</v>
      </c>
      <c r="P175">
        <f>'Kullanılan gübre'!P175*'Gübre oranlar'!S$2</f>
        <v>47.84</v>
      </c>
      <c r="Q175">
        <f>'Kullanılan gübre'!Q175*'Gübre oranlar'!T$2</f>
        <v>0</v>
      </c>
      <c r="R175">
        <f>'Kullanılan gübre'!R175*'Gübre oranlar'!U$2</f>
        <v>0</v>
      </c>
      <c r="S175">
        <f>'Kullanılan gübre'!S175*'Gübre oranlar'!V$2</f>
        <v>21.7</v>
      </c>
      <c r="T175">
        <f>'Kullanılan gübre'!T175*'Gübre oranlar'!W$2</f>
        <v>0</v>
      </c>
      <c r="U175">
        <f>'Kullanılan gübre'!U175*'Gübre oranlar'!X$2</f>
        <v>0.5</v>
      </c>
      <c r="V175">
        <f>'Kullanılan gübre'!V175*'Gübre oranlar'!Y$2</f>
        <v>0</v>
      </c>
      <c r="W175">
        <f>'Kullanılan gübre'!W175*'Gübre oranlar'!Z$2</f>
        <v>0</v>
      </c>
      <c r="X175">
        <f>'Kullanılan gübre'!X175*'Gübre oranlar'!AA$2</f>
        <v>0</v>
      </c>
      <c r="Y175">
        <f>'Kullanılan gübre'!Y175*'Gübre oranlar'!AB$2</f>
        <v>0</v>
      </c>
      <c r="Z175">
        <f>'Kullanılan gübre'!Z175*'Gübre oranlar'!AC$2</f>
        <v>0</v>
      </c>
      <c r="AA175">
        <f>'Kullanılan gübre'!AA175*'Gübre oranlar'!AD$2</f>
        <v>0</v>
      </c>
      <c r="AB175">
        <f>'Kullanılan gübre'!AB175*'Gübre oranlar'!AE$2</f>
        <v>13.32</v>
      </c>
      <c r="AC175">
        <f>'Kullanılan gübre'!AC175*'Gübre oranlar'!AF$2</f>
        <v>0</v>
      </c>
      <c r="AD175">
        <f>'Kullanılan gübre'!AD175*'Gübre oranlar'!AG$2</f>
        <v>0</v>
      </c>
      <c r="AE175">
        <f>'Kullanılan gübre'!AE175*'Gübre oranlar'!AH$2</f>
        <v>0</v>
      </c>
      <c r="AF175">
        <f>'Kullanılan gübre'!AF175*'Gübre oranlar'!AI$2</f>
        <v>0</v>
      </c>
      <c r="AG175">
        <f>'Kullanılan gübre'!AG175*'Gübre oranlar'!AJ$2</f>
        <v>0</v>
      </c>
      <c r="AH175">
        <f>'Kullanılan gübre'!AH175*'Gübre oranlar'!AK$2</f>
        <v>0</v>
      </c>
      <c r="AI175">
        <f>'Kullanılan gübre'!AI175*'Gübre oranlar'!AL$2</f>
        <v>0</v>
      </c>
      <c r="AJ175">
        <f>'Kullanılan gübre'!AJ175*'Gübre oranlar'!AM$2</f>
        <v>0</v>
      </c>
      <c r="AK175">
        <f>'Kullanılan gübre'!AK175*'Gübre oranlar'!AN$2</f>
        <v>0</v>
      </c>
      <c r="AL175">
        <f>'Kullanılan gübre'!AL175*'Gübre oranlar'!AO$2</f>
        <v>0</v>
      </c>
      <c r="AM175">
        <f>'Kullanılan gübre'!AM175*'Gübre oranlar'!AP$2</f>
        <v>0</v>
      </c>
      <c r="AN175">
        <f>'Kullanılan gübre'!AN175*'Gübre oranlar'!AQ$2</f>
        <v>0</v>
      </c>
      <c r="AO175">
        <f>'Kullanılan gübre'!AO175*'Gübre oranlar'!AR$2</f>
        <v>0</v>
      </c>
      <c r="AP175">
        <f>'Kullanılan gübre'!AP175*'Gübre oranlar'!AS$2</f>
        <v>0</v>
      </c>
      <c r="AQ175">
        <f>'Kullanılan gübre'!AQ175*'Gübre oranlar'!AT$2</f>
        <v>0</v>
      </c>
      <c r="AR175">
        <f>'Kullanılan gübre'!AR175*'Gübre oranlar'!AU$2</f>
        <v>0</v>
      </c>
      <c r="AS175">
        <f>'Kullanılan gübre'!AS175*'Gübre oranlar'!AV$2</f>
        <v>0.13</v>
      </c>
      <c r="AT175">
        <f>'Kullanılan gübre'!AT175*'Gübre oranlar'!AW$2</f>
        <v>0</v>
      </c>
      <c r="AU175">
        <f>'Kullanılan gübre'!AU175*'Gübre oranlar'!AX$2</f>
        <v>0</v>
      </c>
      <c r="AV175">
        <f>'Kullanılan gübre'!AV175*'Gübre oranlar'!AY$2</f>
        <v>0</v>
      </c>
      <c r="AW175">
        <f t="shared" si="2"/>
        <v>355.58999999999992</v>
      </c>
    </row>
    <row r="176" spans="1:49" hidden="1" x14ac:dyDescent="0.25">
      <c r="A176" t="str">
        <f>'Kullanılan gübre'!A176</f>
        <v>BA</v>
      </c>
      <c r="B176" t="str">
        <f>'Kullanılan gübre'!B176</f>
        <v>ANTALYA</v>
      </c>
      <c r="C176" t="str">
        <f>'Kullanılan gübre'!C176</f>
        <v>KAS</v>
      </c>
      <c r="D176">
        <f>'Kullanılan gübre'!D176</f>
        <v>2011</v>
      </c>
      <c r="E176">
        <f>'Kullanılan gübre'!E176*'Gübre oranlar'!H$2</f>
        <v>70.98</v>
      </c>
      <c r="F176">
        <f>'Kullanılan gübre'!F176*'Gübre oranlar'!I$2</f>
        <v>67.08</v>
      </c>
      <c r="G176">
        <f>'Kullanılan gübre'!G176*'Gübre oranlar'!J$2</f>
        <v>80.19</v>
      </c>
      <c r="H176">
        <f>'Kullanılan gübre'!H176*'Gübre oranlar'!K$2</f>
        <v>116.38000000000001</v>
      </c>
      <c r="I176">
        <f>'Kullanılan gübre'!I176*'Gübre oranlar'!L$2</f>
        <v>0</v>
      </c>
      <c r="J176">
        <f>'Kullanılan gübre'!J176*'Gübre oranlar'!M$2</f>
        <v>19.259999999999998</v>
      </c>
      <c r="K176">
        <f>'Kullanılan gübre'!K176*'Gübre oranlar'!N$2</f>
        <v>17.2</v>
      </c>
      <c r="L176">
        <f>'Kullanılan gübre'!L176*'Gübre oranlar'!O$2</f>
        <v>0</v>
      </c>
      <c r="M176">
        <f>'Kullanılan gübre'!M176*'Gübre oranlar'!P$2</f>
        <v>24</v>
      </c>
      <c r="N176">
        <f>'Kullanılan gübre'!N176*'Gübre oranlar'!Q$2</f>
        <v>44.25</v>
      </c>
      <c r="O176">
        <f>'Kullanılan gübre'!O176*'Gübre oranlar'!R$2</f>
        <v>0</v>
      </c>
      <c r="P176">
        <f>'Kullanılan gübre'!P176*'Gübre oranlar'!S$2</f>
        <v>17.940000000000001</v>
      </c>
      <c r="Q176">
        <f>'Kullanılan gübre'!Q176*'Gübre oranlar'!T$2</f>
        <v>0</v>
      </c>
      <c r="R176">
        <f>'Kullanılan gübre'!R176*'Gübre oranlar'!U$2</f>
        <v>0</v>
      </c>
      <c r="S176">
        <f>'Kullanılan gübre'!S176*'Gübre oranlar'!V$2</f>
        <v>0</v>
      </c>
      <c r="T176">
        <f>'Kullanılan gübre'!T176*'Gübre oranlar'!W$2</f>
        <v>0</v>
      </c>
      <c r="U176">
        <f>'Kullanılan gübre'!U176*'Gübre oranlar'!X$2</f>
        <v>0</v>
      </c>
      <c r="V176">
        <f>'Kullanılan gübre'!V176*'Gübre oranlar'!Y$2</f>
        <v>0</v>
      </c>
      <c r="W176">
        <f>'Kullanılan gübre'!W176*'Gübre oranlar'!Z$2</f>
        <v>0</v>
      </c>
      <c r="X176">
        <f>'Kullanılan gübre'!X176*'Gübre oranlar'!AA$2</f>
        <v>0</v>
      </c>
      <c r="Y176">
        <f>'Kullanılan gübre'!Y176*'Gübre oranlar'!AB$2</f>
        <v>0</v>
      </c>
      <c r="Z176">
        <f>'Kullanılan gübre'!Z176*'Gübre oranlar'!AC$2</f>
        <v>0</v>
      </c>
      <c r="AA176">
        <f>'Kullanılan gübre'!AA176*'Gübre oranlar'!AD$2</f>
        <v>0</v>
      </c>
      <c r="AB176">
        <f>'Kullanılan gübre'!AB176*'Gübre oranlar'!AE$2</f>
        <v>0</v>
      </c>
      <c r="AC176">
        <f>'Kullanılan gübre'!AC176*'Gübre oranlar'!AF$2</f>
        <v>0</v>
      </c>
      <c r="AD176">
        <f>'Kullanılan gübre'!AD176*'Gübre oranlar'!AG$2</f>
        <v>0</v>
      </c>
      <c r="AE176">
        <f>'Kullanılan gübre'!AE176*'Gübre oranlar'!AH$2</f>
        <v>0</v>
      </c>
      <c r="AF176">
        <f>'Kullanılan gübre'!AF176*'Gübre oranlar'!AI$2</f>
        <v>0</v>
      </c>
      <c r="AG176">
        <f>'Kullanılan gübre'!AG176*'Gübre oranlar'!AJ$2</f>
        <v>0</v>
      </c>
      <c r="AH176">
        <f>'Kullanılan gübre'!AH176*'Gübre oranlar'!AK$2</f>
        <v>0</v>
      </c>
      <c r="AI176">
        <f>'Kullanılan gübre'!AI176*'Gübre oranlar'!AL$2</f>
        <v>0</v>
      </c>
      <c r="AJ176">
        <f>'Kullanılan gübre'!AJ176*'Gübre oranlar'!AM$2</f>
        <v>0</v>
      </c>
      <c r="AK176">
        <f>'Kullanılan gübre'!AK176*'Gübre oranlar'!AN$2</f>
        <v>0</v>
      </c>
      <c r="AL176">
        <f>'Kullanılan gübre'!AL176*'Gübre oranlar'!AO$2</f>
        <v>0</v>
      </c>
      <c r="AM176">
        <f>'Kullanılan gübre'!AM176*'Gübre oranlar'!AP$2</f>
        <v>0</v>
      </c>
      <c r="AN176">
        <f>'Kullanılan gübre'!AN176*'Gübre oranlar'!AQ$2</f>
        <v>0</v>
      </c>
      <c r="AO176">
        <f>'Kullanılan gübre'!AO176*'Gübre oranlar'!AR$2</f>
        <v>0</v>
      </c>
      <c r="AP176">
        <f>'Kullanılan gübre'!AP176*'Gübre oranlar'!AS$2</f>
        <v>0</v>
      </c>
      <c r="AQ176">
        <f>'Kullanılan gübre'!AQ176*'Gübre oranlar'!AT$2</f>
        <v>0</v>
      </c>
      <c r="AR176">
        <f>'Kullanılan gübre'!AR176*'Gübre oranlar'!AU$2</f>
        <v>0</v>
      </c>
      <c r="AS176">
        <f>'Kullanılan gübre'!AS176*'Gübre oranlar'!AV$2</f>
        <v>0</v>
      </c>
      <c r="AT176">
        <f>'Kullanılan gübre'!AT176*'Gübre oranlar'!AW$2</f>
        <v>0</v>
      </c>
      <c r="AU176">
        <f>'Kullanılan gübre'!AU176*'Gübre oranlar'!AX$2</f>
        <v>0</v>
      </c>
      <c r="AV176">
        <f>'Kullanılan gübre'!AV176*'Gübre oranlar'!AY$2</f>
        <v>0</v>
      </c>
      <c r="AW176">
        <f t="shared" si="2"/>
        <v>457.28</v>
      </c>
    </row>
    <row r="177" spans="1:49" hidden="1" x14ac:dyDescent="0.25">
      <c r="A177" t="str">
        <f>'Kullanılan gübre'!A177</f>
        <v>BA</v>
      </c>
      <c r="B177" t="str">
        <f>'Kullanılan gübre'!B177</f>
        <v>ANTALYA</v>
      </c>
      <c r="C177" t="str">
        <f>'Kullanılan gübre'!C177</f>
        <v>KORKUTELI</v>
      </c>
      <c r="D177">
        <f>'Kullanılan gübre'!D177</f>
        <v>2011</v>
      </c>
      <c r="E177">
        <f>'Kullanılan gübre'!E177*'Gübre oranlar'!H$2</f>
        <v>418.32</v>
      </c>
      <c r="F177">
        <f>'Kullanılan gübre'!F177*'Gübre oranlar'!I$2</f>
        <v>516.36</v>
      </c>
      <c r="G177">
        <f>'Kullanılan gübre'!G177*'Gübre oranlar'!J$2</f>
        <v>627.66000000000008</v>
      </c>
      <c r="H177">
        <f>'Kullanılan gübre'!H177*'Gübre oranlar'!K$2</f>
        <v>491.74</v>
      </c>
      <c r="I177">
        <f>'Kullanılan gübre'!I177*'Gübre oranlar'!L$2</f>
        <v>0</v>
      </c>
      <c r="J177">
        <f>'Kullanılan gübre'!J177*'Gübre oranlar'!M$2</f>
        <v>299.7</v>
      </c>
      <c r="K177">
        <f>'Kullanılan gübre'!K177*'Gübre oranlar'!N$2</f>
        <v>917.80000000000007</v>
      </c>
      <c r="L177">
        <f>'Kullanılan gübre'!L177*'Gübre oranlar'!O$2</f>
        <v>101.80000000000001</v>
      </c>
      <c r="M177">
        <f>'Kullanılan gübre'!M177*'Gübre oranlar'!P$2</f>
        <v>244.95</v>
      </c>
      <c r="N177">
        <f>'Kullanılan gübre'!N177*'Gübre oranlar'!Q$2</f>
        <v>161.4</v>
      </c>
      <c r="O177">
        <f>'Kullanılan gübre'!O177*'Gübre oranlar'!R$2</f>
        <v>0</v>
      </c>
      <c r="P177">
        <f>'Kullanılan gübre'!P177*'Gübre oranlar'!S$2</f>
        <v>6.76</v>
      </c>
      <c r="Q177">
        <f>'Kullanılan gübre'!Q177*'Gübre oranlar'!T$2</f>
        <v>0</v>
      </c>
      <c r="R177">
        <f>'Kullanılan gübre'!R177*'Gübre oranlar'!U$2</f>
        <v>0</v>
      </c>
      <c r="S177">
        <f>'Kullanılan gübre'!S177*'Gübre oranlar'!V$2</f>
        <v>0.92999999999999994</v>
      </c>
      <c r="T177">
        <f>'Kullanılan gübre'!T177*'Gübre oranlar'!W$2</f>
        <v>0</v>
      </c>
      <c r="U177">
        <f>'Kullanılan gübre'!U177*'Gübre oranlar'!X$2</f>
        <v>8</v>
      </c>
      <c r="V177">
        <f>'Kullanılan gübre'!V177*'Gübre oranlar'!Y$2</f>
        <v>0</v>
      </c>
      <c r="W177">
        <f>'Kullanılan gübre'!W177*'Gübre oranlar'!Z$2</f>
        <v>0</v>
      </c>
      <c r="X177">
        <f>'Kullanılan gübre'!X177*'Gübre oranlar'!AA$2</f>
        <v>0</v>
      </c>
      <c r="Y177">
        <f>'Kullanılan gübre'!Y177*'Gübre oranlar'!AB$2</f>
        <v>0</v>
      </c>
      <c r="Z177">
        <f>'Kullanılan gübre'!Z177*'Gübre oranlar'!AC$2</f>
        <v>0</v>
      </c>
      <c r="AA177">
        <f>'Kullanılan gübre'!AA177*'Gübre oranlar'!AD$2</f>
        <v>0</v>
      </c>
      <c r="AB177">
        <f>'Kullanılan gübre'!AB177*'Gübre oranlar'!AE$2</f>
        <v>8.879999999999999</v>
      </c>
      <c r="AC177">
        <f>'Kullanılan gübre'!AC177*'Gübre oranlar'!AF$2</f>
        <v>0</v>
      </c>
      <c r="AD177">
        <f>'Kullanılan gübre'!AD177*'Gübre oranlar'!AG$2</f>
        <v>0</v>
      </c>
      <c r="AE177">
        <f>'Kullanılan gübre'!AE177*'Gübre oranlar'!AH$2</f>
        <v>0</v>
      </c>
      <c r="AF177">
        <f>'Kullanılan gübre'!AF177*'Gübre oranlar'!AI$2</f>
        <v>0</v>
      </c>
      <c r="AG177">
        <f>'Kullanılan gübre'!AG177*'Gübre oranlar'!AJ$2</f>
        <v>0</v>
      </c>
      <c r="AH177">
        <f>'Kullanılan gübre'!AH177*'Gübre oranlar'!AK$2</f>
        <v>0</v>
      </c>
      <c r="AI177">
        <f>'Kullanılan gübre'!AI177*'Gübre oranlar'!AL$2</f>
        <v>0</v>
      </c>
      <c r="AJ177">
        <f>'Kullanılan gübre'!AJ177*'Gübre oranlar'!AM$2</f>
        <v>0</v>
      </c>
      <c r="AK177">
        <f>'Kullanılan gübre'!AK177*'Gübre oranlar'!AN$2</f>
        <v>0</v>
      </c>
      <c r="AL177">
        <f>'Kullanılan gübre'!AL177*'Gübre oranlar'!AO$2</f>
        <v>0</v>
      </c>
      <c r="AM177">
        <f>'Kullanılan gübre'!AM177*'Gübre oranlar'!AP$2</f>
        <v>0</v>
      </c>
      <c r="AN177">
        <f>'Kullanılan gübre'!AN177*'Gübre oranlar'!AQ$2</f>
        <v>0</v>
      </c>
      <c r="AO177">
        <f>'Kullanılan gübre'!AO177*'Gübre oranlar'!AR$2</f>
        <v>0</v>
      </c>
      <c r="AP177">
        <f>'Kullanılan gübre'!AP177*'Gübre oranlar'!AS$2</f>
        <v>0</v>
      </c>
      <c r="AQ177">
        <f>'Kullanılan gübre'!AQ177*'Gübre oranlar'!AT$2</f>
        <v>0</v>
      </c>
      <c r="AR177">
        <f>'Kullanılan gübre'!AR177*'Gübre oranlar'!AU$2</f>
        <v>0</v>
      </c>
      <c r="AS177">
        <f>'Kullanılan gübre'!AS177*'Gübre oranlar'!AV$2</f>
        <v>0.78</v>
      </c>
      <c r="AT177">
        <f>'Kullanılan gübre'!AT177*'Gübre oranlar'!AW$2</f>
        <v>0</v>
      </c>
      <c r="AU177">
        <f>'Kullanılan gübre'!AU177*'Gübre oranlar'!AX$2</f>
        <v>0</v>
      </c>
      <c r="AV177">
        <f>'Kullanılan gübre'!AV177*'Gübre oranlar'!AY$2</f>
        <v>0</v>
      </c>
      <c r="AW177">
        <f t="shared" si="2"/>
        <v>3805.0800000000004</v>
      </c>
    </row>
    <row r="178" spans="1:49" hidden="1" x14ac:dyDescent="0.25">
      <c r="A178" t="str">
        <f>'Kullanılan gübre'!A178</f>
        <v>BA</v>
      </c>
      <c r="B178" t="str">
        <f>'Kullanılan gübre'!B178</f>
        <v>ANTALYA</v>
      </c>
      <c r="C178" t="str">
        <f>'Kullanılan gübre'!C178</f>
        <v>ELMALI</v>
      </c>
      <c r="D178">
        <f>'Kullanılan gübre'!D178</f>
        <v>2011</v>
      </c>
      <c r="E178">
        <f>'Kullanılan gübre'!E178*'Gübre oranlar'!H$2</f>
        <v>132.29999999999998</v>
      </c>
      <c r="F178">
        <f>'Kullanılan gübre'!F178*'Gübre oranlar'!I$2</f>
        <v>142.74</v>
      </c>
      <c r="G178">
        <f>'Kullanılan gübre'!G178*'Gübre oranlar'!J$2</f>
        <v>359.04</v>
      </c>
      <c r="H178">
        <f>'Kullanılan gübre'!H178*'Gübre oranlar'!K$2</f>
        <v>402.04</v>
      </c>
      <c r="I178">
        <f>'Kullanılan gübre'!I178*'Gübre oranlar'!L$2</f>
        <v>0</v>
      </c>
      <c r="J178">
        <f>'Kullanılan gübre'!J178*'Gübre oranlar'!M$2</f>
        <v>72.36</v>
      </c>
      <c r="K178">
        <f>'Kullanılan gübre'!K178*'Gübre oranlar'!N$2</f>
        <v>247.4</v>
      </c>
      <c r="L178">
        <f>'Kullanılan gübre'!L178*'Gübre oranlar'!O$2</f>
        <v>21.6</v>
      </c>
      <c r="M178">
        <f>'Kullanılan gübre'!M178*'Gübre oranlar'!P$2</f>
        <v>127.5</v>
      </c>
      <c r="N178">
        <f>'Kullanılan gübre'!N178*'Gübre oranlar'!Q$2</f>
        <v>17.55</v>
      </c>
      <c r="O178">
        <f>'Kullanılan gübre'!O178*'Gübre oranlar'!R$2</f>
        <v>0</v>
      </c>
      <c r="P178">
        <f>'Kullanılan gübre'!P178*'Gübre oranlar'!S$2</f>
        <v>18.46</v>
      </c>
      <c r="Q178">
        <f>'Kullanılan gübre'!Q178*'Gübre oranlar'!T$2</f>
        <v>42.96</v>
      </c>
      <c r="R178">
        <f>'Kullanılan gübre'!R178*'Gübre oranlar'!U$2</f>
        <v>0</v>
      </c>
      <c r="S178">
        <f>'Kullanılan gübre'!S178*'Gübre oranlar'!V$2</f>
        <v>4.4950000000000001</v>
      </c>
      <c r="T178">
        <f>'Kullanılan gübre'!T178*'Gübre oranlar'!W$2</f>
        <v>0</v>
      </c>
      <c r="U178">
        <f>'Kullanılan gübre'!U178*'Gübre oranlar'!X$2</f>
        <v>0</v>
      </c>
      <c r="V178">
        <f>'Kullanılan gübre'!V178*'Gübre oranlar'!Y$2</f>
        <v>0</v>
      </c>
      <c r="W178">
        <f>'Kullanılan gübre'!W178*'Gübre oranlar'!Z$2</f>
        <v>0</v>
      </c>
      <c r="X178">
        <f>'Kullanılan gübre'!X178*'Gübre oranlar'!AA$2</f>
        <v>0</v>
      </c>
      <c r="Y178">
        <f>'Kullanılan gübre'!Y178*'Gübre oranlar'!AB$2</f>
        <v>0</v>
      </c>
      <c r="Z178">
        <f>'Kullanılan gübre'!Z178*'Gübre oranlar'!AC$2</f>
        <v>0</v>
      </c>
      <c r="AA178">
        <f>'Kullanılan gübre'!AA178*'Gübre oranlar'!AD$2</f>
        <v>0</v>
      </c>
      <c r="AB178">
        <f>'Kullanılan gübre'!AB178*'Gübre oranlar'!AE$2</f>
        <v>0</v>
      </c>
      <c r="AC178">
        <f>'Kullanılan gübre'!AC178*'Gübre oranlar'!AF$2</f>
        <v>0</v>
      </c>
      <c r="AD178">
        <f>'Kullanılan gübre'!AD178*'Gübre oranlar'!AG$2</f>
        <v>0</v>
      </c>
      <c r="AE178">
        <f>'Kullanılan gübre'!AE178*'Gübre oranlar'!AH$2</f>
        <v>0</v>
      </c>
      <c r="AF178">
        <f>'Kullanılan gübre'!AF178*'Gübre oranlar'!AI$2</f>
        <v>0</v>
      </c>
      <c r="AG178">
        <f>'Kullanılan gübre'!AG178*'Gübre oranlar'!AJ$2</f>
        <v>0</v>
      </c>
      <c r="AH178">
        <f>'Kullanılan gübre'!AH178*'Gübre oranlar'!AK$2</f>
        <v>0</v>
      </c>
      <c r="AI178">
        <f>'Kullanılan gübre'!AI178*'Gübre oranlar'!AL$2</f>
        <v>0</v>
      </c>
      <c r="AJ178">
        <f>'Kullanılan gübre'!AJ178*'Gübre oranlar'!AM$2</f>
        <v>0</v>
      </c>
      <c r="AK178">
        <f>'Kullanılan gübre'!AK178*'Gübre oranlar'!AN$2</f>
        <v>0</v>
      </c>
      <c r="AL178">
        <f>'Kullanılan gübre'!AL178*'Gübre oranlar'!AO$2</f>
        <v>0</v>
      </c>
      <c r="AM178">
        <f>'Kullanılan gübre'!AM178*'Gübre oranlar'!AP$2</f>
        <v>0</v>
      </c>
      <c r="AN178">
        <f>'Kullanılan gübre'!AN178*'Gübre oranlar'!AQ$2</f>
        <v>0</v>
      </c>
      <c r="AO178">
        <f>'Kullanılan gübre'!AO178*'Gübre oranlar'!AR$2</f>
        <v>0</v>
      </c>
      <c r="AP178">
        <f>'Kullanılan gübre'!AP178*'Gübre oranlar'!AS$2</f>
        <v>0</v>
      </c>
      <c r="AQ178">
        <f>'Kullanılan gübre'!AQ178*'Gübre oranlar'!AT$2</f>
        <v>0</v>
      </c>
      <c r="AR178">
        <f>'Kullanılan gübre'!AR178*'Gübre oranlar'!AU$2</f>
        <v>0</v>
      </c>
      <c r="AS178">
        <f>'Kullanılan gübre'!AS178*'Gübre oranlar'!AV$2</f>
        <v>0.65</v>
      </c>
      <c r="AT178">
        <f>'Kullanılan gübre'!AT178*'Gübre oranlar'!AW$2</f>
        <v>0</v>
      </c>
      <c r="AU178">
        <f>'Kullanılan gübre'!AU178*'Gübre oranlar'!AX$2</f>
        <v>0</v>
      </c>
      <c r="AV178">
        <f>'Kullanılan gübre'!AV178*'Gübre oranlar'!AY$2</f>
        <v>0</v>
      </c>
      <c r="AW178">
        <f t="shared" si="2"/>
        <v>1589.0949999999998</v>
      </c>
    </row>
    <row r="179" spans="1:49" hidden="1" x14ac:dyDescent="0.25">
      <c r="A179" t="str">
        <f>'Kullanılan gübre'!A179</f>
        <v>BA</v>
      </c>
      <c r="B179" t="str">
        <f>'Kullanılan gübre'!B179</f>
        <v>ANTALYA</v>
      </c>
      <c r="C179" t="str">
        <f>'Kullanılan gübre'!C179</f>
        <v>KEMER</v>
      </c>
      <c r="D179">
        <f>'Kullanılan gübre'!D179</f>
        <v>2012</v>
      </c>
      <c r="E179">
        <f>'Kullanılan gübre'!E179*'Gübre oranlar'!H$2</f>
        <v>4.41</v>
      </c>
      <c r="F179">
        <f>'Kullanılan gübre'!F179*'Gübre oranlar'!I$2</f>
        <v>0</v>
      </c>
      <c r="G179">
        <f>'Kullanılan gübre'!G179*'Gübre oranlar'!J$2</f>
        <v>0.66</v>
      </c>
      <c r="H179">
        <f>'Kullanılan gübre'!H179*'Gübre oranlar'!K$2</f>
        <v>1.3800000000000001</v>
      </c>
      <c r="I179">
        <f>'Kullanılan gübre'!I179*'Gübre oranlar'!L$2</f>
        <v>0</v>
      </c>
      <c r="J179">
        <f>'Kullanılan gübre'!J179*'Gübre oranlar'!M$2</f>
        <v>1.08</v>
      </c>
      <c r="K179">
        <f>'Kullanılan gübre'!K179*'Gübre oranlar'!N$2</f>
        <v>1</v>
      </c>
      <c r="L179">
        <f>'Kullanılan gübre'!L179*'Gübre oranlar'!O$2</f>
        <v>0</v>
      </c>
      <c r="M179">
        <f>'Kullanılan gübre'!M179*'Gübre oranlar'!P$2</f>
        <v>0</v>
      </c>
      <c r="N179">
        <f>'Kullanılan gübre'!N179*'Gübre oranlar'!Q$2</f>
        <v>1.5</v>
      </c>
      <c r="O179">
        <f>'Kullanılan gübre'!O179*'Gübre oranlar'!R$2</f>
        <v>0</v>
      </c>
      <c r="P179">
        <f>'Kullanılan gübre'!P179*'Gübre oranlar'!S$2</f>
        <v>0</v>
      </c>
      <c r="Q179">
        <f>'Kullanılan gübre'!Q179*'Gübre oranlar'!T$2</f>
        <v>0</v>
      </c>
      <c r="R179">
        <f>'Kullanılan gübre'!R179*'Gübre oranlar'!U$2</f>
        <v>0</v>
      </c>
      <c r="S179">
        <f>'Kullanılan gübre'!S179*'Gübre oranlar'!V$2</f>
        <v>0</v>
      </c>
      <c r="T179">
        <f>'Kullanılan gübre'!T179*'Gübre oranlar'!W$2</f>
        <v>0</v>
      </c>
      <c r="U179">
        <f>'Kullanılan gübre'!U179*'Gübre oranlar'!X$2</f>
        <v>0</v>
      </c>
      <c r="V179">
        <f>'Kullanılan gübre'!V179*'Gübre oranlar'!Y$2</f>
        <v>0</v>
      </c>
      <c r="W179">
        <f>'Kullanılan gübre'!W179*'Gübre oranlar'!Z$2</f>
        <v>0</v>
      </c>
      <c r="X179">
        <f>'Kullanılan gübre'!X179*'Gübre oranlar'!AA$2</f>
        <v>0</v>
      </c>
      <c r="Y179">
        <f>'Kullanılan gübre'!Y179*'Gübre oranlar'!AB$2</f>
        <v>0</v>
      </c>
      <c r="Z179">
        <f>'Kullanılan gübre'!Z179*'Gübre oranlar'!AC$2</f>
        <v>0</v>
      </c>
      <c r="AA179">
        <f>'Kullanılan gübre'!AA179*'Gübre oranlar'!AD$2</f>
        <v>0</v>
      </c>
      <c r="AB179">
        <f>'Kullanılan gübre'!AB179*'Gübre oranlar'!AE$2</f>
        <v>0</v>
      </c>
      <c r="AC179">
        <f>'Kullanılan gübre'!AC179*'Gübre oranlar'!AF$2</f>
        <v>0</v>
      </c>
      <c r="AD179">
        <f>'Kullanılan gübre'!AD179*'Gübre oranlar'!AG$2</f>
        <v>0</v>
      </c>
      <c r="AE179">
        <f>'Kullanılan gübre'!AE179*'Gübre oranlar'!AH$2</f>
        <v>0</v>
      </c>
      <c r="AF179">
        <f>'Kullanılan gübre'!AF179*'Gübre oranlar'!AI$2</f>
        <v>0</v>
      </c>
      <c r="AG179">
        <f>'Kullanılan gübre'!AG179*'Gübre oranlar'!AJ$2</f>
        <v>0</v>
      </c>
      <c r="AH179">
        <f>'Kullanılan gübre'!AH179*'Gübre oranlar'!AK$2</f>
        <v>0</v>
      </c>
      <c r="AI179">
        <f>'Kullanılan gübre'!AI179*'Gübre oranlar'!AL$2</f>
        <v>0</v>
      </c>
      <c r="AJ179">
        <f>'Kullanılan gübre'!AJ179*'Gübre oranlar'!AM$2</f>
        <v>0</v>
      </c>
      <c r="AK179">
        <f>'Kullanılan gübre'!AK179*'Gübre oranlar'!AN$2</f>
        <v>0</v>
      </c>
      <c r="AL179">
        <f>'Kullanılan gübre'!AL179*'Gübre oranlar'!AO$2</f>
        <v>0</v>
      </c>
      <c r="AM179">
        <f>'Kullanılan gübre'!AM179*'Gübre oranlar'!AP$2</f>
        <v>0</v>
      </c>
      <c r="AN179">
        <f>'Kullanılan gübre'!AN179*'Gübre oranlar'!AQ$2</f>
        <v>0</v>
      </c>
      <c r="AO179">
        <f>'Kullanılan gübre'!AO179*'Gübre oranlar'!AR$2</f>
        <v>0</v>
      </c>
      <c r="AP179">
        <f>'Kullanılan gübre'!AP179*'Gübre oranlar'!AS$2</f>
        <v>0</v>
      </c>
      <c r="AQ179">
        <f>'Kullanılan gübre'!AQ179*'Gübre oranlar'!AT$2</f>
        <v>0</v>
      </c>
      <c r="AR179">
        <f>'Kullanılan gübre'!AR179*'Gübre oranlar'!AU$2</f>
        <v>0</v>
      </c>
      <c r="AS179">
        <f>'Kullanılan gübre'!AS179*'Gübre oranlar'!AV$2</f>
        <v>0</v>
      </c>
      <c r="AT179">
        <f>'Kullanılan gübre'!AT179*'Gübre oranlar'!AW$2</f>
        <v>0</v>
      </c>
      <c r="AU179">
        <f>'Kullanılan gübre'!AU179*'Gübre oranlar'!AX$2</f>
        <v>0</v>
      </c>
      <c r="AV179">
        <f>'Kullanılan gübre'!AV179*'Gübre oranlar'!AY$2</f>
        <v>0</v>
      </c>
      <c r="AW179">
        <f t="shared" si="2"/>
        <v>10.030000000000001</v>
      </c>
    </row>
    <row r="180" spans="1:49" hidden="1" x14ac:dyDescent="0.25">
      <c r="A180" t="str">
        <f>'Kullanılan gübre'!A180</f>
        <v>BA</v>
      </c>
      <c r="B180" t="str">
        <f>'Kullanılan gübre'!B180</f>
        <v>ANTALYA</v>
      </c>
      <c r="C180" t="str">
        <f>'Kullanılan gübre'!C180</f>
        <v>KUMLUCA</v>
      </c>
      <c r="D180">
        <f>'Kullanılan gübre'!D180</f>
        <v>2012</v>
      </c>
      <c r="E180">
        <f>'Kullanılan gübre'!E180*'Gübre oranlar'!H$2</f>
        <v>318.77999999999997</v>
      </c>
      <c r="F180">
        <f>'Kullanılan gübre'!F180*'Gübre oranlar'!I$2</f>
        <v>33.28</v>
      </c>
      <c r="G180">
        <f>'Kullanılan gübre'!G180*'Gübre oranlar'!J$2</f>
        <v>384.45000000000005</v>
      </c>
      <c r="H180">
        <f>'Kullanılan gübre'!H180*'Gübre oranlar'!K$2</f>
        <v>124.2</v>
      </c>
      <c r="I180">
        <f>'Kullanılan gübre'!I180*'Gübre oranlar'!L$2</f>
        <v>0</v>
      </c>
      <c r="J180">
        <f>'Kullanılan gübre'!J180*'Gübre oranlar'!M$2</f>
        <v>115.19999999999999</v>
      </c>
      <c r="K180">
        <f>'Kullanılan gübre'!K180*'Gübre oranlar'!N$2</f>
        <v>80.800000000000011</v>
      </c>
      <c r="L180">
        <f>'Kullanılan gübre'!L180*'Gübre oranlar'!O$2</f>
        <v>0</v>
      </c>
      <c r="M180">
        <f>'Kullanılan gübre'!M180*'Gübre oranlar'!P$2</f>
        <v>60.15</v>
      </c>
      <c r="N180">
        <f>'Kullanılan gübre'!N180*'Gübre oranlar'!Q$2</f>
        <v>468.15</v>
      </c>
      <c r="O180">
        <f>'Kullanılan gübre'!O180*'Gübre oranlar'!R$2</f>
        <v>0</v>
      </c>
      <c r="P180">
        <f>'Kullanılan gübre'!P180*'Gübre oranlar'!S$2</f>
        <v>28.86</v>
      </c>
      <c r="Q180">
        <f>'Kullanılan gübre'!Q180*'Gübre oranlar'!T$2</f>
        <v>13.68</v>
      </c>
      <c r="R180">
        <f>'Kullanılan gübre'!R180*'Gübre oranlar'!U$2</f>
        <v>0</v>
      </c>
      <c r="S180">
        <f>'Kullanılan gübre'!S180*'Gübre oranlar'!V$2</f>
        <v>39.06</v>
      </c>
      <c r="T180">
        <f>'Kullanılan gübre'!T180*'Gübre oranlar'!W$2</f>
        <v>0</v>
      </c>
      <c r="U180">
        <f>'Kullanılan gübre'!U180*'Gübre oranlar'!X$2</f>
        <v>38</v>
      </c>
      <c r="V180">
        <f>'Kullanılan gübre'!V180*'Gübre oranlar'!Y$2</f>
        <v>0</v>
      </c>
      <c r="W180">
        <f>'Kullanılan gübre'!W180*'Gübre oranlar'!Z$2</f>
        <v>0</v>
      </c>
      <c r="X180">
        <f>'Kullanılan gübre'!X180*'Gübre oranlar'!AA$2</f>
        <v>0</v>
      </c>
      <c r="Y180">
        <f>'Kullanılan gübre'!Y180*'Gübre oranlar'!AB$2</f>
        <v>0</v>
      </c>
      <c r="Z180">
        <f>'Kullanılan gübre'!Z180*'Gübre oranlar'!AC$2</f>
        <v>0</v>
      </c>
      <c r="AA180">
        <f>'Kullanılan gübre'!AA180*'Gübre oranlar'!AD$2</f>
        <v>0</v>
      </c>
      <c r="AB180">
        <f>'Kullanılan gübre'!AB180*'Gübre oranlar'!AE$2</f>
        <v>0</v>
      </c>
      <c r="AC180">
        <f>'Kullanılan gübre'!AC180*'Gübre oranlar'!AF$2</f>
        <v>0</v>
      </c>
      <c r="AD180">
        <f>'Kullanılan gübre'!AD180*'Gübre oranlar'!AG$2</f>
        <v>0</v>
      </c>
      <c r="AE180">
        <f>'Kullanılan gübre'!AE180*'Gübre oranlar'!AH$2</f>
        <v>0</v>
      </c>
      <c r="AF180">
        <f>'Kullanılan gübre'!AF180*'Gübre oranlar'!AI$2</f>
        <v>0</v>
      </c>
      <c r="AG180">
        <f>'Kullanılan gübre'!AG180*'Gübre oranlar'!AJ$2</f>
        <v>0</v>
      </c>
      <c r="AH180">
        <f>'Kullanılan gübre'!AH180*'Gübre oranlar'!AK$2</f>
        <v>0</v>
      </c>
      <c r="AI180">
        <f>'Kullanılan gübre'!AI180*'Gübre oranlar'!AL$2</f>
        <v>0</v>
      </c>
      <c r="AJ180">
        <f>'Kullanılan gübre'!AJ180*'Gübre oranlar'!AM$2</f>
        <v>0</v>
      </c>
      <c r="AK180">
        <f>'Kullanılan gübre'!AK180*'Gübre oranlar'!AN$2</f>
        <v>0</v>
      </c>
      <c r="AL180">
        <f>'Kullanılan gübre'!AL180*'Gübre oranlar'!AO$2</f>
        <v>0</v>
      </c>
      <c r="AM180">
        <f>'Kullanılan gübre'!AM180*'Gübre oranlar'!AP$2</f>
        <v>0</v>
      </c>
      <c r="AN180">
        <f>'Kullanılan gübre'!AN180*'Gübre oranlar'!AQ$2</f>
        <v>0</v>
      </c>
      <c r="AO180">
        <f>'Kullanılan gübre'!AO180*'Gübre oranlar'!AR$2</f>
        <v>0</v>
      </c>
      <c r="AP180">
        <f>'Kullanılan gübre'!AP180*'Gübre oranlar'!AS$2</f>
        <v>0</v>
      </c>
      <c r="AQ180">
        <f>'Kullanılan gübre'!AQ180*'Gübre oranlar'!AT$2</f>
        <v>0</v>
      </c>
      <c r="AR180">
        <f>'Kullanılan gübre'!AR180*'Gübre oranlar'!AU$2</f>
        <v>0</v>
      </c>
      <c r="AS180">
        <f>'Kullanılan gübre'!AS180*'Gübre oranlar'!AV$2</f>
        <v>12.48</v>
      </c>
      <c r="AT180">
        <f>'Kullanılan gübre'!AT180*'Gübre oranlar'!AW$2</f>
        <v>0</v>
      </c>
      <c r="AU180">
        <f>'Kullanılan gübre'!AU180*'Gübre oranlar'!AX$2</f>
        <v>0</v>
      </c>
      <c r="AV180">
        <f>'Kullanılan gübre'!AV180*'Gübre oranlar'!AY$2</f>
        <v>0</v>
      </c>
      <c r="AW180">
        <f t="shared" si="2"/>
        <v>1717.0900000000001</v>
      </c>
    </row>
    <row r="181" spans="1:49" hidden="1" x14ac:dyDescent="0.25">
      <c r="A181" t="str">
        <f>'Kullanılan gübre'!A181</f>
        <v>BA</v>
      </c>
      <c r="B181" t="str">
        <f>'Kullanılan gübre'!B181</f>
        <v>ANTALYA</v>
      </c>
      <c r="C181" t="str">
        <f>'Kullanılan gübre'!C181</f>
        <v>FINIKE</v>
      </c>
      <c r="D181">
        <f>'Kullanılan gübre'!D181</f>
        <v>2012</v>
      </c>
      <c r="E181">
        <f>'Kullanılan gübre'!E181*'Gübre oranlar'!H$2</f>
        <v>46.41</v>
      </c>
      <c r="F181">
        <f>'Kullanılan gübre'!F181*'Gübre oranlar'!I$2</f>
        <v>2.6</v>
      </c>
      <c r="G181">
        <f>'Kullanılan gübre'!G181*'Gübre oranlar'!J$2</f>
        <v>46.86</v>
      </c>
      <c r="H181">
        <f>'Kullanılan gübre'!H181*'Gübre oranlar'!K$2</f>
        <v>50.6</v>
      </c>
      <c r="I181">
        <f>'Kullanılan gübre'!I181*'Gübre oranlar'!L$2</f>
        <v>0</v>
      </c>
      <c r="J181">
        <f>'Kullanılan gübre'!J181*'Gübre oranlar'!M$2</f>
        <v>3.5999999999999996</v>
      </c>
      <c r="K181">
        <f>'Kullanılan gübre'!K181*'Gübre oranlar'!N$2</f>
        <v>2.4000000000000004</v>
      </c>
      <c r="L181">
        <f>'Kullanılan gübre'!L181*'Gübre oranlar'!O$2</f>
        <v>0</v>
      </c>
      <c r="M181">
        <f>'Kullanılan gübre'!M181*'Gübre oranlar'!P$2</f>
        <v>8.6999999999999993</v>
      </c>
      <c r="N181">
        <f>'Kullanılan gübre'!N181*'Gübre oranlar'!Q$2</f>
        <v>6.1499999999999995</v>
      </c>
      <c r="O181">
        <f>'Kullanılan gübre'!O181*'Gübre oranlar'!R$2</f>
        <v>0</v>
      </c>
      <c r="P181">
        <f>'Kullanılan gübre'!P181*'Gübre oranlar'!S$2</f>
        <v>1.17</v>
      </c>
      <c r="Q181">
        <f>'Kullanılan gübre'!Q181*'Gübre oranlar'!T$2</f>
        <v>7.1999999999999993</v>
      </c>
      <c r="R181">
        <f>'Kullanılan gübre'!R181*'Gübre oranlar'!U$2</f>
        <v>0</v>
      </c>
      <c r="S181">
        <f>'Kullanılan gübre'!S181*'Gübre oranlar'!V$2</f>
        <v>3.5649999999999999</v>
      </c>
      <c r="T181">
        <f>'Kullanılan gübre'!T181*'Gübre oranlar'!W$2</f>
        <v>0</v>
      </c>
      <c r="U181">
        <f>'Kullanılan gübre'!U181*'Gübre oranlar'!X$2</f>
        <v>19.5</v>
      </c>
      <c r="V181">
        <f>'Kullanılan gübre'!V181*'Gübre oranlar'!Y$2</f>
        <v>0</v>
      </c>
      <c r="W181">
        <f>'Kullanılan gübre'!W181*'Gübre oranlar'!Z$2</f>
        <v>0</v>
      </c>
      <c r="X181">
        <f>'Kullanılan gübre'!X181*'Gübre oranlar'!AA$2</f>
        <v>0</v>
      </c>
      <c r="Y181">
        <f>'Kullanılan gübre'!Y181*'Gübre oranlar'!AB$2</f>
        <v>0</v>
      </c>
      <c r="Z181">
        <f>'Kullanılan gübre'!Z181*'Gübre oranlar'!AC$2</f>
        <v>0</v>
      </c>
      <c r="AA181">
        <f>'Kullanılan gübre'!AA181*'Gübre oranlar'!AD$2</f>
        <v>0</v>
      </c>
      <c r="AB181">
        <f>'Kullanılan gübre'!AB181*'Gübre oranlar'!AE$2</f>
        <v>1.7999999999999998</v>
      </c>
      <c r="AC181">
        <f>'Kullanılan gübre'!AC181*'Gübre oranlar'!AF$2</f>
        <v>0</v>
      </c>
      <c r="AD181">
        <f>'Kullanılan gübre'!AD181*'Gübre oranlar'!AG$2</f>
        <v>0</v>
      </c>
      <c r="AE181">
        <f>'Kullanılan gübre'!AE181*'Gübre oranlar'!AH$2</f>
        <v>0</v>
      </c>
      <c r="AF181">
        <f>'Kullanılan gübre'!AF181*'Gübre oranlar'!AI$2</f>
        <v>0</v>
      </c>
      <c r="AG181">
        <f>'Kullanılan gübre'!AG181*'Gübre oranlar'!AJ$2</f>
        <v>0</v>
      </c>
      <c r="AH181">
        <f>'Kullanılan gübre'!AH181*'Gübre oranlar'!AK$2</f>
        <v>0</v>
      </c>
      <c r="AI181">
        <f>'Kullanılan gübre'!AI181*'Gübre oranlar'!AL$2</f>
        <v>0</v>
      </c>
      <c r="AJ181">
        <f>'Kullanılan gübre'!AJ181*'Gübre oranlar'!AM$2</f>
        <v>0</v>
      </c>
      <c r="AK181">
        <f>'Kullanılan gübre'!AK181*'Gübre oranlar'!AN$2</f>
        <v>0</v>
      </c>
      <c r="AL181">
        <f>'Kullanılan gübre'!AL181*'Gübre oranlar'!AO$2</f>
        <v>0</v>
      </c>
      <c r="AM181">
        <f>'Kullanılan gübre'!AM181*'Gübre oranlar'!AP$2</f>
        <v>0</v>
      </c>
      <c r="AN181">
        <f>'Kullanılan gübre'!AN181*'Gübre oranlar'!AQ$2</f>
        <v>0</v>
      </c>
      <c r="AO181">
        <f>'Kullanılan gübre'!AO181*'Gübre oranlar'!AR$2</f>
        <v>0</v>
      </c>
      <c r="AP181">
        <f>'Kullanılan gübre'!AP181*'Gübre oranlar'!AS$2</f>
        <v>0</v>
      </c>
      <c r="AQ181">
        <f>'Kullanılan gübre'!AQ181*'Gübre oranlar'!AT$2</f>
        <v>0</v>
      </c>
      <c r="AR181">
        <f>'Kullanılan gübre'!AR181*'Gübre oranlar'!AU$2</f>
        <v>0</v>
      </c>
      <c r="AS181">
        <f>'Kullanılan gübre'!AS181*'Gübre oranlar'!AV$2</f>
        <v>6.11</v>
      </c>
      <c r="AT181">
        <f>'Kullanılan gübre'!AT181*'Gübre oranlar'!AW$2</f>
        <v>0</v>
      </c>
      <c r="AU181">
        <f>'Kullanılan gübre'!AU181*'Gübre oranlar'!AX$2</f>
        <v>0</v>
      </c>
      <c r="AV181">
        <f>'Kullanılan gübre'!AV181*'Gübre oranlar'!AY$2</f>
        <v>0</v>
      </c>
      <c r="AW181">
        <f t="shared" si="2"/>
        <v>206.66499999999999</v>
      </c>
    </row>
    <row r="182" spans="1:49" hidden="1" x14ac:dyDescent="0.25">
      <c r="A182" t="str">
        <f>'Kullanılan gübre'!A182</f>
        <v>BA</v>
      </c>
      <c r="B182" t="str">
        <f>'Kullanılan gübre'!B182</f>
        <v>ANTALYA</v>
      </c>
      <c r="C182" t="str">
        <f>'Kullanılan gübre'!C182</f>
        <v>DEMRE</v>
      </c>
      <c r="D182">
        <f>'Kullanılan gübre'!D182</f>
        <v>2012</v>
      </c>
      <c r="E182">
        <f>'Kullanılan gübre'!E182*'Gübre oranlar'!H$2</f>
        <v>42</v>
      </c>
      <c r="F182">
        <f>'Kullanılan gübre'!F182*'Gübre oranlar'!I$2</f>
        <v>20.02</v>
      </c>
      <c r="G182">
        <f>'Kullanılan gübre'!G182*'Gübre oranlar'!J$2</f>
        <v>50.49</v>
      </c>
      <c r="H182">
        <f>'Kullanılan gübre'!H182*'Gübre oranlar'!K$2</f>
        <v>32.660000000000004</v>
      </c>
      <c r="I182">
        <f>'Kullanılan gübre'!I182*'Gübre oranlar'!L$2</f>
        <v>0</v>
      </c>
      <c r="J182">
        <f>'Kullanılan gübre'!J182*'Gübre oranlar'!M$2</f>
        <v>24.119999999999997</v>
      </c>
      <c r="K182">
        <f>'Kullanılan gübre'!K182*'Gübre oranlar'!N$2</f>
        <v>14</v>
      </c>
      <c r="L182">
        <f>'Kullanılan gübre'!L182*'Gübre oranlar'!O$2</f>
        <v>0.8</v>
      </c>
      <c r="M182">
        <f>'Kullanılan gübre'!M182*'Gübre oranlar'!P$2</f>
        <v>2.85</v>
      </c>
      <c r="N182">
        <f>'Kullanılan gübre'!N182*'Gübre oranlar'!Q$2</f>
        <v>15.299999999999999</v>
      </c>
      <c r="O182">
        <f>'Kullanılan gübre'!O182*'Gübre oranlar'!R$2</f>
        <v>0</v>
      </c>
      <c r="P182">
        <f>'Kullanılan gübre'!P182*'Gübre oranlar'!S$2</f>
        <v>27.82</v>
      </c>
      <c r="Q182">
        <f>'Kullanılan gübre'!Q182*'Gübre oranlar'!T$2</f>
        <v>0</v>
      </c>
      <c r="R182">
        <f>'Kullanılan gübre'!R182*'Gübre oranlar'!U$2</f>
        <v>0</v>
      </c>
      <c r="S182">
        <f>'Kullanılan gübre'!S182*'Gübre oranlar'!V$2</f>
        <v>18.754999999999999</v>
      </c>
      <c r="T182">
        <f>'Kullanılan gübre'!T182*'Gübre oranlar'!W$2</f>
        <v>0</v>
      </c>
      <c r="U182">
        <f>'Kullanılan gübre'!U182*'Gübre oranlar'!X$2</f>
        <v>0.25</v>
      </c>
      <c r="V182">
        <f>'Kullanılan gübre'!V182*'Gübre oranlar'!Y$2</f>
        <v>0</v>
      </c>
      <c r="W182">
        <f>'Kullanılan gübre'!W182*'Gübre oranlar'!Z$2</f>
        <v>0</v>
      </c>
      <c r="X182">
        <f>'Kullanılan gübre'!X182*'Gübre oranlar'!AA$2</f>
        <v>0</v>
      </c>
      <c r="Y182">
        <f>'Kullanılan gübre'!Y182*'Gübre oranlar'!AB$2</f>
        <v>0</v>
      </c>
      <c r="Z182">
        <f>'Kullanılan gübre'!Z182*'Gübre oranlar'!AC$2</f>
        <v>0</v>
      </c>
      <c r="AA182">
        <f>'Kullanılan gübre'!AA182*'Gübre oranlar'!AD$2</f>
        <v>0</v>
      </c>
      <c r="AB182">
        <f>'Kullanılan gübre'!AB182*'Gübre oranlar'!AE$2</f>
        <v>11.4</v>
      </c>
      <c r="AC182">
        <f>'Kullanılan gübre'!AC182*'Gübre oranlar'!AF$2</f>
        <v>0</v>
      </c>
      <c r="AD182">
        <f>'Kullanılan gübre'!AD182*'Gübre oranlar'!AG$2</f>
        <v>0</v>
      </c>
      <c r="AE182">
        <f>'Kullanılan gübre'!AE182*'Gübre oranlar'!AH$2</f>
        <v>0</v>
      </c>
      <c r="AF182">
        <f>'Kullanılan gübre'!AF182*'Gübre oranlar'!AI$2</f>
        <v>0</v>
      </c>
      <c r="AG182">
        <f>'Kullanılan gübre'!AG182*'Gübre oranlar'!AJ$2</f>
        <v>0</v>
      </c>
      <c r="AH182">
        <f>'Kullanılan gübre'!AH182*'Gübre oranlar'!AK$2</f>
        <v>0</v>
      </c>
      <c r="AI182">
        <f>'Kullanılan gübre'!AI182*'Gübre oranlar'!AL$2</f>
        <v>0</v>
      </c>
      <c r="AJ182">
        <f>'Kullanılan gübre'!AJ182*'Gübre oranlar'!AM$2</f>
        <v>0</v>
      </c>
      <c r="AK182">
        <f>'Kullanılan gübre'!AK182*'Gübre oranlar'!AN$2</f>
        <v>0</v>
      </c>
      <c r="AL182">
        <f>'Kullanılan gübre'!AL182*'Gübre oranlar'!AO$2</f>
        <v>0</v>
      </c>
      <c r="AM182">
        <f>'Kullanılan gübre'!AM182*'Gübre oranlar'!AP$2</f>
        <v>0</v>
      </c>
      <c r="AN182">
        <f>'Kullanılan gübre'!AN182*'Gübre oranlar'!AQ$2</f>
        <v>0</v>
      </c>
      <c r="AO182">
        <f>'Kullanılan gübre'!AO182*'Gübre oranlar'!AR$2</f>
        <v>0</v>
      </c>
      <c r="AP182">
        <f>'Kullanılan gübre'!AP182*'Gübre oranlar'!AS$2</f>
        <v>0</v>
      </c>
      <c r="AQ182">
        <f>'Kullanılan gübre'!AQ182*'Gübre oranlar'!AT$2</f>
        <v>0</v>
      </c>
      <c r="AR182">
        <f>'Kullanılan gübre'!AR182*'Gübre oranlar'!AU$2</f>
        <v>0</v>
      </c>
      <c r="AS182">
        <f>'Kullanılan gübre'!AS182*'Gübre oranlar'!AV$2</f>
        <v>0</v>
      </c>
      <c r="AT182">
        <f>'Kullanılan gübre'!AT182*'Gübre oranlar'!AW$2</f>
        <v>0</v>
      </c>
      <c r="AU182">
        <f>'Kullanılan gübre'!AU182*'Gübre oranlar'!AX$2</f>
        <v>0</v>
      </c>
      <c r="AV182">
        <f>'Kullanılan gübre'!AV182*'Gübre oranlar'!AY$2</f>
        <v>0</v>
      </c>
      <c r="AW182">
        <f t="shared" si="2"/>
        <v>260.46499999999997</v>
      </c>
    </row>
    <row r="183" spans="1:49" hidden="1" x14ac:dyDescent="0.25">
      <c r="A183" t="str">
        <f>'Kullanılan gübre'!A183</f>
        <v>BA</v>
      </c>
      <c r="B183" t="str">
        <f>'Kullanılan gübre'!B183</f>
        <v>ANTALYA</v>
      </c>
      <c r="C183" t="str">
        <f>'Kullanılan gübre'!C183</f>
        <v>KAS</v>
      </c>
      <c r="D183">
        <f>'Kullanılan gübre'!D183</f>
        <v>2012</v>
      </c>
      <c r="E183">
        <f>'Kullanılan gübre'!E183*'Gübre oranlar'!H$2</f>
        <v>43.26</v>
      </c>
      <c r="F183">
        <f>'Kullanılan gübre'!F183*'Gübre oranlar'!I$2</f>
        <v>48.1</v>
      </c>
      <c r="G183">
        <f>'Kullanılan gübre'!G183*'Gübre oranlar'!J$2</f>
        <v>126.72</v>
      </c>
      <c r="H183">
        <f>'Kullanılan gübre'!H183*'Gübre oranlar'!K$2</f>
        <v>92</v>
      </c>
      <c r="I183">
        <f>'Kullanılan gübre'!I183*'Gübre oranlar'!L$2</f>
        <v>0</v>
      </c>
      <c r="J183">
        <f>'Kullanılan gübre'!J183*'Gübre oranlar'!M$2</f>
        <v>44.28</v>
      </c>
      <c r="K183">
        <f>'Kullanılan gübre'!K183*'Gübre oranlar'!N$2</f>
        <v>26.400000000000002</v>
      </c>
      <c r="L183">
        <f>'Kullanılan gübre'!L183*'Gübre oranlar'!O$2</f>
        <v>36</v>
      </c>
      <c r="M183">
        <f>'Kullanılan gübre'!M183*'Gübre oranlar'!P$2</f>
        <v>49.199999999999996</v>
      </c>
      <c r="N183">
        <f>'Kullanılan gübre'!N183*'Gübre oranlar'!Q$2</f>
        <v>27</v>
      </c>
      <c r="O183">
        <f>'Kullanılan gübre'!O183*'Gübre oranlar'!R$2</f>
        <v>0</v>
      </c>
      <c r="P183">
        <f>'Kullanılan gübre'!P183*'Gübre oranlar'!S$2</f>
        <v>30.94</v>
      </c>
      <c r="Q183">
        <f>'Kullanılan gübre'!Q183*'Gübre oranlar'!T$2</f>
        <v>0</v>
      </c>
      <c r="R183">
        <f>'Kullanılan gübre'!R183*'Gübre oranlar'!U$2</f>
        <v>0</v>
      </c>
      <c r="S183">
        <f>'Kullanılan gübre'!S183*'Gübre oranlar'!V$2</f>
        <v>0</v>
      </c>
      <c r="T183">
        <f>'Kullanılan gübre'!T183*'Gübre oranlar'!W$2</f>
        <v>0</v>
      </c>
      <c r="U183">
        <f>'Kullanılan gübre'!U183*'Gübre oranlar'!X$2</f>
        <v>0</v>
      </c>
      <c r="V183">
        <f>'Kullanılan gübre'!V183*'Gübre oranlar'!Y$2</f>
        <v>0</v>
      </c>
      <c r="W183">
        <f>'Kullanılan gübre'!W183*'Gübre oranlar'!Z$2</f>
        <v>0</v>
      </c>
      <c r="X183">
        <f>'Kullanılan gübre'!X183*'Gübre oranlar'!AA$2</f>
        <v>0</v>
      </c>
      <c r="Y183">
        <f>'Kullanılan gübre'!Y183*'Gübre oranlar'!AB$2</f>
        <v>0</v>
      </c>
      <c r="Z183">
        <f>'Kullanılan gübre'!Z183*'Gübre oranlar'!AC$2</f>
        <v>0</v>
      </c>
      <c r="AA183">
        <f>'Kullanılan gübre'!AA183*'Gübre oranlar'!AD$2</f>
        <v>0</v>
      </c>
      <c r="AB183">
        <f>'Kullanılan gübre'!AB183*'Gübre oranlar'!AE$2</f>
        <v>0</v>
      </c>
      <c r="AC183">
        <f>'Kullanılan gübre'!AC183*'Gübre oranlar'!AF$2</f>
        <v>0</v>
      </c>
      <c r="AD183">
        <f>'Kullanılan gübre'!AD183*'Gübre oranlar'!AG$2</f>
        <v>0</v>
      </c>
      <c r="AE183">
        <f>'Kullanılan gübre'!AE183*'Gübre oranlar'!AH$2</f>
        <v>0</v>
      </c>
      <c r="AF183">
        <f>'Kullanılan gübre'!AF183*'Gübre oranlar'!AI$2</f>
        <v>0</v>
      </c>
      <c r="AG183">
        <f>'Kullanılan gübre'!AG183*'Gübre oranlar'!AJ$2</f>
        <v>0</v>
      </c>
      <c r="AH183">
        <f>'Kullanılan gübre'!AH183*'Gübre oranlar'!AK$2</f>
        <v>0</v>
      </c>
      <c r="AI183">
        <f>'Kullanılan gübre'!AI183*'Gübre oranlar'!AL$2</f>
        <v>0</v>
      </c>
      <c r="AJ183">
        <f>'Kullanılan gübre'!AJ183*'Gübre oranlar'!AM$2</f>
        <v>0</v>
      </c>
      <c r="AK183">
        <f>'Kullanılan gübre'!AK183*'Gübre oranlar'!AN$2</f>
        <v>0</v>
      </c>
      <c r="AL183">
        <f>'Kullanılan gübre'!AL183*'Gübre oranlar'!AO$2</f>
        <v>0</v>
      </c>
      <c r="AM183">
        <f>'Kullanılan gübre'!AM183*'Gübre oranlar'!AP$2</f>
        <v>0</v>
      </c>
      <c r="AN183">
        <f>'Kullanılan gübre'!AN183*'Gübre oranlar'!AQ$2</f>
        <v>0</v>
      </c>
      <c r="AO183">
        <f>'Kullanılan gübre'!AO183*'Gübre oranlar'!AR$2</f>
        <v>0</v>
      </c>
      <c r="AP183">
        <f>'Kullanılan gübre'!AP183*'Gübre oranlar'!AS$2</f>
        <v>0</v>
      </c>
      <c r="AQ183">
        <f>'Kullanılan gübre'!AQ183*'Gübre oranlar'!AT$2</f>
        <v>0</v>
      </c>
      <c r="AR183">
        <f>'Kullanılan gübre'!AR183*'Gübre oranlar'!AU$2</f>
        <v>0</v>
      </c>
      <c r="AS183">
        <f>'Kullanılan gübre'!AS183*'Gübre oranlar'!AV$2</f>
        <v>0</v>
      </c>
      <c r="AT183">
        <f>'Kullanılan gübre'!AT183*'Gübre oranlar'!AW$2</f>
        <v>0</v>
      </c>
      <c r="AU183">
        <f>'Kullanılan gübre'!AU183*'Gübre oranlar'!AX$2</f>
        <v>0</v>
      </c>
      <c r="AV183">
        <f>'Kullanılan gübre'!AV183*'Gübre oranlar'!AY$2</f>
        <v>0</v>
      </c>
      <c r="AW183">
        <f t="shared" si="2"/>
        <v>523.9</v>
      </c>
    </row>
    <row r="184" spans="1:49" hidden="1" x14ac:dyDescent="0.25">
      <c r="A184" t="str">
        <f>'Kullanılan gübre'!A184</f>
        <v>BA</v>
      </c>
      <c r="B184" t="str">
        <f>'Kullanılan gübre'!B184</f>
        <v>ANTALYA</v>
      </c>
      <c r="C184" t="str">
        <f>'Kullanılan gübre'!C184</f>
        <v>KORKUTELI</v>
      </c>
      <c r="D184">
        <f>'Kullanılan gübre'!D184</f>
        <v>2012</v>
      </c>
      <c r="E184">
        <f>'Kullanılan gübre'!E184*'Gübre oranlar'!H$2</f>
        <v>232.04999999999998</v>
      </c>
      <c r="F184">
        <f>'Kullanılan gübre'!F184*'Gübre oranlar'!I$2</f>
        <v>486.72</v>
      </c>
      <c r="G184">
        <f>'Kullanılan gübre'!G184*'Gübre oranlar'!J$2</f>
        <v>690.03000000000009</v>
      </c>
      <c r="H184">
        <f>'Kullanılan gübre'!H184*'Gübre oranlar'!K$2</f>
        <v>458.62</v>
      </c>
      <c r="I184">
        <f>'Kullanılan gübre'!I184*'Gübre oranlar'!L$2</f>
        <v>0</v>
      </c>
      <c r="J184">
        <f>'Kullanılan gübre'!J184*'Gübre oranlar'!M$2</f>
        <v>205.56</v>
      </c>
      <c r="K184">
        <f>'Kullanılan gübre'!K184*'Gübre oranlar'!N$2</f>
        <v>1324</v>
      </c>
      <c r="L184">
        <f>'Kullanılan gübre'!L184*'Gübre oranlar'!O$2</f>
        <v>84.2</v>
      </c>
      <c r="M184">
        <f>'Kullanılan gübre'!M184*'Gübre oranlar'!P$2</f>
        <v>322.5</v>
      </c>
      <c r="N184">
        <f>'Kullanılan gübre'!N184*'Gübre oranlar'!Q$2</f>
        <v>107.25</v>
      </c>
      <c r="O184">
        <f>'Kullanılan gübre'!O184*'Gübre oranlar'!R$2</f>
        <v>0</v>
      </c>
      <c r="P184">
        <f>'Kullanılan gübre'!P184*'Gübre oranlar'!S$2</f>
        <v>11.83</v>
      </c>
      <c r="Q184">
        <f>'Kullanılan gübre'!Q184*'Gübre oranlar'!T$2</f>
        <v>0</v>
      </c>
      <c r="R184">
        <f>'Kullanılan gübre'!R184*'Gübre oranlar'!U$2</f>
        <v>0</v>
      </c>
      <c r="S184">
        <f>'Kullanılan gübre'!S184*'Gübre oranlar'!V$2</f>
        <v>0.62</v>
      </c>
      <c r="T184">
        <f>'Kullanılan gübre'!T184*'Gübre oranlar'!W$2</f>
        <v>0</v>
      </c>
      <c r="U184">
        <f>'Kullanılan gübre'!U184*'Gübre oranlar'!X$2</f>
        <v>0.75</v>
      </c>
      <c r="V184">
        <f>'Kullanılan gübre'!V184*'Gübre oranlar'!Y$2</f>
        <v>0</v>
      </c>
      <c r="W184">
        <f>'Kullanılan gübre'!W184*'Gübre oranlar'!Z$2</f>
        <v>0</v>
      </c>
      <c r="X184">
        <f>'Kullanılan gübre'!X184*'Gübre oranlar'!AA$2</f>
        <v>0</v>
      </c>
      <c r="Y184">
        <f>'Kullanılan gübre'!Y184*'Gübre oranlar'!AB$2</f>
        <v>0</v>
      </c>
      <c r="Z184">
        <f>'Kullanılan gübre'!Z184*'Gübre oranlar'!AC$2</f>
        <v>0</v>
      </c>
      <c r="AA184">
        <f>'Kullanılan gübre'!AA184*'Gübre oranlar'!AD$2</f>
        <v>0</v>
      </c>
      <c r="AB184">
        <f>'Kullanılan gübre'!AB184*'Gübre oranlar'!AE$2</f>
        <v>7.08</v>
      </c>
      <c r="AC184">
        <f>'Kullanılan gübre'!AC184*'Gübre oranlar'!AF$2</f>
        <v>0</v>
      </c>
      <c r="AD184">
        <f>'Kullanılan gübre'!AD184*'Gübre oranlar'!AG$2</f>
        <v>0</v>
      </c>
      <c r="AE184">
        <f>'Kullanılan gübre'!AE184*'Gübre oranlar'!AH$2</f>
        <v>0</v>
      </c>
      <c r="AF184">
        <f>'Kullanılan gübre'!AF184*'Gübre oranlar'!AI$2</f>
        <v>0</v>
      </c>
      <c r="AG184">
        <f>'Kullanılan gübre'!AG184*'Gübre oranlar'!AJ$2</f>
        <v>0</v>
      </c>
      <c r="AH184">
        <f>'Kullanılan gübre'!AH184*'Gübre oranlar'!AK$2</f>
        <v>0</v>
      </c>
      <c r="AI184">
        <f>'Kullanılan gübre'!AI184*'Gübre oranlar'!AL$2</f>
        <v>0</v>
      </c>
      <c r="AJ184">
        <f>'Kullanılan gübre'!AJ184*'Gübre oranlar'!AM$2</f>
        <v>0</v>
      </c>
      <c r="AK184">
        <f>'Kullanılan gübre'!AK184*'Gübre oranlar'!AN$2</f>
        <v>0</v>
      </c>
      <c r="AL184">
        <f>'Kullanılan gübre'!AL184*'Gübre oranlar'!AO$2</f>
        <v>0</v>
      </c>
      <c r="AM184">
        <f>'Kullanılan gübre'!AM184*'Gübre oranlar'!AP$2</f>
        <v>0</v>
      </c>
      <c r="AN184">
        <f>'Kullanılan gübre'!AN184*'Gübre oranlar'!AQ$2</f>
        <v>0</v>
      </c>
      <c r="AO184">
        <f>'Kullanılan gübre'!AO184*'Gübre oranlar'!AR$2</f>
        <v>0</v>
      </c>
      <c r="AP184">
        <f>'Kullanılan gübre'!AP184*'Gübre oranlar'!AS$2</f>
        <v>0</v>
      </c>
      <c r="AQ184">
        <f>'Kullanılan gübre'!AQ184*'Gübre oranlar'!AT$2</f>
        <v>0</v>
      </c>
      <c r="AR184">
        <f>'Kullanılan gübre'!AR184*'Gübre oranlar'!AU$2</f>
        <v>0</v>
      </c>
      <c r="AS184">
        <f>'Kullanılan gübre'!AS184*'Gübre oranlar'!AV$2</f>
        <v>0.65</v>
      </c>
      <c r="AT184">
        <f>'Kullanılan gübre'!AT184*'Gübre oranlar'!AW$2</f>
        <v>0</v>
      </c>
      <c r="AU184">
        <f>'Kullanılan gübre'!AU184*'Gübre oranlar'!AX$2</f>
        <v>0</v>
      </c>
      <c r="AV184">
        <f>'Kullanılan gübre'!AV184*'Gübre oranlar'!AY$2</f>
        <v>0</v>
      </c>
      <c r="AW184">
        <f t="shared" si="2"/>
        <v>3931.8599999999997</v>
      </c>
    </row>
    <row r="185" spans="1:49" hidden="1" x14ac:dyDescent="0.25">
      <c r="A185" t="str">
        <f>'Kullanılan gübre'!A185</f>
        <v>BA</v>
      </c>
      <c r="B185" t="str">
        <f>'Kullanılan gübre'!B185</f>
        <v>ANTALYA</v>
      </c>
      <c r="C185" t="str">
        <f>'Kullanılan gübre'!C185</f>
        <v>ELMALI</v>
      </c>
      <c r="D185">
        <f>'Kullanılan gübre'!D185</f>
        <v>2012</v>
      </c>
      <c r="E185">
        <f>'Kullanılan gübre'!E185*'Gübre oranlar'!H$2</f>
        <v>143.63999999999999</v>
      </c>
      <c r="F185">
        <f>'Kullanılan gübre'!F185*'Gübre oranlar'!I$2</f>
        <v>121.16000000000001</v>
      </c>
      <c r="G185">
        <f>'Kullanılan gübre'!G185*'Gübre oranlar'!J$2</f>
        <v>310.2</v>
      </c>
      <c r="H185">
        <f>'Kullanılan gübre'!H185*'Gübre oranlar'!K$2</f>
        <v>434.70000000000005</v>
      </c>
      <c r="I185">
        <f>'Kullanılan gübre'!I185*'Gübre oranlar'!L$2</f>
        <v>0</v>
      </c>
      <c r="J185">
        <f>'Kullanılan gübre'!J185*'Gübre oranlar'!M$2</f>
        <v>71.459999999999994</v>
      </c>
      <c r="K185">
        <f>'Kullanılan gübre'!K185*'Gübre oranlar'!N$2</f>
        <v>234.4</v>
      </c>
      <c r="L185">
        <f>'Kullanılan gübre'!L185*'Gübre oranlar'!O$2</f>
        <v>11</v>
      </c>
      <c r="M185">
        <f>'Kullanılan gübre'!M185*'Gübre oranlar'!P$2</f>
        <v>96.149999999999991</v>
      </c>
      <c r="N185">
        <f>'Kullanılan gübre'!N185*'Gübre oranlar'!Q$2</f>
        <v>25.349999999999998</v>
      </c>
      <c r="O185">
        <f>'Kullanılan gübre'!O185*'Gübre oranlar'!R$2</f>
        <v>0</v>
      </c>
      <c r="P185">
        <f>'Kullanılan gübre'!P185*'Gübre oranlar'!S$2</f>
        <v>9.1</v>
      </c>
      <c r="Q185">
        <f>'Kullanılan gübre'!Q185*'Gübre oranlar'!T$2</f>
        <v>64.319999999999993</v>
      </c>
      <c r="R185">
        <f>'Kullanılan gübre'!R185*'Gübre oranlar'!U$2</f>
        <v>0</v>
      </c>
      <c r="S185">
        <f>'Kullanılan gübre'!S185*'Gübre oranlar'!V$2</f>
        <v>3.2549999999999999</v>
      </c>
      <c r="T185">
        <f>'Kullanılan gübre'!T185*'Gübre oranlar'!W$2</f>
        <v>0</v>
      </c>
      <c r="U185">
        <f>'Kullanılan gübre'!U185*'Gübre oranlar'!X$2</f>
        <v>5</v>
      </c>
      <c r="V185">
        <f>'Kullanılan gübre'!V185*'Gübre oranlar'!Y$2</f>
        <v>0</v>
      </c>
      <c r="W185">
        <f>'Kullanılan gübre'!W185*'Gübre oranlar'!Z$2</f>
        <v>0</v>
      </c>
      <c r="X185">
        <f>'Kullanılan gübre'!X185*'Gübre oranlar'!AA$2</f>
        <v>0</v>
      </c>
      <c r="Y185">
        <f>'Kullanılan gübre'!Y185*'Gübre oranlar'!AB$2</f>
        <v>0</v>
      </c>
      <c r="Z185">
        <f>'Kullanılan gübre'!Z185*'Gübre oranlar'!AC$2</f>
        <v>0</v>
      </c>
      <c r="AA185">
        <f>'Kullanılan gübre'!AA185*'Gübre oranlar'!AD$2</f>
        <v>0</v>
      </c>
      <c r="AB185">
        <f>'Kullanılan gübre'!AB185*'Gübre oranlar'!AE$2</f>
        <v>0.12</v>
      </c>
      <c r="AC185">
        <f>'Kullanılan gübre'!AC185*'Gübre oranlar'!AF$2</f>
        <v>0</v>
      </c>
      <c r="AD185">
        <f>'Kullanılan gübre'!AD185*'Gübre oranlar'!AG$2</f>
        <v>0</v>
      </c>
      <c r="AE185">
        <f>'Kullanılan gübre'!AE185*'Gübre oranlar'!AH$2</f>
        <v>0</v>
      </c>
      <c r="AF185">
        <f>'Kullanılan gübre'!AF185*'Gübre oranlar'!AI$2</f>
        <v>0</v>
      </c>
      <c r="AG185">
        <f>'Kullanılan gübre'!AG185*'Gübre oranlar'!AJ$2</f>
        <v>0</v>
      </c>
      <c r="AH185">
        <f>'Kullanılan gübre'!AH185*'Gübre oranlar'!AK$2</f>
        <v>0</v>
      </c>
      <c r="AI185">
        <f>'Kullanılan gübre'!AI185*'Gübre oranlar'!AL$2</f>
        <v>0</v>
      </c>
      <c r="AJ185">
        <f>'Kullanılan gübre'!AJ185*'Gübre oranlar'!AM$2</f>
        <v>0</v>
      </c>
      <c r="AK185">
        <f>'Kullanılan gübre'!AK185*'Gübre oranlar'!AN$2</f>
        <v>0</v>
      </c>
      <c r="AL185">
        <f>'Kullanılan gübre'!AL185*'Gübre oranlar'!AO$2</f>
        <v>0</v>
      </c>
      <c r="AM185">
        <f>'Kullanılan gübre'!AM185*'Gübre oranlar'!AP$2</f>
        <v>0</v>
      </c>
      <c r="AN185">
        <f>'Kullanılan gübre'!AN185*'Gübre oranlar'!AQ$2</f>
        <v>0</v>
      </c>
      <c r="AO185">
        <f>'Kullanılan gübre'!AO185*'Gübre oranlar'!AR$2</f>
        <v>0</v>
      </c>
      <c r="AP185">
        <f>'Kullanılan gübre'!AP185*'Gübre oranlar'!AS$2</f>
        <v>0</v>
      </c>
      <c r="AQ185">
        <f>'Kullanılan gübre'!AQ185*'Gübre oranlar'!AT$2</f>
        <v>0</v>
      </c>
      <c r="AR185">
        <f>'Kullanılan gübre'!AR185*'Gübre oranlar'!AU$2</f>
        <v>0</v>
      </c>
      <c r="AS185">
        <f>'Kullanılan gübre'!AS185*'Gübre oranlar'!AV$2</f>
        <v>0</v>
      </c>
      <c r="AT185">
        <f>'Kullanılan gübre'!AT185*'Gübre oranlar'!AW$2</f>
        <v>0</v>
      </c>
      <c r="AU185">
        <f>'Kullanılan gübre'!AU185*'Gübre oranlar'!AX$2</f>
        <v>0</v>
      </c>
      <c r="AV185">
        <f>'Kullanılan gübre'!AV185*'Gübre oranlar'!AY$2</f>
        <v>0</v>
      </c>
      <c r="AW185">
        <f t="shared" si="2"/>
        <v>1529.855</v>
      </c>
    </row>
    <row r="186" spans="1:49" hidden="1" x14ac:dyDescent="0.25">
      <c r="A186" t="str">
        <f>'Kullanılan gübre'!A186</f>
        <v>BA</v>
      </c>
      <c r="B186" t="str">
        <f>'Kullanılan gübre'!B186</f>
        <v>ANTALYA</v>
      </c>
      <c r="C186" t="str">
        <f>'Kullanılan gübre'!C186</f>
        <v>KEMER</v>
      </c>
      <c r="D186">
        <f>'Kullanılan gübre'!D186</f>
        <v>2013</v>
      </c>
      <c r="E186">
        <f>'Kullanılan gübre'!E186*'Gübre oranlar'!H$2</f>
        <v>15.75</v>
      </c>
      <c r="F186">
        <f>'Kullanılan gübre'!F186*'Gübre oranlar'!I$2</f>
        <v>0</v>
      </c>
      <c r="G186">
        <f>'Kullanılan gübre'!G186*'Gübre oranlar'!J$2</f>
        <v>2.97</v>
      </c>
      <c r="H186">
        <f>'Kullanılan gübre'!H186*'Gübre oranlar'!K$2</f>
        <v>4.6000000000000005</v>
      </c>
      <c r="I186">
        <f>'Kullanılan gübre'!I186*'Gübre oranlar'!L$2</f>
        <v>0</v>
      </c>
      <c r="J186">
        <f>'Kullanılan gübre'!J186*'Gübre oranlar'!M$2</f>
        <v>1.26</v>
      </c>
      <c r="K186">
        <f>'Kullanılan gübre'!K186*'Gübre oranlar'!N$2</f>
        <v>1.4000000000000001</v>
      </c>
      <c r="L186">
        <f>'Kullanılan gübre'!L186*'Gübre oranlar'!O$2</f>
        <v>0</v>
      </c>
      <c r="M186">
        <f>'Kullanılan gübre'!M186*'Gübre oranlar'!P$2</f>
        <v>25.8</v>
      </c>
      <c r="N186">
        <f>'Kullanılan gübre'!N186*'Gübre oranlar'!Q$2</f>
        <v>0.44999999999999996</v>
      </c>
      <c r="O186">
        <f>'Kullanılan gübre'!O186*'Gübre oranlar'!R$2</f>
        <v>0</v>
      </c>
      <c r="P186">
        <f>'Kullanılan gübre'!P186*'Gübre oranlar'!S$2</f>
        <v>0</v>
      </c>
      <c r="Q186">
        <f>'Kullanılan gübre'!Q186*'Gübre oranlar'!T$2</f>
        <v>0</v>
      </c>
      <c r="R186">
        <f>'Kullanılan gübre'!R186*'Gübre oranlar'!U$2</f>
        <v>0</v>
      </c>
      <c r="S186">
        <f>'Kullanılan gübre'!S186*'Gübre oranlar'!V$2</f>
        <v>0</v>
      </c>
      <c r="T186">
        <f>'Kullanılan gübre'!T186*'Gübre oranlar'!W$2</f>
        <v>0</v>
      </c>
      <c r="U186">
        <f>'Kullanılan gübre'!U186*'Gübre oranlar'!X$2</f>
        <v>0</v>
      </c>
      <c r="V186">
        <f>'Kullanılan gübre'!V186*'Gübre oranlar'!Y$2</f>
        <v>0</v>
      </c>
      <c r="W186">
        <f>'Kullanılan gübre'!W186*'Gübre oranlar'!Z$2</f>
        <v>0</v>
      </c>
      <c r="X186">
        <f>'Kullanılan gübre'!X186*'Gübre oranlar'!AA$2</f>
        <v>0</v>
      </c>
      <c r="Y186">
        <f>'Kullanılan gübre'!Y186*'Gübre oranlar'!AB$2</f>
        <v>0</v>
      </c>
      <c r="Z186">
        <f>'Kullanılan gübre'!Z186*'Gübre oranlar'!AC$2</f>
        <v>0</v>
      </c>
      <c r="AA186">
        <f>'Kullanılan gübre'!AA186*'Gübre oranlar'!AD$2</f>
        <v>0</v>
      </c>
      <c r="AB186">
        <f>'Kullanılan gübre'!AB186*'Gübre oranlar'!AE$2</f>
        <v>0</v>
      </c>
      <c r="AC186">
        <f>'Kullanılan gübre'!AC186*'Gübre oranlar'!AF$2</f>
        <v>0</v>
      </c>
      <c r="AD186">
        <f>'Kullanılan gübre'!AD186*'Gübre oranlar'!AG$2</f>
        <v>0</v>
      </c>
      <c r="AE186">
        <f>'Kullanılan gübre'!AE186*'Gübre oranlar'!AH$2</f>
        <v>0</v>
      </c>
      <c r="AF186">
        <f>'Kullanılan gübre'!AF186*'Gübre oranlar'!AI$2</f>
        <v>0</v>
      </c>
      <c r="AG186">
        <f>'Kullanılan gübre'!AG186*'Gübre oranlar'!AJ$2</f>
        <v>0</v>
      </c>
      <c r="AH186">
        <f>'Kullanılan gübre'!AH186*'Gübre oranlar'!AK$2</f>
        <v>0</v>
      </c>
      <c r="AI186">
        <f>'Kullanılan gübre'!AI186*'Gübre oranlar'!AL$2</f>
        <v>0</v>
      </c>
      <c r="AJ186">
        <f>'Kullanılan gübre'!AJ186*'Gübre oranlar'!AM$2</f>
        <v>0</v>
      </c>
      <c r="AK186">
        <f>'Kullanılan gübre'!AK186*'Gübre oranlar'!AN$2</f>
        <v>0</v>
      </c>
      <c r="AL186">
        <f>'Kullanılan gübre'!AL186*'Gübre oranlar'!AO$2</f>
        <v>0</v>
      </c>
      <c r="AM186">
        <f>'Kullanılan gübre'!AM186*'Gübre oranlar'!AP$2</f>
        <v>0</v>
      </c>
      <c r="AN186">
        <f>'Kullanılan gübre'!AN186*'Gübre oranlar'!AQ$2</f>
        <v>0</v>
      </c>
      <c r="AO186">
        <f>'Kullanılan gübre'!AO186*'Gübre oranlar'!AR$2</f>
        <v>0</v>
      </c>
      <c r="AP186">
        <f>'Kullanılan gübre'!AP186*'Gübre oranlar'!AS$2</f>
        <v>0</v>
      </c>
      <c r="AQ186">
        <f>'Kullanılan gübre'!AQ186*'Gübre oranlar'!AT$2</f>
        <v>0</v>
      </c>
      <c r="AR186">
        <f>'Kullanılan gübre'!AR186*'Gübre oranlar'!AU$2</f>
        <v>0</v>
      </c>
      <c r="AS186">
        <f>'Kullanılan gübre'!AS186*'Gübre oranlar'!AV$2</f>
        <v>0</v>
      </c>
      <c r="AT186">
        <f>'Kullanılan gübre'!AT186*'Gübre oranlar'!AW$2</f>
        <v>0</v>
      </c>
      <c r="AU186">
        <f>'Kullanılan gübre'!AU186*'Gübre oranlar'!AX$2</f>
        <v>0</v>
      </c>
      <c r="AV186">
        <f>'Kullanılan gübre'!AV186*'Gübre oranlar'!AY$2</f>
        <v>0</v>
      </c>
      <c r="AW186">
        <f t="shared" si="2"/>
        <v>52.230000000000004</v>
      </c>
    </row>
    <row r="187" spans="1:49" hidden="1" x14ac:dyDescent="0.25">
      <c r="A187" t="str">
        <f>'Kullanılan gübre'!A187</f>
        <v>BA</v>
      </c>
      <c r="B187" t="str">
        <f>'Kullanılan gübre'!B187</f>
        <v>ANTALYA</v>
      </c>
      <c r="C187" t="str">
        <f>'Kullanılan gübre'!C187</f>
        <v>KUMLUCA</v>
      </c>
      <c r="D187">
        <f>'Kullanılan gübre'!D187</f>
        <v>2013</v>
      </c>
      <c r="E187">
        <f>'Kullanılan gübre'!E187*'Gübre oranlar'!H$2</f>
        <v>487.2</v>
      </c>
      <c r="F187">
        <f>'Kullanılan gübre'!F187*'Gübre oranlar'!I$2</f>
        <v>7.54</v>
      </c>
      <c r="G187">
        <f>'Kullanılan gübre'!G187*'Gübre oranlar'!J$2</f>
        <v>440.88</v>
      </c>
      <c r="H187">
        <f>'Kullanılan gübre'!H187*'Gübre oranlar'!K$2</f>
        <v>224.02</v>
      </c>
      <c r="I187">
        <f>'Kullanılan gübre'!I187*'Gübre oranlar'!L$2</f>
        <v>0</v>
      </c>
      <c r="J187">
        <f>'Kullanılan gübre'!J187*'Gübre oranlar'!M$2</f>
        <v>63</v>
      </c>
      <c r="K187">
        <f>'Kullanılan gübre'!K187*'Gübre oranlar'!N$2</f>
        <v>39.800000000000004</v>
      </c>
      <c r="L187">
        <f>'Kullanılan gübre'!L187*'Gübre oranlar'!O$2</f>
        <v>0.2</v>
      </c>
      <c r="M187">
        <f>'Kullanılan gübre'!M187*'Gübre oranlar'!P$2</f>
        <v>11.549999999999999</v>
      </c>
      <c r="N187">
        <f>'Kullanılan gübre'!N187*'Gübre oranlar'!Q$2</f>
        <v>400.5</v>
      </c>
      <c r="O187">
        <f>'Kullanılan gübre'!O187*'Gübre oranlar'!R$2</f>
        <v>0</v>
      </c>
      <c r="P187">
        <f>'Kullanılan gübre'!P187*'Gübre oranlar'!S$2</f>
        <v>57.72</v>
      </c>
      <c r="Q187">
        <f>'Kullanılan gübre'!Q187*'Gübre oranlar'!T$2</f>
        <v>0</v>
      </c>
      <c r="R187">
        <f>'Kullanılan gübre'!R187*'Gübre oranlar'!U$2</f>
        <v>0</v>
      </c>
      <c r="S187">
        <f>'Kullanılan gübre'!S187*'Gübre oranlar'!V$2</f>
        <v>14.57</v>
      </c>
      <c r="T187">
        <f>'Kullanılan gübre'!T187*'Gübre oranlar'!W$2</f>
        <v>0</v>
      </c>
      <c r="U187">
        <f>'Kullanılan gübre'!U187*'Gübre oranlar'!X$2</f>
        <v>17.25</v>
      </c>
      <c r="V187">
        <f>'Kullanılan gübre'!V187*'Gübre oranlar'!Y$2</f>
        <v>0</v>
      </c>
      <c r="W187">
        <f>'Kullanılan gübre'!W187*'Gübre oranlar'!Z$2</f>
        <v>0</v>
      </c>
      <c r="X187">
        <f>'Kullanılan gübre'!X187*'Gübre oranlar'!AA$2</f>
        <v>14</v>
      </c>
      <c r="Y187">
        <f>'Kullanılan gübre'!Y187*'Gübre oranlar'!AB$2</f>
        <v>0</v>
      </c>
      <c r="Z187">
        <f>'Kullanılan gübre'!Z187*'Gübre oranlar'!AC$2</f>
        <v>0</v>
      </c>
      <c r="AA187">
        <f>'Kullanılan gübre'!AA187*'Gübre oranlar'!AD$2</f>
        <v>0</v>
      </c>
      <c r="AB187">
        <f>'Kullanılan gübre'!AB187*'Gübre oranlar'!AE$2</f>
        <v>0</v>
      </c>
      <c r="AC187">
        <f>'Kullanılan gübre'!AC187*'Gübre oranlar'!AF$2</f>
        <v>0</v>
      </c>
      <c r="AD187">
        <f>'Kullanılan gübre'!AD187*'Gübre oranlar'!AG$2</f>
        <v>0</v>
      </c>
      <c r="AE187">
        <f>'Kullanılan gübre'!AE187*'Gübre oranlar'!AH$2</f>
        <v>0</v>
      </c>
      <c r="AF187">
        <f>'Kullanılan gübre'!AF187*'Gübre oranlar'!AI$2</f>
        <v>0</v>
      </c>
      <c r="AG187">
        <f>'Kullanılan gübre'!AG187*'Gübre oranlar'!AJ$2</f>
        <v>0</v>
      </c>
      <c r="AH187">
        <f>'Kullanılan gübre'!AH187*'Gübre oranlar'!AK$2</f>
        <v>0</v>
      </c>
      <c r="AI187">
        <f>'Kullanılan gübre'!AI187*'Gübre oranlar'!AL$2</f>
        <v>0</v>
      </c>
      <c r="AJ187">
        <f>'Kullanılan gübre'!AJ187*'Gübre oranlar'!AM$2</f>
        <v>0</v>
      </c>
      <c r="AK187">
        <f>'Kullanılan gübre'!AK187*'Gübre oranlar'!AN$2</f>
        <v>0</v>
      </c>
      <c r="AL187">
        <f>'Kullanılan gübre'!AL187*'Gübre oranlar'!AO$2</f>
        <v>0</v>
      </c>
      <c r="AM187">
        <f>'Kullanılan gübre'!AM187*'Gübre oranlar'!AP$2</f>
        <v>0</v>
      </c>
      <c r="AN187">
        <f>'Kullanılan gübre'!AN187*'Gübre oranlar'!AQ$2</f>
        <v>0</v>
      </c>
      <c r="AO187">
        <f>'Kullanılan gübre'!AO187*'Gübre oranlar'!AR$2</f>
        <v>0</v>
      </c>
      <c r="AP187">
        <f>'Kullanılan gübre'!AP187*'Gübre oranlar'!AS$2</f>
        <v>0</v>
      </c>
      <c r="AQ187">
        <f>'Kullanılan gübre'!AQ187*'Gübre oranlar'!AT$2</f>
        <v>0</v>
      </c>
      <c r="AR187">
        <f>'Kullanılan gübre'!AR187*'Gübre oranlar'!AU$2</f>
        <v>0</v>
      </c>
      <c r="AS187">
        <f>'Kullanılan gübre'!AS187*'Gübre oranlar'!AV$2</f>
        <v>0</v>
      </c>
      <c r="AT187">
        <f>'Kullanılan gübre'!AT187*'Gübre oranlar'!AW$2</f>
        <v>0</v>
      </c>
      <c r="AU187">
        <f>'Kullanılan gübre'!AU187*'Gübre oranlar'!AX$2</f>
        <v>0</v>
      </c>
      <c r="AV187">
        <f>'Kullanılan gübre'!AV187*'Gübre oranlar'!AY$2</f>
        <v>0</v>
      </c>
      <c r="AW187">
        <f t="shared" si="2"/>
        <v>1778.23</v>
      </c>
    </row>
    <row r="188" spans="1:49" hidden="1" x14ac:dyDescent="0.25">
      <c r="A188" t="str">
        <f>'Kullanılan gübre'!A188</f>
        <v>BA</v>
      </c>
      <c r="B188" t="str">
        <f>'Kullanılan gübre'!B188</f>
        <v>ANTALYA</v>
      </c>
      <c r="C188" t="str">
        <f>'Kullanılan gübre'!C188</f>
        <v>FINIKE</v>
      </c>
      <c r="D188">
        <f>'Kullanılan gübre'!D188</f>
        <v>2013</v>
      </c>
      <c r="E188">
        <f>'Kullanılan gübre'!E188*'Gübre oranlar'!H$2</f>
        <v>481.10999999999996</v>
      </c>
      <c r="F188">
        <f>'Kullanılan gübre'!F188*'Gübre oranlar'!I$2</f>
        <v>7.0200000000000005</v>
      </c>
      <c r="G188">
        <f>'Kullanılan gübre'!G188*'Gübre oranlar'!J$2</f>
        <v>203.28</v>
      </c>
      <c r="H188">
        <f>'Kullanılan gübre'!H188*'Gübre oranlar'!K$2</f>
        <v>103.96000000000001</v>
      </c>
      <c r="I188">
        <f>'Kullanılan gübre'!I188*'Gübre oranlar'!L$2</f>
        <v>0</v>
      </c>
      <c r="J188">
        <f>'Kullanılan gübre'!J188*'Gübre oranlar'!M$2</f>
        <v>6.84</v>
      </c>
      <c r="K188">
        <f>'Kullanılan gübre'!K188*'Gübre oranlar'!N$2</f>
        <v>6.4</v>
      </c>
      <c r="L188">
        <f>'Kullanılan gübre'!L188*'Gübre oranlar'!O$2</f>
        <v>0</v>
      </c>
      <c r="M188">
        <f>'Kullanılan gübre'!M188*'Gübre oranlar'!P$2</f>
        <v>44.4</v>
      </c>
      <c r="N188">
        <f>'Kullanılan gübre'!N188*'Gübre oranlar'!Q$2</f>
        <v>94.649999999999991</v>
      </c>
      <c r="O188">
        <f>'Kullanılan gübre'!O188*'Gübre oranlar'!R$2</f>
        <v>0</v>
      </c>
      <c r="P188">
        <f>'Kullanılan gübre'!P188*'Gübre oranlar'!S$2</f>
        <v>15.21</v>
      </c>
      <c r="Q188">
        <f>'Kullanılan gübre'!Q188*'Gübre oranlar'!T$2</f>
        <v>0</v>
      </c>
      <c r="R188">
        <f>'Kullanılan gübre'!R188*'Gübre oranlar'!U$2</f>
        <v>0</v>
      </c>
      <c r="S188">
        <f>'Kullanılan gübre'!S188*'Gübre oranlar'!V$2</f>
        <v>4.1849999999999996</v>
      </c>
      <c r="T188">
        <f>'Kullanılan gübre'!T188*'Gübre oranlar'!W$2</f>
        <v>0</v>
      </c>
      <c r="U188">
        <f>'Kullanılan gübre'!U188*'Gübre oranlar'!X$2</f>
        <v>5.75</v>
      </c>
      <c r="V188">
        <f>'Kullanılan gübre'!V188*'Gübre oranlar'!Y$2</f>
        <v>0</v>
      </c>
      <c r="W188">
        <f>'Kullanılan gübre'!W188*'Gübre oranlar'!Z$2</f>
        <v>0</v>
      </c>
      <c r="X188">
        <f>'Kullanılan gübre'!X188*'Gübre oranlar'!AA$2</f>
        <v>0</v>
      </c>
      <c r="Y188">
        <f>'Kullanılan gübre'!Y188*'Gübre oranlar'!AB$2</f>
        <v>0</v>
      </c>
      <c r="Z188">
        <f>'Kullanılan gübre'!Z188*'Gübre oranlar'!AC$2</f>
        <v>0</v>
      </c>
      <c r="AA188">
        <f>'Kullanılan gübre'!AA188*'Gübre oranlar'!AD$2</f>
        <v>0</v>
      </c>
      <c r="AB188">
        <f>'Kullanılan gübre'!AB188*'Gübre oranlar'!AE$2</f>
        <v>1.2</v>
      </c>
      <c r="AC188">
        <f>'Kullanılan gübre'!AC188*'Gübre oranlar'!AF$2</f>
        <v>0</v>
      </c>
      <c r="AD188">
        <f>'Kullanılan gübre'!AD188*'Gübre oranlar'!AG$2</f>
        <v>0</v>
      </c>
      <c r="AE188">
        <f>'Kullanılan gübre'!AE188*'Gübre oranlar'!AH$2</f>
        <v>0</v>
      </c>
      <c r="AF188">
        <f>'Kullanılan gübre'!AF188*'Gübre oranlar'!AI$2</f>
        <v>0</v>
      </c>
      <c r="AG188">
        <f>'Kullanılan gübre'!AG188*'Gübre oranlar'!AJ$2</f>
        <v>0</v>
      </c>
      <c r="AH188">
        <f>'Kullanılan gübre'!AH188*'Gübre oranlar'!AK$2</f>
        <v>0</v>
      </c>
      <c r="AI188">
        <f>'Kullanılan gübre'!AI188*'Gübre oranlar'!AL$2</f>
        <v>0</v>
      </c>
      <c r="AJ188">
        <f>'Kullanılan gübre'!AJ188*'Gübre oranlar'!AM$2</f>
        <v>0</v>
      </c>
      <c r="AK188">
        <f>'Kullanılan gübre'!AK188*'Gübre oranlar'!AN$2</f>
        <v>0</v>
      </c>
      <c r="AL188">
        <f>'Kullanılan gübre'!AL188*'Gübre oranlar'!AO$2</f>
        <v>0</v>
      </c>
      <c r="AM188">
        <f>'Kullanılan gübre'!AM188*'Gübre oranlar'!AP$2</f>
        <v>0</v>
      </c>
      <c r="AN188">
        <f>'Kullanılan gübre'!AN188*'Gübre oranlar'!AQ$2</f>
        <v>0</v>
      </c>
      <c r="AO188">
        <f>'Kullanılan gübre'!AO188*'Gübre oranlar'!AR$2</f>
        <v>0</v>
      </c>
      <c r="AP188">
        <f>'Kullanılan gübre'!AP188*'Gübre oranlar'!AS$2</f>
        <v>0</v>
      </c>
      <c r="AQ188">
        <f>'Kullanılan gübre'!AQ188*'Gübre oranlar'!AT$2</f>
        <v>0</v>
      </c>
      <c r="AR188">
        <f>'Kullanılan gübre'!AR188*'Gübre oranlar'!AU$2</f>
        <v>0</v>
      </c>
      <c r="AS188">
        <f>'Kullanılan gübre'!AS188*'Gübre oranlar'!AV$2</f>
        <v>0</v>
      </c>
      <c r="AT188">
        <f>'Kullanılan gübre'!AT188*'Gübre oranlar'!AW$2</f>
        <v>0</v>
      </c>
      <c r="AU188">
        <f>'Kullanılan gübre'!AU188*'Gübre oranlar'!AX$2</f>
        <v>0</v>
      </c>
      <c r="AV188">
        <f>'Kullanılan gübre'!AV188*'Gübre oranlar'!AY$2</f>
        <v>0</v>
      </c>
      <c r="AW188">
        <f t="shared" si="2"/>
        <v>974.005</v>
      </c>
    </row>
    <row r="189" spans="1:49" hidden="1" x14ac:dyDescent="0.25">
      <c r="A189" t="str">
        <f>'Kullanılan gübre'!A189</f>
        <v>BA</v>
      </c>
      <c r="B189" t="str">
        <f>'Kullanılan gübre'!B189</f>
        <v>ANTALYA</v>
      </c>
      <c r="C189" t="str">
        <f>'Kullanılan gübre'!C189</f>
        <v>DEMRE</v>
      </c>
      <c r="D189">
        <f>'Kullanılan gübre'!D189</f>
        <v>2013</v>
      </c>
      <c r="E189">
        <f>'Kullanılan gübre'!E189*'Gübre oranlar'!H$2</f>
        <v>43.47</v>
      </c>
      <c r="F189">
        <f>'Kullanılan gübre'!F189*'Gübre oranlar'!I$2</f>
        <v>21.84</v>
      </c>
      <c r="G189">
        <f>'Kullanılan gübre'!G189*'Gübre oranlar'!J$2</f>
        <v>41.25</v>
      </c>
      <c r="H189">
        <f>'Kullanılan gübre'!H189*'Gübre oranlar'!K$2</f>
        <v>48.300000000000004</v>
      </c>
      <c r="I189">
        <f>'Kullanılan gübre'!I189*'Gübre oranlar'!L$2</f>
        <v>0</v>
      </c>
      <c r="J189">
        <f>'Kullanılan gübre'!J189*'Gübre oranlar'!M$2</f>
        <v>23.22</v>
      </c>
      <c r="K189">
        <f>'Kullanılan gübre'!K189*'Gübre oranlar'!N$2</f>
        <v>14.4</v>
      </c>
      <c r="L189">
        <f>'Kullanılan gübre'!L189*'Gübre oranlar'!O$2</f>
        <v>0.2</v>
      </c>
      <c r="M189">
        <f>'Kullanılan gübre'!M189*'Gübre oranlar'!P$2</f>
        <v>5.55</v>
      </c>
      <c r="N189">
        <f>'Kullanılan gübre'!N189*'Gübre oranlar'!Q$2</f>
        <v>10.5</v>
      </c>
      <c r="O189">
        <f>'Kullanılan gübre'!O189*'Gübre oranlar'!R$2</f>
        <v>0</v>
      </c>
      <c r="P189">
        <f>'Kullanılan gübre'!P189*'Gübre oranlar'!S$2</f>
        <v>19.37</v>
      </c>
      <c r="Q189">
        <f>'Kullanılan gübre'!Q189*'Gübre oranlar'!T$2</f>
        <v>0</v>
      </c>
      <c r="R189">
        <f>'Kullanılan gübre'!R189*'Gübre oranlar'!U$2</f>
        <v>0</v>
      </c>
      <c r="S189">
        <f>'Kullanılan gübre'!S189*'Gübre oranlar'!V$2</f>
        <v>16.43</v>
      </c>
      <c r="T189">
        <f>'Kullanılan gübre'!T189*'Gübre oranlar'!W$2</f>
        <v>0</v>
      </c>
      <c r="U189">
        <f>'Kullanılan gübre'!U189*'Gübre oranlar'!X$2</f>
        <v>14.25</v>
      </c>
      <c r="V189">
        <f>'Kullanılan gübre'!V189*'Gübre oranlar'!Y$2</f>
        <v>0</v>
      </c>
      <c r="W189">
        <f>'Kullanılan gübre'!W189*'Gübre oranlar'!Z$2</f>
        <v>0</v>
      </c>
      <c r="X189">
        <f>'Kullanılan gübre'!X189*'Gübre oranlar'!AA$2</f>
        <v>0</v>
      </c>
      <c r="Y189">
        <f>'Kullanılan gübre'!Y189*'Gübre oranlar'!AB$2</f>
        <v>0</v>
      </c>
      <c r="Z189">
        <f>'Kullanılan gübre'!Z189*'Gübre oranlar'!AC$2</f>
        <v>0</v>
      </c>
      <c r="AA189">
        <f>'Kullanılan gübre'!AA189*'Gübre oranlar'!AD$2</f>
        <v>0</v>
      </c>
      <c r="AB189">
        <f>'Kullanılan gübre'!AB189*'Gübre oranlar'!AE$2</f>
        <v>8.879999999999999</v>
      </c>
      <c r="AC189">
        <f>'Kullanılan gübre'!AC189*'Gübre oranlar'!AF$2</f>
        <v>0</v>
      </c>
      <c r="AD189">
        <f>'Kullanılan gübre'!AD189*'Gübre oranlar'!AG$2</f>
        <v>0</v>
      </c>
      <c r="AE189">
        <f>'Kullanılan gübre'!AE189*'Gübre oranlar'!AH$2</f>
        <v>0</v>
      </c>
      <c r="AF189">
        <f>'Kullanılan gübre'!AF189*'Gübre oranlar'!AI$2</f>
        <v>0</v>
      </c>
      <c r="AG189">
        <f>'Kullanılan gübre'!AG189*'Gübre oranlar'!AJ$2</f>
        <v>0</v>
      </c>
      <c r="AH189">
        <f>'Kullanılan gübre'!AH189*'Gübre oranlar'!AK$2</f>
        <v>0</v>
      </c>
      <c r="AI189">
        <f>'Kullanılan gübre'!AI189*'Gübre oranlar'!AL$2</f>
        <v>0</v>
      </c>
      <c r="AJ189">
        <f>'Kullanılan gübre'!AJ189*'Gübre oranlar'!AM$2</f>
        <v>0</v>
      </c>
      <c r="AK189">
        <f>'Kullanılan gübre'!AK189*'Gübre oranlar'!AN$2</f>
        <v>0</v>
      </c>
      <c r="AL189">
        <f>'Kullanılan gübre'!AL189*'Gübre oranlar'!AO$2</f>
        <v>0</v>
      </c>
      <c r="AM189">
        <f>'Kullanılan gübre'!AM189*'Gübre oranlar'!AP$2</f>
        <v>0</v>
      </c>
      <c r="AN189">
        <f>'Kullanılan gübre'!AN189*'Gübre oranlar'!AQ$2</f>
        <v>0</v>
      </c>
      <c r="AO189">
        <f>'Kullanılan gübre'!AO189*'Gübre oranlar'!AR$2</f>
        <v>0</v>
      </c>
      <c r="AP189">
        <f>'Kullanılan gübre'!AP189*'Gübre oranlar'!AS$2</f>
        <v>0</v>
      </c>
      <c r="AQ189">
        <f>'Kullanılan gübre'!AQ189*'Gübre oranlar'!AT$2</f>
        <v>0</v>
      </c>
      <c r="AR189">
        <f>'Kullanılan gübre'!AR189*'Gübre oranlar'!AU$2</f>
        <v>0</v>
      </c>
      <c r="AS189">
        <f>'Kullanılan gübre'!AS189*'Gübre oranlar'!AV$2</f>
        <v>0</v>
      </c>
      <c r="AT189">
        <f>'Kullanılan gübre'!AT189*'Gübre oranlar'!AW$2</f>
        <v>0</v>
      </c>
      <c r="AU189">
        <f>'Kullanılan gübre'!AU189*'Gübre oranlar'!AX$2</f>
        <v>0</v>
      </c>
      <c r="AV189">
        <f>'Kullanılan gübre'!AV189*'Gübre oranlar'!AY$2</f>
        <v>0</v>
      </c>
      <c r="AW189">
        <f t="shared" si="2"/>
        <v>267.66000000000003</v>
      </c>
    </row>
    <row r="190" spans="1:49" hidden="1" x14ac:dyDescent="0.25">
      <c r="A190" t="str">
        <f>'Kullanılan gübre'!A190</f>
        <v>BA</v>
      </c>
      <c r="B190" t="str">
        <f>'Kullanılan gübre'!B190</f>
        <v>ANTALYA</v>
      </c>
      <c r="C190" t="str">
        <f>'Kullanılan gübre'!C190</f>
        <v>KAS</v>
      </c>
      <c r="D190">
        <f>'Kullanılan gübre'!D190</f>
        <v>2013</v>
      </c>
      <c r="E190">
        <f>'Kullanılan gübre'!E190*'Gübre oranlar'!H$2</f>
        <v>7.56</v>
      </c>
      <c r="F190">
        <f>'Kullanılan gübre'!F190*'Gübre oranlar'!I$2</f>
        <v>59.02</v>
      </c>
      <c r="G190">
        <f>'Kullanılan gübre'!G190*'Gübre oranlar'!J$2</f>
        <v>100.98</v>
      </c>
      <c r="H190">
        <f>'Kullanılan gübre'!H190*'Gübre oranlar'!K$2</f>
        <v>30.360000000000003</v>
      </c>
      <c r="I190">
        <f>'Kullanılan gübre'!I190*'Gübre oranlar'!L$2</f>
        <v>0</v>
      </c>
      <c r="J190">
        <f>'Kullanılan gübre'!J190*'Gübre oranlar'!M$2</f>
        <v>37.979999999999997</v>
      </c>
      <c r="K190">
        <f>'Kullanılan gübre'!K190*'Gübre oranlar'!N$2</f>
        <v>20.200000000000003</v>
      </c>
      <c r="L190">
        <f>'Kullanılan gübre'!L190*'Gübre oranlar'!O$2</f>
        <v>32.200000000000003</v>
      </c>
      <c r="M190">
        <f>'Kullanılan gübre'!M190*'Gübre oranlar'!P$2</f>
        <v>38.549999999999997</v>
      </c>
      <c r="N190">
        <f>'Kullanılan gübre'!N190*'Gübre oranlar'!Q$2</f>
        <v>7.5</v>
      </c>
      <c r="O190">
        <f>'Kullanılan gübre'!O190*'Gübre oranlar'!R$2</f>
        <v>0</v>
      </c>
      <c r="P190">
        <f>'Kullanılan gübre'!P190*'Gübre oranlar'!S$2</f>
        <v>54.34</v>
      </c>
      <c r="Q190">
        <f>'Kullanılan gübre'!Q190*'Gübre oranlar'!T$2</f>
        <v>0</v>
      </c>
      <c r="R190">
        <f>'Kullanılan gübre'!R190*'Gübre oranlar'!U$2</f>
        <v>0</v>
      </c>
      <c r="S190">
        <f>'Kullanılan gübre'!S190*'Gübre oranlar'!V$2</f>
        <v>0</v>
      </c>
      <c r="T190">
        <f>'Kullanılan gübre'!T190*'Gübre oranlar'!W$2</f>
        <v>0</v>
      </c>
      <c r="U190">
        <f>'Kullanılan gübre'!U190*'Gübre oranlar'!X$2</f>
        <v>0</v>
      </c>
      <c r="V190">
        <f>'Kullanılan gübre'!V190*'Gübre oranlar'!Y$2</f>
        <v>0</v>
      </c>
      <c r="W190">
        <f>'Kullanılan gübre'!W190*'Gübre oranlar'!Z$2</f>
        <v>0</v>
      </c>
      <c r="X190">
        <f>'Kullanılan gübre'!X190*'Gübre oranlar'!AA$2</f>
        <v>0</v>
      </c>
      <c r="Y190">
        <f>'Kullanılan gübre'!Y190*'Gübre oranlar'!AB$2</f>
        <v>0</v>
      </c>
      <c r="Z190">
        <f>'Kullanılan gübre'!Z190*'Gübre oranlar'!AC$2</f>
        <v>0</v>
      </c>
      <c r="AA190">
        <f>'Kullanılan gübre'!AA190*'Gübre oranlar'!AD$2</f>
        <v>0</v>
      </c>
      <c r="AB190">
        <f>'Kullanılan gübre'!AB190*'Gübre oranlar'!AE$2</f>
        <v>0</v>
      </c>
      <c r="AC190">
        <f>'Kullanılan gübre'!AC190*'Gübre oranlar'!AF$2</f>
        <v>0</v>
      </c>
      <c r="AD190">
        <f>'Kullanılan gübre'!AD190*'Gübre oranlar'!AG$2</f>
        <v>0</v>
      </c>
      <c r="AE190">
        <f>'Kullanılan gübre'!AE190*'Gübre oranlar'!AH$2</f>
        <v>0</v>
      </c>
      <c r="AF190">
        <f>'Kullanılan gübre'!AF190*'Gübre oranlar'!AI$2</f>
        <v>0</v>
      </c>
      <c r="AG190">
        <f>'Kullanılan gübre'!AG190*'Gübre oranlar'!AJ$2</f>
        <v>0</v>
      </c>
      <c r="AH190">
        <f>'Kullanılan gübre'!AH190*'Gübre oranlar'!AK$2</f>
        <v>0</v>
      </c>
      <c r="AI190">
        <f>'Kullanılan gübre'!AI190*'Gübre oranlar'!AL$2</f>
        <v>0</v>
      </c>
      <c r="AJ190">
        <f>'Kullanılan gübre'!AJ190*'Gübre oranlar'!AM$2</f>
        <v>0</v>
      </c>
      <c r="AK190">
        <f>'Kullanılan gübre'!AK190*'Gübre oranlar'!AN$2</f>
        <v>0</v>
      </c>
      <c r="AL190">
        <f>'Kullanılan gübre'!AL190*'Gübre oranlar'!AO$2</f>
        <v>0</v>
      </c>
      <c r="AM190">
        <f>'Kullanılan gübre'!AM190*'Gübre oranlar'!AP$2</f>
        <v>0</v>
      </c>
      <c r="AN190">
        <f>'Kullanılan gübre'!AN190*'Gübre oranlar'!AQ$2</f>
        <v>0</v>
      </c>
      <c r="AO190">
        <f>'Kullanılan gübre'!AO190*'Gübre oranlar'!AR$2</f>
        <v>0</v>
      </c>
      <c r="AP190">
        <f>'Kullanılan gübre'!AP190*'Gübre oranlar'!AS$2</f>
        <v>0</v>
      </c>
      <c r="AQ190">
        <f>'Kullanılan gübre'!AQ190*'Gübre oranlar'!AT$2</f>
        <v>0</v>
      </c>
      <c r="AR190">
        <f>'Kullanılan gübre'!AR190*'Gübre oranlar'!AU$2</f>
        <v>0</v>
      </c>
      <c r="AS190">
        <f>'Kullanılan gübre'!AS190*'Gübre oranlar'!AV$2</f>
        <v>0</v>
      </c>
      <c r="AT190">
        <f>'Kullanılan gübre'!AT190*'Gübre oranlar'!AW$2</f>
        <v>0</v>
      </c>
      <c r="AU190">
        <f>'Kullanılan gübre'!AU190*'Gübre oranlar'!AX$2</f>
        <v>0</v>
      </c>
      <c r="AV190">
        <f>'Kullanılan gübre'!AV190*'Gübre oranlar'!AY$2</f>
        <v>0</v>
      </c>
      <c r="AW190">
        <f t="shared" si="2"/>
        <v>388.69000000000005</v>
      </c>
    </row>
    <row r="191" spans="1:49" hidden="1" x14ac:dyDescent="0.25">
      <c r="A191" t="str">
        <f>'Kullanılan gübre'!A191</f>
        <v>BA</v>
      </c>
      <c r="B191" t="str">
        <f>'Kullanılan gübre'!B191</f>
        <v>ANTALYA</v>
      </c>
      <c r="C191" t="str">
        <f>'Kullanılan gübre'!C191</f>
        <v>KORKUTELI</v>
      </c>
      <c r="D191">
        <f>'Kullanılan gübre'!D191</f>
        <v>2013</v>
      </c>
      <c r="E191">
        <f>'Kullanılan gübre'!E191*'Gübre oranlar'!H$2</f>
        <v>247.59</v>
      </c>
      <c r="F191">
        <f>'Kullanılan gübre'!F191*'Gübre oranlar'!I$2</f>
        <v>606.58000000000004</v>
      </c>
      <c r="G191">
        <f>'Kullanılan gübre'!G191*'Gübre oranlar'!J$2</f>
        <v>1013.1</v>
      </c>
      <c r="H191">
        <f>'Kullanılan gübre'!H191*'Gübre oranlar'!K$2</f>
        <v>383.18</v>
      </c>
      <c r="I191">
        <f>'Kullanılan gübre'!I191*'Gübre oranlar'!L$2</f>
        <v>0</v>
      </c>
      <c r="J191">
        <f>'Kullanılan gübre'!J191*'Gübre oranlar'!M$2</f>
        <v>227.88</v>
      </c>
      <c r="K191">
        <f>'Kullanılan gübre'!K191*'Gübre oranlar'!N$2</f>
        <v>1257.4000000000001</v>
      </c>
      <c r="L191">
        <f>'Kullanılan gübre'!L191*'Gübre oranlar'!O$2</f>
        <v>81.600000000000009</v>
      </c>
      <c r="M191">
        <f>'Kullanılan gübre'!M191*'Gübre oranlar'!P$2</f>
        <v>224.1</v>
      </c>
      <c r="N191">
        <f>'Kullanılan gübre'!N191*'Gübre oranlar'!Q$2</f>
        <v>127.94999999999999</v>
      </c>
      <c r="O191">
        <f>'Kullanılan gübre'!O191*'Gübre oranlar'!R$2</f>
        <v>0</v>
      </c>
      <c r="P191">
        <f>'Kullanılan gübre'!P191*'Gübre oranlar'!S$2</f>
        <v>11.18</v>
      </c>
      <c r="Q191">
        <f>'Kullanılan gübre'!Q191*'Gübre oranlar'!T$2</f>
        <v>25.08</v>
      </c>
      <c r="R191">
        <f>'Kullanılan gübre'!R191*'Gübre oranlar'!U$2</f>
        <v>0</v>
      </c>
      <c r="S191">
        <f>'Kullanılan gübre'!S191*'Gübre oranlar'!V$2</f>
        <v>1.085</v>
      </c>
      <c r="T191">
        <f>'Kullanılan gübre'!T191*'Gübre oranlar'!W$2</f>
        <v>0</v>
      </c>
      <c r="U191">
        <f>'Kullanılan gübre'!U191*'Gübre oranlar'!X$2</f>
        <v>38.25</v>
      </c>
      <c r="V191">
        <f>'Kullanılan gübre'!V191*'Gübre oranlar'!Y$2</f>
        <v>0</v>
      </c>
      <c r="W191">
        <f>'Kullanılan gübre'!W191*'Gübre oranlar'!Z$2</f>
        <v>0</v>
      </c>
      <c r="X191">
        <f>'Kullanılan gübre'!X191*'Gübre oranlar'!AA$2</f>
        <v>3.8000000000000003</v>
      </c>
      <c r="Y191">
        <f>'Kullanılan gübre'!Y191*'Gübre oranlar'!AB$2</f>
        <v>0</v>
      </c>
      <c r="Z191">
        <f>'Kullanılan gübre'!Z191*'Gübre oranlar'!AC$2</f>
        <v>0</v>
      </c>
      <c r="AA191">
        <f>'Kullanılan gübre'!AA191*'Gübre oranlar'!AD$2</f>
        <v>0</v>
      </c>
      <c r="AB191">
        <f>'Kullanılan gübre'!AB191*'Gübre oranlar'!AE$2</f>
        <v>1.68</v>
      </c>
      <c r="AC191">
        <f>'Kullanılan gübre'!AC191*'Gübre oranlar'!AF$2</f>
        <v>0</v>
      </c>
      <c r="AD191">
        <f>'Kullanılan gübre'!AD191*'Gübre oranlar'!AG$2</f>
        <v>0</v>
      </c>
      <c r="AE191">
        <f>'Kullanılan gübre'!AE191*'Gübre oranlar'!AH$2</f>
        <v>0</v>
      </c>
      <c r="AF191">
        <f>'Kullanılan gübre'!AF191*'Gübre oranlar'!AI$2</f>
        <v>0</v>
      </c>
      <c r="AG191">
        <f>'Kullanılan gübre'!AG191*'Gübre oranlar'!AJ$2</f>
        <v>0</v>
      </c>
      <c r="AH191">
        <f>'Kullanılan gübre'!AH191*'Gübre oranlar'!AK$2</f>
        <v>22.8</v>
      </c>
      <c r="AI191">
        <f>'Kullanılan gübre'!AI191*'Gübre oranlar'!AL$2</f>
        <v>0</v>
      </c>
      <c r="AJ191">
        <f>'Kullanılan gübre'!AJ191*'Gübre oranlar'!AM$2</f>
        <v>0</v>
      </c>
      <c r="AK191">
        <f>'Kullanılan gübre'!AK191*'Gübre oranlar'!AN$2</f>
        <v>0</v>
      </c>
      <c r="AL191">
        <f>'Kullanılan gübre'!AL191*'Gübre oranlar'!AO$2</f>
        <v>0</v>
      </c>
      <c r="AM191">
        <f>'Kullanılan gübre'!AM191*'Gübre oranlar'!AP$2</f>
        <v>0</v>
      </c>
      <c r="AN191">
        <f>'Kullanılan gübre'!AN191*'Gübre oranlar'!AQ$2</f>
        <v>0</v>
      </c>
      <c r="AO191">
        <f>'Kullanılan gübre'!AO191*'Gübre oranlar'!AR$2</f>
        <v>0</v>
      </c>
      <c r="AP191">
        <f>'Kullanılan gübre'!AP191*'Gübre oranlar'!AS$2</f>
        <v>0</v>
      </c>
      <c r="AQ191">
        <f>'Kullanılan gübre'!AQ191*'Gübre oranlar'!AT$2</f>
        <v>0</v>
      </c>
      <c r="AR191">
        <f>'Kullanılan gübre'!AR191*'Gübre oranlar'!AU$2</f>
        <v>0</v>
      </c>
      <c r="AS191">
        <f>'Kullanılan gübre'!AS191*'Gübre oranlar'!AV$2</f>
        <v>13.52</v>
      </c>
      <c r="AT191">
        <f>'Kullanılan gübre'!AT191*'Gübre oranlar'!AW$2</f>
        <v>0</v>
      </c>
      <c r="AU191">
        <f>'Kullanılan gübre'!AU191*'Gübre oranlar'!AX$2</f>
        <v>0</v>
      </c>
      <c r="AV191">
        <f>'Kullanılan gübre'!AV191*'Gübre oranlar'!AY$2</f>
        <v>0</v>
      </c>
      <c r="AW191">
        <f t="shared" si="2"/>
        <v>4286.7750000000015</v>
      </c>
    </row>
    <row r="192" spans="1:49" hidden="1" x14ac:dyDescent="0.25">
      <c r="A192" t="str">
        <f>'Kullanılan gübre'!A192</f>
        <v>BA</v>
      </c>
      <c r="B192" t="str">
        <f>'Kullanılan gübre'!B192</f>
        <v>ANTALYA</v>
      </c>
      <c r="C192" t="str">
        <f>'Kullanılan gübre'!C192</f>
        <v>ELMALI</v>
      </c>
      <c r="D192">
        <f>'Kullanılan gübre'!D192</f>
        <v>2013</v>
      </c>
      <c r="E192">
        <f>'Kullanılan gübre'!E192*'Gübre oranlar'!H$2</f>
        <v>131.25</v>
      </c>
      <c r="F192">
        <f>'Kullanılan gübre'!F192*'Gübre oranlar'!I$2</f>
        <v>128.44</v>
      </c>
      <c r="G192">
        <f>'Kullanılan gübre'!G192*'Gübre oranlar'!J$2</f>
        <v>319.11</v>
      </c>
      <c r="H192">
        <f>'Kullanılan gübre'!H192*'Gübre oranlar'!K$2</f>
        <v>547.4</v>
      </c>
      <c r="I192">
        <f>'Kullanılan gübre'!I192*'Gübre oranlar'!L$2</f>
        <v>0</v>
      </c>
      <c r="J192">
        <f>'Kullanılan gübre'!J192*'Gübre oranlar'!M$2</f>
        <v>99.539999999999992</v>
      </c>
      <c r="K192">
        <f>'Kullanılan gübre'!K192*'Gübre oranlar'!N$2</f>
        <v>250.60000000000002</v>
      </c>
      <c r="L192">
        <f>'Kullanılan gübre'!L192*'Gübre oranlar'!O$2</f>
        <v>12.200000000000001</v>
      </c>
      <c r="M192">
        <f>'Kullanılan gübre'!M192*'Gübre oranlar'!P$2</f>
        <v>59.099999999999994</v>
      </c>
      <c r="N192">
        <f>'Kullanılan gübre'!N192*'Gübre oranlar'!Q$2</f>
        <v>62.55</v>
      </c>
      <c r="O192">
        <f>'Kullanılan gübre'!O192*'Gübre oranlar'!R$2</f>
        <v>0</v>
      </c>
      <c r="P192">
        <f>'Kullanılan gübre'!P192*'Gübre oranlar'!S$2</f>
        <v>18.2</v>
      </c>
      <c r="Q192">
        <f>'Kullanılan gübre'!Q192*'Gübre oranlar'!T$2</f>
        <v>73.8</v>
      </c>
      <c r="R192">
        <f>'Kullanılan gübre'!R192*'Gübre oranlar'!U$2</f>
        <v>0</v>
      </c>
      <c r="S192">
        <f>'Kullanılan gübre'!S192*'Gübre oranlar'!V$2</f>
        <v>3.1</v>
      </c>
      <c r="T192">
        <f>'Kullanılan gübre'!T192*'Gübre oranlar'!W$2</f>
        <v>0</v>
      </c>
      <c r="U192">
        <f>'Kullanılan gübre'!U192*'Gübre oranlar'!X$2</f>
        <v>0</v>
      </c>
      <c r="V192">
        <f>'Kullanılan gübre'!V192*'Gübre oranlar'!Y$2</f>
        <v>0</v>
      </c>
      <c r="W192">
        <f>'Kullanılan gübre'!W192*'Gübre oranlar'!Z$2</f>
        <v>0</v>
      </c>
      <c r="X192">
        <f>'Kullanılan gübre'!X192*'Gübre oranlar'!AA$2</f>
        <v>0</v>
      </c>
      <c r="Y192">
        <f>'Kullanılan gübre'!Y192*'Gübre oranlar'!AB$2</f>
        <v>0</v>
      </c>
      <c r="Z192">
        <f>'Kullanılan gübre'!Z192*'Gübre oranlar'!AC$2</f>
        <v>0</v>
      </c>
      <c r="AA192">
        <f>'Kullanılan gübre'!AA192*'Gübre oranlar'!AD$2</f>
        <v>0</v>
      </c>
      <c r="AB192">
        <f>'Kullanılan gübre'!AB192*'Gübre oranlar'!AE$2</f>
        <v>0</v>
      </c>
      <c r="AC192">
        <f>'Kullanılan gübre'!AC192*'Gübre oranlar'!AF$2</f>
        <v>0</v>
      </c>
      <c r="AD192">
        <f>'Kullanılan gübre'!AD192*'Gübre oranlar'!AG$2</f>
        <v>0</v>
      </c>
      <c r="AE192">
        <f>'Kullanılan gübre'!AE192*'Gübre oranlar'!AH$2</f>
        <v>0</v>
      </c>
      <c r="AF192">
        <f>'Kullanılan gübre'!AF192*'Gübre oranlar'!AI$2</f>
        <v>0</v>
      </c>
      <c r="AG192">
        <f>'Kullanılan gübre'!AG192*'Gübre oranlar'!AJ$2</f>
        <v>0</v>
      </c>
      <c r="AH192">
        <f>'Kullanılan gübre'!AH192*'Gübre oranlar'!AK$2</f>
        <v>0</v>
      </c>
      <c r="AI192">
        <f>'Kullanılan gübre'!AI192*'Gübre oranlar'!AL$2</f>
        <v>0</v>
      </c>
      <c r="AJ192">
        <f>'Kullanılan gübre'!AJ192*'Gübre oranlar'!AM$2</f>
        <v>0</v>
      </c>
      <c r="AK192">
        <f>'Kullanılan gübre'!AK192*'Gübre oranlar'!AN$2</f>
        <v>0</v>
      </c>
      <c r="AL192">
        <f>'Kullanılan gübre'!AL192*'Gübre oranlar'!AO$2</f>
        <v>0</v>
      </c>
      <c r="AM192">
        <f>'Kullanılan gübre'!AM192*'Gübre oranlar'!AP$2</f>
        <v>0</v>
      </c>
      <c r="AN192">
        <f>'Kullanılan gübre'!AN192*'Gübre oranlar'!AQ$2</f>
        <v>0</v>
      </c>
      <c r="AO192">
        <f>'Kullanılan gübre'!AO192*'Gübre oranlar'!AR$2</f>
        <v>0</v>
      </c>
      <c r="AP192">
        <f>'Kullanılan gübre'!AP192*'Gübre oranlar'!AS$2</f>
        <v>0</v>
      </c>
      <c r="AQ192">
        <f>'Kullanılan gübre'!AQ192*'Gübre oranlar'!AT$2</f>
        <v>0</v>
      </c>
      <c r="AR192">
        <f>'Kullanılan gübre'!AR192*'Gübre oranlar'!AU$2</f>
        <v>0</v>
      </c>
      <c r="AS192">
        <f>'Kullanılan gübre'!AS192*'Gübre oranlar'!AV$2</f>
        <v>0</v>
      </c>
      <c r="AT192">
        <f>'Kullanılan gübre'!AT192*'Gübre oranlar'!AW$2</f>
        <v>0</v>
      </c>
      <c r="AU192">
        <f>'Kullanılan gübre'!AU192*'Gübre oranlar'!AX$2</f>
        <v>0</v>
      </c>
      <c r="AV192">
        <f>'Kullanılan gübre'!AV192*'Gübre oranlar'!AY$2</f>
        <v>0</v>
      </c>
      <c r="AW192">
        <f t="shared" si="2"/>
        <v>1705.2899999999995</v>
      </c>
    </row>
    <row r="193" spans="1:49" hidden="1" x14ac:dyDescent="0.25">
      <c r="A193" t="str">
        <f>'Kullanılan gübre'!A193</f>
        <v>BA</v>
      </c>
      <c r="B193" t="str">
        <f>'Kullanılan gübre'!B193</f>
        <v>ANTALYA</v>
      </c>
      <c r="C193" t="str">
        <f>'Kullanılan gübre'!C193</f>
        <v>KEMER</v>
      </c>
      <c r="D193">
        <f>'Kullanılan gübre'!D193</f>
        <v>2014</v>
      </c>
      <c r="E193">
        <f>'Kullanılan gübre'!E193*'Gübre oranlar'!H$2</f>
        <v>6.51</v>
      </c>
      <c r="F193">
        <f>'Kullanılan gübre'!F193*'Gübre oranlar'!I$2</f>
        <v>0</v>
      </c>
      <c r="G193">
        <f>'Kullanılan gübre'!G193*'Gübre oranlar'!J$2</f>
        <v>9.9</v>
      </c>
      <c r="H193">
        <f>'Kullanılan gübre'!H193*'Gübre oranlar'!K$2</f>
        <v>11.5</v>
      </c>
      <c r="I193">
        <f>'Kullanılan gübre'!I193*'Gübre oranlar'!L$2</f>
        <v>0</v>
      </c>
      <c r="J193">
        <f>'Kullanılan gübre'!J193*'Gübre oranlar'!M$2</f>
        <v>3.06</v>
      </c>
      <c r="K193">
        <f>'Kullanılan gübre'!K193*'Gübre oranlar'!N$2</f>
        <v>0.8</v>
      </c>
      <c r="L193">
        <f>'Kullanılan gübre'!L193*'Gübre oranlar'!O$2</f>
        <v>0</v>
      </c>
      <c r="M193">
        <f>'Kullanılan gübre'!M193*'Gübre oranlar'!P$2</f>
        <v>3.9</v>
      </c>
      <c r="N193">
        <f>'Kullanılan gübre'!N193*'Gübre oranlar'!Q$2</f>
        <v>28.799999999999997</v>
      </c>
      <c r="O193">
        <f>'Kullanılan gübre'!O193*'Gübre oranlar'!R$2</f>
        <v>0</v>
      </c>
      <c r="P193">
        <f>'Kullanılan gübre'!P193*'Gübre oranlar'!S$2</f>
        <v>0</v>
      </c>
      <c r="Q193">
        <f>'Kullanılan gübre'!Q193*'Gübre oranlar'!T$2</f>
        <v>0</v>
      </c>
      <c r="R193">
        <f>'Kullanılan gübre'!R193*'Gübre oranlar'!U$2</f>
        <v>0</v>
      </c>
      <c r="S193">
        <f>'Kullanılan gübre'!S193*'Gübre oranlar'!V$2</f>
        <v>0</v>
      </c>
      <c r="T193">
        <f>'Kullanılan gübre'!T193*'Gübre oranlar'!W$2</f>
        <v>0</v>
      </c>
      <c r="U193">
        <f>'Kullanılan gübre'!U193*'Gübre oranlar'!X$2</f>
        <v>0</v>
      </c>
      <c r="V193">
        <f>'Kullanılan gübre'!V193*'Gübre oranlar'!Y$2</f>
        <v>0</v>
      </c>
      <c r="W193">
        <f>'Kullanılan gübre'!W193*'Gübre oranlar'!Z$2</f>
        <v>0</v>
      </c>
      <c r="X193">
        <f>'Kullanılan gübre'!X193*'Gübre oranlar'!AA$2</f>
        <v>0</v>
      </c>
      <c r="Y193">
        <f>'Kullanılan gübre'!Y193*'Gübre oranlar'!AB$2</f>
        <v>0</v>
      </c>
      <c r="Z193">
        <f>'Kullanılan gübre'!Z193*'Gübre oranlar'!AC$2</f>
        <v>0</v>
      </c>
      <c r="AA193">
        <f>'Kullanılan gübre'!AA193*'Gübre oranlar'!AD$2</f>
        <v>0</v>
      </c>
      <c r="AB193">
        <f>'Kullanılan gübre'!AB193*'Gübre oranlar'!AE$2</f>
        <v>0</v>
      </c>
      <c r="AC193">
        <f>'Kullanılan gübre'!AC193*'Gübre oranlar'!AF$2</f>
        <v>0</v>
      </c>
      <c r="AD193">
        <f>'Kullanılan gübre'!AD193*'Gübre oranlar'!AG$2</f>
        <v>0</v>
      </c>
      <c r="AE193">
        <f>'Kullanılan gübre'!AE193*'Gübre oranlar'!AH$2</f>
        <v>0</v>
      </c>
      <c r="AF193">
        <f>'Kullanılan gübre'!AF193*'Gübre oranlar'!AI$2</f>
        <v>0</v>
      </c>
      <c r="AG193">
        <f>'Kullanılan gübre'!AG193*'Gübre oranlar'!AJ$2</f>
        <v>0</v>
      </c>
      <c r="AH193">
        <f>'Kullanılan gübre'!AH193*'Gübre oranlar'!AK$2</f>
        <v>0</v>
      </c>
      <c r="AI193">
        <f>'Kullanılan gübre'!AI193*'Gübre oranlar'!AL$2</f>
        <v>0</v>
      </c>
      <c r="AJ193">
        <f>'Kullanılan gübre'!AJ193*'Gübre oranlar'!AM$2</f>
        <v>0</v>
      </c>
      <c r="AK193">
        <f>'Kullanılan gübre'!AK193*'Gübre oranlar'!AN$2</f>
        <v>0</v>
      </c>
      <c r="AL193">
        <f>'Kullanılan gübre'!AL193*'Gübre oranlar'!AO$2</f>
        <v>0</v>
      </c>
      <c r="AM193">
        <f>'Kullanılan gübre'!AM193*'Gübre oranlar'!AP$2</f>
        <v>0</v>
      </c>
      <c r="AN193">
        <f>'Kullanılan gübre'!AN193*'Gübre oranlar'!AQ$2</f>
        <v>0</v>
      </c>
      <c r="AO193">
        <f>'Kullanılan gübre'!AO193*'Gübre oranlar'!AR$2</f>
        <v>0</v>
      </c>
      <c r="AP193">
        <f>'Kullanılan gübre'!AP193*'Gübre oranlar'!AS$2</f>
        <v>0</v>
      </c>
      <c r="AQ193">
        <f>'Kullanılan gübre'!AQ193*'Gübre oranlar'!AT$2</f>
        <v>0</v>
      </c>
      <c r="AR193">
        <f>'Kullanılan gübre'!AR193*'Gübre oranlar'!AU$2</f>
        <v>0</v>
      </c>
      <c r="AS193">
        <f>'Kullanılan gübre'!AS193*'Gübre oranlar'!AV$2</f>
        <v>0</v>
      </c>
      <c r="AT193">
        <f>'Kullanılan gübre'!AT193*'Gübre oranlar'!AW$2</f>
        <v>0</v>
      </c>
      <c r="AU193">
        <f>'Kullanılan gübre'!AU193*'Gübre oranlar'!AX$2</f>
        <v>0</v>
      </c>
      <c r="AV193">
        <f>'Kullanılan gübre'!AV193*'Gübre oranlar'!AY$2</f>
        <v>0</v>
      </c>
      <c r="AW193">
        <f t="shared" si="2"/>
        <v>64.47</v>
      </c>
    </row>
    <row r="194" spans="1:49" hidden="1" x14ac:dyDescent="0.25">
      <c r="A194" t="str">
        <f>'Kullanılan gübre'!A194</f>
        <v>BA</v>
      </c>
      <c r="B194" t="str">
        <f>'Kullanılan gübre'!B194</f>
        <v>ANTALYA</v>
      </c>
      <c r="C194" t="str">
        <f>'Kullanılan gübre'!C194</f>
        <v>KUMLUCA</v>
      </c>
      <c r="D194">
        <f>'Kullanılan gübre'!D194</f>
        <v>2014</v>
      </c>
      <c r="E194">
        <f>'Kullanılan gübre'!E194*'Gübre oranlar'!H$2</f>
        <v>279.51</v>
      </c>
      <c r="F194">
        <f>'Kullanılan gübre'!F194*'Gübre oranlar'!I$2</f>
        <v>5.98</v>
      </c>
      <c r="G194">
        <f>'Kullanılan gübre'!G194*'Gübre oranlar'!J$2</f>
        <v>181.17000000000002</v>
      </c>
      <c r="H194">
        <f>'Kullanılan gübre'!H194*'Gübre oranlar'!K$2</f>
        <v>117.30000000000001</v>
      </c>
      <c r="I194">
        <f>'Kullanılan gübre'!I194*'Gübre oranlar'!L$2</f>
        <v>0</v>
      </c>
      <c r="J194">
        <f>'Kullanılan gübre'!J194*'Gübre oranlar'!M$2</f>
        <v>76.14</v>
      </c>
      <c r="K194">
        <f>'Kullanılan gübre'!K194*'Gübre oranlar'!N$2</f>
        <v>22.400000000000002</v>
      </c>
      <c r="L194">
        <f>'Kullanılan gübre'!L194*'Gübre oranlar'!O$2</f>
        <v>19.200000000000003</v>
      </c>
      <c r="M194">
        <f>'Kullanılan gübre'!M194*'Gübre oranlar'!P$2</f>
        <v>49.199999999999996</v>
      </c>
      <c r="N194">
        <f>'Kullanılan gübre'!N194*'Gübre oranlar'!Q$2</f>
        <v>225.15</v>
      </c>
      <c r="O194">
        <f>'Kullanılan gübre'!O194*'Gübre oranlar'!R$2</f>
        <v>0</v>
      </c>
      <c r="P194">
        <f>'Kullanılan gübre'!P194*'Gübre oranlar'!S$2</f>
        <v>31.330000000000002</v>
      </c>
      <c r="Q194">
        <f>'Kullanılan gübre'!Q194*'Gübre oranlar'!T$2</f>
        <v>0</v>
      </c>
      <c r="R194">
        <f>'Kullanılan gübre'!R194*'Gübre oranlar'!U$2</f>
        <v>0</v>
      </c>
      <c r="S194">
        <f>'Kullanılan gübre'!S194*'Gübre oranlar'!V$2</f>
        <v>10.695</v>
      </c>
      <c r="T194">
        <f>'Kullanılan gübre'!T194*'Gübre oranlar'!W$2</f>
        <v>0</v>
      </c>
      <c r="U194">
        <f>'Kullanılan gübre'!U194*'Gübre oranlar'!X$2</f>
        <v>14.5</v>
      </c>
      <c r="V194">
        <f>'Kullanılan gübre'!V194*'Gübre oranlar'!Y$2</f>
        <v>0</v>
      </c>
      <c r="W194">
        <f>'Kullanılan gübre'!W194*'Gübre oranlar'!Z$2</f>
        <v>0</v>
      </c>
      <c r="X194">
        <f>'Kullanılan gübre'!X194*'Gübre oranlar'!AA$2</f>
        <v>5</v>
      </c>
      <c r="Y194">
        <f>'Kullanılan gübre'!Y194*'Gübre oranlar'!AB$2</f>
        <v>0</v>
      </c>
      <c r="Z194">
        <f>'Kullanılan gübre'!Z194*'Gübre oranlar'!AC$2</f>
        <v>0</v>
      </c>
      <c r="AA194">
        <f>'Kullanılan gübre'!AA194*'Gübre oranlar'!AD$2</f>
        <v>0</v>
      </c>
      <c r="AB194">
        <f>'Kullanılan gübre'!AB194*'Gübre oranlar'!AE$2</f>
        <v>0</v>
      </c>
      <c r="AC194">
        <f>'Kullanılan gübre'!AC194*'Gübre oranlar'!AF$2</f>
        <v>0</v>
      </c>
      <c r="AD194">
        <f>'Kullanılan gübre'!AD194*'Gübre oranlar'!AG$2</f>
        <v>0</v>
      </c>
      <c r="AE194">
        <f>'Kullanılan gübre'!AE194*'Gübre oranlar'!AH$2</f>
        <v>0</v>
      </c>
      <c r="AF194">
        <f>'Kullanılan gübre'!AF194*'Gübre oranlar'!AI$2</f>
        <v>0</v>
      </c>
      <c r="AG194">
        <f>'Kullanılan gübre'!AG194*'Gübre oranlar'!AJ$2</f>
        <v>0</v>
      </c>
      <c r="AH194">
        <f>'Kullanılan gübre'!AH194*'Gübre oranlar'!AK$2</f>
        <v>0</v>
      </c>
      <c r="AI194">
        <f>'Kullanılan gübre'!AI194*'Gübre oranlar'!AL$2</f>
        <v>0</v>
      </c>
      <c r="AJ194">
        <f>'Kullanılan gübre'!AJ194*'Gübre oranlar'!AM$2</f>
        <v>0</v>
      </c>
      <c r="AK194">
        <f>'Kullanılan gübre'!AK194*'Gübre oranlar'!AN$2</f>
        <v>0</v>
      </c>
      <c r="AL194">
        <f>'Kullanılan gübre'!AL194*'Gübre oranlar'!AO$2</f>
        <v>0</v>
      </c>
      <c r="AM194">
        <f>'Kullanılan gübre'!AM194*'Gübre oranlar'!AP$2</f>
        <v>0</v>
      </c>
      <c r="AN194">
        <f>'Kullanılan gübre'!AN194*'Gübre oranlar'!AQ$2</f>
        <v>0</v>
      </c>
      <c r="AO194">
        <f>'Kullanılan gübre'!AO194*'Gübre oranlar'!AR$2</f>
        <v>0</v>
      </c>
      <c r="AP194">
        <f>'Kullanılan gübre'!AP194*'Gübre oranlar'!AS$2</f>
        <v>0</v>
      </c>
      <c r="AQ194">
        <f>'Kullanılan gübre'!AQ194*'Gübre oranlar'!AT$2</f>
        <v>0</v>
      </c>
      <c r="AR194">
        <f>'Kullanılan gübre'!AR194*'Gübre oranlar'!AU$2</f>
        <v>0</v>
      </c>
      <c r="AS194">
        <f>'Kullanılan gübre'!AS194*'Gübre oranlar'!AV$2</f>
        <v>0</v>
      </c>
      <c r="AT194">
        <f>'Kullanılan gübre'!AT194*'Gübre oranlar'!AW$2</f>
        <v>0</v>
      </c>
      <c r="AU194">
        <f>'Kullanılan gübre'!AU194*'Gübre oranlar'!AX$2</f>
        <v>0</v>
      </c>
      <c r="AV194">
        <f>'Kullanılan gübre'!AV194*'Gübre oranlar'!AY$2</f>
        <v>0</v>
      </c>
      <c r="AW194">
        <f t="shared" si="2"/>
        <v>1037.5750000000003</v>
      </c>
    </row>
    <row r="195" spans="1:49" hidden="1" x14ac:dyDescent="0.25">
      <c r="A195" t="str">
        <f>'Kullanılan gübre'!A195</f>
        <v>BA</v>
      </c>
      <c r="B195" t="str">
        <f>'Kullanılan gübre'!B195</f>
        <v>ANTALYA</v>
      </c>
      <c r="C195" t="str">
        <f>'Kullanılan gübre'!C195</f>
        <v>FINIKE</v>
      </c>
      <c r="D195">
        <f>'Kullanılan gübre'!D195</f>
        <v>2014</v>
      </c>
      <c r="E195">
        <f>'Kullanılan gübre'!E195*'Gübre oranlar'!H$2</f>
        <v>289.17</v>
      </c>
      <c r="F195">
        <f>'Kullanılan gübre'!F195*'Gübre oranlar'!I$2</f>
        <v>17.16</v>
      </c>
      <c r="G195">
        <f>'Kullanılan gübre'!G195*'Gübre oranlar'!J$2</f>
        <v>189.42000000000002</v>
      </c>
      <c r="H195">
        <f>'Kullanılan gübre'!H195*'Gübre oranlar'!K$2</f>
        <v>81.88000000000001</v>
      </c>
      <c r="I195">
        <f>'Kullanılan gübre'!I195*'Gübre oranlar'!L$2</f>
        <v>0</v>
      </c>
      <c r="J195">
        <f>'Kullanılan gübre'!J195*'Gübre oranlar'!M$2</f>
        <v>18.36</v>
      </c>
      <c r="K195">
        <f>'Kullanılan gübre'!K195*'Gübre oranlar'!N$2</f>
        <v>11.600000000000001</v>
      </c>
      <c r="L195">
        <f>'Kullanılan gübre'!L195*'Gübre oranlar'!O$2</f>
        <v>0</v>
      </c>
      <c r="M195">
        <f>'Kullanılan gübre'!M195*'Gübre oranlar'!P$2</f>
        <v>109.5</v>
      </c>
      <c r="N195">
        <f>'Kullanılan gübre'!N195*'Gübre oranlar'!Q$2</f>
        <v>68.849999999999994</v>
      </c>
      <c r="O195">
        <f>'Kullanılan gübre'!O195*'Gübre oranlar'!R$2</f>
        <v>0</v>
      </c>
      <c r="P195">
        <f>'Kullanılan gübre'!P195*'Gübre oranlar'!S$2</f>
        <v>13.39</v>
      </c>
      <c r="Q195">
        <f>'Kullanılan gübre'!Q195*'Gübre oranlar'!T$2</f>
        <v>17.52</v>
      </c>
      <c r="R195">
        <f>'Kullanılan gübre'!R195*'Gübre oranlar'!U$2</f>
        <v>0</v>
      </c>
      <c r="S195">
        <f>'Kullanılan gübre'!S195*'Gübre oranlar'!V$2</f>
        <v>8.8349999999999991</v>
      </c>
      <c r="T195">
        <f>'Kullanılan gübre'!T195*'Gübre oranlar'!W$2</f>
        <v>0</v>
      </c>
      <c r="U195">
        <f>'Kullanılan gübre'!U195*'Gübre oranlar'!X$2</f>
        <v>10.75</v>
      </c>
      <c r="V195">
        <f>'Kullanılan gübre'!V195*'Gübre oranlar'!Y$2</f>
        <v>0</v>
      </c>
      <c r="W195">
        <f>'Kullanılan gübre'!W195*'Gübre oranlar'!Z$2</f>
        <v>0</v>
      </c>
      <c r="X195">
        <f>'Kullanılan gübre'!X195*'Gübre oranlar'!AA$2</f>
        <v>18.7</v>
      </c>
      <c r="Y195">
        <f>'Kullanılan gübre'!Y195*'Gübre oranlar'!AB$2</f>
        <v>0</v>
      </c>
      <c r="Z195">
        <f>'Kullanılan gübre'!Z195*'Gübre oranlar'!AC$2</f>
        <v>0</v>
      </c>
      <c r="AA195">
        <f>'Kullanılan gübre'!AA195*'Gübre oranlar'!AD$2</f>
        <v>0</v>
      </c>
      <c r="AB195">
        <f>'Kullanılan gübre'!AB195*'Gübre oranlar'!AE$2</f>
        <v>5.88</v>
      </c>
      <c r="AC195">
        <f>'Kullanılan gübre'!AC195*'Gübre oranlar'!AF$2</f>
        <v>0</v>
      </c>
      <c r="AD195">
        <f>'Kullanılan gübre'!AD195*'Gübre oranlar'!AG$2</f>
        <v>0</v>
      </c>
      <c r="AE195">
        <f>'Kullanılan gübre'!AE195*'Gübre oranlar'!AH$2</f>
        <v>6.5</v>
      </c>
      <c r="AF195">
        <f>'Kullanılan gübre'!AF195*'Gübre oranlar'!AI$2</f>
        <v>0</v>
      </c>
      <c r="AG195">
        <f>'Kullanılan gübre'!AG195*'Gübre oranlar'!AJ$2</f>
        <v>0</v>
      </c>
      <c r="AH195">
        <f>'Kullanılan gübre'!AH195*'Gübre oranlar'!AK$2</f>
        <v>22.400000000000002</v>
      </c>
      <c r="AI195">
        <f>'Kullanılan gübre'!AI195*'Gübre oranlar'!AL$2</f>
        <v>0</v>
      </c>
      <c r="AJ195">
        <f>'Kullanılan gübre'!AJ195*'Gübre oranlar'!AM$2</f>
        <v>0</v>
      </c>
      <c r="AK195">
        <f>'Kullanılan gübre'!AK195*'Gübre oranlar'!AN$2</f>
        <v>13.600000000000001</v>
      </c>
      <c r="AL195">
        <f>'Kullanılan gübre'!AL195*'Gübre oranlar'!AO$2</f>
        <v>0</v>
      </c>
      <c r="AM195">
        <f>'Kullanılan gübre'!AM195*'Gübre oranlar'!AP$2</f>
        <v>0</v>
      </c>
      <c r="AN195">
        <f>'Kullanılan gübre'!AN195*'Gübre oranlar'!AQ$2</f>
        <v>0</v>
      </c>
      <c r="AO195">
        <f>'Kullanılan gübre'!AO195*'Gübre oranlar'!AR$2</f>
        <v>0</v>
      </c>
      <c r="AP195">
        <f>'Kullanılan gübre'!AP195*'Gübre oranlar'!AS$2</f>
        <v>0</v>
      </c>
      <c r="AQ195">
        <f>'Kullanılan gübre'!AQ195*'Gübre oranlar'!AT$2</f>
        <v>0</v>
      </c>
      <c r="AR195">
        <f>'Kullanılan gübre'!AR195*'Gübre oranlar'!AU$2</f>
        <v>0</v>
      </c>
      <c r="AS195">
        <f>'Kullanılan gübre'!AS195*'Gübre oranlar'!AV$2</f>
        <v>24.7</v>
      </c>
      <c r="AT195">
        <f>'Kullanılan gübre'!AT195*'Gübre oranlar'!AW$2</f>
        <v>11.040000000000001</v>
      </c>
      <c r="AU195">
        <f>'Kullanılan gübre'!AU195*'Gübre oranlar'!AX$2</f>
        <v>0</v>
      </c>
      <c r="AV195">
        <f>'Kullanılan gübre'!AV195*'Gübre oranlar'!AY$2</f>
        <v>0</v>
      </c>
      <c r="AW195">
        <f t="shared" ref="AW195:AW258" si="3">SUM(E195:AV195)</f>
        <v>939.25500000000022</v>
      </c>
    </row>
    <row r="196" spans="1:49" hidden="1" x14ac:dyDescent="0.25">
      <c r="A196" t="str">
        <f>'Kullanılan gübre'!A196</f>
        <v>BA</v>
      </c>
      <c r="B196" t="str">
        <f>'Kullanılan gübre'!B196</f>
        <v>ANTALYA</v>
      </c>
      <c r="C196" t="str">
        <f>'Kullanılan gübre'!C196</f>
        <v>DEMRE</v>
      </c>
      <c r="D196">
        <f>'Kullanılan gübre'!D196</f>
        <v>2014</v>
      </c>
      <c r="E196">
        <f>'Kullanılan gübre'!E196*'Gübre oranlar'!H$2</f>
        <v>22.05</v>
      </c>
      <c r="F196">
        <f>'Kullanılan gübre'!F196*'Gübre oranlar'!I$2</f>
        <v>11.440000000000001</v>
      </c>
      <c r="G196">
        <f>'Kullanılan gübre'!G196*'Gübre oranlar'!J$2</f>
        <v>44.88</v>
      </c>
      <c r="H196">
        <f>'Kullanılan gübre'!H196*'Gübre oranlar'!K$2</f>
        <v>19.78</v>
      </c>
      <c r="I196">
        <f>'Kullanılan gübre'!I196*'Gübre oranlar'!L$2</f>
        <v>0</v>
      </c>
      <c r="J196">
        <f>'Kullanılan gübre'!J196*'Gübre oranlar'!M$2</f>
        <v>7.02</v>
      </c>
      <c r="K196">
        <f>'Kullanılan gübre'!K196*'Gübre oranlar'!N$2</f>
        <v>4.8000000000000007</v>
      </c>
      <c r="L196">
        <f>'Kullanılan gübre'!L196*'Gübre oranlar'!O$2</f>
        <v>0</v>
      </c>
      <c r="M196">
        <f>'Kullanılan gübre'!M196*'Gübre oranlar'!P$2</f>
        <v>0</v>
      </c>
      <c r="N196">
        <f>'Kullanılan gübre'!N196*'Gübre oranlar'!Q$2</f>
        <v>13.65</v>
      </c>
      <c r="O196">
        <f>'Kullanılan gübre'!O196*'Gübre oranlar'!R$2</f>
        <v>0</v>
      </c>
      <c r="P196">
        <f>'Kullanılan gübre'!P196*'Gübre oranlar'!S$2</f>
        <v>11.57</v>
      </c>
      <c r="Q196">
        <f>'Kullanılan gübre'!Q196*'Gübre oranlar'!T$2</f>
        <v>0</v>
      </c>
      <c r="R196">
        <f>'Kullanılan gübre'!R196*'Gübre oranlar'!U$2</f>
        <v>0</v>
      </c>
      <c r="S196">
        <f>'Kullanılan gübre'!S196*'Gübre oranlar'!V$2</f>
        <v>4.03</v>
      </c>
      <c r="T196">
        <f>'Kullanılan gübre'!T196*'Gübre oranlar'!W$2</f>
        <v>0</v>
      </c>
      <c r="U196">
        <f>'Kullanılan gübre'!U196*'Gübre oranlar'!X$2</f>
        <v>6</v>
      </c>
      <c r="V196">
        <f>'Kullanılan gübre'!V196*'Gübre oranlar'!Y$2</f>
        <v>0</v>
      </c>
      <c r="W196">
        <f>'Kullanılan gübre'!W196*'Gübre oranlar'!Z$2</f>
        <v>0</v>
      </c>
      <c r="X196">
        <f>'Kullanılan gübre'!X196*'Gübre oranlar'!AA$2</f>
        <v>0</v>
      </c>
      <c r="Y196">
        <f>'Kullanılan gübre'!Y196*'Gübre oranlar'!AB$2</f>
        <v>0</v>
      </c>
      <c r="Z196">
        <f>'Kullanılan gübre'!Z196*'Gübre oranlar'!AC$2</f>
        <v>0</v>
      </c>
      <c r="AA196">
        <f>'Kullanılan gübre'!AA196*'Gübre oranlar'!AD$2</f>
        <v>0</v>
      </c>
      <c r="AB196">
        <f>'Kullanılan gübre'!AB196*'Gübre oranlar'!AE$2</f>
        <v>3.36</v>
      </c>
      <c r="AC196">
        <f>'Kullanılan gübre'!AC196*'Gübre oranlar'!AF$2</f>
        <v>0</v>
      </c>
      <c r="AD196">
        <f>'Kullanılan gübre'!AD196*'Gübre oranlar'!AG$2</f>
        <v>0</v>
      </c>
      <c r="AE196">
        <f>'Kullanılan gübre'!AE196*'Gübre oranlar'!AH$2</f>
        <v>0</v>
      </c>
      <c r="AF196">
        <f>'Kullanılan gübre'!AF196*'Gübre oranlar'!AI$2</f>
        <v>0</v>
      </c>
      <c r="AG196">
        <f>'Kullanılan gübre'!AG196*'Gübre oranlar'!AJ$2</f>
        <v>0</v>
      </c>
      <c r="AH196">
        <f>'Kullanılan gübre'!AH196*'Gübre oranlar'!AK$2</f>
        <v>0</v>
      </c>
      <c r="AI196">
        <f>'Kullanılan gübre'!AI196*'Gübre oranlar'!AL$2</f>
        <v>0</v>
      </c>
      <c r="AJ196">
        <f>'Kullanılan gübre'!AJ196*'Gübre oranlar'!AM$2</f>
        <v>0</v>
      </c>
      <c r="AK196">
        <f>'Kullanılan gübre'!AK196*'Gübre oranlar'!AN$2</f>
        <v>0</v>
      </c>
      <c r="AL196">
        <f>'Kullanılan gübre'!AL196*'Gübre oranlar'!AO$2</f>
        <v>0</v>
      </c>
      <c r="AM196">
        <f>'Kullanılan gübre'!AM196*'Gübre oranlar'!AP$2</f>
        <v>0</v>
      </c>
      <c r="AN196">
        <f>'Kullanılan gübre'!AN196*'Gübre oranlar'!AQ$2</f>
        <v>0</v>
      </c>
      <c r="AO196">
        <f>'Kullanılan gübre'!AO196*'Gübre oranlar'!AR$2</f>
        <v>0</v>
      </c>
      <c r="AP196">
        <f>'Kullanılan gübre'!AP196*'Gübre oranlar'!AS$2</f>
        <v>0</v>
      </c>
      <c r="AQ196">
        <f>'Kullanılan gübre'!AQ196*'Gübre oranlar'!AT$2</f>
        <v>0</v>
      </c>
      <c r="AR196">
        <f>'Kullanılan gübre'!AR196*'Gübre oranlar'!AU$2</f>
        <v>0</v>
      </c>
      <c r="AS196">
        <f>'Kullanılan gübre'!AS196*'Gübre oranlar'!AV$2</f>
        <v>0</v>
      </c>
      <c r="AT196">
        <f>'Kullanılan gübre'!AT196*'Gübre oranlar'!AW$2</f>
        <v>0</v>
      </c>
      <c r="AU196">
        <f>'Kullanılan gübre'!AU196*'Gübre oranlar'!AX$2</f>
        <v>0</v>
      </c>
      <c r="AV196">
        <f>'Kullanılan gübre'!AV196*'Gübre oranlar'!AY$2</f>
        <v>0</v>
      </c>
      <c r="AW196">
        <f t="shared" si="3"/>
        <v>148.58000000000001</v>
      </c>
    </row>
    <row r="197" spans="1:49" hidden="1" x14ac:dyDescent="0.25">
      <c r="A197" t="str">
        <f>'Kullanılan gübre'!A197</f>
        <v>BA</v>
      </c>
      <c r="B197" t="str">
        <f>'Kullanılan gübre'!B197</f>
        <v>ANTALYA</v>
      </c>
      <c r="C197" t="str">
        <f>'Kullanılan gübre'!C197</f>
        <v>KAS</v>
      </c>
      <c r="D197">
        <f>'Kullanılan gübre'!D197</f>
        <v>2014</v>
      </c>
      <c r="E197">
        <f>'Kullanılan gübre'!E197*'Gübre oranlar'!H$2</f>
        <v>31.5</v>
      </c>
      <c r="F197">
        <f>'Kullanılan gübre'!F197*'Gübre oranlar'!I$2</f>
        <v>70.98</v>
      </c>
      <c r="G197">
        <f>'Kullanılan gübre'!G197*'Gübre oranlar'!J$2</f>
        <v>56.1</v>
      </c>
      <c r="H197">
        <f>'Kullanılan gübre'!H197*'Gübre oranlar'!K$2</f>
        <v>96.600000000000009</v>
      </c>
      <c r="I197">
        <f>'Kullanılan gübre'!I197*'Gübre oranlar'!L$2</f>
        <v>0</v>
      </c>
      <c r="J197">
        <f>'Kullanılan gübre'!J197*'Gübre oranlar'!M$2</f>
        <v>12.42</v>
      </c>
      <c r="K197">
        <f>'Kullanılan gübre'!K197*'Gübre oranlar'!N$2</f>
        <v>7.6000000000000005</v>
      </c>
      <c r="L197">
        <f>'Kullanılan gübre'!L197*'Gübre oranlar'!O$2</f>
        <v>12.8</v>
      </c>
      <c r="M197">
        <f>'Kullanılan gübre'!M197*'Gübre oranlar'!P$2</f>
        <v>13.5</v>
      </c>
      <c r="N197">
        <f>'Kullanılan gübre'!N197*'Gübre oranlar'!Q$2</f>
        <v>12.15</v>
      </c>
      <c r="O197">
        <f>'Kullanılan gübre'!O197*'Gübre oranlar'!R$2</f>
        <v>0</v>
      </c>
      <c r="P197">
        <f>'Kullanılan gübre'!P197*'Gübre oranlar'!S$2</f>
        <v>36.4</v>
      </c>
      <c r="Q197">
        <f>'Kullanılan gübre'!Q197*'Gübre oranlar'!T$2</f>
        <v>0</v>
      </c>
      <c r="R197">
        <f>'Kullanılan gübre'!R197*'Gübre oranlar'!U$2</f>
        <v>0</v>
      </c>
      <c r="S197">
        <f>'Kullanılan gübre'!S197*'Gübre oranlar'!V$2</f>
        <v>0</v>
      </c>
      <c r="T197">
        <f>'Kullanılan gübre'!T197*'Gübre oranlar'!W$2</f>
        <v>0</v>
      </c>
      <c r="U197">
        <f>'Kullanılan gübre'!U197*'Gübre oranlar'!X$2</f>
        <v>0</v>
      </c>
      <c r="V197">
        <f>'Kullanılan gübre'!V197*'Gübre oranlar'!Y$2</f>
        <v>0</v>
      </c>
      <c r="W197">
        <f>'Kullanılan gübre'!W197*'Gübre oranlar'!Z$2</f>
        <v>0</v>
      </c>
      <c r="X197">
        <f>'Kullanılan gübre'!X197*'Gübre oranlar'!AA$2</f>
        <v>0</v>
      </c>
      <c r="Y197">
        <f>'Kullanılan gübre'!Y197*'Gübre oranlar'!AB$2</f>
        <v>0</v>
      </c>
      <c r="Z197">
        <f>'Kullanılan gübre'!Z197*'Gübre oranlar'!AC$2</f>
        <v>0</v>
      </c>
      <c r="AA197">
        <f>'Kullanılan gübre'!AA197*'Gübre oranlar'!AD$2</f>
        <v>0</v>
      </c>
      <c r="AB197">
        <f>'Kullanılan gübre'!AB197*'Gübre oranlar'!AE$2</f>
        <v>0</v>
      </c>
      <c r="AC197">
        <f>'Kullanılan gübre'!AC197*'Gübre oranlar'!AF$2</f>
        <v>0</v>
      </c>
      <c r="AD197">
        <f>'Kullanılan gübre'!AD197*'Gübre oranlar'!AG$2</f>
        <v>0</v>
      </c>
      <c r="AE197">
        <f>'Kullanılan gübre'!AE197*'Gübre oranlar'!AH$2</f>
        <v>0</v>
      </c>
      <c r="AF197">
        <f>'Kullanılan gübre'!AF197*'Gübre oranlar'!AI$2</f>
        <v>0</v>
      </c>
      <c r="AG197">
        <f>'Kullanılan gübre'!AG197*'Gübre oranlar'!AJ$2</f>
        <v>0</v>
      </c>
      <c r="AH197">
        <f>'Kullanılan gübre'!AH197*'Gübre oranlar'!AK$2</f>
        <v>0</v>
      </c>
      <c r="AI197">
        <f>'Kullanılan gübre'!AI197*'Gübre oranlar'!AL$2</f>
        <v>0</v>
      </c>
      <c r="AJ197">
        <f>'Kullanılan gübre'!AJ197*'Gübre oranlar'!AM$2</f>
        <v>0</v>
      </c>
      <c r="AK197">
        <f>'Kullanılan gübre'!AK197*'Gübre oranlar'!AN$2</f>
        <v>0</v>
      </c>
      <c r="AL197">
        <f>'Kullanılan gübre'!AL197*'Gübre oranlar'!AO$2</f>
        <v>0</v>
      </c>
      <c r="AM197">
        <f>'Kullanılan gübre'!AM197*'Gübre oranlar'!AP$2</f>
        <v>0</v>
      </c>
      <c r="AN197">
        <f>'Kullanılan gübre'!AN197*'Gübre oranlar'!AQ$2</f>
        <v>0</v>
      </c>
      <c r="AO197">
        <f>'Kullanılan gübre'!AO197*'Gübre oranlar'!AR$2</f>
        <v>0</v>
      </c>
      <c r="AP197">
        <f>'Kullanılan gübre'!AP197*'Gübre oranlar'!AS$2</f>
        <v>0</v>
      </c>
      <c r="AQ197">
        <f>'Kullanılan gübre'!AQ197*'Gübre oranlar'!AT$2</f>
        <v>0</v>
      </c>
      <c r="AR197">
        <f>'Kullanılan gübre'!AR197*'Gübre oranlar'!AU$2</f>
        <v>0</v>
      </c>
      <c r="AS197">
        <f>'Kullanılan gübre'!AS197*'Gübre oranlar'!AV$2</f>
        <v>0</v>
      </c>
      <c r="AT197">
        <f>'Kullanılan gübre'!AT197*'Gübre oranlar'!AW$2</f>
        <v>0</v>
      </c>
      <c r="AU197">
        <f>'Kullanılan gübre'!AU197*'Gübre oranlar'!AX$2</f>
        <v>0</v>
      </c>
      <c r="AV197">
        <f>'Kullanılan gübre'!AV197*'Gübre oranlar'!AY$2</f>
        <v>0</v>
      </c>
      <c r="AW197">
        <f t="shared" si="3"/>
        <v>350.05</v>
      </c>
    </row>
    <row r="198" spans="1:49" hidden="1" x14ac:dyDescent="0.25">
      <c r="A198" t="str">
        <f>'Kullanılan gübre'!A198</f>
        <v>BA</v>
      </c>
      <c r="B198" t="str">
        <f>'Kullanılan gübre'!B198</f>
        <v>ANTALYA</v>
      </c>
      <c r="C198" t="str">
        <f>'Kullanılan gübre'!C198</f>
        <v>KORKUTELI</v>
      </c>
      <c r="D198">
        <f>'Kullanılan gübre'!D198</f>
        <v>2014</v>
      </c>
      <c r="E198">
        <f>'Kullanılan gübre'!E198*'Gübre oranlar'!H$2</f>
        <v>257.25</v>
      </c>
      <c r="F198">
        <f>'Kullanılan gübre'!F198*'Gübre oranlar'!I$2</f>
        <v>354.90000000000003</v>
      </c>
      <c r="G198">
        <f>'Kullanılan gübre'!G198*'Gübre oranlar'!J$2</f>
        <v>779.79000000000008</v>
      </c>
      <c r="H198">
        <f>'Kullanılan gübre'!H198*'Gübre oranlar'!K$2</f>
        <v>407.1</v>
      </c>
      <c r="I198">
        <f>'Kullanılan gübre'!I198*'Gübre oranlar'!L$2</f>
        <v>0</v>
      </c>
      <c r="J198">
        <f>'Kullanılan gübre'!J198*'Gübre oranlar'!M$2</f>
        <v>226.07999999999998</v>
      </c>
      <c r="K198">
        <f>'Kullanılan gübre'!K198*'Gübre oranlar'!N$2</f>
        <v>1443.8000000000002</v>
      </c>
      <c r="L198">
        <f>'Kullanılan gübre'!L198*'Gübre oranlar'!O$2</f>
        <v>84.4</v>
      </c>
      <c r="M198">
        <f>'Kullanılan gübre'!M198*'Gübre oranlar'!P$2</f>
        <v>152.69999999999999</v>
      </c>
      <c r="N198">
        <f>'Kullanılan gübre'!N198*'Gübre oranlar'!Q$2</f>
        <v>91.35</v>
      </c>
      <c r="O198">
        <f>'Kullanılan gübre'!O198*'Gübre oranlar'!R$2</f>
        <v>0</v>
      </c>
      <c r="P198">
        <f>'Kullanılan gübre'!P198*'Gübre oranlar'!S$2</f>
        <v>19.240000000000002</v>
      </c>
      <c r="Q198">
        <f>'Kullanılan gübre'!Q198*'Gübre oranlar'!T$2</f>
        <v>6.24</v>
      </c>
      <c r="R198">
        <f>'Kullanılan gübre'!R198*'Gübre oranlar'!U$2</f>
        <v>0</v>
      </c>
      <c r="S198">
        <f>'Kullanılan gübre'!S198*'Gübre oranlar'!V$2</f>
        <v>2.17</v>
      </c>
      <c r="T198">
        <f>'Kullanılan gübre'!T198*'Gübre oranlar'!W$2</f>
        <v>0</v>
      </c>
      <c r="U198">
        <f>'Kullanılan gübre'!U198*'Gübre oranlar'!X$2</f>
        <v>34.5</v>
      </c>
      <c r="V198">
        <f>'Kullanılan gübre'!V198*'Gübre oranlar'!Y$2</f>
        <v>0</v>
      </c>
      <c r="W198">
        <f>'Kullanılan gübre'!W198*'Gübre oranlar'!Z$2</f>
        <v>0</v>
      </c>
      <c r="X198">
        <f>'Kullanılan gübre'!X198*'Gübre oranlar'!AA$2</f>
        <v>1.9000000000000001</v>
      </c>
      <c r="Y198">
        <f>'Kullanılan gübre'!Y198*'Gübre oranlar'!AB$2</f>
        <v>0</v>
      </c>
      <c r="Z198">
        <f>'Kullanılan gübre'!Z198*'Gübre oranlar'!AC$2</f>
        <v>0</v>
      </c>
      <c r="AA198">
        <f>'Kullanılan gübre'!AA198*'Gübre oranlar'!AD$2</f>
        <v>0</v>
      </c>
      <c r="AB198">
        <f>'Kullanılan gübre'!AB198*'Gübre oranlar'!AE$2</f>
        <v>3.36</v>
      </c>
      <c r="AC198">
        <f>'Kullanılan gübre'!AC198*'Gübre oranlar'!AF$2</f>
        <v>0</v>
      </c>
      <c r="AD198">
        <f>'Kullanılan gübre'!AD198*'Gübre oranlar'!AG$2</f>
        <v>0</v>
      </c>
      <c r="AE198">
        <f>'Kullanılan gübre'!AE198*'Gübre oranlar'!AH$2</f>
        <v>0.2</v>
      </c>
      <c r="AF198">
        <f>'Kullanılan gübre'!AF198*'Gübre oranlar'!AI$2</f>
        <v>0</v>
      </c>
      <c r="AG198">
        <f>'Kullanılan gübre'!AG198*'Gübre oranlar'!AJ$2</f>
        <v>0</v>
      </c>
      <c r="AH198">
        <f>'Kullanılan gübre'!AH198*'Gübre oranlar'!AK$2</f>
        <v>19.600000000000001</v>
      </c>
      <c r="AI198">
        <f>'Kullanılan gübre'!AI198*'Gübre oranlar'!AL$2</f>
        <v>0</v>
      </c>
      <c r="AJ198">
        <f>'Kullanılan gübre'!AJ198*'Gübre oranlar'!AM$2</f>
        <v>0</v>
      </c>
      <c r="AK198">
        <f>'Kullanılan gübre'!AK198*'Gübre oranlar'!AN$2</f>
        <v>55.2</v>
      </c>
      <c r="AL198">
        <f>'Kullanılan gübre'!AL198*'Gübre oranlar'!AO$2</f>
        <v>0</v>
      </c>
      <c r="AM198">
        <f>'Kullanılan gübre'!AM198*'Gübre oranlar'!AP$2</f>
        <v>0</v>
      </c>
      <c r="AN198">
        <f>'Kullanılan gübre'!AN198*'Gübre oranlar'!AQ$2</f>
        <v>0</v>
      </c>
      <c r="AO198">
        <f>'Kullanılan gübre'!AO198*'Gübre oranlar'!AR$2</f>
        <v>0</v>
      </c>
      <c r="AP198">
        <f>'Kullanılan gübre'!AP198*'Gübre oranlar'!AS$2</f>
        <v>0</v>
      </c>
      <c r="AQ198">
        <f>'Kullanılan gübre'!AQ198*'Gübre oranlar'!AT$2</f>
        <v>0</v>
      </c>
      <c r="AR198">
        <f>'Kullanılan gübre'!AR198*'Gübre oranlar'!AU$2</f>
        <v>0</v>
      </c>
      <c r="AS198">
        <f>'Kullanılan gübre'!AS198*'Gübre oranlar'!AV$2</f>
        <v>26.91</v>
      </c>
      <c r="AT198">
        <f>'Kullanılan gübre'!AT198*'Gübre oranlar'!AW$2</f>
        <v>22.88</v>
      </c>
      <c r="AU198">
        <f>'Kullanılan gübre'!AU198*'Gübre oranlar'!AX$2</f>
        <v>0</v>
      </c>
      <c r="AV198">
        <f>'Kullanılan gübre'!AV198*'Gübre oranlar'!AY$2</f>
        <v>0</v>
      </c>
      <c r="AW198">
        <f t="shared" si="3"/>
        <v>3989.5699999999993</v>
      </c>
    </row>
    <row r="199" spans="1:49" hidden="1" x14ac:dyDescent="0.25">
      <c r="A199" t="str">
        <f>'Kullanılan gübre'!A199</f>
        <v>BA</v>
      </c>
      <c r="B199" t="str">
        <f>'Kullanılan gübre'!B199</f>
        <v>ANTALYA</v>
      </c>
      <c r="C199" t="str">
        <f>'Kullanılan gübre'!C199</f>
        <v>ELMALI</v>
      </c>
      <c r="D199">
        <f>'Kullanılan gübre'!D199</f>
        <v>2014</v>
      </c>
      <c r="E199">
        <f>'Kullanılan gübre'!E199*'Gübre oranlar'!H$2</f>
        <v>138.38999999999999</v>
      </c>
      <c r="F199">
        <f>'Kullanılan gübre'!F199*'Gübre oranlar'!I$2</f>
        <v>100.88000000000001</v>
      </c>
      <c r="G199">
        <f>'Kullanılan gübre'!G199*'Gübre oranlar'!J$2</f>
        <v>340.56</v>
      </c>
      <c r="H199">
        <f>'Kullanılan gübre'!H199*'Gübre oranlar'!K$2</f>
        <v>520.26</v>
      </c>
      <c r="I199">
        <f>'Kullanılan gübre'!I199*'Gübre oranlar'!L$2</f>
        <v>0</v>
      </c>
      <c r="J199">
        <f>'Kullanılan gübre'!J199*'Gübre oranlar'!M$2</f>
        <v>105.66</v>
      </c>
      <c r="K199">
        <f>'Kullanılan gübre'!K199*'Gübre oranlar'!N$2</f>
        <v>227.20000000000002</v>
      </c>
      <c r="L199">
        <f>'Kullanılan gübre'!L199*'Gübre oranlar'!O$2</f>
        <v>31.6</v>
      </c>
      <c r="M199">
        <f>'Kullanılan gübre'!M199*'Gübre oranlar'!P$2</f>
        <v>65.25</v>
      </c>
      <c r="N199">
        <f>'Kullanılan gübre'!N199*'Gübre oranlar'!Q$2</f>
        <v>71.25</v>
      </c>
      <c r="O199">
        <f>'Kullanılan gübre'!O199*'Gübre oranlar'!R$2</f>
        <v>0</v>
      </c>
      <c r="P199">
        <f>'Kullanılan gübre'!P199*'Gübre oranlar'!S$2</f>
        <v>14.3</v>
      </c>
      <c r="Q199">
        <f>'Kullanılan gübre'!Q199*'Gübre oranlar'!T$2</f>
        <v>5.16</v>
      </c>
      <c r="R199">
        <f>'Kullanılan gübre'!R199*'Gübre oranlar'!U$2</f>
        <v>0</v>
      </c>
      <c r="S199">
        <f>'Kullanılan gübre'!S199*'Gübre oranlar'!V$2</f>
        <v>2.6349999999999998</v>
      </c>
      <c r="T199">
        <f>'Kullanılan gübre'!T199*'Gübre oranlar'!W$2</f>
        <v>0</v>
      </c>
      <c r="U199">
        <f>'Kullanılan gübre'!U199*'Gübre oranlar'!X$2</f>
        <v>0</v>
      </c>
      <c r="V199">
        <f>'Kullanılan gübre'!V199*'Gübre oranlar'!Y$2</f>
        <v>0</v>
      </c>
      <c r="W199">
        <f>'Kullanılan gübre'!W199*'Gübre oranlar'!Z$2</f>
        <v>0</v>
      </c>
      <c r="X199">
        <f>'Kullanılan gübre'!X199*'Gübre oranlar'!AA$2</f>
        <v>0</v>
      </c>
      <c r="Y199">
        <f>'Kullanılan gübre'!Y199*'Gübre oranlar'!AB$2</f>
        <v>0</v>
      </c>
      <c r="Z199">
        <f>'Kullanılan gübre'!Z199*'Gübre oranlar'!AC$2</f>
        <v>0</v>
      </c>
      <c r="AA199">
        <f>'Kullanılan gübre'!AA199*'Gübre oranlar'!AD$2</f>
        <v>0</v>
      </c>
      <c r="AB199">
        <f>'Kullanılan gübre'!AB199*'Gübre oranlar'!AE$2</f>
        <v>0</v>
      </c>
      <c r="AC199">
        <f>'Kullanılan gübre'!AC199*'Gübre oranlar'!AF$2</f>
        <v>0</v>
      </c>
      <c r="AD199">
        <f>'Kullanılan gübre'!AD199*'Gübre oranlar'!AG$2</f>
        <v>0</v>
      </c>
      <c r="AE199">
        <f>'Kullanılan gübre'!AE199*'Gübre oranlar'!AH$2</f>
        <v>0</v>
      </c>
      <c r="AF199">
        <f>'Kullanılan gübre'!AF199*'Gübre oranlar'!AI$2</f>
        <v>0</v>
      </c>
      <c r="AG199">
        <f>'Kullanılan gübre'!AG199*'Gübre oranlar'!AJ$2</f>
        <v>0</v>
      </c>
      <c r="AH199">
        <f>'Kullanılan gübre'!AH199*'Gübre oranlar'!AK$2</f>
        <v>0</v>
      </c>
      <c r="AI199">
        <f>'Kullanılan gübre'!AI199*'Gübre oranlar'!AL$2</f>
        <v>0</v>
      </c>
      <c r="AJ199">
        <f>'Kullanılan gübre'!AJ199*'Gübre oranlar'!AM$2</f>
        <v>0</v>
      </c>
      <c r="AK199">
        <f>'Kullanılan gübre'!AK199*'Gübre oranlar'!AN$2</f>
        <v>0</v>
      </c>
      <c r="AL199">
        <f>'Kullanılan gübre'!AL199*'Gübre oranlar'!AO$2</f>
        <v>0</v>
      </c>
      <c r="AM199">
        <f>'Kullanılan gübre'!AM199*'Gübre oranlar'!AP$2</f>
        <v>0</v>
      </c>
      <c r="AN199">
        <f>'Kullanılan gübre'!AN199*'Gübre oranlar'!AQ$2</f>
        <v>0</v>
      </c>
      <c r="AO199">
        <f>'Kullanılan gübre'!AO199*'Gübre oranlar'!AR$2</f>
        <v>0</v>
      </c>
      <c r="AP199">
        <f>'Kullanılan gübre'!AP199*'Gübre oranlar'!AS$2</f>
        <v>0</v>
      </c>
      <c r="AQ199">
        <f>'Kullanılan gübre'!AQ199*'Gübre oranlar'!AT$2</f>
        <v>0</v>
      </c>
      <c r="AR199">
        <f>'Kullanılan gübre'!AR199*'Gübre oranlar'!AU$2</f>
        <v>0</v>
      </c>
      <c r="AS199">
        <f>'Kullanılan gübre'!AS199*'Gübre oranlar'!AV$2</f>
        <v>0</v>
      </c>
      <c r="AT199">
        <f>'Kullanılan gübre'!AT199*'Gübre oranlar'!AW$2</f>
        <v>0</v>
      </c>
      <c r="AU199">
        <f>'Kullanılan gübre'!AU199*'Gübre oranlar'!AX$2</f>
        <v>0</v>
      </c>
      <c r="AV199">
        <f>'Kullanılan gübre'!AV199*'Gübre oranlar'!AY$2</f>
        <v>0</v>
      </c>
      <c r="AW199">
        <f t="shared" si="3"/>
        <v>1623.145</v>
      </c>
    </row>
    <row r="200" spans="1:49" hidden="1" x14ac:dyDescent="0.25">
      <c r="A200" t="str">
        <f>'Kullanılan gübre'!A200</f>
        <v>BA</v>
      </c>
      <c r="B200" t="str">
        <f>'Kullanılan gübre'!B200</f>
        <v>ANTALYA</v>
      </c>
      <c r="C200" t="str">
        <f>'Kullanılan gübre'!C200</f>
        <v>KEMER</v>
      </c>
      <c r="D200">
        <f>'Kullanılan gübre'!D200</f>
        <v>2015</v>
      </c>
      <c r="E200">
        <f>'Kullanılan gübre'!E200*'Gübre oranlar'!H$2</f>
        <v>15.12</v>
      </c>
      <c r="F200">
        <f>'Kullanılan gübre'!F200*'Gübre oranlar'!I$2</f>
        <v>0</v>
      </c>
      <c r="G200">
        <f>'Kullanılan gübre'!G200*'Gübre oranlar'!J$2</f>
        <v>12.870000000000001</v>
      </c>
      <c r="H200">
        <f>'Kullanılan gübre'!H200*'Gübre oranlar'!K$2</f>
        <v>8.2800000000000011</v>
      </c>
      <c r="I200">
        <f>'Kullanılan gübre'!I200*'Gübre oranlar'!L$2</f>
        <v>0</v>
      </c>
      <c r="J200">
        <f>'Kullanılan gübre'!J200*'Gübre oranlar'!M$2</f>
        <v>1.44</v>
      </c>
      <c r="K200">
        <f>'Kullanılan gübre'!K200*'Gübre oranlar'!N$2</f>
        <v>1.6</v>
      </c>
      <c r="L200">
        <f>'Kullanılan gübre'!L200*'Gübre oranlar'!O$2</f>
        <v>0</v>
      </c>
      <c r="M200">
        <f>'Kullanılan gübre'!M200*'Gübre oranlar'!P$2</f>
        <v>0.15</v>
      </c>
      <c r="N200">
        <f>'Kullanılan gübre'!N200*'Gübre oranlar'!Q$2</f>
        <v>12.299999999999999</v>
      </c>
      <c r="O200">
        <f>'Kullanılan gübre'!O200*'Gübre oranlar'!R$2</f>
        <v>0</v>
      </c>
      <c r="P200">
        <f>'Kullanılan gübre'!P200*'Gübre oranlar'!S$2</f>
        <v>0.13</v>
      </c>
      <c r="Q200">
        <f>'Kullanılan gübre'!Q200*'Gübre oranlar'!T$2</f>
        <v>0</v>
      </c>
      <c r="R200">
        <f>'Kullanılan gübre'!R200*'Gübre oranlar'!U$2</f>
        <v>0</v>
      </c>
      <c r="S200">
        <f>'Kullanılan gübre'!S200*'Gübre oranlar'!V$2</f>
        <v>0</v>
      </c>
      <c r="T200">
        <f>'Kullanılan gübre'!T200*'Gübre oranlar'!W$2</f>
        <v>0</v>
      </c>
      <c r="U200">
        <f>'Kullanılan gübre'!U200*'Gübre oranlar'!X$2</f>
        <v>0</v>
      </c>
      <c r="V200">
        <f>'Kullanılan gübre'!V200*'Gübre oranlar'!Y$2</f>
        <v>0</v>
      </c>
      <c r="W200">
        <f>'Kullanılan gübre'!W200*'Gübre oranlar'!Z$2</f>
        <v>0</v>
      </c>
      <c r="X200">
        <f>'Kullanılan gübre'!X200*'Gübre oranlar'!AA$2</f>
        <v>0</v>
      </c>
      <c r="Y200">
        <f>'Kullanılan gübre'!Y200*'Gübre oranlar'!AB$2</f>
        <v>0</v>
      </c>
      <c r="Z200">
        <f>'Kullanılan gübre'!Z200*'Gübre oranlar'!AC$2</f>
        <v>0</v>
      </c>
      <c r="AA200">
        <f>'Kullanılan gübre'!AA200*'Gübre oranlar'!AD$2</f>
        <v>0</v>
      </c>
      <c r="AB200">
        <f>'Kullanılan gübre'!AB200*'Gübre oranlar'!AE$2</f>
        <v>0</v>
      </c>
      <c r="AC200">
        <f>'Kullanılan gübre'!AC200*'Gübre oranlar'!AF$2</f>
        <v>0</v>
      </c>
      <c r="AD200">
        <f>'Kullanılan gübre'!AD200*'Gübre oranlar'!AG$2</f>
        <v>0</v>
      </c>
      <c r="AE200">
        <f>'Kullanılan gübre'!AE200*'Gübre oranlar'!AH$2</f>
        <v>0</v>
      </c>
      <c r="AF200">
        <f>'Kullanılan gübre'!AF200*'Gübre oranlar'!AI$2</f>
        <v>0</v>
      </c>
      <c r="AG200">
        <f>'Kullanılan gübre'!AG200*'Gübre oranlar'!AJ$2</f>
        <v>0</v>
      </c>
      <c r="AH200">
        <f>'Kullanılan gübre'!AH200*'Gübre oranlar'!AK$2</f>
        <v>0</v>
      </c>
      <c r="AI200">
        <f>'Kullanılan gübre'!AI200*'Gübre oranlar'!AL$2</f>
        <v>0</v>
      </c>
      <c r="AJ200">
        <f>'Kullanılan gübre'!AJ200*'Gübre oranlar'!AM$2</f>
        <v>0</v>
      </c>
      <c r="AK200">
        <f>'Kullanılan gübre'!AK200*'Gübre oranlar'!AN$2</f>
        <v>0</v>
      </c>
      <c r="AL200">
        <f>'Kullanılan gübre'!AL200*'Gübre oranlar'!AO$2</f>
        <v>0</v>
      </c>
      <c r="AM200">
        <f>'Kullanılan gübre'!AM200*'Gübre oranlar'!AP$2</f>
        <v>0</v>
      </c>
      <c r="AN200">
        <f>'Kullanılan gübre'!AN200*'Gübre oranlar'!AQ$2</f>
        <v>0</v>
      </c>
      <c r="AO200">
        <f>'Kullanılan gübre'!AO200*'Gübre oranlar'!AR$2</f>
        <v>0</v>
      </c>
      <c r="AP200">
        <f>'Kullanılan gübre'!AP200*'Gübre oranlar'!AS$2</f>
        <v>0</v>
      </c>
      <c r="AQ200">
        <f>'Kullanılan gübre'!AQ200*'Gübre oranlar'!AT$2</f>
        <v>0</v>
      </c>
      <c r="AR200">
        <f>'Kullanılan gübre'!AR200*'Gübre oranlar'!AU$2</f>
        <v>0</v>
      </c>
      <c r="AS200">
        <f>'Kullanılan gübre'!AS200*'Gübre oranlar'!AV$2</f>
        <v>0</v>
      </c>
      <c r="AT200">
        <f>'Kullanılan gübre'!AT200*'Gübre oranlar'!AW$2</f>
        <v>0</v>
      </c>
      <c r="AU200">
        <f>'Kullanılan gübre'!AU200*'Gübre oranlar'!AX$2</f>
        <v>0</v>
      </c>
      <c r="AV200">
        <f>'Kullanılan gübre'!AV200*'Gübre oranlar'!AY$2</f>
        <v>0</v>
      </c>
      <c r="AW200">
        <f t="shared" si="3"/>
        <v>51.89</v>
      </c>
    </row>
    <row r="201" spans="1:49" hidden="1" x14ac:dyDescent="0.25">
      <c r="A201" t="str">
        <f>'Kullanılan gübre'!A201</f>
        <v>BA</v>
      </c>
      <c r="B201" t="str">
        <f>'Kullanılan gübre'!B201</f>
        <v>ANTALYA</v>
      </c>
      <c r="C201" t="str">
        <f>'Kullanılan gübre'!C201</f>
        <v>KUMLUCA</v>
      </c>
      <c r="D201">
        <f>'Kullanılan gübre'!D201</f>
        <v>2015</v>
      </c>
      <c r="E201">
        <f>'Kullanılan gübre'!E201*'Gübre oranlar'!H$2</f>
        <v>283.70999999999998</v>
      </c>
      <c r="F201">
        <f>'Kullanılan gübre'!F201*'Gübre oranlar'!I$2</f>
        <v>0</v>
      </c>
      <c r="G201">
        <f>'Kullanılan gübre'!G201*'Gübre oranlar'!J$2</f>
        <v>284.46000000000004</v>
      </c>
      <c r="H201">
        <f>'Kullanılan gübre'!H201*'Gübre oranlar'!K$2</f>
        <v>228.16</v>
      </c>
      <c r="I201">
        <f>'Kullanılan gübre'!I201*'Gübre oranlar'!L$2</f>
        <v>0</v>
      </c>
      <c r="J201">
        <f>'Kullanılan gübre'!J201*'Gübre oranlar'!M$2</f>
        <v>43.199999999999996</v>
      </c>
      <c r="K201">
        <f>'Kullanılan gübre'!K201*'Gübre oranlar'!N$2</f>
        <v>39.400000000000006</v>
      </c>
      <c r="L201">
        <f>'Kullanılan gübre'!L201*'Gübre oranlar'!O$2</f>
        <v>15</v>
      </c>
      <c r="M201">
        <f>'Kullanılan gübre'!M201*'Gübre oranlar'!P$2</f>
        <v>65.399999999999991</v>
      </c>
      <c r="N201">
        <f>'Kullanılan gübre'!N201*'Gübre oranlar'!Q$2</f>
        <v>196.65</v>
      </c>
      <c r="O201">
        <f>'Kullanılan gübre'!O201*'Gübre oranlar'!R$2</f>
        <v>0</v>
      </c>
      <c r="P201">
        <f>'Kullanılan gübre'!P201*'Gübre oranlar'!S$2</f>
        <v>28.21</v>
      </c>
      <c r="Q201">
        <f>'Kullanılan gübre'!Q201*'Gübre oranlar'!T$2</f>
        <v>0</v>
      </c>
      <c r="R201">
        <f>'Kullanılan gübre'!R201*'Gübre oranlar'!U$2</f>
        <v>0</v>
      </c>
      <c r="S201">
        <f>'Kullanılan gübre'!S201*'Gübre oranlar'!V$2</f>
        <v>1.8599999999999999</v>
      </c>
      <c r="T201">
        <f>'Kullanılan gübre'!T201*'Gübre oranlar'!W$2</f>
        <v>0</v>
      </c>
      <c r="U201">
        <f>'Kullanılan gübre'!U201*'Gübre oranlar'!X$2</f>
        <v>21.75</v>
      </c>
      <c r="V201">
        <f>'Kullanılan gübre'!V201*'Gübre oranlar'!Y$2</f>
        <v>0</v>
      </c>
      <c r="W201">
        <f>'Kullanılan gübre'!W201*'Gübre oranlar'!Z$2</f>
        <v>0</v>
      </c>
      <c r="X201">
        <f>'Kullanılan gübre'!X201*'Gübre oranlar'!AA$2</f>
        <v>2</v>
      </c>
      <c r="Y201">
        <f>'Kullanılan gübre'!Y201*'Gübre oranlar'!AB$2</f>
        <v>0</v>
      </c>
      <c r="Z201">
        <f>'Kullanılan gübre'!Z201*'Gübre oranlar'!AC$2</f>
        <v>0</v>
      </c>
      <c r="AA201">
        <f>'Kullanılan gübre'!AA201*'Gübre oranlar'!AD$2</f>
        <v>0</v>
      </c>
      <c r="AB201">
        <f>'Kullanılan gübre'!AB201*'Gübre oranlar'!AE$2</f>
        <v>0</v>
      </c>
      <c r="AC201">
        <f>'Kullanılan gübre'!AC201*'Gübre oranlar'!AF$2</f>
        <v>0</v>
      </c>
      <c r="AD201">
        <f>'Kullanılan gübre'!AD201*'Gübre oranlar'!AG$2</f>
        <v>0</v>
      </c>
      <c r="AE201">
        <f>'Kullanılan gübre'!AE201*'Gübre oranlar'!AH$2</f>
        <v>0</v>
      </c>
      <c r="AF201">
        <f>'Kullanılan gübre'!AF201*'Gübre oranlar'!AI$2</f>
        <v>0</v>
      </c>
      <c r="AG201">
        <f>'Kullanılan gübre'!AG201*'Gübre oranlar'!AJ$2</f>
        <v>0</v>
      </c>
      <c r="AH201">
        <f>'Kullanılan gübre'!AH201*'Gübre oranlar'!AK$2</f>
        <v>0</v>
      </c>
      <c r="AI201">
        <f>'Kullanılan gübre'!AI201*'Gübre oranlar'!AL$2</f>
        <v>0</v>
      </c>
      <c r="AJ201">
        <f>'Kullanılan gübre'!AJ201*'Gübre oranlar'!AM$2</f>
        <v>0</v>
      </c>
      <c r="AK201">
        <f>'Kullanılan gübre'!AK201*'Gübre oranlar'!AN$2</f>
        <v>0</v>
      </c>
      <c r="AL201">
        <f>'Kullanılan gübre'!AL201*'Gübre oranlar'!AO$2</f>
        <v>0</v>
      </c>
      <c r="AM201">
        <f>'Kullanılan gübre'!AM201*'Gübre oranlar'!AP$2</f>
        <v>0</v>
      </c>
      <c r="AN201">
        <f>'Kullanılan gübre'!AN201*'Gübre oranlar'!AQ$2</f>
        <v>0</v>
      </c>
      <c r="AO201">
        <f>'Kullanılan gübre'!AO201*'Gübre oranlar'!AR$2</f>
        <v>0</v>
      </c>
      <c r="AP201">
        <f>'Kullanılan gübre'!AP201*'Gübre oranlar'!AS$2</f>
        <v>0</v>
      </c>
      <c r="AQ201">
        <f>'Kullanılan gübre'!AQ201*'Gübre oranlar'!AT$2</f>
        <v>0</v>
      </c>
      <c r="AR201">
        <f>'Kullanılan gübre'!AR201*'Gübre oranlar'!AU$2</f>
        <v>0</v>
      </c>
      <c r="AS201">
        <f>'Kullanılan gübre'!AS201*'Gübre oranlar'!AV$2</f>
        <v>0</v>
      </c>
      <c r="AT201">
        <f>'Kullanılan gübre'!AT201*'Gübre oranlar'!AW$2</f>
        <v>0</v>
      </c>
      <c r="AU201">
        <f>'Kullanılan gübre'!AU201*'Gübre oranlar'!AX$2</f>
        <v>0</v>
      </c>
      <c r="AV201">
        <f>'Kullanılan gübre'!AV201*'Gübre oranlar'!AY$2</f>
        <v>0</v>
      </c>
      <c r="AW201">
        <f t="shared" si="3"/>
        <v>1209.8</v>
      </c>
    </row>
    <row r="202" spans="1:49" hidden="1" x14ac:dyDescent="0.25">
      <c r="A202" t="str">
        <f>'Kullanılan gübre'!A202</f>
        <v>BA</v>
      </c>
      <c r="B202" t="str">
        <f>'Kullanılan gübre'!B202</f>
        <v>ANTALYA</v>
      </c>
      <c r="C202" t="str">
        <f>'Kullanılan gübre'!C202</f>
        <v>FINIKE</v>
      </c>
      <c r="D202">
        <f>'Kullanılan gübre'!D202</f>
        <v>2015</v>
      </c>
      <c r="E202">
        <f>'Kullanılan gübre'!E202*'Gübre oranlar'!H$2</f>
        <v>235.2</v>
      </c>
      <c r="F202">
        <f>'Kullanılan gübre'!F202*'Gübre oranlar'!I$2</f>
        <v>10.66</v>
      </c>
      <c r="G202">
        <f>'Kullanılan gübre'!G202*'Gübre oranlar'!J$2</f>
        <v>210.54000000000002</v>
      </c>
      <c r="H202">
        <f>'Kullanılan gübre'!H202*'Gübre oranlar'!K$2</f>
        <v>117.30000000000001</v>
      </c>
      <c r="I202">
        <f>'Kullanılan gübre'!I202*'Gübre oranlar'!L$2</f>
        <v>0</v>
      </c>
      <c r="J202">
        <f>'Kullanılan gübre'!J202*'Gübre oranlar'!M$2</f>
        <v>19.62</v>
      </c>
      <c r="K202">
        <f>'Kullanılan gübre'!K202*'Gübre oranlar'!N$2</f>
        <v>6.2</v>
      </c>
      <c r="L202">
        <f>'Kullanılan gübre'!L202*'Gübre oranlar'!O$2</f>
        <v>0</v>
      </c>
      <c r="M202">
        <f>'Kullanılan gübre'!M202*'Gübre oranlar'!P$2</f>
        <v>94.5</v>
      </c>
      <c r="N202">
        <f>'Kullanılan gübre'!N202*'Gübre oranlar'!Q$2</f>
        <v>69.3</v>
      </c>
      <c r="O202">
        <f>'Kullanılan gübre'!O202*'Gübre oranlar'!R$2</f>
        <v>0</v>
      </c>
      <c r="P202">
        <f>'Kullanılan gübre'!P202*'Gübre oranlar'!S$2</f>
        <v>16.900000000000002</v>
      </c>
      <c r="Q202">
        <f>'Kullanılan gübre'!Q202*'Gübre oranlar'!T$2</f>
        <v>29.759999999999998</v>
      </c>
      <c r="R202">
        <f>'Kullanılan gübre'!R202*'Gübre oranlar'!U$2</f>
        <v>0</v>
      </c>
      <c r="S202">
        <f>'Kullanılan gübre'!S202*'Gübre oranlar'!V$2</f>
        <v>9.61</v>
      </c>
      <c r="T202">
        <f>'Kullanılan gübre'!T202*'Gübre oranlar'!W$2</f>
        <v>0</v>
      </c>
      <c r="U202">
        <f>'Kullanılan gübre'!U202*'Gübre oranlar'!X$2</f>
        <v>13</v>
      </c>
      <c r="V202">
        <f>'Kullanılan gübre'!V202*'Gübre oranlar'!Y$2</f>
        <v>0</v>
      </c>
      <c r="W202">
        <f>'Kullanılan gübre'!W202*'Gübre oranlar'!Z$2</f>
        <v>0</v>
      </c>
      <c r="X202">
        <f>'Kullanılan gübre'!X202*'Gübre oranlar'!AA$2</f>
        <v>28.3</v>
      </c>
      <c r="Y202">
        <f>'Kullanılan gübre'!Y202*'Gübre oranlar'!AB$2</f>
        <v>0</v>
      </c>
      <c r="Z202">
        <f>'Kullanılan gübre'!Z202*'Gübre oranlar'!AC$2</f>
        <v>0</v>
      </c>
      <c r="AA202">
        <f>'Kullanılan gübre'!AA202*'Gübre oranlar'!AD$2</f>
        <v>0</v>
      </c>
      <c r="AB202">
        <f>'Kullanılan gübre'!AB202*'Gübre oranlar'!AE$2</f>
        <v>6.4799999999999995</v>
      </c>
      <c r="AC202">
        <f>'Kullanılan gübre'!AC202*'Gübre oranlar'!AF$2</f>
        <v>0</v>
      </c>
      <c r="AD202">
        <f>'Kullanılan gübre'!AD202*'Gübre oranlar'!AG$2</f>
        <v>0</v>
      </c>
      <c r="AE202">
        <f>'Kullanılan gübre'!AE202*'Gübre oranlar'!AH$2</f>
        <v>7.6000000000000005</v>
      </c>
      <c r="AF202">
        <f>'Kullanılan gübre'!AF202*'Gübre oranlar'!AI$2</f>
        <v>0</v>
      </c>
      <c r="AG202">
        <f>'Kullanılan gübre'!AG202*'Gübre oranlar'!AJ$2</f>
        <v>0</v>
      </c>
      <c r="AH202">
        <f>'Kullanılan gübre'!AH202*'Gübre oranlar'!AK$2</f>
        <v>17.400000000000002</v>
      </c>
      <c r="AI202">
        <f>'Kullanılan gübre'!AI202*'Gübre oranlar'!AL$2</f>
        <v>0</v>
      </c>
      <c r="AJ202">
        <f>'Kullanılan gübre'!AJ202*'Gübre oranlar'!AM$2</f>
        <v>0</v>
      </c>
      <c r="AK202">
        <f>'Kullanılan gübre'!AK202*'Gübre oranlar'!AN$2</f>
        <v>0</v>
      </c>
      <c r="AL202">
        <f>'Kullanılan gübre'!AL202*'Gübre oranlar'!AO$2</f>
        <v>0</v>
      </c>
      <c r="AM202">
        <f>'Kullanılan gübre'!AM202*'Gübre oranlar'!AP$2</f>
        <v>0</v>
      </c>
      <c r="AN202">
        <f>'Kullanılan gübre'!AN202*'Gübre oranlar'!AQ$2</f>
        <v>0</v>
      </c>
      <c r="AO202">
        <f>'Kullanılan gübre'!AO202*'Gübre oranlar'!AR$2</f>
        <v>0</v>
      </c>
      <c r="AP202">
        <f>'Kullanılan gübre'!AP202*'Gübre oranlar'!AS$2</f>
        <v>0</v>
      </c>
      <c r="AQ202">
        <f>'Kullanılan gübre'!AQ202*'Gübre oranlar'!AT$2</f>
        <v>0</v>
      </c>
      <c r="AR202">
        <f>'Kullanılan gübre'!AR202*'Gübre oranlar'!AU$2</f>
        <v>0</v>
      </c>
      <c r="AS202">
        <f>'Kullanılan gübre'!AS202*'Gübre oranlar'!AV$2</f>
        <v>27.69</v>
      </c>
      <c r="AT202">
        <f>'Kullanılan gübre'!AT202*'Gübre oranlar'!AW$2</f>
        <v>32.64</v>
      </c>
      <c r="AU202">
        <f>'Kullanılan gübre'!AU202*'Gübre oranlar'!AX$2</f>
        <v>0</v>
      </c>
      <c r="AV202">
        <f>'Kullanılan gübre'!AV202*'Gübre oranlar'!AY$2</f>
        <v>0</v>
      </c>
      <c r="AW202">
        <f t="shared" si="3"/>
        <v>952.7</v>
      </c>
    </row>
    <row r="203" spans="1:49" hidden="1" x14ac:dyDescent="0.25">
      <c r="A203" t="str">
        <f>'Kullanılan gübre'!A203</f>
        <v>BA</v>
      </c>
      <c r="B203" t="str">
        <f>'Kullanılan gübre'!B203</f>
        <v>ANTALYA</v>
      </c>
      <c r="C203" t="str">
        <f>'Kullanılan gübre'!C203</f>
        <v>DEMRE</v>
      </c>
      <c r="D203">
        <f>'Kullanılan gübre'!D203</f>
        <v>2015</v>
      </c>
      <c r="E203">
        <f>'Kullanılan gübre'!E203*'Gübre oranlar'!H$2</f>
        <v>55.86</v>
      </c>
      <c r="F203">
        <f>'Kullanılan gübre'!F203*'Gübre oranlar'!I$2</f>
        <v>36.92</v>
      </c>
      <c r="G203">
        <f>'Kullanılan gübre'!G203*'Gübre oranlar'!J$2</f>
        <v>81.84</v>
      </c>
      <c r="H203">
        <f>'Kullanılan gübre'!H203*'Gübre oranlar'!K$2</f>
        <v>34.04</v>
      </c>
      <c r="I203">
        <f>'Kullanılan gübre'!I203*'Gübre oranlar'!L$2</f>
        <v>0</v>
      </c>
      <c r="J203">
        <f>'Kullanılan gübre'!J203*'Gübre oranlar'!M$2</f>
        <v>3.96</v>
      </c>
      <c r="K203">
        <f>'Kullanılan gübre'!K203*'Gübre oranlar'!N$2</f>
        <v>1</v>
      </c>
      <c r="L203">
        <f>'Kullanılan gübre'!L203*'Gübre oranlar'!O$2</f>
        <v>0</v>
      </c>
      <c r="M203">
        <f>'Kullanılan gübre'!M203*'Gübre oranlar'!P$2</f>
        <v>1.05</v>
      </c>
      <c r="N203">
        <f>'Kullanılan gübre'!N203*'Gübre oranlar'!Q$2</f>
        <v>9.6</v>
      </c>
      <c r="O203">
        <f>'Kullanılan gübre'!O203*'Gübre oranlar'!R$2</f>
        <v>0</v>
      </c>
      <c r="P203">
        <f>'Kullanılan gübre'!P203*'Gübre oranlar'!S$2</f>
        <v>12.74</v>
      </c>
      <c r="Q203">
        <f>'Kullanılan gübre'!Q203*'Gübre oranlar'!T$2</f>
        <v>0</v>
      </c>
      <c r="R203">
        <f>'Kullanılan gübre'!R203*'Gübre oranlar'!U$2</f>
        <v>0</v>
      </c>
      <c r="S203">
        <f>'Kullanılan gübre'!S203*'Gübre oranlar'!V$2</f>
        <v>5.27</v>
      </c>
      <c r="T203">
        <f>'Kullanılan gübre'!T203*'Gübre oranlar'!W$2</f>
        <v>0</v>
      </c>
      <c r="U203">
        <f>'Kullanılan gübre'!U203*'Gübre oranlar'!X$2</f>
        <v>0.25</v>
      </c>
      <c r="V203">
        <f>'Kullanılan gübre'!V203*'Gübre oranlar'!Y$2</f>
        <v>0</v>
      </c>
      <c r="W203">
        <f>'Kullanılan gübre'!W203*'Gübre oranlar'!Z$2</f>
        <v>0</v>
      </c>
      <c r="X203">
        <f>'Kullanılan gübre'!X203*'Gübre oranlar'!AA$2</f>
        <v>1.5</v>
      </c>
      <c r="Y203">
        <f>'Kullanılan gübre'!Y203*'Gübre oranlar'!AB$2</f>
        <v>0</v>
      </c>
      <c r="Z203">
        <f>'Kullanılan gübre'!Z203*'Gübre oranlar'!AC$2</f>
        <v>0</v>
      </c>
      <c r="AA203">
        <f>'Kullanılan gübre'!AA203*'Gübre oranlar'!AD$2</f>
        <v>0</v>
      </c>
      <c r="AB203">
        <f>'Kullanılan gübre'!AB203*'Gübre oranlar'!AE$2</f>
        <v>8.64</v>
      </c>
      <c r="AC203">
        <f>'Kullanılan gübre'!AC203*'Gübre oranlar'!AF$2</f>
        <v>0</v>
      </c>
      <c r="AD203">
        <f>'Kullanılan gübre'!AD203*'Gübre oranlar'!AG$2</f>
        <v>0</v>
      </c>
      <c r="AE203">
        <f>'Kullanılan gübre'!AE203*'Gübre oranlar'!AH$2</f>
        <v>0</v>
      </c>
      <c r="AF203">
        <f>'Kullanılan gübre'!AF203*'Gübre oranlar'!AI$2</f>
        <v>0</v>
      </c>
      <c r="AG203">
        <f>'Kullanılan gübre'!AG203*'Gübre oranlar'!AJ$2</f>
        <v>0</v>
      </c>
      <c r="AH203">
        <f>'Kullanılan gübre'!AH203*'Gübre oranlar'!AK$2</f>
        <v>0</v>
      </c>
      <c r="AI203">
        <f>'Kullanılan gübre'!AI203*'Gübre oranlar'!AL$2</f>
        <v>0</v>
      </c>
      <c r="AJ203">
        <f>'Kullanılan gübre'!AJ203*'Gübre oranlar'!AM$2</f>
        <v>0</v>
      </c>
      <c r="AK203">
        <f>'Kullanılan gübre'!AK203*'Gübre oranlar'!AN$2</f>
        <v>0</v>
      </c>
      <c r="AL203">
        <f>'Kullanılan gübre'!AL203*'Gübre oranlar'!AO$2</f>
        <v>0</v>
      </c>
      <c r="AM203">
        <f>'Kullanılan gübre'!AM203*'Gübre oranlar'!AP$2</f>
        <v>0</v>
      </c>
      <c r="AN203">
        <f>'Kullanılan gübre'!AN203*'Gübre oranlar'!AQ$2</f>
        <v>0</v>
      </c>
      <c r="AO203">
        <f>'Kullanılan gübre'!AO203*'Gübre oranlar'!AR$2</f>
        <v>0</v>
      </c>
      <c r="AP203">
        <f>'Kullanılan gübre'!AP203*'Gübre oranlar'!AS$2</f>
        <v>0</v>
      </c>
      <c r="AQ203">
        <f>'Kullanılan gübre'!AQ203*'Gübre oranlar'!AT$2</f>
        <v>0</v>
      </c>
      <c r="AR203">
        <f>'Kullanılan gübre'!AR203*'Gübre oranlar'!AU$2</f>
        <v>0</v>
      </c>
      <c r="AS203">
        <f>'Kullanılan gübre'!AS203*'Gübre oranlar'!AV$2</f>
        <v>0</v>
      </c>
      <c r="AT203">
        <f>'Kullanılan gübre'!AT203*'Gübre oranlar'!AW$2</f>
        <v>0</v>
      </c>
      <c r="AU203">
        <f>'Kullanılan gübre'!AU203*'Gübre oranlar'!AX$2</f>
        <v>0</v>
      </c>
      <c r="AV203">
        <f>'Kullanılan gübre'!AV203*'Gübre oranlar'!AY$2</f>
        <v>0</v>
      </c>
      <c r="AW203">
        <f t="shared" si="3"/>
        <v>252.67000000000002</v>
      </c>
    </row>
    <row r="204" spans="1:49" hidden="1" x14ac:dyDescent="0.25">
      <c r="A204" t="str">
        <f>'Kullanılan gübre'!A204</f>
        <v>BA</v>
      </c>
      <c r="B204" t="str">
        <f>'Kullanılan gübre'!B204</f>
        <v>ANTALYA</v>
      </c>
      <c r="C204" t="str">
        <f>'Kullanılan gübre'!C204</f>
        <v>KAS</v>
      </c>
      <c r="D204">
        <f>'Kullanılan gübre'!D204</f>
        <v>2015</v>
      </c>
      <c r="E204">
        <f>'Kullanılan gübre'!E204*'Gübre oranlar'!H$2</f>
        <v>29.189999999999998</v>
      </c>
      <c r="F204">
        <f>'Kullanılan gübre'!F204*'Gübre oranlar'!I$2</f>
        <v>77.48</v>
      </c>
      <c r="G204">
        <f>'Kullanılan gübre'!G204*'Gübre oranlar'!J$2</f>
        <v>88.77000000000001</v>
      </c>
      <c r="H204">
        <f>'Kullanılan gübre'!H204*'Gübre oranlar'!K$2</f>
        <v>58.42</v>
      </c>
      <c r="I204">
        <f>'Kullanılan gübre'!I204*'Gübre oranlar'!L$2</f>
        <v>0</v>
      </c>
      <c r="J204">
        <f>'Kullanılan gübre'!J204*'Gübre oranlar'!M$2</f>
        <v>14.94</v>
      </c>
      <c r="K204">
        <f>'Kullanılan gübre'!K204*'Gübre oranlar'!N$2</f>
        <v>6.4</v>
      </c>
      <c r="L204">
        <f>'Kullanılan gübre'!L204*'Gübre oranlar'!O$2</f>
        <v>18.600000000000001</v>
      </c>
      <c r="M204">
        <f>'Kullanılan gübre'!M204*'Gübre oranlar'!P$2</f>
        <v>10.95</v>
      </c>
      <c r="N204">
        <f>'Kullanılan gübre'!N204*'Gübre oranlar'!Q$2</f>
        <v>18</v>
      </c>
      <c r="O204">
        <f>'Kullanılan gübre'!O204*'Gübre oranlar'!R$2</f>
        <v>0</v>
      </c>
      <c r="P204">
        <f>'Kullanılan gübre'!P204*'Gübre oranlar'!S$2</f>
        <v>15.08</v>
      </c>
      <c r="Q204">
        <f>'Kullanılan gübre'!Q204*'Gübre oranlar'!T$2</f>
        <v>0</v>
      </c>
      <c r="R204">
        <f>'Kullanılan gübre'!R204*'Gübre oranlar'!U$2</f>
        <v>0</v>
      </c>
      <c r="S204">
        <f>'Kullanılan gübre'!S204*'Gübre oranlar'!V$2</f>
        <v>0</v>
      </c>
      <c r="T204">
        <f>'Kullanılan gübre'!T204*'Gübre oranlar'!W$2</f>
        <v>0</v>
      </c>
      <c r="U204">
        <f>'Kullanılan gübre'!U204*'Gübre oranlar'!X$2</f>
        <v>0</v>
      </c>
      <c r="V204">
        <f>'Kullanılan gübre'!V204*'Gübre oranlar'!Y$2</f>
        <v>0</v>
      </c>
      <c r="W204">
        <f>'Kullanılan gübre'!W204*'Gübre oranlar'!Z$2</f>
        <v>0</v>
      </c>
      <c r="X204">
        <f>'Kullanılan gübre'!X204*'Gübre oranlar'!AA$2</f>
        <v>0</v>
      </c>
      <c r="Y204">
        <f>'Kullanılan gübre'!Y204*'Gübre oranlar'!AB$2</f>
        <v>0</v>
      </c>
      <c r="Z204">
        <f>'Kullanılan gübre'!Z204*'Gübre oranlar'!AC$2</f>
        <v>0</v>
      </c>
      <c r="AA204">
        <f>'Kullanılan gübre'!AA204*'Gübre oranlar'!AD$2</f>
        <v>0</v>
      </c>
      <c r="AB204">
        <f>'Kullanılan gübre'!AB204*'Gübre oranlar'!AE$2</f>
        <v>0</v>
      </c>
      <c r="AC204">
        <f>'Kullanılan gübre'!AC204*'Gübre oranlar'!AF$2</f>
        <v>0</v>
      </c>
      <c r="AD204">
        <f>'Kullanılan gübre'!AD204*'Gübre oranlar'!AG$2</f>
        <v>0</v>
      </c>
      <c r="AE204">
        <f>'Kullanılan gübre'!AE204*'Gübre oranlar'!AH$2</f>
        <v>0</v>
      </c>
      <c r="AF204">
        <f>'Kullanılan gübre'!AF204*'Gübre oranlar'!AI$2</f>
        <v>0</v>
      </c>
      <c r="AG204">
        <f>'Kullanılan gübre'!AG204*'Gübre oranlar'!AJ$2</f>
        <v>0</v>
      </c>
      <c r="AH204">
        <f>'Kullanılan gübre'!AH204*'Gübre oranlar'!AK$2</f>
        <v>0</v>
      </c>
      <c r="AI204">
        <f>'Kullanılan gübre'!AI204*'Gübre oranlar'!AL$2</f>
        <v>0</v>
      </c>
      <c r="AJ204">
        <f>'Kullanılan gübre'!AJ204*'Gübre oranlar'!AM$2</f>
        <v>0</v>
      </c>
      <c r="AK204">
        <f>'Kullanılan gübre'!AK204*'Gübre oranlar'!AN$2</f>
        <v>0</v>
      </c>
      <c r="AL204">
        <f>'Kullanılan gübre'!AL204*'Gübre oranlar'!AO$2</f>
        <v>0</v>
      </c>
      <c r="AM204">
        <f>'Kullanılan gübre'!AM204*'Gübre oranlar'!AP$2</f>
        <v>0</v>
      </c>
      <c r="AN204">
        <f>'Kullanılan gübre'!AN204*'Gübre oranlar'!AQ$2</f>
        <v>0</v>
      </c>
      <c r="AO204">
        <f>'Kullanılan gübre'!AO204*'Gübre oranlar'!AR$2</f>
        <v>0</v>
      </c>
      <c r="AP204">
        <f>'Kullanılan gübre'!AP204*'Gübre oranlar'!AS$2</f>
        <v>0</v>
      </c>
      <c r="AQ204">
        <f>'Kullanılan gübre'!AQ204*'Gübre oranlar'!AT$2</f>
        <v>0</v>
      </c>
      <c r="AR204">
        <f>'Kullanılan gübre'!AR204*'Gübre oranlar'!AU$2</f>
        <v>0</v>
      </c>
      <c r="AS204">
        <f>'Kullanılan gübre'!AS204*'Gübre oranlar'!AV$2</f>
        <v>0</v>
      </c>
      <c r="AT204">
        <f>'Kullanılan gübre'!AT204*'Gübre oranlar'!AW$2</f>
        <v>0</v>
      </c>
      <c r="AU204">
        <f>'Kullanılan gübre'!AU204*'Gübre oranlar'!AX$2</f>
        <v>0</v>
      </c>
      <c r="AV204">
        <f>'Kullanılan gübre'!AV204*'Gübre oranlar'!AY$2</f>
        <v>0</v>
      </c>
      <c r="AW204">
        <f t="shared" si="3"/>
        <v>337.83</v>
      </c>
    </row>
    <row r="205" spans="1:49" hidden="1" x14ac:dyDescent="0.25">
      <c r="A205" t="str">
        <f>'Kullanılan gübre'!A205</f>
        <v>BA</v>
      </c>
      <c r="B205" t="str">
        <f>'Kullanılan gübre'!B205</f>
        <v>ANTALYA</v>
      </c>
      <c r="C205" t="str">
        <f>'Kullanılan gübre'!C205</f>
        <v>KORKUTELI</v>
      </c>
      <c r="D205">
        <f>'Kullanılan gübre'!D205</f>
        <v>2015</v>
      </c>
      <c r="E205">
        <f>'Kullanılan gübre'!E205*'Gübre oranlar'!H$2</f>
        <v>397.95</v>
      </c>
      <c r="F205">
        <f>'Kullanılan gübre'!F205*'Gübre oranlar'!I$2</f>
        <v>333.06</v>
      </c>
      <c r="G205">
        <f>'Kullanılan gübre'!G205*'Gübre oranlar'!J$2</f>
        <v>779.79000000000008</v>
      </c>
      <c r="H205">
        <f>'Kullanılan gübre'!H205*'Gübre oranlar'!K$2</f>
        <v>579.14</v>
      </c>
      <c r="I205">
        <f>'Kullanılan gübre'!I205*'Gübre oranlar'!L$2</f>
        <v>0</v>
      </c>
      <c r="J205">
        <f>'Kullanılan gübre'!J205*'Gübre oranlar'!M$2</f>
        <v>145.79999999999998</v>
      </c>
      <c r="K205">
        <f>'Kullanılan gübre'!K205*'Gübre oranlar'!N$2</f>
        <v>1030.4000000000001</v>
      </c>
      <c r="L205">
        <f>'Kullanılan gübre'!L205*'Gübre oranlar'!O$2</f>
        <v>66.600000000000009</v>
      </c>
      <c r="M205">
        <f>'Kullanılan gübre'!M205*'Gübre oranlar'!P$2</f>
        <v>191.54999999999998</v>
      </c>
      <c r="N205">
        <f>'Kullanılan gübre'!N205*'Gübre oranlar'!Q$2</f>
        <v>101.25</v>
      </c>
      <c r="O205">
        <f>'Kullanılan gübre'!O205*'Gübre oranlar'!R$2</f>
        <v>0</v>
      </c>
      <c r="P205">
        <f>'Kullanılan gübre'!P205*'Gübre oranlar'!S$2</f>
        <v>9.8800000000000008</v>
      </c>
      <c r="Q205">
        <f>'Kullanılan gübre'!Q205*'Gübre oranlar'!T$2</f>
        <v>17.759999999999998</v>
      </c>
      <c r="R205">
        <f>'Kullanılan gübre'!R205*'Gübre oranlar'!U$2</f>
        <v>0</v>
      </c>
      <c r="S205">
        <f>'Kullanılan gübre'!S205*'Gübre oranlar'!V$2</f>
        <v>1.8599999999999999</v>
      </c>
      <c r="T205">
        <f>'Kullanılan gübre'!T205*'Gübre oranlar'!W$2</f>
        <v>0</v>
      </c>
      <c r="U205">
        <f>'Kullanılan gübre'!U205*'Gübre oranlar'!X$2</f>
        <v>46.25</v>
      </c>
      <c r="V205">
        <f>'Kullanılan gübre'!V205*'Gübre oranlar'!Y$2</f>
        <v>0</v>
      </c>
      <c r="W205">
        <f>'Kullanılan gübre'!W205*'Gübre oranlar'!Z$2</f>
        <v>0</v>
      </c>
      <c r="X205">
        <f>'Kullanılan gübre'!X205*'Gübre oranlar'!AA$2</f>
        <v>15.700000000000001</v>
      </c>
      <c r="Y205">
        <f>'Kullanılan gübre'!Y205*'Gübre oranlar'!AB$2</f>
        <v>0</v>
      </c>
      <c r="Z205">
        <f>'Kullanılan gübre'!Z205*'Gübre oranlar'!AC$2</f>
        <v>0</v>
      </c>
      <c r="AA205">
        <f>'Kullanılan gübre'!AA205*'Gübre oranlar'!AD$2</f>
        <v>0</v>
      </c>
      <c r="AB205">
        <f>'Kullanılan gübre'!AB205*'Gübre oranlar'!AE$2</f>
        <v>3.48</v>
      </c>
      <c r="AC205">
        <f>'Kullanılan gübre'!AC205*'Gübre oranlar'!AF$2</f>
        <v>0</v>
      </c>
      <c r="AD205">
        <f>'Kullanılan gübre'!AD205*'Gübre oranlar'!AG$2</f>
        <v>0</v>
      </c>
      <c r="AE205">
        <f>'Kullanılan gübre'!AE205*'Gübre oranlar'!AH$2</f>
        <v>13</v>
      </c>
      <c r="AF205">
        <f>'Kullanılan gübre'!AF205*'Gübre oranlar'!AI$2</f>
        <v>0</v>
      </c>
      <c r="AG205">
        <f>'Kullanılan gübre'!AG205*'Gübre oranlar'!AJ$2</f>
        <v>0</v>
      </c>
      <c r="AH205">
        <f>'Kullanılan gübre'!AH205*'Gübre oranlar'!AK$2</f>
        <v>54.400000000000006</v>
      </c>
      <c r="AI205">
        <f>'Kullanılan gübre'!AI205*'Gübre oranlar'!AL$2</f>
        <v>0</v>
      </c>
      <c r="AJ205">
        <f>'Kullanılan gübre'!AJ205*'Gübre oranlar'!AM$2</f>
        <v>0</v>
      </c>
      <c r="AK205">
        <f>'Kullanılan gübre'!AK205*'Gübre oranlar'!AN$2</f>
        <v>0</v>
      </c>
      <c r="AL205">
        <f>'Kullanılan gübre'!AL205*'Gübre oranlar'!AO$2</f>
        <v>0</v>
      </c>
      <c r="AM205">
        <f>'Kullanılan gübre'!AM205*'Gübre oranlar'!AP$2</f>
        <v>0</v>
      </c>
      <c r="AN205">
        <f>'Kullanılan gübre'!AN205*'Gübre oranlar'!AQ$2</f>
        <v>0</v>
      </c>
      <c r="AO205">
        <f>'Kullanılan gübre'!AO205*'Gübre oranlar'!AR$2</f>
        <v>0</v>
      </c>
      <c r="AP205">
        <f>'Kullanılan gübre'!AP205*'Gübre oranlar'!AS$2</f>
        <v>0</v>
      </c>
      <c r="AQ205">
        <f>'Kullanılan gübre'!AQ205*'Gübre oranlar'!AT$2</f>
        <v>0</v>
      </c>
      <c r="AR205">
        <f>'Kullanılan gübre'!AR205*'Gübre oranlar'!AU$2</f>
        <v>0</v>
      </c>
      <c r="AS205">
        <f>'Kullanılan gübre'!AS205*'Gübre oranlar'!AV$2</f>
        <v>7.0200000000000005</v>
      </c>
      <c r="AT205">
        <f>'Kullanılan gübre'!AT205*'Gübre oranlar'!AW$2</f>
        <v>30.88</v>
      </c>
      <c r="AU205">
        <f>'Kullanılan gübre'!AU205*'Gübre oranlar'!AX$2</f>
        <v>0</v>
      </c>
      <c r="AV205">
        <f>'Kullanılan gübre'!AV205*'Gübre oranlar'!AY$2</f>
        <v>0</v>
      </c>
      <c r="AW205">
        <f t="shared" si="3"/>
        <v>3825.7700000000009</v>
      </c>
    </row>
    <row r="206" spans="1:49" hidden="1" x14ac:dyDescent="0.25">
      <c r="A206" t="str">
        <f>'Kullanılan gübre'!A206</f>
        <v>BA</v>
      </c>
      <c r="B206" t="str">
        <f>'Kullanılan gübre'!B206</f>
        <v>ANTALYA</v>
      </c>
      <c r="C206" t="str">
        <f>'Kullanılan gübre'!C206</f>
        <v>ELMALI</v>
      </c>
      <c r="D206">
        <f>'Kullanılan gübre'!D206</f>
        <v>2015</v>
      </c>
      <c r="E206">
        <f>'Kullanılan gübre'!E206*'Gübre oranlar'!H$2</f>
        <v>146.79</v>
      </c>
      <c r="F206">
        <f>'Kullanılan gübre'!F206*'Gübre oranlar'!I$2</f>
        <v>66.040000000000006</v>
      </c>
      <c r="G206">
        <f>'Kullanılan gübre'!G206*'Gübre oranlar'!J$2</f>
        <v>344.19</v>
      </c>
      <c r="H206">
        <f>'Kullanılan gübre'!H206*'Gübre oranlar'!K$2</f>
        <v>556.14</v>
      </c>
      <c r="I206">
        <f>'Kullanılan gübre'!I206*'Gübre oranlar'!L$2</f>
        <v>0</v>
      </c>
      <c r="J206">
        <f>'Kullanılan gübre'!J206*'Gübre oranlar'!M$2</f>
        <v>55.26</v>
      </c>
      <c r="K206">
        <f>'Kullanılan gübre'!K206*'Gübre oranlar'!N$2</f>
        <v>158.80000000000001</v>
      </c>
      <c r="L206">
        <f>'Kullanılan gübre'!L206*'Gübre oranlar'!O$2</f>
        <v>9.4</v>
      </c>
      <c r="M206">
        <f>'Kullanılan gübre'!M206*'Gübre oranlar'!P$2</f>
        <v>51.3</v>
      </c>
      <c r="N206">
        <f>'Kullanılan gübre'!N206*'Gübre oranlar'!Q$2</f>
        <v>55.65</v>
      </c>
      <c r="O206">
        <f>'Kullanılan gübre'!O206*'Gübre oranlar'!R$2</f>
        <v>0</v>
      </c>
      <c r="P206">
        <f>'Kullanılan gübre'!P206*'Gübre oranlar'!S$2</f>
        <v>12.610000000000001</v>
      </c>
      <c r="Q206">
        <f>'Kullanılan gübre'!Q206*'Gübre oranlar'!T$2</f>
        <v>72</v>
      </c>
      <c r="R206">
        <f>'Kullanılan gübre'!R206*'Gübre oranlar'!U$2</f>
        <v>0</v>
      </c>
      <c r="S206">
        <f>'Kullanılan gübre'!S206*'Gübre oranlar'!V$2</f>
        <v>2.79</v>
      </c>
      <c r="T206">
        <f>'Kullanılan gübre'!T206*'Gübre oranlar'!W$2</f>
        <v>0</v>
      </c>
      <c r="U206">
        <f>'Kullanılan gübre'!U206*'Gübre oranlar'!X$2</f>
        <v>0</v>
      </c>
      <c r="V206">
        <f>'Kullanılan gübre'!V206*'Gübre oranlar'!Y$2</f>
        <v>0</v>
      </c>
      <c r="W206">
        <f>'Kullanılan gübre'!W206*'Gübre oranlar'!Z$2</f>
        <v>0</v>
      </c>
      <c r="X206">
        <f>'Kullanılan gübre'!X206*'Gübre oranlar'!AA$2</f>
        <v>0</v>
      </c>
      <c r="Y206">
        <f>'Kullanılan gübre'!Y206*'Gübre oranlar'!AB$2</f>
        <v>0</v>
      </c>
      <c r="Z206">
        <f>'Kullanılan gübre'!Z206*'Gübre oranlar'!AC$2</f>
        <v>0</v>
      </c>
      <c r="AA206">
        <f>'Kullanılan gübre'!AA206*'Gübre oranlar'!AD$2</f>
        <v>0</v>
      </c>
      <c r="AB206">
        <f>'Kullanılan gübre'!AB206*'Gübre oranlar'!AE$2</f>
        <v>0</v>
      </c>
      <c r="AC206">
        <f>'Kullanılan gübre'!AC206*'Gübre oranlar'!AF$2</f>
        <v>0</v>
      </c>
      <c r="AD206">
        <f>'Kullanılan gübre'!AD206*'Gübre oranlar'!AG$2</f>
        <v>0</v>
      </c>
      <c r="AE206">
        <f>'Kullanılan gübre'!AE206*'Gübre oranlar'!AH$2</f>
        <v>0</v>
      </c>
      <c r="AF206">
        <f>'Kullanılan gübre'!AF206*'Gübre oranlar'!AI$2</f>
        <v>0</v>
      </c>
      <c r="AG206">
        <f>'Kullanılan gübre'!AG206*'Gübre oranlar'!AJ$2</f>
        <v>0</v>
      </c>
      <c r="AH206">
        <f>'Kullanılan gübre'!AH206*'Gübre oranlar'!AK$2</f>
        <v>5</v>
      </c>
      <c r="AI206">
        <f>'Kullanılan gübre'!AI206*'Gübre oranlar'!AL$2</f>
        <v>0</v>
      </c>
      <c r="AJ206">
        <f>'Kullanılan gübre'!AJ206*'Gübre oranlar'!AM$2</f>
        <v>0</v>
      </c>
      <c r="AK206">
        <f>'Kullanılan gübre'!AK206*'Gübre oranlar'!AN$2</f>
        <v>0</v>
      </c>
      <c r="AL206">
        <f>'Kullanılan gübre'!AL206*'Gübre oranlar'!AO$2</f>
        <v>0</v>
      </c>
      <c r="AM206">
        <f>'Kullanılan gübre'!AM206*'Gübre oranlar'!AP$2</f>
        <v>0</v>
      </c>
      <c r="AN206">
        <f>'Kullanılan gübre'!AN206*'Gübre oranlar'!AQ$2</f>
        <v>0</v>
      </c>
      <c r="AO206">
        <f>'Kullanılan gübre'!AO206*'Gübre oranlar'!AR$2</f>
        <v>0</v>
      </c>
      <c r="AP206">
        <f>'Kullanılan gübre'!AP206*'Gübre oranlar'!AS$2</f>
        <v>0</v>
      </c>
      <c r="AQ206">
        <f>'Kullanılan gübre'!AQ206*'Gübre oranlar'!AT$2</f>
        <v>0</v>
      </c>
      <c r="AR206">
        <f>'Kullanılan gübre'!AR206*'Gübre oranlar'!AU$2</f>
        <v>0</v>
      </c>
      <c r="AS206">
        <f>'Kullanılan gübre'!AS206*'Gübre oranlar'!AV$2</f>
        <v>0</v>
      </c>
      <c r="AT206">
        <f>'Kullanılan gübre'!AT206*'Gübre oranlar'!AW$2</f>
        <v>0</v>
      </c>
      <c r="AU206">
        <f>'Kullanılan gübre'!AU206*'Gübre oranlar'!AX$2</f>
        <v>0</v>
      </c>
      <c r="AV206">
        <f>'Kullanılan gübre'!AV206*'Gübre oranlar'!AY$2</f>
        <v>0</v>
      </c>
      <c r="AW206">
        <f t="shared" si="3"/>
        <v>1535.9699999999998</v>
      </c>
    </row>
    <row r="207" spans="1:49" hidden="1" x14ac:dyDescent="0.25">
      <c r="A207" t="str">
        <f>'Kullanılan gübre'!A207</f>
        <v>BA</v>
      </c>
      <c r="B207" t="str">
        <f>'Kullanılan gübre'!B207</f>
        <v>ANTALYA</v>
      </c>
      <c r="C207" t="str">
        <f>'Kullanılan gübre'!C207</f>
        <v>KEMER</v>
      </c>
      <c r="D207">
        <f>'Kullanılan gübre'!D207</f>
        <v>2016</v>
      </c>
      <c r="E207">
        <f>'Kullanılan gübre'!E207*'Gübre oranlar'!H$2</f>
        <v>17.64</v>
      </c>
      <c r="F207">
        <f>'Kullanılan gübre'!F207*'Gübre oranlar'!I$2</f>
        <v>0</v>
      </c>
      <c r="G207">
        <f>'Kullanılan gübre'!G207*'Gübre oranlar'!J$2</f>
        <v>7.92</v>
      </c>
      <c r="H207">
        <f>'Kullanılan gübre'!H207*'Gübre oranlar'!K$2</f>
        <v>15.180000000000001</v>
      </c>
      <c r="I207">
        <f>'Kullanılan gübre'!I207*'Gübre oranlar'!L$2</f>
        <v>0</v>
      </c>
      <c r="J207">
        <f>'Kullanılan gübre'!J207*'Gübre oranlar'!M$2</f>
        <v>1.26</v>
      </c>
      <c r="K207">
        <f>'Kullanılan gübre'!K207*'Gübre oranlar'!N$2</f>
        <v>2.4000000000000004</v>
      </c>
      <c r="L207">
        <f>'Kullanılan gübre'!L207*'Gübre oranlar'!O$2</f>
        <v>0</v>
      </c>
      <c r="M207">
        <f>'Kullanılan gübre'!M207*'Gübre oranlar'!P$2</f>
        <v>0.15</v>
      </c>
      <c r="N207">
        <f>'Kullanılan gübre'!N207*'Gübre oranlar'!Q$2</f>
        <v>13.799999999999999</v>
      </c>
      <c r="O207">
        <f>'Kullanılan gübre'!O207*'Gübre oranlar'!R$2</f>
        <v>0</v>
      </c>
      <c r="P207">
        <f>'Kullanılan gübre'!P207*'Gübre oranlar'!S$2</f>
        <v>0</v>
      </c>
      <c r="Q207">
        <f>'Kullanılan gübre'!Q207*'Gübre oranlar'!T$2</f>
        <v>0</v>
      </c>
      <c r="R207">
        <f>'Kullanılan gübre'!R207*'Gübre oranlar'!U$2</f>
        <v>0</v>
      </c>
      <c r="S207">
        <f>'Kullanılan gübre'!S207*'Gübre oranlar'!V$2</f>
        <v>0</v>
      </c>
      <c r="T207">
        <f>'Kullanılan gübre'!T207*'Gübre oranlar'!W$2</f>
        <v>0</v>
      </c>
      <c r="U207">
        <f>'Kullanılan gübre'!U207*'Gübre oranlar'!X$2</f>
        <v>0</v>
      </c>
      <c r="V207">
        <f>'Kullanılan gübre'!V207*'Gübre oranlar'!Y$2</f>
        <v>0</v>
      </c>
      <c r="W207">
        <f>'Kullanılan gübre'!W207*'Gübre oranlar'!Z$2</f>
        <v>0</v>
      </c>
      <c r="X207">
        <f>'Kullanılan gübre'!X207*'Gübre oranlar'!AA$2</f>
        <v>0</v>
      </c>
      <c r="Y207">
        <f>'Kullanılan gübre'!Y207*'Gübre oranlar'!AB$2</f>
        <v>0</v>
      </c>
      <c r="Z207">
        <f>'Kullanılan gübre'!Z207*'Gübre oranlar'!AC$2</f>
        <v>0</v>
      </c>
      <c r="AA207">
        <f>'Kullanılan gübre'!AA207*'Gübre oranlar'!AD$2</f>
        <v>0</v>
      </c>
      <c r="AB207">
        <f>'Kullanılan gübre'!AB207*'Gübre oranlar'!AE$2</f>
        <v>0</v>
      </c>
      <c r="AC207">
        <f>'Kullanılan gübre'!AC207*'Gübre oranlar'!AF$2</f>
        <v>0</v>
      </c>
      <c r="AD207">
        <f>'Kullanılan gübre'!AD207*'Gübre oranlar'!AG$2</f>
        <v>0</v>
      </c>
      <c r="AE207">
        <f>'Kullanılan gübre'!AE207*'Gübre oranlar'!AH$2</f>
        <v>0</v>
      </c>
      <c r="AF207">
        <f>'Kullanılan gübre'!AF207*'Gübre oranlar'!AI$2</f>
        <v>0</v>
      </c>
      <c r="AG207">
        <f>'Kullanılan gübre'!AG207*'Gübre oranlar'!AJ$2</f>
        <v>0</v>
      </c>
      <c r="AH207">
        <f>'Kullanılan gübre'!AH207*'Gübre oranlar'!AK$2</f>
        <v>0</v>
      </c>
      <c r="AI207">
        <f>'Kullanılan gübre'!AI207*'Gübre oranlar'!AL$2</f>
        <v>0</v>
      </c>
      <c r="AJ207">
        <f>'Kullanılan gübre'!AJ207*'Gübre oranlar'!AM$2</f>
        <v>0</v>
      </c>
      <c r="AK207">
        <f>'Kullanılan gübre'!AK207*'Gübre oranlar'!AN$2</f>
        <v>0</v>
      </c>
      <c r="AL207">
        <f>'Kullanılan gübre'!AL207*'Gübre oranlar'!AO$2</f>
        <v>0</v>
      </c>
      <c r="AM207">
        <f>'Kullanılan gübre'!AM207*'Gübre oranlar'!AP$2</f>
        <v>0</v>
      </c>
      <c r="AN207">
        <f>'Kullanılan gübre'!AN207*'Gübre oranlar'!AQ$2</f>
        <v>0</v>
      </c>
      <c r="AO207">
        <f>'Kullanılan gübre'!AO207*'Gübre oranlar'!AR$2</f>
        <v>0</v>
      </c>
      <c r="AP207">
        <f>'Kullanılan gübre'!AP207*'Gübre oranlar'!AS$2</f>
        <v>0</v>
      </c>
      <c r="AQ207">
        <f>'Kullanılan gübre'!AQ207*'Gübre oranlar'!AT$2</f>
        <v>0</v>
      </c>
      <c r="AR207">
        <f>'Kullanılan gübre'!AR207*'Gübre oranlar'!AU$2</f>
        <v>0</v>
      </c>
      <c r="AS207">
        <f>'Kullanılan gübre'!AS207*'Gübre oranlar'!AV$2</f>
        <v>0</v>
      </c>
      <c r="AT207">
        <f>'Kullanılan gübre'!AT207*'Gübre oranlar'!AW$2</f>
        <v>0</v>
      </c>
      <c r="AU207">
        <f>'Kullanılan gübre'!AU207*'Gübre oranlar'!AX$2</f>
        <v>0</v>
      </c>
      <c r="AV207">
        <f>'Kullanılan gübre'!AV207*'Gübre oranlar'!AY$2</f>
        <v>0</v>
      </c>
      <c r="AW207">
        <f t="shared" si="3"/>
        <v>58.349999999999994</v>
      </c>
    </row>
    <row r="208" spans="1:49" hidden="1" x14ac:dyDescent="0.25">
      <c r="A208" t="str">
        <f>'Kullanılan gübre'!A208</f>
        <v>BA</v>
      </c>
      <c r="B208" t="str">
        <f>'Kullanılan gübre'!B208</f>
        <v>ANTALYA</v>
      </c>
      <c r="C208" t="str">
        <f>'Kullanılan gübre'!C208</f>
        <v>KUMLUCA</v>
      </c>
      <c r="D208">
        <f>'Kullanılan gübre'!D208</f>
        <v>2016</v>
      </c>
      <c r="E208">
        <f>'Kullanılan gübre'!E208*'Gübre oranlar'!H$2</f>
        <v>354.27</v>
      </c>
      <c r="F208">
        <f>'Kullanılan gübre'!F208*'Gübre oranlar'!I$2</f>
        <v>0</v>
      </c>
      <c r="G208">
        <f>'Kullanılan gübre'!G208*'Gübre oranlar'!J$2</f>
        <v>134.97</v>
      </c>
      <c r="H208">
        <f>'Kullanılan gübre'!H208*'Gübre oranlar'!K$2</f>
        <v>266.34000000000003</v>
      </c>
      <c r="I208">
        <f>'Kullanılan gübre'!I208*'Gübre oranlar'!L$2</f>
        <v>0</v>
      </c>
      <c r="J208">
        <f>'Kullanılan gübre'!J208*'Gübre oranlar'!M$2</f>
        <v>43.199999999999996</v>
      </c>
      <c r="K208">
        <f>'Kullanılan gübre'!K208*'Gübre oranlar'!N$2</f>
        <v>15.4</v>
      </c>
      <c r="L208">
        <f>'Kullanılan gübre'!L208*'Gübre oranlar'!O$2</f>
        <v>0</v>
      </c>
      <c r="M208">
        <f>'Kullanılan gübre'!M208*'Gübre oranlar'!P$2</f>
        <v>203.4</v>
      </c>
      <c r="N208">
        <f>'Kullanılan gübre'!N208*'Gübre oranlar'!Q$2</f>
        <v>64.349999999999994</v>
      </c>
      <c r="O208">
        <f>'Kullanılan gübre'!O208*'Gübre oranlar'!R$2</f>
        <v>0</v>
      </c>
      <c r="P208">
        <f>'Kullanılan gübre'!P208*'Gübre oranlar'!S$2</f>
        <v>15.21</v>
      </c>
      <c r="Q208">
        <f>'Kullanılan gübre'!Q208*'Gübre oranlar'!T$2</f>
        <v>75.11999999999999</v>
      </c>
      <c r="R208">
        <f>'Kullanılan gübre'!R208*'Gübre oranlar'!U$2</f>
        <v>0</v>
      </c>
      <c r="S208">
        <f>'Kullanılan gübre'!S208*'Gübre oranlar'!V$2</f>
        <v>69.75</v>
      </c>
      <c r="T208">
        <f>'Kullanılan gübre'!T208*'Gübre oranlar'!W$2</f>
        <v>0</v>
      </c>
      <c r="U208">
        <f>'Kullanılan gübre'!U208*'Gübre oranlar'!X$2</f>
        <v>200.5</v>
      </c>
      <c r="V208">
        <f>'Kullanılan gübre'!V208*'Gübre oranlar'!Y$2</f>
        <v>0</v>
      </c>
      <c r="W208">
        <f>'Kullanılan gübre'!W208*'Gübre oranlar'!Z$2</f>
        <v>0</v>
      </c>
      <c r="X208">
        <f>'Kullanılan gübre'!X208*'Gübre oranlar'!AA$2</f>
        <v>71.3</v>
      </c>
      <c r="Y208">
        <f>'Kullanılan gübre'!Y208*'Gübre oranlar'!AB$2</f>
        <v>0</v>
      </c>
      <c r="Z208">
        <f>'Kullanılan gübre'!Z208*'Gübre oranlar'!AC$2</f>
        <v>0</v>
      </c>
      <c r="AA208">
        <f>'Kullanılan gübre'!AA208*'Gübre oranlar'!AD$2</f>
        <v>0</v>
      </c>
      <c r="AB208">
        <f>'Kullanılan gübre'!AB208*'Gübre oranlar'!AE$2</f>
        <v>30.72</v>
      </c>
      <c r="AC208">
        <f>'Kullanılan gübre'!AC208*'Gübre oranlar'!AF$2</f>
        <v>0</v>
      </c>
      <c r="AD208">
        <f>'Kullanılan gübre'!AD208*'Gübre oranlar'!AG$2</f>
        <v>0</v>
      </c>
      <c r="AE208">
        <f>'Kullanılan gübre'!AE208*'Gübre oranlar'!AH$2</f>
        <v>12.4</v>
      </c>
      <c r="AF208">
        <f>'Kullanılan gübre'!AF208*'Gübre oranlar'!AI$2</f>
        <v>0</v>
      </c>
      <c r="AG208">
        <f>'Kullanılan gübre'!AG208*'Gübre oranlar'!AJ$2</f>
        <v>0</v>
      </c>
      <c r="AH208">
        <f>'Kullanılan gübre'!AH208*'Gübre oranlar'!AK$2</f>
        <v>25.200000000000003</v>
      </c>
      <c r="AI208">
        <f>'Kullanılan gübre'!AI208*'Gübre oranlar'!AL$2</f>
        <v>0</v>
      </c>
      <c r="AJ208">
        <f>'Kullanılan gübre'!AJ208*'Gübre oranlar'!AM$2</f>
        <v>0</v>
      </c>
      <c r="AK208">
        <f>'Kullanılan gübre'!AK208*'Gübre oranlar'!AN$2</f>
        <v>0</v>
      </c>
      <c r="AL208">
        <f>'Kullanılan gübre'!AL208*'Gübre oranlar'!AO$2</f>
        <v>0</v>
      </c>
      <c r="AM208">
        <f>'Kullanılan gübre'!AM208*'Gübre oranlar'!AP$2</f>
        <v>0</v>
      </c>
      <c r="AN208">
        <f>'Kullanılan gübre'!AN208*'Gübre oranlar'!AQ$2</f>
        <v>0</v>
      </c>
      <c r="AO208">
        <f>'Kullanılan gübre'!AO208*'Gübre oranlar'!AR$2</f>
        <v>0</v>
      </c>
      <c r="AP208">
        <f>'Kullanılan gübre'!AP208*'Gübre oranlar'!AS$2</f>
        <v>0</v>
      </c>
      <c r="AQ208">
        <f>'Kullanılan gübre'!AQ208*'Gübre oranlar'!AT$2</f>
        <v>0</v>
      </c>
      <c r="AR208">
        <f>'Kullanılan gübre'!AR208*'Gübre oranlar'!AU$2</f>
        <v>0</v>
      </c>
      <c r="AS208">
        <f>'Kullanılan gübre'!AS208*'Gübre oranlar'!AV$2</f>
        <v>109.72</v>
      </c>
      <c r="AT208">
        <f>'Kullanılan gübre'!AT208*'Gübre oranlar'!AW$2</f>
        <v>171.68</v>
      </c>
      <c r="AU208">
        <f>'Kullanılan gübre'!AU208*'Gübre oranlar'!AX$2</f>
        <v>0</v>
      </c>
      <c r="AV208">
        <f>'Kullanılan gübre'!AV208*'Gübre oranlar'!AY$2</f>
        <v>0</v>
      </c>
      <c r="AW208">
        <f t="shared" si="3"/>
        <v>1863.5300000000002</v>
      </c>
    </row>
    <row r="209" spans="1:49" hidden="1" x14ac:dyDescent="0.25">
      <c r="A209" t="str">
        <f>'Kullanılan gübre'!A209</f>
        <v>BA</v>
      </c>
      <c r="B209" t="str">
        <f>'Kullanılan gübre'!B209</f>
        <v>ANTALYA</v>
      </c>
      <c r="C209" t="str">
        <f>'Kullanılan gübre'!C209</f>
        <v>FINIKE</v>
      </c>
      <c r="D209">
        <f>'Kullanılan gübre'!D209</f>
        <v>2016</v>
      </c>
      <c r="E209">
        <f>'Kullanılan gübre'!E209*'Gübre oranlar'!H$2</f>
        <v>202.65</v>
      </c>
      <c r="F209">
        <f>'Kullanılan gübre'!F209*'Gübre oranlar'!I$2</f>
        <v>12.22</v>
      </c>
      <c r="G209">
        <f>'Kullanılan gübre'!G209*'Gübre oranlar'!J$2</f>
        <v>130.35</v>
      </c>
      <c r="H209">
        <f>'Kullanılan gübre'!H209*'Gübre oranlar'!K$2</f>
        <v>319.24</v>
      </c>
      <c r="I209">
        <f>'Kullanılan gübre'!I209*'Gübre oranlar'!L$2</f>
        <v>0</v>
      </c>
      <c r="J209">
        <f>'Kullanılan gübre'!J209*'Gübre oranlar'!M$2</f>
        <v>23.04</v>
      </c>
      <c r="K209">
        <f>'Kullanılan gübre'!K209*'Gübre oranlar'!N$2</f>
        <v>19.600000000000001</v>
      </c>
      <c r="L209">
        <f>'Kullanılan gübre'!L209*'Gübre oranlar'!O$2</f>
        <v>0</v>
      </c>
      <c r="M209">
        <f>'Kullanılan gübre'!M209*'Gübre oranlar'!P$2</f>
        <v>58.199999999999996</v>
      </c>
      <c r="N209">
        <f>'Kullanılan gübre'!N209*'Gübre oranlar'!Q$2</f>
        <v>95.7</v>
      </c>
      <c r="O209">
        <f>'Kullanılan gübre'!O209*'Gübre oranlar'!R$2</f>
        <v>0</v>
      </c>
      <c r="P209">
        <f>'Kullanılan gübre'!P209*'Gübre oranlar'!S$2</f>
        <v>11.18</v>
      </c>
      <c r="Q209">
        <f>'Kullanılan gübre'!Q209*'Gübre oranlar'!T$2</f>
        <v>31.439999999999998</v>
      </c>
      <c r="R209">
        <f>'Kullanılan gübre'!R209*'Gübre oranlar'!U$2</f>
        <v>0</v>
      </c>
      <c r="S209">
        <f>'Kullanılan gübre'!S209*'Gübre oranlar'!V$2</f>
        <v>8.99</v>
      </c>
      <c r="T209">
        <f>'Kullanılan gübre'!T209*'Gübre oranlar'!W$2</f>
        <v>0</v>
      </c>
      <c r="U209">
        <f>'Kullanılan gübre'!U209*'Gübre oranlar'!X$2</f>
        <v>33.75</v>
      </c>
      <c r="V209">
        <f>'Kullanılan gübre'!V209*'Gübre oranlar'!Y$2</f>
        <v>0</v>
      </c>
      <c r="W209">
        <f>'Kullanılan gübre'!W209*'Gübre oranlar'!Z$2</f>
        <v>0</v>
      </c>
      <c r="X209">
        <f>'Kullanılan gübre'!X209*'Gübre oranlar'!AA$2</f>
        <v>12.100000000000001</v>
      </c>
      <c r="Y209">
        <f>'Kullanılan gübre'!Y209*'Gübre oranlar'!AB$2</f>
        <v>0</v>
      </c>
      <c r="Z209">
        <f>'Kullanılan gübre'!Z209*'Gübre oranlar'!AC$2</f>
        <v>0</v>
      </c>
      <c r="AA209">
        <f>'Kullanılan gübre'!AA209*'Gübre oranlar'!AD$2</f>
        <v>0</v>
      </c>
      <c r="AB209">
        <f>'Kullanılan gübre'!AB209*'Gübre oranlar'!AE$2</f>
        <v>8.76</v>
      </c>
      <c r="AC209">
        <f>'Kullanılan gübre'!AC209*'Gübre oranlar'!AF$2</f>
        <v>0</v>
      </c>
      <c r="AD209">
        <f>'Kullanılan gübre'!AD209*'Gübre oranlar'!AG$2</f>
        <v>0</v>
      </c>
      <c r="AE209">
        <f>'Kullanılan gübre'!AE209*'Gübre oranlar'!AH$2</f>
        <v>21.200000000000003</v>
      </c>
      <c r="AF209">
        <f>'Kullanılan gübre'!AF209*'Gübre oranlar'!AI$2</f>
        <v>0</v>
      </c>
      <c r="AG209">
        <f>'Kullanılan gübre'!AG209*'Gübre oranlar'!AJ$2</f>
        <v>0</v>
      </c>
      <c r="AH209">
        <f>'Kullanılan gübre'!AH209*'Gübre oranlar'!AK$2</f>
        <v>45.400000000000006</v>
      </c>
      <c r="AI209">
        <f>'Kullanılan gübre'!AI209*'Gübre oranlar'!AL$2</f>
        <v>0</v>
      </c>
      <c r="AJ209">
        <f>'Kullanılan gübre'!AJ209*'Gübre oranlar'!AM$2</f>
        <v>0</v>
      </c>
      <c r="AK209">
        <f>'Kullanılan gübre'!AK209*'Gübre oranlar'!AN$2</f>
        <v>0</v>
      </c>
      <c r="AL209">
        <f>'Kullanılan gübre'!AL209*'Gübre oranlar'!AO$2</f>
        <v>0</v>
      </c>
      <c r="AM209">
        <f>'Kullanılan gübre'!AM209*'Gübre oranlar'!AP$2</f>
        <v>0</v>
      </c>
      <c r="AN209">
        <f>'Kullanılan gübre'!AN209*'Gübre oranlar'!AQ$2</f>
        <v>0</v>
      </c>
      <c r="AO209">
        <f>'Kullanılan gübre'!AO209*'Gübre oranlar'!AR$2</f>
        <v>0</v>
      </c>
      <c r="AP209">
        <f>'Kullanılan gübre'!AP209*'Gübre oranlar'!AS$2</f>
        <v>0</v>
      </c>
      <c r="AQ209">
        <f>'Kullanılan gübre'!AQ209*'Gübre oranlar'!AT$2</f>
        <v>0</v>
      </c>
      <c r="AR209">
        <f>'Kullanılan gübre'!AR209*'Gübre oranlar'!AU$2</f>
        <v>0</v>
      </c>
      <c r="AS209">
        <f>'Kullanılan gübre'!AS209*'Gübre oranlar'!AV$2</f>
        <v>59.28</v>
      </c>
      <c r="AT209">
        <f>'Kullanılan gübre'!AT209*'Gübre oranlar'!AW$2</f>
        <v>9.6</v>
      </c>
      <c r="AU209">
        <f>'Kullanılan gübre'!AU209*'Gübre oranlar'!AX$2</f>
        <v>0</v>
      </c>
      <c r="AV209">
        <f>'Kullanılan gübre'!AV209*'Gübre oranlar'!AY$2</f>
        <v>0</v>
      </c>
      <c r="AW209">
        <f t="shared" si="3"/>
        <v>1102.7</v>
      </c>
    </row>
    <row r="210" spans="1:49" hidden="1" x14ac:dyDescent="0.25">
      <c r="A210" t="str">
        <f>'Kullanılan gübre'!A210</f>
        <v>BA</v>
      </c>
      <c r="B210" t="str">
        <f>'Kullanılan gübre'!B210</f>
        <v>ANTALYA</v>
      </c>
      <c r="C210" t="str">
        <f>'Kullanılan gübre'!C210</f>
        <v>DEMRE</v>
      </c>
      <c r="D210">
        <f>'Kullanılan gübre'!D210</f>
        <v>2016</v>
      </c>
      <c r="E210">
        <f>'Kullanılan gübre'!E210*'Gübre oranlar'!H$2</f>
        <v>50.61</v>
      </c>
      <c r="F210">
        <f>'Kullanılan gübre'!F210*'Gübre oranlar'!I$2</f>
        <v>6.76</v>
      </c>
      <c r="G210">
        <f>'Kullanılan gübre'!G210*'Gübre oranlar'!J$2</f>
        <v>33</v>
      </c>
      <c r="H210">
        <f>'Kullanılan gübre'!H210*'Gübre oranlar'!K$2</f>
        <v>58.42</v>
      </c>
      <c r="I210">
        <f>'Kullanılan gübre'!I210*'Gübre oranlar'!L$2</f>
        <v>0</v>
      </c>
      <c r="J210">
        <f>'Kullanılan gübre'!J210*'Gübre oranlar'!M$2</f>
        <v>16.38</v>
      </c>
      <c r="K210">
        <f>'Kullanılan gübre'!K210*'Gübre oranlar'!N$2</f>
        <v>12.4</v>
      </c>
      <c r="L210">
        <f>'Kullanılan gübre'!L210*'Gübre oranlar'!O$2</f>
        <v>0</v>
      </c>
      <c r="M210">
        <f>'Kullanılan gübre'!M210*'Gübre oranlar'!P$2</f>
        <v>4.2</v>
      </c>
      <c r="N210">
        <f>'Kullanılan gübre'!N210*'Gübre oranlar'!Q$2</f>
        <v>14.25</v>
      </c>
      <c r="O210">
        <f>'Kullanılan gübre'!O210*'Gübre oranlar'!R$2</f>
        <v>0</v>
      </c>
      <c r="P210">
        <f>'Kullanılan gübre'!P210*'Gübre oranlar'!S$2</f>
        <v>6.76</v>
      </c>
      <c r="Q210">
        <f>'Kullanılan gübre'!Q210*'Gübre oranlar'!T$2</f>
        <v>0</v>
      </c>
      <c r="R210">
        <f>'Kullanılan gübre'!R210*'Gübre oranlar'!U$2</f>
        <v>0</v>
      </c>
      <c r="S210">
        <f>'Kullanılan gübre'!S210*'Gübre oranlar'!V$2</f>
        <v>7.5949999999999998</v>
      </c>
      <c r="T210">
        <f>'Kullanılan gübre'!T210*'Gübre oranlar'!W$2</f>
        <v>0</v>
      </c>
      <c r="U210">
        <f>'Kullanılan gübre'!U210*'Gübre oranlar'!X$2</f>
        <v>2.75</v>
      </c>
      <c r="V210">
        <f>'Kullanılan gübre'!V210*'Gübre oranlar'!Y$2</f>
        <v>0</v>
      </c>
      <c r="W210">
        <f>'Kullanılan gübre'!W210*'Gübre oranlar'!Z$2</f>
        <v>0</v>
      </c>
      <c r="X210">
        <f>'Kullanılan gübre'!X210*'Gübre oranlar'!AA$2</f>
        <v>0</v>
      </c>
      <c r="Y210">
        <f>'Kullanılan gübre'!Y210*'Gübre oranlar'!AB$2</f>
        <v>0</v>
      </c>
      <c r="Z210">
        <f>'Kullanılan gübre'!Z210*'Gübre oranlar'!AC$2</f>
        <v>0</v>
      </c>
      <c r="AA210">
        <f>'Kullanılan gübre'!AA210*'Gübre oranlar'!AD$2</f>
        <v>0</v>
      </c>
      <c r="AB210">
        <f>'Kullanılan gübre'!AB210*'Gübre oranlar'!AE$2</f>
        <v>5.76</v>
      </c>
      <c r="AC210">
        <f>'Kullanılan gübre'!AC210*'Gübre oranlar'!AF$2</f>
        <v>0</v>
      </c>
      <c r="AD210">
        <f>'Kullanılan gübre'!AD210*'Gübre oranlar'!AG$2</f>
        <v>0</v>
      </c>
      <c r="AE210">
        <f>'Kullanılan gübre'!AE210*'Gübre oranlar'!AH$2</f>
        <v>0</v>
      </c>
      <c r="AF210">
        <f>'Kullanılan gübre'!AF210*'Gübre oranlar'!AI$2</f>
        <v>0</v>
      </c>
      <c r="AG210">
        <f>'Kullanılan gübre'!AG210*'Gübre oranlar'!AJ$2</f>
        <v>0</v>
      </c>
      <c r="AH210">
        <f>'Kullanılan gübre'!AH210*'Gübre oranlar'!AK$2</f>
        <v>0</v>
      </c>
      <c r="AI210">
        <f>'Kullanılan gübre'!AI210*'Gübre oranlar'!AL$2</f>
        <v>0</v>
      </c>
      <c r="AJ210">
        <f>'Kullanılan gübre'!AJ210*'Gübre oranlar'!AM$2</f>
        <v>0</v>
      </c>
      <c r="AK210">
        <f>'Kullanılan gübre'!AK210*'Gübre oranlar'!AN$2</f>
        <v>0</v>
      </c>
      <c r="AL210">
        <f>'Kullanılan gübre'!AL210*'Gübre oranlar'!AO$2</f>
        <v>0</v>
      </c>
      <c r="AM210">
        <f>'Kullanılan gübre'!AM210*'Gübre oranlar'!AP$2</f>
        <v>0</v>
      </c>
      <c r="AN210">
        <f>'Kullanılan gübre'!AN210*'Gübre oranlar'!AQ$2</f>
        <v>0</v>
      </c>
      <c r="AO210">
        <f>'Kullanılan gübre'!AO210*'Gübre oranlar'!AR$2</f>
        <v>0</v>
      </c>
      <c r="AP210">
        <f>'Kullanılan gübre'!AP210*'Gübre oranlar'!AS$2</f>
        <v>0</v>
      </c>
      <c r="AQ210">
        <f>'Kullanılan gübre'!AQ210*'Gübre oranlar'!AT$2</f>
        <v>0</v>
      </c>
      <c r="AR210">
        <f>'Kullanılan gübre'!AR210*'Gübre oranlar'!AU$2</f>
        <v>0</v>
      </c>
      <c r="AS210">
        <f>'Kullanılan gübre'!AS210*'Gübre oranlar'!AV$2</f>
        <v>0</v>
      </c>
      <c r="AT210">
        <f>'Kullanılan gübre'!AT210*'Gübre oranlar'!AW$2</f>
        <v>0</v>
      </c>
      <c r="AU210">
        <f>'Kullanılan gübre'!AU210*'Gübre oranlar'!AX$2</f>
        <v>0</v>
      </c>
      <c r="AV210">
        <f>'Kullanılan gübre'!AV210*'Gübre oranlar'!AY$2</f>
        <v>0</v>
      </c>
      <c r="AW210">
        <f t="shared" si="3"/>
        <v>218.88499999999999</v>
      </c>
    </row>
    <row r="211" spans="1:49" hidden="1" x14ac:dyDescent="0.25">
      <c r="A211" t="str">
        <f>'Kullanılan gübre'!A211</f>
        <v>BA</v>
      </c>
      <c r="B211" t="str">
        <f>'Kullanılan gübre'!B211</f>
        <v>ANTALYA</v>
      </c>
      <c r="C211" t="str">
        <f>'Kullanılan gübre'!C211</f>
        <v>KAS</v>
      </c>
      <c r="D211">
        <f>'Kullanılan gübre'!D211</f>
        <v>2016</v>
      </c>
      <c r="E211">
        <f>'Kullanılan gübre'!E211*'Gübre oranlar'!H$2</f>
        <v>20.79</v>
      </c>
      <c r="F211">
        <f>'Kullanılan gübre'!F211*'Gübre oranlar'!I$2</f>
        <v>7.54</v>
      </c>
      <c r="G211">
        <f>'Kullanılan gübre'!G211*'Gübre oranlar'!J$2</f>
        <v>42.9</v>
      </c>
      <c r="H211">
        <f>'Kullanılan gübre'!H211*'Gübre oranlar'!K$2</f>
        <v>6.9</v>
      </c>
      <c r="I211">
        <f>'Kullanılan gübre'!I211*'Gübre oranlar'!L$2</f>
        <v>0</v>
      </c>
      <c r="J211">
        <f>'Kullanılan gübre'!J211*'Gübre oranlar'!M$2</f>
        <v>1.7999999999999998</v>
      </c>
      <c r="K211">
        <f>'Kullanılan gübre'!K211*'Gübre oranlar'!N$2</f>
        <v>2</v>
      </c>
      <c r="L211">
        <f>'Kullanılan gübre'!L211*'Gübre oranlar'!O$2</f>
        <v>0</v>
      </c>
      <c r="M211">
        <f>'Kullanılan gübre'!M211*'Gübre oranlar'!P$2</f>
        <v>2.25</v>
      </c>
      <c r="N211">
        <f>'Kullanılan gübre'!N211*'Gübre oranlar'!Q$2</f>
        <v>6.8999999999999995</v>
      </c>
      <c r="O211">
        <f>'Kullanılan gübre'!O211*'Gübre oranlar'!R$2</f>
        <v>0</v>
      </c>
      <c r="P211">
        <f>'Kullanılan gübre'!P211*'Gübre oranlar'!S$2</f>
        <v>12.870000000000001</v>
      </c>
      <c r="Q211">
        <f>'Kullanılan gübre'!Q211*'Gübre oranlar'!T$2</f>
        <v>0</v>
      </c>
      <c r="R211">
        <f>'Kullanılan gübre'!R211*'Gübre oranlar'!U$2</f>
        <v>0</v>
      </c>
      <c r="S211">
        <f>'Kullanılan gübre'!S211*'Gübre oranlar'!V$2</f>
        <v>5.7350000000000003</v>
      </c>
      <c r="T211">
        <f>'Kullanılan gübre'!T211*'Gübre oranlar'!W$2</f>
        <v>0</v>
      </c>
      <c r="U211">
        <f>'Kullanılan gübre'!U211*'Gübre oranlar'!X$2</f>
        <v>20.5</v>
      </c>
      <c r="V211">
        <f>'Kullanılan gübre'!V211*'Gübre oranlar'!Y$2</f>
        <v>0</v>
      </c>
      <c r="W211">
        <f>'Kullanılan gübre'!W211*'Gübre oranlar'!Z$2</f>
        <v>0</v>
      </c>
      <c r="X211">
        <f>'Kullanılan gübre'!X211*'Gübre oranlar'!AA$2</f>
        <v>3.5</v>
      </c>
      <c r="Y211">
        <f>'Kullanılan gübre'!Y211*'Gübre oranlar'!AB$2</f>
        <v>0</v>
      </c>
      <c r="Z211">
        <f>'Kullanılan gübre'!Z211*'Gübre oranlar'!AC$2</f>
        <v>0</v>
      </c>
      <c r="AA211">
        <f>'Kullanılan gübre'!AA211*'Gübre oranlar'!AD$2</f>
        <v>0</v>
      </c>
      <c r="AB211">
        <f>'Kullanılan gübre'!AB211*'Gübre oranlar'!AE$2</f>
        <v>0</v>
      </c>
      <c r="AC211">
        <f>'Kullanılan gübre'!AC211*'Gübre oranlar'!AF$2</f>
        <v>0</v>
      </c>
      <c r="AD211">
        <f>'Kullanılan gübre'!AD211*'Gübre oranlar'!AG$2</f>
        <v>0</v>
      </c>
      <c r="AE211">
        <f>'Kullanılan gübre'!AE211*'Gübre oranlar'!AH$2</f>
        <v>0</v>
      </c>
      <c r="AF211">
        <f>'Kullanılan gübre'!AF211*'Gübre oranlar'!AI$2</f>
        <v>0</v>
      </c>
      <c r="AG211">
        <f>'Kullanılan gübre'!AG211*'Gübre oranlar'!AJ$2</f>
        <v>0</v>
      </c>
      <c r="AH211">
        <f>'Kullanılan gübre'!AH211*'Gübre oranlar'!AK$2</f>
        <v>0</v>
      </c>
      <c r="AI211">
        <f>'Kullanılan gübre'!AI211*'Gübre oranlar'!AL$2</f>
        <v>0</v>
      </c>
      <c r="AJ211">
        <f>'Kullanılan gübre'!AJ211*'Gübre oranlar'!AM$2</f>
        <v>0</v>
      </c>
      <c r="AK211">
        <f>'Kullanılan gübre'!AK211*'Gübre oranlar'!AN$2</f>
        <v>0</v>
      </c>
      <c r="AL211">
        <f>'Kullanılan gübre'!AL211*'Gübre oranlar'!AO$2</f>
        <v>0</v>
      </c>
      <c r="AM211">
        <f>'Kullanılan gübre'!AM211*'Gübre oranlar'!AP$2</f>
        <v>0</v>
      </c>
      <c r="AN211">
        <f>'Kullanılan gübre'!AN211*'Gübre oranlar'!AQ$2</f>
        <v>0</v>
      </c>
      <c r="AO211">
        <f>'Kullanılan gübre'!AO211*'Gübre oranlar'!AR$2</f>
        <v>0</v>
      </c>
      <c r="AP211">
        <f>'Kullanılan gübre'!AP211*'Gübre oranlar'!AS$2</f>
        <v>0</v>
      </c>
      <c r="AQ211">
        <f>'Kullanılan gübre'!AQ211*'Gübre oranlar'!AT$2</f>
        <v>0</v>
      </c>
      <c r="AR211">
        <f>'Kullanılan gübre'!AR211*'Gübre oranlar'!AU$2</f>
        <v>0</v>
      </c>
      <c r="AS211">
        <f>'Kullanılan gübre'!AS211*'Gübre oranlar'!AV$2</f>
        <v>4.42</v>
      </c>
      <c r="AT211">
        <f>'Kullanılan gübre'!AT211*'Gübre oranlar'!AW$2</f>
        <v>0.48</v>
      </c>
      <c r="AU211">
        <f>'Kullanılan gübre'!AU211*'Gübre oranlar'!AX$2</f>
        <v>0</v>
      </c>
      <c r="AV211">
        <f>'Kullanılan gübre'!AV211*'Gübre oranlar'!AY$2</f>
        <v>0</v>
      </c>
      <c r="AW211">
        <f t="shared" si="3"/>
        <v>138.58499999999998</v>
      </c>
    </row>
    <row r="212" spans="1:49" hidden="1" x14ac:dyDescent="0.25">
      <c r="A212" t="str">
        <f>'Kullanılan gübre'!A212</f>
        <v>BA</v>
      </c>
      <c r="B212" t="str">
        <f>'Kullanılan gübre'!B212</f>
        <v>ANTALYA</v>
      </c>
      <c r="C212" t="str">
        <f>'Kullanılan gübre'!C212</f>
        <v>KORKUTELI</v>
      </c>
      <c r="D212">
        <f>'Kullanılan gübre'!D212</f>
        <v>2016</v>
      </c>
      <c r="E212">
        <f>'Kullanılan gübre'!E212*'Gübre oranlar'!H$2</f>
        <v>245.28</v>
      </c>
      <c r="F212">
        <f>'Kullanılan gübre'!F212*'Gübre oranlar'!I$2</f>
        <v>212.42000000000002</v>
      </c>
      <c r="G212">
        <f>'Kullanılan gübre'!G212*'Gübre oranlar'!J$2</f>
        <v>589.05000000000007</v>
      </c>
      <c r="H212">
        <f>'Kullanılan gübre'!H212*'Gübre oranlar'!K$2</f>
        <v>440.22</v>
      </c>
      <c r="I212">
        <f>'Kullanılan gübre'!I212*'Gübre oranlar'!L$2</f>
        <v>0</v>
      </c>
      <c r="J212">
        <f>'Kullanılan gübre'!J212*'Gübre oranlar'!M$2</f>
        <v>147.06</v>
      </c>
      <c r="K212">
        <f>'Kullanılan gübre'!K212*'Gübre oranlar'!N$2</f>
        <v>1037.8</v>
      </c>
      <c r="L212">
        <f>'Kullanılan gübre'!L212*'Gübre oranlar'!O$2</f>
        <v>39.6</v>
      </c>
      <c r="M212">
        <f>'Kullanılan gübre'!M212*'Gübre oranlar'!P$2</f>
        <v>96.75</v>
      </c>
      <c r="N212">
        <f>'Kullanılan gübre'!N212*'Gübre oranlar'!Q$2</f>
        <v>123.3</v>
      </c>
      <c r="O212">
        <f>'Kullanılan gübre'!O212*'Gübre oranlar'!R$2</f>
        <v>0</v>
      </c>
      <c r="P212">
        <f>'Kullanılan gübre'!P212*'Gübre oranlar'!S$2</f>
        <v>5.98</v>
      </c>
      <c r="Q212">
        <f>'Kullanılan gübre'!Q212*'Gübre oranlar'!T$2</f>
        <v>0</v>
      </c>
      <c r="R212">
        <f>'Kullanılan gübre'!R212*'Gübre oranlar'!U$2</f>
        <v>0</v>
      </c>
      <c r="S212">
        <f>'Kullanılan gübre'!S212*'Gübre oranlar'!V$2</f>
        <v>15.654999999999999</v>
      </c>
      <c r="T212">
        <f>'Kullanılan gübre'!T212*'Gübre oranlar'!W$2</f>
        <v>0</v>
      </c>
      <c r="U212">
        <f>'Kullanılan gübre'!U212*'Gübre oranlar'!X$2</f>
        <v>103.5</v>
      </c>
      <c r="V212">
        <f>'Kullanılan gübre'!V212*'Gübre oranlar'!Y$2</f>
        <v>0</v>
      </c>
      <c r="W212">
        <f>'Kullanılan gübre'!W212*'Gübre oranlar'!Z$2</f>
        <v>0</v>
      </c>
      <c r="X212">
        <f>'Kullanılan gübre'!X212*'Gübre oranlar'!AA$2</f>
        <v>3.2</v>
      </c>
      <c r="Y212">
        <f>'Kullanılan gübre'!Y212*'Gübre oranlar'!AB$2</f>
        <v>0</v>
      </c>
      <c r="Z212">
        <f>'Kullanılan gübre'!Z212*'Gübre oranlar'!AC$2</f>
        <v>0</v>
      </c>
      <c r="AA212">
        <f>'Kullanılan gübre'!AA212*'Gübre oranlar'!AD$2</f>
        <v>0</v>
      </c>
      <c r="AB212">
        <f>'Kullanılan gübre'!AB212*'Gübre oranlar'!AE$2</f>
        <v>3.2399999999999998</v>
      </c>
      <c r="AC212">
        <f>'Kullanılan gübre'!AC212*'Gübre oranlar'!AF$2</f>
        <v>0</v>
      </c>
      <c r="AD212">
        <f>'Kullanılan gübre'!AD212*'Gübre oranlar'!AG$2</f>
        <v>0</v>
      </c>
      <c r="AE212">
        <f>'Kullanılan gübre'!AE212*'Gübre oranlar'!AH$2</f>
        <v>2.8000000000000003</v>
      </c>
      <c r="AF212">
        <f>'Kullanılan gübre'!AF212*'Gübre oranlar'!AI$2</f>
        <v>0</v>
      </c>
      <c r="AG212">
        <f>'Kullanılan gübre'!AG212*'Gübre oranlar'!AJ$2</f>
        <v>0</v>
      </c>
      <c r="AH212">
        <f>'Kullanılan gübre'!AH212*'Gübre oranlar'!AK$2</f>
        <v>127.4</v>
      </c>
      <c r="AI212">
        <f>'Kullanılan gübre'!AI212*'Gübre oranlar'!AL$2</f>
        <v>0</v>
      </c>
      <c r="AJ212">
        <f>'Kullanılan gübre'!AJ212*'Gübre oranlar'!AM$2</f>
        <v>0</v>
      </c>
      <c r="AK212">
        <f>'Kullanılan gübre'!AK212*'Gübre oranlar'!AN$2</f>
        <v>0</v>
      </c>
      <c r="AL212">
        <f>'Kullanılan gübre'!AL212*'Gübre oranlar'!AO$2</f>
        <v>0</v>
      </c>
      <c r="AM212">
        <f>'Kullanılan gübre'!AM212*'Gübre oranlar'!AP$2</f>
        <v>0</v>
      </c>
      <c r="AN212">
        <f>'Kullanılan gübre'!AN212*'Gübre oranlar'!AQ$2</f>
        <v>0</v>
      </c>
      <c r="AO212">
        <f>'Kullanılan gübre'!AO212*'Gübre oranlar'!AR$2</f>
        <v>0</v>
      </c>
      <c r="AP212">
        <f>'Kullanılan gübre'!AP212*'Gübre oranlar'!AS$2</f>
        <v>0</v>
      </c>
      <c r="AQ212">
        <f>'Kullanılan gübre'!AQ212*'Gübre oranlar'!AT$2</f>
        <v>0</v>
      </c>
      <c r="AR212">
        <f>'Kullanılan gübre'!AR212*'Gübre oranlar'!AU$2</f>
        <v>0</v>
      </c>
      <c r="AS212">
        <f>'Kullanılan gübre'!AS212*'Gübre oranlar'!AV$2</f>
        <v>21.580000000000002</v>
      </c>
      <c r="AT212">
        <f>'Kullanılan gübre'!AT212*'Gübre oranlar'!AW$2</f>
        <v>8.9600000000000009</v>
      </c>
      <c r="AU212">
        <f>'Kullanılan gübre'!AU212*'Gübre oranlar'!AX$2</f>
        <v>0</v>
      </c>
      <c r="AV212">
        <f>'Kullanılan gübre'!AV212*'Gübre oranlar'!AY$2</f>
        <v>0</v>
      </c>
      <c r="AW212">
        <f t="shared" si="3"/>
        <v>3223.7950000000001</v>
      </c>
    </row>
    <row r="213" spans="1:49" hidden="1" x14ac:dyDescent="0.25">
      <c r="A213" t="str">
        <f>'Kullanılan gübre'!A213</f>
        <v>BA</v>
      </c>
      <c r="B213" t="str">
        <f>'Kullanılan gübre'!B213</f>
        <v>ANTALYA</v>
      </c>
      <c r="C213" t="str">
        <f>'Kullanılan gübre'!C213</f>
        <v>ELMALI</v>
      </c>
      <c r="D213">
        <f>'Kullanılan gübre'!D213</f>
        <v>2016</v>
      </c>
      <c r="E213">
        <f>'Kullanılan gübre'!E213*'Gübre oranlar'!H$2</f>
        <v>162.12</v>
      </c>
      <c r="F213">
        <f>'Kullanılan gübre'!F213*'Gübre oranlar'!I$2</f>
        <v>82.16</v>
      </c>
      <c r="G213">
        <f>'Kullanılan gübre'!G213*'Gübre oranlar'!J$2</f>
        <v>391.38</v>
      </c>
      <c r="H213">
        <f>'Kullanılan gübre'!H213*'Gübre oranlar'!K$2</f>
        <v>738.76</v>
      </c>
      <c r="I213">
        <f>'Kullanılan gübre'!I213*'Gübre oranlar'!L$2</f>
        <v>0</v>
      </c>
      <c r="J213">
        <f>'Kullanılan gübre'!J213*'Gübre oranlar'!M$2</f>
        <v>16.38</v>
      </c>
      <c r="K213">
        <f>'Kullanılan gübre'!K213*'Gübre oranlar'!N$2</f>
        <v>248</v>
      </c>
      <c r="L213">
        <f>'Kullanılan gübre'!L213*'Gübre oranlar'!O$2</f>
        <v>31.6</v>
      </c>
      <c r="M213">
        <f>'Kullanılan gübre'!M213*'Gübre oranlar'!P$2</f>
        <v>106.64999999999999</v>
      </c>
      <c r="N213">
        <f>'Kullanılan gübre'!N213*'Gübre oranlar'!Q$2</f>
        <v>100.64999999999999</v>
      </c>
      <c r="O213">
        <f>'Kullanılan gübre'!O213*'Gübre oranlar'!R$2</f>
        <v>0</v>
      </c>
      <c r="P213">
        <f>'Kullanılan gübre'!P213*'Gübre oranlar'!S$2</f>
        <v>12.48</v>
      </c>
      <c r="Q213">
        <f>'Kullanılan gübre'!Q213*'Gübre oranlar'!T$2</f>
        <v>85.44</v>
      </c>
      <c r="R213">
        <f>'Kullanılan gübre'!R213*'Gübre oranlar'!U$2</f>
        <v>0</v>
      </c>
      <c r="S213">
        <f>'Kullanılan gübre'!S213*'Gübre oranlar'!V$2</f>
        <v>9.1449999999999996</v>
      </c>
      <c r="T213">
        <f>'Kullanılan gübre'!T213*'Gübre oranlar'!W$2</f>
        <v>0</v>
      </c>
      <c r="U213">
        <f>'Kullanılan gübre'!U213*'Gübre oranlar'!X$2</f>
        <v>5.5</v>
      </c>
      <c r="V213">
        <f>'Kullanılan gübre'!V213*'Gübre oranlar'!Y$2</f>
        <v>0</v>
      </c>
      <c r="W213">
        <f>'Kullanılan gübre'!W213*'Gübre oranlar'!Z$2</f>
        <v>0</v>
      </c>
      <c r="X213">
        <f>'Kullanılan gübre'!X213*'Gübre oranlar'!AA$2</f>
        <v>8.4</v>
      </c>
      <c r="Y213">
        <f>'Kullanılan gübre'!Y213*'Gübre oranlar'!AB$2</f>
        <v>0</v>
      </c>
      <c r="Z213">
        <f>'Kullanılan gübre'!Z213*'Gübre oranlar'!AC$2</f>
        <v>0</v>
      </c>
      <c r="AA213">
        <f>'Kullanılan gübre'!AA213*'Gübre oranlar'!AD$2</f>
        <v>0</v>
      </c>
      <c r="AB213">
        <f>'Kullanılan gübre'!AB213*'Gübre oranlar'!AE$2</f>
        <v>7.68</v>
      </c>
      <c r="AC213">
        <f>'Kullanılan gübre'!AC213*'Gübre oranlar'!AF$2</f>
        <v>0</v>
      </c>
      <c r="AD213">
        <f>'Kullanılan gübre'!AD213*'Gübre oranlar'!AG$2</f>
        <v>0</v>
      </c>
      <c r="AE213">
        <f>'Kullanılan gübre'!AE213*'Gübre oranlar'!AH$2</f>
        <v>1.6</v>
      </c>
      <c r="AF213">
        <f>'Kullanılan gübre'!AF213*'Gübre oranlar'!AI$2</f>
        <v>0</v>
      </c>
      <c r="AG213">
        <f>'Kullanılan gübre'!AG213*'Gübre oranlar'!AJ$2</f>
        <v>0</v>
      </c>
      <c r="AH213">
        <f>'Kullanılan gübre'!AH213*'Gübre oranlar'!AK$2</f>
        <v>3</v>
      </c>
      <c r="AI213">
        <f>'Kullanılan gübre'!AI213*'Gübre oranlar'!AL$2</f>
        <v>0</v>
      </c>
      <c r="AJ213">
        <f>'Kullanılan gübre'!AJ213*'Gübre oranlar'!AM$2</f>
        <v>0</v>
      </c>
      <c r="AK213">
        <f>'Kullanılan gübre'!AK213*'Gübre oranlar'!AN$2</f>
        <v>0</v>
      </c>
      <c r="AL213">
        <f>'Kullanılan gübre'!AL213*'Gübre oranlar'!AO$2</f>
        <v>0</v>
      </c>
      <c r="AM213">
        <f>'Kullanılan gübre'!AM213*'Gübre oranlar'!AP$2</f>
        <v>0</v>
      </c>
      <c r="AN213">
        <f>'Kullanılan gübre'!AN213*'Gübre oranlar'!AQ$2</f>
        <v>0</v>
      </c>
      <c r="AO213">
        <f>'Kullanılan gübre'!AO213*'Gübre oranlar'!AR$2</f>
        <v>0</v>
      </c>
      <c r="AP213">
        <f>'Kullanılan gübre'!AP213*'Gübre oranlar'!AS$2</f>
        <v>0</v>
      </c>
      <c r="AQ213">
        <f>'Kullanılan gübre'!AQ213*'Gübre oranlar'!AT$2</f>
        <v>0</v>
      </c>
      <c r="AR213">
        <f>'Kullanılan gübre'!AR213*'Gübre oranlar'!AU$2</f>
        <v>0</v>
      </c>
      <c r="AS213">
        <f>'Kullanılan gübre'!AS213*'Gübre oranlar'!AV$2</f>
        <v>19.37</v>
      </c>
      <c r="AT213">
        <f>'Kullanılan gübre'!AT213*'Gübre oranlar'!AW$2</f>
        <v>0</v>
      </c>
      <c r="AU213">
        <f>'Kullanılan gübre'!AU213*'Gübre oranlar'!AX$2</f>
        <v>0</v>
      </c>
      <c r="AV213">
        <f>'Kullanılan gübre'!AV213*'Gübre oranlar'!AY$2</f>
        <v>0</v>
      </c>
      <c r="AW213">
        <f t="shared" si="3"/>
        <v>2030.3150000000003</v>
      </c>
    </row>
    <row r="214" spans="1:49" hidden="1" x14ac:dyDescent="0.25">
      <c r="A214" t="str">
        <f>'Kullanılan gübre'!A214</f>
        <v>BA</v>
      </c>
      <c r="B214" t="str">
        <f>'Kullanılan gübre'!B214</f>
        <v>ANTALYA</v>
      </c>
      <c r="C214" t="str">
        <f>'Kullanılan gübre'!C214</f>
        <v>KEMER</v>
      </c>
      <c r="D214">
        <f>'Kullanılan gübre'!D214</f>
        <v>2017</v>
      </c>
      <c r="E214">
        <f>'Kullanılan gübre'!E214*'Gübre oranlar'!H$2</f>
        <v>14.49</v>
      </c>
      <c r="F214">
        <f>'Kullanılan gübre'!F214*'Gübre oranlar'!I$2</f>
        <v>0</v>
      </c>
      <c r="G214">
        <f>'Kullanılan gübre'!G214*'Gübre oranlar'!J$2</f>
        <v>0</v>
      </c>
      <c r="H214">
        <f>'Kullanılan gübre'!H214*'Gübre oranlar'!K$2</f>
        <v>16.560000000000002</v>
      </c>
      <c r="I214">
        <f>'Kullanılan gübre'!I214*'Gübre oranlar'!L$2</f>
        <v>0</v>
      </c>
      <c r="J214">
        <f>'Kullanılan gübre'!J214*'Gübre oranlar'!M$2</f>
        <v>2.88</v>
      </c>
      <c r="K214">
        <f>'Kullanılan gübre'!K214*'Gübre oranlar'!N$2</f>
        <v>6.6000000000000005</v>
      </c>
      <c r="L214">
        <f>'Kullanılan gübre'!L214*'Gübre oranlar'!O$2</f>
        <v>0</v>
      </c>
      <c r="M214">
        <f>'Kullanılan gübre'!M214*'Gübre oranlar'!P$2</f>
        <v>0</v>
      </c>
      <c r="N214">
        <f>'Kullanılan gübre'!N214*'Gübre oranlar'!Q$2</f>
        <v>17.099999999999998</v>
      </c>
      <c r="O214">
        <f>'Kullanılan gübre'!O214*'Gübre oranlar'!R$2</f>
        <v>0</v>
      </c>
      <c r="P214">
        <f>'Kullanılan gübre'!P214*'Gübre oranlar'!S$2</f>
        <v>0.13</v>
      </c>
      <c r="Q214">
        <f>'Kullanılan gübre'!Q214*'Gübre oranlar'!T$2</f>
        <v>0</v>
      </c>
      <c r="R214">
        <f>'Kullanılan gübre'!R214*'Gübre oranlar'!U$2</f>
        <v>0</v>
      </c>
      <c r="S214">
        <f>'Kullanılan gübre'!S214*'Gübre oranlar'!V$2</f>
        <v>0</v>
      </c>
      <c r="T214">
        <f>'Kullanılan gübre'!T214*'Gübre oranlar'!W$2</f>
        <v>0</v>
      </c>
      <c r="U214">
        <f>'Kullanılan gübre'!U214*'Gübre oranlar'!X$2</f>
        <v>0</v>
      </c>
      <c r="V214">
        <f>'Kullanılan gübre'!V214*'Gübre oranlar'!Y$2</f>
        <v>0</v>
      </c>
      <c r="W214">
        <f>'Kullanılan gübre'!W214*'Gübre oranlar'!Z$2</f>
        <v>0</v>
      </c>
      <c r="X214">
        <f>'Kullanılan gübre'!X214*'Gübre oranlar'!AA$2</f>
        <v>0</v>
      </c>
      <c r="Y214">
        <f>'Kullanılan gübre'!Y214*'Gübre oranlar'!AB$2</f>
        <v>0</v>
      </c>
      <c r="Z214">
        <f>'Kullanılan gübre'!Z214*'Gübre oranlar'!AC$2</f>
        <v>0</v>
      </c>
      <c r="AA214">
        <f>'Kullanılan gübre'!AA214*'Gübre oranlar'!AD$2</f>
        <v>0</v>
      </c>
      <c r="AB214">
        <f>'Kullanılan gübre'!AB214*'Gübre oranlar'!AE$2</f>
        <v>0</v>
      </c>
      <c r="AC214">
        <f>'Kullanılan gübre'!AC214*'Gübre oranlar'!AF$2</f>
        <v>0</v>
      </c>
      <c r="AD214">
        <f>'Kullanılan gübre'!AD214*'Gübre oranlar'!AG$2</f>
        <v>0</v>
      </c>
      <c r="AE214">
        <f>'Kullanılan gübre'!AE214*'Gübre oranlar'!AH$2</f>
        <v>0</v>
      </c>
      <c r="AF214">
        <f>'Kullanılan gübre'!AF214*'Gübre oranlar'!AI$2</f>
        <v>0</v>
      </c>
      <c r="AG214">
        <f>'Kullanılan gübre'!AG214*'Gübre oranlar'!AJ$2</f>
        <v>0</v>
      </c>
      <c r="AH214">
        <f>'Kullanılan gübre'!AH214*'Gübre oranlar'!AK$2</f>
        <v>0</v>
      </c>
      <c r="AI214">
        <f>'Kullanılan gübre'!AI214*'Gübre oranlar'!AL$2</f>
        <v>0</v>
      </c>
      <c r="AJ214">
        <f>'Kullanılan gübre'!AJ214*'Gübre oranlar'!AM$2</f>
        <v>0</v>
      </c>
      <c r="AK214">
        <f>'Kullanılan gübre'!AK214*'Gübre oranlar'!AN$2</f>
        <v>0</v>
      </c>
      <c r="AL214">
        <f>'Kullanılan gübre'!AL214*'Gübre oranlar'!AO$2</f>
        <v>0</v>
      </c>
      <c r="AM214">
        <f>'Kullanılan gübre'!AM214*'Gübre oranlar'!AP$2</f>
        <v>0</v>
      </c>
      <c r="AN214">
        <f>'Kullanılan gübre'!AN214*'Gübre oranlar'!AQ$2</f>
        <v>0</v>
      </c>
      <c r="AO214">
        <f>'Kullanılan gübre'!AO214*'Gübre oranlar'!AR$2</f>
        <v>0</v>
      </c>
      <c r="AP214">
        <f>'Kullanılan gübre'!AP214*'Gübre oranlar'!AS$2</f>
        <v>0</v>
      </c>
      <c r="AQ214">
        <f>'Kullanılan gübre'!AQ214*'Gübre oranlar'!AT$2</f>
        <v>0</v>
      </c>
      <c r="AR214">
        <f>'Kullanılan gübre'!AR214*'Gübre oranlar'!AU$2</f>
        <v>0</v>
      </c>
      <c r="AS214">
        <f>'Kullanılan gübre'!AS214*'Gübre oranlar'!AV$2</f>
        <v>0</v>
      </c>
      <c r="AT214">
        <f>'Kullanılan gübre'!AT214*'Gübre oranlar'!AW$2</f>
        <v>0</v>
      </c>
      <c r="AU214">
        <f>'Kullanılan gübre'!AU214*'Gübre oranlar'!AX$2</f>
        <v>0</v>
      </c>
      <c r="AV214">
        <f>'Kullanılan gübre'!AV214*'Gübre oranlar'!AY$2</f>
        <v>0</v>
      </c>
      <c r="AW214">
        <f t="shared" si="3"/>
        <v>57.760000000000012</v>
      </c>
    </row>
    <row r="215" spans="1:49" hidden="1" x14ac:dyDescent="0.25">
      <c r="A215" t="str">
        <f>'Kullanılan gübre'!A215</f>
        <v>BA</v>
      </c>
      <c r="B215" t="str">
        <f>'Kullanılan gübre'!B215</f>
        <v>ANTALYA</v>
      </c>
      <c r="C215" t="str">
        <f>'Kullanılan gübre'!C215</f>
        <v>KUMLUCA</v>
      </c>
      <c r="D215">
        <f>'Kullanılan gübre'!D215</f>
        <v>2017</v>
      </c>
      <c r="E215">
        <f>'Kullanılan gübre'!E215*'Gübre oranlar'!H$2</f>
        <v>367.08</v>
      </c>
      <c r="F215">
        <f>'Kullanılan gübre'!F215*'Gübre oranlar'!I$2</f>
        <v>7.28</v>
      </c>
      <c r="G215">
        <f>'Kullanılan gübre'!G215*'Gübre oranlar'!J$2</f>
        <v>9.24</v>
      </c>
      <c r="H215">
        <f>'Kullanılan gübre'!H215*'Gübre oranlar'!K$2</f>
        <v>262.2</v>
      </c>
      <c r="I215">
        <f>'Kullanılan gübre'!I215*'Gübre oranlar'!L$2</f>
        <v>0</v>
      </c>
      <c r="J215">
        <f>'Kullanılan gübre'!J215*'Gübre oranlar'!M$2</f>
        <v>75.06</v>
      </c>
      <c r="K215">
        <f>'Kullanılan gübre'!K215*'Gübre oranlar'!N$2</f>
        <v>30.6</v>
      </c>
      <c r="L215">
        <f>'Kullanılan gübre'!L215*'Gübre oranlar'!O$2</f>
        <v>0</v>
      </c>
      <c r="M215">
        <f>'Kullanılan gübre'!M215*'Gübre oranlar'!P$2</f>
        <v>281.55</v>
      </c>
      <c r="N215">
        <f>'Kullanılan gübre'!N215*'Gübre oranlar'!Q$2</f>
        <v>47.55</v>
      </c>
      <c r="O215">
        <f>'Kullanılan gübre'!O215*'Gübre oranlar'!R$2</f>
        <v>0</v>
      </c>
      <c r="P215">
        <f>'Kullanılan gübre'!P215*'Gübre oranlar'!S$2</f>
        <v>15.860000000000001</v>
      </c>
      <c r="Q215">
        <f>'Kullanılan gübre'!Q215*'Gübre oranlar'!T$2</f>
        <v>26.04</v>
      </c>
      <c r="R215">
        <f>'Kullanılan gübre'!R215*'Gübre oranlar'!U$2</f>
        <v>0</v>
      </c>
      <c r="S215">
        <f>'Kullanılan gübre'!S215*'Gübre oranlar'!V$2</f>
        <v>55.8</v>
      </c>
      <c r="T215">
        <f>'Kullanılan gübre'!T215*'Gübre oranlar'!W$2</f>
        <v>0</v>
      </c>
      <c r="U215">
        <f>'Kullanılan gübre'!U215*'Gübre oranlar'!X$2</f>
        <v>317.75</v>
      </c>
      <c r="V215">
        <f>'Kullanılan gübre'!V215*'Gübre oranlar'!Y$2</f>
        <v>0</v>
      </c>
      <c r="W215">
        <f>'Kullanılan gübre'!W215*'Gübre oranlar'!Z$2</f>
        <v>47.699999999999996</v>
      </c>
      <c r="X215">
        <f>'Kullanılan gübre'!X215*'Gübre oranlar'!AA$2</f>
        <v>0</v>
      </c>
      <c r="Y215">
        <f>'Kullanılan gübre'!Y215*'Gübre oranlar'!AB$2</f>
        <v>0</v>
      </c>
      <c r="Z215">
        <f>'Kullanılan gübre'!Z215*'Gübre oranlar'!AC$2</f>
        <v>0</v>
      </c>
      <c r="AA215">
        <f>'Kullanılan gübre'!AA215*'Gübre oranlar'!AD$2</f>
        <v>0</v>
      </c>
      <c r="AB215">
        <f>'Kullanılan gübre'!AB215*'Gübre oranlar'!AE$2</f>
        <v>26.16</v>
      </c>
      <c r="AC215">
        <f>'Kullanılan gübre'!AC215*'Gübre oranlar'!AF$2</f>
        <v>0</v>
      </c>
      <c r="AD215">
        <f>'Kullanılan gübre'!AD215*'Gübre oranlar'!AG$2</f>
        <v>0</v>
      </c>
      <c r="AE215">
        <f>'Kullanılan gübre'!AE215*'Gübre oranlar'!AH$2</f>
        <v>3.6</v>
      </c>
      <c r="AF215">
        <f>'Kullanılan gübre'!AF215*'Gübre oranlar'!AI$2</f>
        <v>0</v>
      </c>
      <c r="AG215">
        <f>'Kullanılan gübre'!AG215*'Gübre oranlar'!AJ$2</f>
        <v>0</v>
      </c>
      <c r="AH215">
        <f>'Kullanılan gübre'!AH215*'Gübre oranlar'!AK$2</f>
        <v>45.6</v>
      </c>
      <c r="AI215">
        <f>'Kullanılan gübre'!AI215*'Gübre oranlar'!AL$2</f>
        <v>164.8</v>
      </c>
      <c r="AJ215">
        <f>'Kullanılan gübre'!AJ215*'Gübre oranlar'!AM$2</f>
        <v>13.95</v>
      </c>
      <c r="AK215">
        <f>'Kullanılan gübre'!AK215*'Gübre oranlar'!AN$2</f>
        <v>0</v>
      </c>
      <c r="AL215">
        <f>'Kullanılan gübre'!AL215*'Gübre oranlar'!AO$2</f>
        <v>0</v>
      </c>
      <c r="AM215">
        <f>'Kullanılan gübre'!AM215*'Gübre oranlar'!AP$2</f>
        <v>0</v>
      </c>
      <c r="AN215">
        <f>'Kullanılan gübre'!AN215*'Gübre oranlar'!AQ$2</f>
        <v>0</v>
      </c>
      <c r="AO215">
        <f>'Kullanılan gübre'!AO215*'Gübre oranlar'!AR$2</f>
        <v>0</v>
      </c>
      <c r="AP215">
        <f>'Kullanılan gübre'!AP215*'Gübre oranlar'!AS$2</f>
        <v>0</v>
      </c>
      <c r="AQ215">
        <f>'Kullanılan gübre'!AQ215*'Gübre oranlar'!AT$2</f>
        <v>0</v>
      </c>
      <c r="AR215">
        <f>'Kullanılan gübre'!AR215*'Gübre oranlar'!AU$2</f>
        <v>0</v>
      </c>
      <c r="AS215">
        <f>'Kullanılan gübre'!AS215*'Gübre oranlar'!AV$2</f>
        <v>0</v>
      </c>
      <c r="AT215">
        <f>'Kullanılan gübre'!AT215*'Gübre oranlar'!AW$2</f>
        <v>0</v>
      </c>
      <c r="AU215">
        <f>'Kullanılan gübre'!AU215*'Gübre oranlar'!AX$2</f>
        <v>0</v>
      </c>
      <c r="AV215">
        <f>'Kullanılan gübre'!AV215*'Gübre oranlar'!AY$2</f>
        <v>0</v>
      </c>
      <c r="AW215">
        <f t="shared" si="3"/>
        <v>1797.8199999999997</v>
      </c>
    </row>
    <row r="216" spans="1:49" hidden="1" x14ac:dyDescent="0.25">
      <c r="A216" t="str">
        <f>'Kullanılan gübre'!A216</f>
        <v>BA</v>
      </c>
      <c r="B216" t="str">
        <f>'Kullanılan gübre'!B216</f>
        <v>ANTALYA</v>
      </c>
      <c r="C216" t="str">
        <f>'Kullanılan gübre'!C216</f>
        <v>FINIKE</v>
      </c>
      <c r="D216">
        <f>'Kullanılan gübre'!D216</f>
        <v>2017</v>
      </c>
      <c r="E216">
        <f>'Kullanılan gübre'!E216*'Gübre oranlar'!H$2</f>
        <v>91.14</v>
      </c>
      <c r="F216">
        <f>'Kullanılan gübre'!F216*'Gübre oranlar'!I$2</f>
        <v>8.84</v>
      </c>
      <c r="G216">
        <f>'Kullanılan gübre'!G216*'Gübre oranlar'!J$2</f>
        <v>0</v>
      </c>
      <c r="H216">
        <f>'Kullanılan gübre'!H216*'Gübre oranlar'!K$2</f>
        <v>99.820000000000007</v>
      </c>
      <c r="I216">
        <f>'Kullanılan gübre'!I216*'Gübre oranlar'!L$2</f>
        <v>0</v>
      </c>
      <c r="J216">
        <f>'Kullanılan gübre'!J216*'Gübre oranlar'!M$2</f>
        <v>19.8</v>
      </c>
      <c r="K216">
        <f>'Kullanılan gübre'!K216*'Gübre oranlar'!N$2</f>
        <v>10.200000000000001</v>
      </c>
      <c r="L216">
        <f>'Kullanılan gübre'!L216*'Gübre oranlar'!O$2</f>
        <v>0</v>
      </c>
      <c r="M216">
        <f>'Kullanılan gübre'!M216*'Gübre oranlar'!P$2</f>
        <v>28.5</v>
      </c>
      <c r="N216">
        <f>'Kullanılan gübre'!N216*'Gübre oranlar'!Q$2</f>
        <v>75.899999999999991</v>
      </c>
      <c r="O216">
        <f>'Kullanılan gübre'!O216*'Gübre oranlar'!R$2</f>
        <v>0</v>
      </c>
      <c r="P216">
        <f>'Kullanılan gübre'!P216*'Gübre oranlar'!S$2</f>
        <v>8.84</v>
      </c>
      <c r="Q216">
        <f>'Kullanılan gübre'!Q216*'Gübre oranlar'!T$2</f>
        <v>19.439999999999998</v>
      </c>
      <c r="R216">
        <f>'Kullanılan gübre'!R216*'Gübre oranlar'!U$2</f>
        <v>0</v>
      </c>
      <c r="S216">
        <f>'Kullanılan gübre'!S216*'Gübre oranlar'!V$2</f>
        <v>7.5949999999999998</v>
      </c>
      <c r="T216">
        <f>'Kullanılan gübre'!T216*'Gübre oranlar'!W$2</f>
        <v>0</v>
      </c>
      <c r="U216">
        <f>'Kullanılan gübre'!U216*'Gübre oranlar'!X$2</f>
        <v>100.5</v>
      </c>
      <c r="V216">
        <f>'Kullanılan gübre'!V216*'Gübre oranlar'!Y$2</f>
        <v>0</v>
      </c>
      <c r="W216">
        <f>'Kullanılan gübre'!W216*'Gübre oranlar'!Z$2</f>
        <v>75.239999999999995</v>
      </c>
      <c r="X216">
        <f>'Kullanılan gübre'!X216*'Gübre oranlar'!AA$2</f>
        <v>0</v>
      </c>
      <c r="Y216">
        <f>'Kullanılan gübre'!Y216*'Gübre oranlar'!AB$2</f>
        <v>0</v>
      </c>
      <c r="Z216">
        <f>'Kullanılan gübre'!Z216*'Gübre oranlar'!AC$2</f>
        <v>0</v>
      </c>
      <c r="AA216">
        <f>'Kullanılan gübre'!AA216*'Gübre oranlar'!AD$2</f>
        <v>0</v>
      </c>
      <c r="AB216">
        <f>'Kullanılan gübre'!AB216*'Gübre oranlar'!AE$2</f>
        <v>7.4399999999999995</v>
      </c>
      <c r="AC216">
        <f>'Kullanılan gübre'!AC216*'Gübre oranlar'!AF$2</f>
        <v>0</v>
      </c>
      <c r="AD216">
        <f>'Kullanılan gübre'!AD216*'Gübre oranlar'!AG$2</f>
        <v>0</v>
      </c>
      <c r="AE216">
        <f>'Kullanılan gübre'!AE216*'Gübre oranlar'!AH$2</f>
        <v>13.5</v>
      </c>
      <c r="AF216">
        <f>'Kullanılan gübre'!AF216*'Gübre oranlar'!AI$2</f>
        <v>0</v>
      </c>
      <c r="AG216">
        <f>'Kullanılan gübre'!AG216*'Gübre oranlar'!AJ$2</f>
        <v>0</v>
      </c>
      <c r="AH216">
        <f>'Kullanılan gübre'!AH216*'Gübre oranlar'!AK$2</f>
        <v>4.4000000000000004</v>
      </c>
      <c r="AI216">
        <f>'Kullanılan gübre'!AI216*'Gübre oranlar'!AL$2</f>
        <v>51.6</v>
      </c>
      <c r="AJ216">
        <f>'Kullanılan gübre'!AJ216*'Gübre oranlar'!AM$2</f>
        <v>1.05</v>
      </c>
      <c r="AK216">
        <f>'Kullanılan gübre'!AK216*'Gübre oranlar'!AN$2</f>
        <v>0</v>
      </c>
      <c r="AL216">
        <f>'Kullanılan gübre'!AL216*'Gübre oranlar'!AO$2</f>
        <v>0</v>
      </c>
      <c r="AM216">
        <f>'Kullanılan gübre'!AM216*'Gübre oranlar'!AP$2</f>
        <v>0</v>
      </c>
      <c r="AN216">
        <f>'Kullanılan gübre'!AN216*'Gübre oranlar'!AQ$2</f>
        <v>0</v>
      </c>
      <c r="AO216">
        <f>'Kullanılan gübre'!AO216*'Gübre oranlar'!AR$2</f>
        <v>0</v>
      </c>
      <c r="AP216">
        <f>'Kullanılan gübre'!AP216*'Gübre oranlar'!AS$2</f>
        <v>0</v>
      </c>
      <c r="AQ216">
        <f>'Kullanılan gübre'!AQ216*'Gübre oranlar'!AT$2</f>
        <v>0</v>
      </c>
      <c r="AR216">
        <f>'Kullanılan gübre'!AR216*'Gübre oranlar'!AU$2</f>
        <v>0</v>
      </c>
      <c r="AS216">
        <f>'Kullanılan gübre'!AS216*'Gübre oranlar'!AV$2</f>
        <v>0</v>
      </c>
      <c r="AT216">
        <f>'Kullanılan gübre'!AT216*'Gübre oranlar'!AW$2</f>
        <v>0</v>
      </c>
      <c r="AU216">
        <f>'Kullanılan gübre'!AU216*'Gübre oranlar'!AX$2</f>
        <v>0</v>
      </c>
      <c r="AV216">
        <f>'Kullanılan gübre'!AV216*'Gübre oranlar'!AY$2</f>
        <v>0</v>
      </c>
      <c r="AW216">
        <f t="shared" si="3"/>
        <v>623.80499999999995</v>
      </c>
    </row>
    <row r="217" spans="1:49" hidden="1" x14ac:dyDescent="0.25">
      <c r="A217" t="str">
        <f>'Kullanılan gübre'!A217</f>
        <v>BA</v>
      </c>
      <c r="B217" t="str">
        <f>'Kullanılan gübre'!B217</f>
        <v>ANTALYA</v>
      </c>
      <c r="C217" t="str">
        <f>'Kullanılan gübre'!C217</f>
        <v>DEMRE</v>
      </c>
      <c r="D217">
        <f>'Kullanılan gübre'!D217</f>
        <v>2017</v>
      </c>
      <c r="E217">
        <f>'Kullanılan gübre'!E217*'Gübre oranlar'!H$2</f>
        <v>56.699999999999996</v>
      </c>
      <c r="F217">
        <f>'Kullanılan gübre'!F217*'Gübre oranlar'!I$2</f>
        <v>7.8000000000000007</v>
      </c>
      <c r="G217">
        <f>'Kullanılan gübre'!G217*'Gübre oranlar'!J$2</f>
        <v>2.31</v>
      </c>
      <c r="H217">
        <f>'Kullanılan gübre'!H217*'Gübre oranlar'!K$2</f>
        <v>75.44</v>
      </c>
      <c r="I217">
        <f>'Kullanılan gübre'!I217*'Gübre oranlar'!L$2</f>
        <v>0</v>
      </c>
      <c r="J217">
        <f>'Kullanılan gübre'!J217*'Gübre oranlar'!M$2</f>
        <v>20.52</v>
      </c>
      <c r="K217">
        <f>'Kullanılan gübre'!K217*'Gübre oranlar'!N$2</f>
        <v>0</v>
      </c>
      <c r="L217">
        <f>'Kullanılan gübre'!L217*'Gübre oranlar'!O$2</f>
        <v>0</v>
      </c>
      <c r="M217">
        <f>'Kullanılan gübre'!M217*'Gübre oranlar'!P$2</f>
        <v>0</v>
      </c>
      <c r="N217">
        <f>'Kullanılan gübre'!N217*'Gübre oranlar'!Q$2</f>
        <v>20.399999999999999</v>
      </c>
      <c r="O217">
        <f>'Kullanılan gübre'!O217*'Gübre oranlar'!R$2</f>
        <v>0</v>
      </c>
      <c r="P217">
        <f>'Kullanılan gübre'!P217*'Gübre oranlar'!S$2</f>
        <v>2.21</v>
      </c>
      <c r="Q217">
        <f>'Kullanılan gübre'!Q217*'Gübre oranlar'!T$2</f>
        <v>0</v>
      </c>
      <c r="R217">
        <f>'Kullanılan gübre'!R217*'Gübre oranlar'!U$2</f>
        <v>0</v>
      </c>
      <c r="S217">
        <f>'Kullanılan gübre'!S217*'Gübre oranlar'!V$2</f>
        <v>8.2149999999999999</v>
      </c>
      <c r="T217">
        <f>'Kullanılan gübre'!T217*'Gübre oranlar'!W$2</f>
        <v>0</v>
      </c>
      <c r="U217">
        <f>'Kullanılan gübre'!U217*'Gübre oranlar'!X$2</f>
        <v>0</v>
      </c>
      <c r="V217">
        <f>'Kullanılan gübre'!V217*'Gübre oranlar'!Y$2</f>
        <v>0</v>
      </c>
      <c r="W217">
        <f>'Kullanılan gübre'!W217*'Gübre oranlar'!Z$2</f>
        <v>0</v>
      </c>
      <c r="X217">
        <f>'Kullanılan gübre'!X217*'Gübre oranlar'!AA$2</f>
        <v>0</v>
      </c>
      <c r="Y217">
        <f>'Kullanılan gübre'!Y217*'Gübre oranlar'!AB$2</f>
        <v>0</v>
      </c>
      <c r="Z217">
        <f>'Kullanılan gübre'!Z217*'Gübre oranlar'!AC$2</f>
        <v>0</v>
      </c>
      <c r="AA217">
        <f>'Kullanılan gübre'!AA217*'Gübre oranlar'!AD$2</f>
        <v>0</v>
      </c>
      <c r="AB217">
        <f>'Kullanılan gübre'!AB217*'Gübre oranlar'!AE$2</f>
        <v>2.4</v>
      </c>
      <c r="AC217">
        <f>'Kullanılan gübre'!AC217*'Gübre oranlar'!AF$2</f>
        <v>0</v>
      </c>
      <c r="AD217">
        <f>'Kullanılan gübre'!AD217*'Gübre oranlar'!AG$2</f>
        <v>0</v>
      </c>
      <c r="AE217">
        <f>'Kullanılan gübre'!AE217*'Gübre oranlar'!AH$2</f>
        <v>0</v>
      </c>
      <c r="AF217">
        <f>'Kullanılan gübre'!AF217*'Gübre oranlar'!AI$2</f>
        <v>0</v>
      </c>
      <c r="AG217">
        <f>'Kullanılan gübre'!AG217*'Gübre oranlar'!AJ$2</f>
        <v>0</v>
      </c>
      <c r="AH217">
        <f>'Kullanılan gübre'!AH217*'Gübre oranlar'!AK$2</f>
        <v>0</v>
      </c>
      <c r="AI217">
        <f>'Kullanılan gübre'!AI217*'Gübre oranlar'!AL$2</f>
        <v>0</v>
      </c>
      <c r="AJ217">
        <f>'Kullanılan gübre'!AJ217*'Gübre oranlar'!AM$2</f>
        <v>0</v>
      </c>
      <c r="AK217">
        <f>'Kullanılan gübre'!AK217*'Gübre oranlar'!AN$2</f>
        <v>0</v>
      </c>
      <c r="AL217">
        <f>'Kullanılan gübre'!AL217*'Gübre oranlar'!AO$2</f>
        <v>0</v>
      </c>
      <c r="AM217">
        <f>'Kullanılan gübre'!AM217*'Gübre oranlar'!AP$2</f>
        <v>0</v>
      </c>
      <c r="AN217">
        <f>'Kullanılan gübre'!AN217*'Gübre oranlar'!AQ$2</f>
        <v>0</v>
      </c>
      <c r="AO217">
        <f>'Kullanılan gübre'!AO217*'Gübre oranlar'!AR$2</f>
        <v>0</v>
      </c>
      <c r="AP217">
        <f>'Kullanılan gübre'!AP217*'Gübre oranlar'!AS$2</f>
        <v>0</v>
      </c>
      <c r="AQ217">
        <f>'Kullanılan gübre'!AQ217*'Gübre oranlar'!AT$2</f>
        <v>0</v>
      </c>
      <c r="AR217">
        <f>'Kullanılan gübre'!AR217*'Gübre oranlar'!AU$2</f>
        <v>0</v>
      </c>
      <c r="AS217">
        <f>'Kullanılan gübre'!AS217*'Gübre oranlar'!AV$2</f>
        <v>0</v>
      </c>
      <c r="AT217">
        <f>'Kullanılan gübre'!AT217*'Gübre oranlar'!AW$2</f>
        <v>0</v>
      </c>
      <c r="AU217">
        <f>'Kullanılan gübre'!AU217*'Gübre oranlar'!AX$2</f>
        <v>0</v>
      </c>
      <c r="AV217">
        <f>'Kullanılan gübre'!AV217*'Gübre oranlar'!AY$2</f>
        <v>0</v>
      </c>
      <c r="AW217">
        <f t="shared" si="3"/>
        <v>195.99500000000003</v>
      </c>
    </row>
    <row r="218" spans="1:49" hidden="1" x14ac:dyDescent="0.25">
      <c r="A218" t="str">
        <f>'Kullanılan gübre'!A218</f>
        <v>BA</v>
      </c>
      <c r="B218" t="str">
        <f>'Kullanılan gübre'!B218</f>
        <v>ANTALYA</v>
      </c>
      <c r="C218" t="str">
        <f>'Kullanılan gübre'!C218</f>
        <v>KAS</v>
      </c>
      <c r="D218">
        <f>'Kullanılan gübre'!D218</f>
        <v>2017</v>
      </c>
      <c r="E218">
        <f>'Kullanılan gübre'!E218*'Gübre oranlar'!H$2</f>
        <v>10.709999999999999</v>
      </c>
      <c r="F218">
        <f>'Kullanılan gübre'!F218*'Gübre oranlar'!I$2</f>
        <v>9.8800000000000008</v>
      </c>
      <c r="G218">
        <f>'Kullanılan gübre'!G218*'Gübre oranlar'!J$2</f>
        <v>3.96</v>
      </c>
      <c r="H218">
        <f>'Kullanılan gübre'!H218*'Gübre oranlar'!K$2</f>
        <v>49.68</v>
      </c>
      <c r="I218">
        <f>'Kullanılan gübre'!I218*'Gübre oranlar'!L$2</f>
        <v>0</v>
      </c>
      <c r="J218">
        <f>'Kullanılan gübre'!J218*'Gübre oranlar'!M$2</f>
        <v>16.739999999999998</v>
      </c>
      <c r="K218">
        <f>'Kullanılan gübre'!K218*'Gübre oranlar'!N$2</f>
        <v>7.2</v>
      </c>
      <c r="L218">
        <f>'Kullanılan gübre'!L218*'Gübre oranlar'!O$2</f>
        <v>0</v>
      </c>
      <c r="M218">
        <f>'Kullanılan gübre'!M218*'Gübre oranlar'!P$2</f>
        <v>12.15</v>
      </c>
      <c r="N218">
        <f>'Kullanılan gübre'!N218*'Gübre oranlar'!Q$2</f>
        <v>6.45</v>
      </c>
      <c r="O218">
        <f>'Kullanılan gübre'!O218*'Gübre oranlar'!R$2</f>
        <v>0</v>
      </c>
      <c r="P218">
        <f>'Kullanılan gübre'!P218*'Gübre oranlar'!S$2</f>
        <v>15.73</v>
      </c>
      <c r="Q218">
        <f>'Kullanılan gübre'!Q218*'Gübre oranlar'!T$2</f>
        <v>18</v>
      </c>
      <c r="R218">
        <f>'Kullanılan gübre'!R218*'Gübre oranlar'!U$2</f>
        <v>0</v>
      </c>
      <c r="S218">
        <f>'Kullanılan gübre'!S218*'Gübre oranlar'!V$2</f>
        <v>10.385</v>
      </c>
      <c r="T218">
        <f>'Kullanılan gübre'!T218*'Gübre oranlar'!W$2</f>
        <v>0</v>
      </c>
      <c r="U218">
        <f>'Kullanılan gübre'!U218*'Gübre oranlar'!X$2</f>
        <v>75.75</v>
      </c>
      <c r="V218">
        <f>'Kullanılan gübre'!V218*'Gübre oranlar'!Y$2</f>
        <v>0</v>
      </c>
      <c r="W218">
        <f>'Kullanılan gübre'!W218*'Gübre oranlar'!Z$2</f>
        <v>19.98</v>
      </c>
      <c r="X218">
        <f>'Kullanılan gübre'!X218*'Gübre oranlar'!AA$2</f>
        <v>0</v>
      </c>
      <c r="Y218">
        <f>'Kullanılan gübre'!Y218*'Gübre oranlar'!AB$2</f>
        <v>0</v>
      </c>
      <c r="Z218">
        <f>'Kullanılan gübre'!Z218*'Gübre oranlar'!AC$2</f>
        <v>0</v>
      </c>
      <c r="AA218">
        <f>'Kullanılan gübre'!AA218*'Gübre oranlar'!AD$2</f>
        <v>0</v>
      </c>
      <c r="AB218">
        <f>'Kullanılan gübre'!AB218*'Gübre oranlar'!AE$2</f>
        <v>4.4399999999999995</v>
      </c>
      <c r="AC218">
        <f>'Kullanılan gübre'!AC218*'Gübre oranlar'!AF$2</f>
        <v>0</v>
      </c>
      <c r="AD218">
        <f>'Kullanılan gübre'!AD218*'Gübre oranlar'!AG$2</f>
        <v>0</v>
      </c>
      <c r="AE218">
        <f>'Kullanılan gübre'!AE218*'Gübre oranlar'!AH$2</f>
        <v>7</v>
      </c>
      <c r="AF218">
        <f>'Kullanılan gübre'!AF218*'Gübre oranlar'!AI$2</f>
        <v>0</v>
      </c>
      <c r="AG218">
        <f>'Kullanılan gübre'!AG218*'Gübre oranlar'!AJ$2</f>
        <v>0</v>
      </c>
      <c r="AH218">
        <f>'Kullanılan gübre'!AH218*'Gübre oranlar'!AK$2</f>
        <v>4.8000000000000007</v>
      </c>
      <c r="AI218">
        <f>'Kullanılan gübre'!AI218*'Gübre oranlar'!AL$2</f>
        <v>29.400000000000002</v>
      </c>
      <c r="AJ218">
        <f>'Kullanılan gübre'!AJ218*'Gübre oranlar'!AM$2</f>
        <v>6.45</v>
      </c>
      <c r="AK218">
        <f>'Kullanılan gübre'!AK218*'Gübre oranlar'!AN$2</f>
        <v>0</v>
      </c>
      <c r="AL218">
        <f>'Kullanılan gübre'!AL218*'Gübre oranlar'!AO$2</f>
        <v>0</v>
      </c>
      <c r="AM218">
        <f>'Kullanılan gübre'!AM218*'Gübre oranlar'!AP$2</f>
        <v>0</v>
      </c>
      <c r="AN218">
        <f>'Kullanılan gübre'!AN218*'Gübre oranlar'!AQ$2</f>
        <v>0</v>
      </c>
      <c r="AO218">
        <f>'Kullanılan gübre'!AO218*'Gübre oranlar'!AR$2</f>
        <v>0</v>
      </c>
      <c r="AP218">
        <f>'Kullanılan gübre'!AP218*'Gübre oranlar'!AS$2</f>
        <v>0</v>
      </c>
      <c r="AQ218">
        <f>'Kullanılan gübre'!AQ218*'Gübre oranlar'!AT$2</f>
        <v>0</v>
      </c>
      <c r="AR218">
        <f>'Kullanılan gübre'!AR218*'Gübre oranlar'!AU$2</f>
        <v>0</v>
      </c>
      <c r="AS218">
        <f>'Kullanılan gübre'!AS218*'Gübre oranlar'!AV$2</f>
        <v>0</v>
      </c>
      <c r="AT218">
        <f>'Kullanılan gübre'!AT218*'Gübre oranlar'!AW$2</f>
        <v>0</v>
      </c>
      <c r="AU218">
        <f>'Kullanılan gübre'!AU218*'Gübre oranlar'!AX$2</f>
        <v>0</v>
      </c>
      <c r="AV218">
        <f>'Kullanılan gübre'!AV218*'Gübre oranlar'!AY$2</f>
        <v>0</v>
      </c>
      <c r="AW218">
        <f t="shared" si="3"/>
        <v>308.70499999999998</v>
      </c>
    </row>
    <row r="219" spans="1:49" hidden="1" x14ac:dyDescent="0.25">
      <c r="A219" t="str">
        <f>'Kullanılan gübre'!A219</f>
        <v>BA</v>
      </c>
      <c r="B219" t="str">
        <f>'Kullanılan gübre'!B219</f>
        <v>ANTALYA</v>
      </c>
      <c r="C219" t="str">
        <f>'Kullanılan gübre'!C219</f>
        <v>KORKUTELI</v>
      </c>
      <c r="D219">
        <f>'Kullanılan gübre'!D219</f>
        <v>2017</v>
      </c>
      <c r="E219">
        <f>'Kullanılan gübre'!E219*'Gübre oranlar'!H$2</f>
        <v>420.63</v>
      </c>
      <c r="F219">
        <f>'Kullanılan gübre'!F219*'Gübre oranlar'!I$2</f>
        <v>113.36</v>
      </c>
      <c r="G219">
        <f>'Kullanılan gübre'!G219*'Gübre oranlar'!J$2</f>
        <v>4.62</v>
      </c>
      <c r="H219">
        <f>'Kullanılan gübre'!H219*'Gübre oranlar'!K$2</f>
        <v>793.96</v>
      </c>
      <c r="I219">
        <f>'Kullanılan gübre'!I219*'Gübre oranlar'!L$2</f>
        <v>0</v>
      </c>
      <c r="J219">
        <f>'Kullanılan gübre'!J219*'Gübre oranlar'!M$2</f>
        <v>259.2</v>
      </c>
      <c r="K219">
        <f>'Kullanılan gübre'!K219*'Gübre oranlar'!N$2</f>
        <v>1401.4</v>
      </c>
      <c r="L219">
        <f>'Kullanılan gübre'!L219*'Gübre oranlar'!O$2</f>
        <v>42.6</v>
      </c>
      <c r="M219">
        <f>'Kullanılan gübre'!M219*'Gübre oranlar'!P$2</f>
        <v>179.1</v>
      </c>
      <c r="N219">
        <f>'Kullanılan gübre'!N219*'Gübre oranlar'!Q$2</f>
        <v>125.85</v>
      </c>
      <c r="O219">
        <f>'Kullanılan gübre'!O219*'Gübre oranlar'!R$2</f>
        <v>0</v>
      </c>
      <c r="P219">
        <f>'Kullanılan gübre'!P219*'Gübre oranlar'!S$2</f>
        <v>17.68</v>
      </c>
      <c r="Q219">
        <f>'Kullanılan gübre'!Q219*'Gübre oranlar'!T$2</f>
        <v>0</v>
      </c>
      <c r="R219">
        <f>'Kullanılan gübre'!R219*'Gübre oranlar'!U$2</f>
        <v>0</v>
      </c>
      <c r="S219">
        <f>'Kullanılan gübre'!S219*'Gübre oranlar'!V$2</f>
        <v>2.17</v>
      </c>
      <c r="T219">
        <f>'Kullanılan gübre'!T219*'Gübre oranlar'!W$2</f>
        <v>0</v>
      </c>
      <c r="U219">
        <f>'Kullanılan gübre'!U219*'Gübre oranlar'!X$2</f>
        <v>98.25</v>
      </c>
      <c r="V219">
        <f>'Kullanılan gübre'!V219*'Gübre oranlar'!Y$2</f>
        <v>0</v>
      </c>
      <c r="W219">
        <f>'Kullanılan gübre'!W219*'Gübre oranlar'!Z$2</f>
        <v>66.239999999999995</v>
      </c>
      <c r="X219">
        <f>'Kullanılan gübre'!X219*'Gübre oranlar'!AA$2</f>
        <v>0</v>
      </c>
      <c r="Y219">
        <f>'Kullanılan gübre'!Y219*'Gübre oranlar'!AB$2</f>
        <v>0</v>
      </c>
      <c r="Z219">
        <f>'Kullanılan gübre'!Z219*'Gübre oranlar'!AC$2</f>
        <v>0</v>
      </c>
      <c r="AA219">
        <f>'Kullanılan gübre'!AA219*'Gübre oranlar'!AD$2</f>
        <v>0</v>
      </c>
      <c r="AB219">
        <f>'Kullanılan gübre'!AB219*'Gübre oranlar'!AE$2</f>
        <v>3.2399999999999998</v>
      </c>
      <c r="AC219">
        <f>'Kullanılan gübre'!AC219*'Gübre oranlar'!AF$2</f>
        <v>0</v>
      </c>
      <c r="AD219">
        <f>'Kullanılan gübre'!AD219*'Gübre oranlar'!AG$2</f>
        <v>0</v>
      </c>
      <c r="AE219">
        <f>'Kullanılan gübre'!AE219*'Gübre oranlar'!AH$2</f>
        <v>9</v>
      </c>
      <c r="AF219">
        <f>'Kullanılan gübre'!AF219*'Gübre oranlar'!AI$2</f>
        <v>13.200000000000001</v>
      </c>
      <c r="AG219">
        <f>'Kullanılan gübre'!AG219*'Gübre oranlar'!AJ$2</f>
        <v>0</v>
      </c>
      <c r="AH219">
        <f>'Kullanılan gübre'!AH219*'Gübre oranlar'!AK$2</f>
        <v>56.2</v>
      </c>
      <c r="AI219">
        <f>'Kullanılan gübre'!AI219*'Gübre oranlar'!AL$2</f>
        <v>39.200000000000003</v>
      </c>
      <c r="AJ219">
        <f>'Kullanılan gübre'!AJ219*'Gübre oranlar'!AM$2</f>
        <v>11.85</v>
      </c>
      <c r="AK219">
        <f>'Kullanılan gübre'!AK219*'Gübre oranlar'!AN$2</f>
        <v>0</v>
      </c>
      <c r="AL219">
        <f>'Kullanılan gübre'!AL219*'Gübre oranlar'!AO$2</f>
        <v>0</v>
      </c>
      <c r="AM219">
        <f>'Kullanılan gübre'!AM219*'Gübre oranlar'!AP$2</f>
        <v>0</v>
      </c>
      <c r="AN219">
        <f>'Kullanılan gübre'!AN219*'Gübre oranlar'!AQ$2</f>
        <v>0</v>
      </c>
      <c r="AO219">
        <f>'Kullanılan gübre'!AO219*'Gübre oranlar'!AR$2</f>
        <v>0</v>
      </c>
      <c r="AP219">
        <f>'Kullanılan gübre'!AP219*'Gübre oranlar'!AS$2</f>
        <v>0</v>
      </c>
      <c r="AQ219">
        <f>'Kullanılan gübre'!AQ219*'Gübre oranlar'!AT$2</f>
        <v>0</v>
      </c>
      <c r="AR219">
        <f>'Kullanılan gübre'!AR219*'Gübre oranlar'!AU$2</f>
        <v>0</v>
      </c>
      <c r="AS219">
        <f>'Kullanılan gübre'!AS219*'Gübre oranlar'!AV$2</f>
        <v>0</v>
      </c>
      <c r="AT219">
        <f>'Kullanılan gübre'!AT219*'Gübre oranlar'!AW$2</f>
        <v>0</v>
      </c>
      <c r="AU219">
        <f>'Kullanılan gübre'!AU219*'Gübre oranlar'!AX$2</f>
        <v>0</v>
      </c>
      <c r="AV219">
        <f>'Kullanılan gübre'!AV219*'Gübre oranlar'!AY$2</f>
        <v>0</v>
      </c>
      <c r="AW219">
        <f t="shared" si="3"/>
        <v>3657.7499999999986</v>
      </c>
    </row>
    <row r="220" spans="1:49" hidden="1" x14ac:dyDescent="0.25">
      <c r="A220" t="str">
        <f>'Kullanılan gübre'!A220</f>
        <v>BA</v>
      </c>
      <c r="B220" t="str">
        <f>'Kullanılan gübre'!B220</f>
        <v>ANTALYA</v>
      </c>
      <c r="C220" t="str">
        <f>'Kullanılan gübre'!C220</f>
        <v>ELMALI</v>
      </c>
      <c r="D220">
        <f>'Kullanılan gübre'!D220</f>
        <v>2017</v>
      </c>
      <c r="E220">
        <f>'Kullanılan gübre'!E220*'Gübre oranlar'!H$2</f>
        <v>186.06</v>
      </c>
      <c r="F220">
        <f>'Kullanılan gübre'!F220*'Gübre oranlar'!I$2</f>
        <v>61.88</v>
      </c>
      <c r="G220">
        <f>'Kullanılan gübre'!G220*'Gübre oranlar'!J$2</f>
        <v>2.31</v>
      </c>
      <c r="H220">
        <f>'Kullanılan gübre'!H220*'Gübre oranlar'!K$2</f>
        <v>914.94</v>
      </c>
      <c r="I220">
        <f>'Kullanılan gübre'!I220*'Gübre oranlar'!L$2</f>
        <v>0</v>
      </c>
      <c r="J220">
        <f>'Kullanılan gübre'!J220*'Gübre oranlar'!M$2</f>
        <v>105.66</v>
      </c>
      <c r="K220">
        <f>'Kullanılan gübre'!K220*'Gübre oranlar'!N$2</f>
        <v>274.2</v>
      </c>
      <c r="L220">
        <f>'Kullanılan gübre'!L220*'Gübre oranlar'!O$2</f>
        <v>39.6</v>
      </c>
      <c r="M220">
        <f>'Kullanılan gübre'!M220*'Gübre oranlar'!P$2</f>
        <v>57.75</v>
      </c>
      <c r="N220">
        <f>'Kullanılan gübre'!N220*'Gübre oranlar'!Q$2</f>
        <v>149.69999999999999</v>
      </c>
      <c r="O220">
        <f>'Kullanılan gübre'!O220*'Gübre oranlar'!R$2</f>
        <v>0</v>
      </c>
      <c r="P220">
        <f>'Kullanılan gübre'!P220*'Gübre oranlar'!S$2</f>
        <v>8.9700000000000006</v>
      </c>
      <c r="Q220">
        <f>'Kullanılan gübre'!Q220*'Gübre oranlar'!T$2</f>
        <v>17.04</v>
      </c>
      <c r="R220">
        <f>'Kullanılan gübre'!R220*'Gübre oranlar'!U$2</f>
        <v>0</v>
      </c>
      <c r="S220">
        <f>'Kullanılan gübre'!S220*'Gübre oranlar'!V$2</f>
        <v>14.57</v>
      </c>
      <c r="T220">
        <f>'Kullanılan gübre'!T220*'Gübre oranlar'!W$2</f>
        <v>0</v>
      </c>
      <c r="U220">
        <f>'Kullanılan gübre'!U220*'Gübre oranlar'!X$2</f>
        <v>63.5</v>
      </c>
      <c r="V220">
        <f>'Kullanılan gübre'!V220*'Gübre oranlar'!Y$2</f>
        <v>0</v>
      </c>
      <c r="W220">
        <f>'Kullanılan gübre'!W220*'Gübre oranlar'!Z$2</f>
        <v>38.159999999999997</v>
      </c>
      <c r="X220">
        <f>'Kullanılan gübre'!X220*'Gübre oranlar'!AA$2</f>
        <v>0</v>
      </c>
      <c r="Y220">
        <f>'Kullanılan gübre'!Y220*'Gübre oranlar'!AB$2</f>
        <v>0</v>
      </c>
      <c r="Z220">
        <f>'Kullanılan gübre'!Z220*'Gübre oranlar'!AC$2</f>
        <v>0</v>
      </c>
      <c r="AA220">
        <f>'Kullanılan gübre'!AA220*'Gübre oranlar'!AD$2</f>
        <v>0</v>
      </c>
      <c r="AB220">
        <f>'Kullanılan gübre'!AB220*'Gübre oranlar'!AE$2</f>
        <v>17.28</v>
      </c>
      <c r="AC220">
        <f>'Kullanılan gübre'!AC220*'Gübre oranlar'!AF$2</f>
        <v>0</v>
      </c>
      <c r="AD220">
        <f>'Kullanılan gübre'!AD220*'Gübre oranlar'!AG$2</f>
        <v>0</v>
      </c>
      <c r="AE220">
        <f>'Kullanılan gübre'!AE220*'Gübre oranlar'!AH$2</f>
        <v>8</v>
      </c>
      <c r="AF220">
        <f>'Kullanılan gübre'!AF220*'Gübre oranlar'!AI$2</f>
        <v>3.6300000000000003</v>
      </c>
      <c r="AG220">
        <f>'Kullanılan gübre'!AG220*'Gübre oranlar'!AJ$2</f>
        <v>0</v>
      </c>
      <c r="AH220">
        <f>'Kullanılan gübre'!AH220*'Gübre oranlar'!AK$2</f>
        <v>20.6</v>
      </c>
      <c r="AI220">
        <f>'Kullanılan gübre'!AI220*'Gübre oranlar'!AL$2</f>
        <v>23.400000000000002</v>
      </c>
      <c r="AJ220">
        <f>'Kullanılan gübre'!AJ220*'Gübre oranlar'!AM$2</f>
        <v>4.95</v>
      </c>
      <c r="AK220">
        <f>'Kullanılan gübre'!AK220*'Gübre oranlar'!AN$2</f>
        <v>0</v>
      </c>
      <c r="AL220">
        <f>'Kullanılan gübre'!AL220*'Gübre oranlar'!AO$2</f>
        <v>0</v>
      </c>
      <c r="AM220">
        <f>'Kullanılan gübre'!AM220*'Gübre oranlar'!AP$2</f>
        <v>0</v>
      </c>
      <c r="AN220">
        <f>'Kullanılan gübre'!AN220*'Gübre oranlar'!AQ$2</f>
        <v>0</v>
      </c>
      <c r="AO220">
        <f>'Kullanılan gübre'!AO220*'Gübre oranlar'!AR$2</f>
        <v>0</v>
      </c>
      <c r="AP220">
        <f>'Kullanılan gübre'!AP220*'Gübre oranlar'!AS$2</f>
        <v>0</v>
      </c>
      <c r="AQ220">
        <f>'Kullanılan gübre'!AQ220*'Gübre oranlar'!AT$2</f>
        <v>0</v>
      </c>
      <c r="AR220">
        <f>'Kullanılan gübre'!AR220*'Gübre oranlar'!AU$2</f>
        <v>0</v>
      </c>
      <c r="AS220">
        <f>'Kullanılan gübre'!AS220*'Gübre oranlar'!AV$2</f>
        <v>0</v>
      </c>
      <c r="AT220">
        <f>'Kullanılan gübre'!AT220*'Gübre oranlar'!AW$2</f>
        <v>0</v>
      </c>
      <c r="AU220">
        <f>'Kullanılan gübre'!AU220*'Gübre oranlar'!AX$2</f>
        <v>0</v>
      </c>
      <c r="AV220">
        <f>'Kullanılan gübre'!AV220*'Gübre oranlar'!AY$2</f>
        <v>0</v>
      </c>
      <c r="AW220">
        <f t="shared" si="3"/>
        <v>2012.2000000000003</v>
      </c>
    </row>
    <row r="221" spans="1:49" hidden="1" x14ac:dyDescent="0.25">
      <c r="A221" t="str">
        <f>'Kullanılan gübre'!A221</f>
        <v>BA</v>
      </c>
      <c r="B221" t="str">
        <f>'Kullanılan gübre'!B221</f>
        <v>BURDUR</v>
      </c>
      <c r="C221" t="str">
        <f>'Kullanılan gübre'!C221</f>
        <v>YESILOVA</v>
      </c>
      <c r="D221">
        <f>'Kullanılan gübre'!D221</f>
        <v>2005</v>
      </c>
      <c r="E221">
        <f>'Kullanılan gübre'!E221*'Gübre oranlar'!H$2</f>
        <v>1.554</v>
      </c>
      <c r="F221">
        <f>'Kullanılan gübre'!F221*'Gübre oranlar'!I$2</f>
        <v>2.7559999999999998</v>
      </c>
      <c r="G221">
        <f>'Kullanılan gübre'!G221*'Gübre oranlar'!J$2</f>
        <v>79.397999999999996</v>
      </c>
      <c r="H221">
        <f>'Kullanılan gübre'!H221*'Gübre oranlar'!K$2</f>
        <v>432.67600000000004</v>
      </c>
      <c r="I221">
        <f>'Kullanılan gübre'!I221*'Gübre oranlar'!L$2</f>
        <v>0</v>
      </c>
      <c r="J221">
        <f>'Kullanılan gübre'!J221*'Gübre oranlar'!M$2</f>
        <v>3.7080000000000002</v>
      </c>
      <c r="K221">
        <f>'Kullanılan gübre'!K221*'Gübre oranlar'!N$2</f>
        <v>85.52000000000001</v>
      </c>
      <c r="L221">
        <f>'Kullanılan gübre'!L221*'Gübre oranlar'!O$2</f>
        <v>15.52</v>
      </c>
      <c r="M221">
        <f>'Kullanılan gübre'!M221*'Gübre oranlar'!P$2</f>
        <v>1.1399999999999999</v>
      </c>
      <c r="N221">
        <f>'Kullanılan gübre'!N221*'Gübre oranlar'!Q$2</f>
        <v>0.84</v>
      </c>
      <c r="O221">
        <f>'Kullanılan gübre'!O221*'Gübre oranlar'!R$2</f>
        <v>0</v>
      </c>
      <c r="P221">
        <f>'Kullanılan gübre'!P221*'Gübre oranlar'!S$2</f>
        <v>0</v>
      </c>
      <c r="Q221">
        <f>'Kullanılan gübre'!Q221*'Gübre oranlar'!T$2</f>
        <v>0</v>
      </c>
      <c r="R221">
        <f>'Kullanılan gübre'!R221*'Gübre oranlar'!U$2</f>
        <v>0</v>
      </c>
      <c r="S221">
        <f>'Kullanılan gübre'!S221*'Gübre oranlar'!V$2</f>
        <v>0</v>
      </c>
      <c r="T221">
        <f>'Kullanılan gübre'!T221*'Gübre oranlar'!W$2</f>
        <v>0</v>
      </c>
      <c r="U221">
        <f>'Kullanılan gübre'!U221*'Gübre oranlar'!X$2</f>
        <v>0</v>
      </c>
      <c r="V221">
        <f>'Kullanılan gübre'!V221*'Gübre oranlar'!Y$2</f>
        <v>0</v>
      </c>
      <c r="W221">
        <f>'Kullanılan gübre'!W221*'Gübre oranlar'!Z$2</f>
        <v>0</v>
      </c>
      <c r="X221">
        <f>'Kullanılan gübre'!X221*'Gübre oranlar'!AA$2</f>
        <v>0</v>
      </c>
      <c r="Y221">
        <f>'Kullanılan gübre'!Y221*'Gübre oranlar'!AB$2</f>
        <v>0</v>
      </c>
      <c r="Z221">
        <f>'Kullanılan gübre'!Z221*'Gübre oranlar'!AC$2</f>
        <v>0</v>
      </c>
      <c r="AA221">
        <f>'Kullanılan gübre'!AA221*'Gübre oranlar'!AD$2</f>
        <v>0</v>
      </c>
      <c r="AB221">
        <f>'Kullanılan gübre'!AB221*'Gübre oranlar'!AE$2</f>
        <v>0</v>
      </c>
      <c r="AC221">
        <f>'Kullanılan gübre'!AC221*'Gübre oranlar'!AF$2</f>
        <v>0</v>
      </c>
      <c r="AD221">
        <f>'Kullanılan gübre'!AD221*'Gübre oranlar'!AG$2</f>
        <v>0</v>
      </c>
      <c r="AE221">
        <f>'Kullanılan gübre'!AE221*'Gübre oranlar'!AH$2</f>
        <v>0</v>
      </c>
      <c r="AF221">
        <f>'Kullanılan gübre'!AF221*'Gübre oranlar'!AI$2</f>
        <v>0</v>
      </c>
      <c r="AG221">
        <f>'Kullanılan gübre'!AG221*'Gübre oranlar'!AJ$2</f>
        <v>0</v>
      </c>
      <c r="AH221">
        <f>'Kullanılan gübre'!AH221*'Gübre oranlar'!AK$2</f>
        <v>0</v>
      </c>
      <c r="AI221">
        <f>'Kullanılan gübre'!AI221*'Gübre oranlar'!AL$2</f>
        <v>0</v>
      </c>
      <c r="AJ221">
        <f>'Kullanılan gübre'!AJ221*'Gübre oranlar'!AM$2</f>
        <v>0</v>
      </c>
      <c r="AK221">
        <f>'Kullanılan gübre'!AK221*'Gübre oranlar'!AN$2</f>
        <v>0</v>
      </c>
      <c r="AL221">
        <f>'Kullanılan gübre'!AL221*'Gübre oranlar'!AO$2</f>
        <v>0</v>
      </c>
      <c r="AM221">
        <f>'Kullanılan gübre'!AM221*'Gübre oranlar'!AP$2</f>
        <v>0</v>
      </c>
      <c r="AN221">
        <f>'Kullanılan gübre'!AN221*'Gübre oranlar'!AQ$2</f>
        <v>0</v>
      </c>
      <c r="AO221">
        <f>'Kullanılan gübre'!AO221*'Gübre oranlar'!AR$2</f>
        <v>0</v>
      </c>
      <c r="AP221">
        <f>'Kullanılan gübre'!AP221*'Gübre oranlar'!AS$2</f>
        <v>0</v>
      </c>
      <c r="AQ221">
        <f>'Kullanılan gübre'!AQ221*'Gübre oranlar'!AT$2</f>
        <v>0</v>
      </c>
      <c r="AR221">
        <f>'Kullanılan gübre'!AR221*'Gübre oranlar'!AU$2</f>
        <v>0</v>
      </c>
      <c r="AS221">
        <f>'Kullanılan gübre'!AS221*'Gübre oranlar'!AV$2</f>
        <v>0</v>
      </c>
      <c r="AT221">
        <f>'Kullanılan gübre'!AT221*'Gübre oranlar'!AW$2</f>
        <v>0</v>
      </c>
      <c r="AU221">
        <f>'Kullanılan gübre'!AU221*'Gübre oranlar'!AX$2</f>
        <v>0</v>
      </c>
      <c r="AV221">
        <f>'Kullanılan gübre'!AV221*'Gübre oranlar'!AY$2</f>
        <v>0</v>
      </c>
      <c r="AW221">
        <f t="shared" si="3"/>
        <v>623.11199999999997</v>
      </c>
    </row>
    <row r="222" spans="1:49" hidden="1" x14ac:dyDescent="0.25">
      <c r="A222" t="str">
        <f>'Kullanılan gübre'!A222</f>
        <v>BA</v>
      </c>
      <c r="B222" t="str">
        <f>'Kullanılan gübre'!B222</f>
        <v>BURDUR</v>
      </c>
      <c r="C222" t="str">
        <f>'Kullanılan gübre'!C222</f>
        <v>YESILOVA</v>
      </c>
      <c r="D222">
        <f>'Kullanılan gübre'!D222</f>
        <v>2006</v>
      </c>
      <c r="E222">
        <f>'Kullanılan gübre'!E222*'Gübre oranlar'!H$2</f>
        <v>1.8059999999999998</v>
      </c>
      <c r="F222">
        <f>'Kullanılan gübre'!F222*'Gübre oranlar'!I$2</f>
        <v>2.7040000000000002</v>
      </c>
      <c r="G222">
        <f>'Kullanılan gübre'!G222*'Gübre oranlar'!J$2</f>
        <v>741.048</v>
      </c>
      <c r="H222">
        <f>'Kullanılan gübre'!H222*'Gübre oranlar'!K$2</f>
        <v>433.13600000000002</v>
      </c>
      <c r="I222">
        <f>'Kullanılan gübre'!I222*'Gübre oranlar'!L$2</f>
        <v>0</v>
      </c>
      <c r="J222">
        <f>'Kullanılan gübre'!J222*'Gübre oranlar'!M$2</f>
        <v>4.032</v>
      </c>
      <c r="K222">
        <f>'Kullanılan gübre'!K222*'Gübre oranlar'!N$2</f>
        <v>85.720000000000013</v>
      </c>
      <c r="L222">
        <f>'Kullanılan gübre'!L222*'Gübre oranlar'!O$2</f>
        <v>153.92000000000002</v>
      </c>
      <c r="M222">
        <f>'Kullanılan gübre'!M222*'Gübre oranlar'!P$2</f>
        <v>1.2899999999999998</v>
      </c>
      <c r="N222">
        <f>'Kullanılan gübre'!N222*'Gübre oranlar'!Q$2</f>
        <v>0.85499999999999998</v>
      </c>
      <c r="O222">
        <f>'Kullanılan gübre'!O222*'Gübre oranlar'!R$2</f>
        <v>0</v>
      </c>
      <c r="P222">
        <f>'Kullanılan gübre'!P222*'Gübre oranlar'!S$2</f>
        <v>0</v>
      </c>
      <c r="Q222">
        <f>'Kullanılan gübre'!Q222*'Gübre oranlar'!T$2</f>
        <v>0</v>
      </c>
      <c r="R222">
        <f>'Kullanılan gübre'!R222*'Gübre oranlar'!U$2</f>
        <v>0</v>
      </c>
      <c r="S222">
        <f>'Kullanılan gübre'!S222*'Gübre oranlar'!V$2</f>
        <v>0</v>
      </c>
      <c r="T222">
        <f>'Kullanılan gübre'!T222*'Gübre oranlar'!W$2</f>
        <v>0</v>
      </c>
      <c r="U222">
        <f>'Kullanılan gübre'!U222*'Gübre oranlar'!X$2</f>
        <v>0</v>
      </c>
      <c r="V222">
        <f>'Kullanılan gübre'!V222*'Gübre oranlar'!Y$2</f>
        <v>0</v>
      </c>
      <c r="W222">
        <f>'Kullanılan gübre'!W222*'Gübre oranlar'!Z$2</f>
        <v>0</v>
      </c>
      <c r="X222">
        <f>'Kullanılan gübre'!X222*'Gübre oranlar'!AA$2</f>
        <v>0</v>
      </c>
      <c r="Y222">
        <f>'Kullanılan gübre'!Y222*'Gübre oranlar'!AB$2</f>
        <v>0</v>
      </c>
      <c r="Z222">
        <f>'Kullanılan gübre'!Z222*'Gübre oranlar'!AC$2</f>
        <v>0</v>
      </c>
      <c r="AA222">
        <f>'Kullanılan gübre'!AA222*'Gübre oranlar'!AD$2</f>
        <v>0</v>
      </c>
      <c r="AB222">
        <f>'Kullanılan gübre'!AB222*'Gübre oranlar'!AE$2</f>
        <v>0</v>
      </c>
      <c r="AC222">
        <f>'Kullanılan gübre'!AC222*'Gübre oranlar'!AF$2</f>
        <v>0</v>
      </c>
      <c r="AD222">
        <f>'Kullanılan gübre'!AD222*'Gübre oranlar'!AG$2</f>
        <v>0</v>
      </c>
      <c r="AE222">
        <f>'Kullanılan gübre'!AE222*'Gübre oranlar'!AH$2</f>
        <v>0</v>
      </c>
      <c r="AF222">
        <f>'Kullanılan gübre'!AF222*'Gübre oranlar'!AI$2</f>
        <v>0</v>
      </c>
      <c r="AG222">
        <f>'Kullanılan gübre'!AG222*'Gübre oranlar'!AJ$2</f>
        <v>0</v>
      </c>
      <c r="AH222">
        <f>'Kullanılan gübre'!AH222*'Gübre oranlar'!AK$2</f>
        <v>0</v>
      </c>
      <c r="AI222">
        <f>'Kullanılan gübre'!AI222*'Gübre oranlar'!AL$2</f>
        <v>0</v>
      </c>
      <c r="AJ222">
        <f>'Kullanılan gübre'!AJ222*'Gübre oranlar'!AM$2</f>
        <v>0</v>
      </c>
      <c r="AK222">
        <f>'Kullanılan gübre'!AK222*'Gübre oranlar'!AN$2</f>
        <v>0</v>
      </c>
      <c r="AL222">
        <f>'Kullanılan gübre'!AL222*'Gübre oranlar'!AO$2</f>
        <v>0</v>
      </c>
      <c r="AM222">
        <f>'Kullanılan gübre'!AM222*'Gübre oranlar'!AP$2</f>
        <v>0</v>
      </c>
      <c r="AN222">
        <f>'Kullanılan gübre'!AN222*'Gübre oranlar'!AQ$2</f>
        <v>0</v>
      </c>
      <c r="AO222">
        <f>'Kullanılan gübre'!AO222*'Gübre oranlar'!AR$2</f>
        <v>0</v>
      </c>
      <c r="AP222">
        <f>'Kullanılan gübre'!AP222*'Gübre oranlar'!AS$2</f>
        <v>0</v>
      </c>
      <c r="AQ222">
        <f>'Kullanılan gübre'!AQ222*'Gübre oranlar'!AT$2</f>
        <v>0</v>
      </c>
      <c r="AR222">
        <f>'Kullanılan gübre'!AR222*'Gübre oranlar'!AU$2</f>
        <v>0</v>
      </c>
      <c r="AS222">
        <f>'Kullanılan gübre'!AS222*'Gübre oranlar'!AV$2</f>
        <v>0</v>
      </c>
      <c r="AT222">
        <f>'Kullanılan gübre'!AT222*'Gübre oranlar'!AW$2</f>
        <v>0</v>
      </c>
      <c r="AU222">
        <f>'Kullanılan gübre'!AU222*'Gübre oranlar'!AX$2</f>
        <v>0</v>
      </c>
      <c r="AV222">
        <f>'Kullanılan gübre'!AV222*'Gübre oranlar'!AY$2</f>
        <v>0</v>
      </c>
      <c r="AW222">
        <f t="shared" si="3"/>
        <v>1424.511</v>
      </c>
    </row>
    <row r="223" spans="1:49" hidden="1" x14ac:dyDescent="0.25">
      <c r="A223" t="str">
        <f>'Kullanılan gübre'!A223</f>
        <v>BA</v>
      </c>
      <c r="B223" t="str">
        <f>'Kullanılan gübre'!B223</f>
        <v>BURDUR</v>
      </c>
      <c r="C223" t="str">
        <f>'Kullanılan gübre'!C223</f>
        <v>YESILOVA</v>
      </c>
      <c r="D223">
        <f>'Kullanılan gübre'!D223</f>
        <v>2007</v>
      </c>
      <c r="E223">
        <f>'Kullanılan gübre'!E223*'Gübre oranlar'!H$2</f>
        <v>1.575</v>
      </c>
      <c r="F223">
        <f>'Kullanılan gübre'!F223*'Gübre oranlar'!I$2</f>
        <v>2.6519999999999997</v>
      </c>
      <c r="G223">
        <f>'Kullanılan gübre'!G223*'Gübre oranlar'!J$2</f>
        <v>80.322000000000003</v>
      </c>
      <c r="H223">
        <f>'Kullanılan gübre'!H223*'Gübre oranlar'!K$2</f>
        <v>433.596</v>
      </c>
      <c r="I223">
        <f>'Kullanılan gübre'!I223*'Gübre oranlar'!L$2</f>
        <v>0</v>
      </c>
      <c r="J223">
        <f>'Kullanılan gübre'!J223*'Gübre oranlar'!M$2</f>
        <v>3.6539999999999999</v>
      </c>
      <c r="K223">
        <f>'Kullanılan gübre'!K223*'Gübre oranlar'!N$2</f>
        <v>85.320000000000007</v>
      </c>
      <c r="L223">
        <f>'Kullanılan gübre'!L223*'Gübre oranlar'!O$2</f>
        <v>153.88</v>
      </c>
      <c r="M223">
        <f>'Kullanılan gübre'!M223*'Gübre oranlar'!P$2</f>
        <v>0.98999999999999988</v>
      </c>
      <c r="N223">
        <f>'Kullanılan gübre'!N223*'Gübre oranlar'!Q$2</f>
        <v>0.87</v>
      </c>
      <c r="O223">
        <f>'Kullanılan gübre'!O223*'Gübre oranlar'!R$2</f>
        <v>0</v>
      </c>
      <c r="P223">
        <f>'Kullanılan gübre'!P223*'Gübre oranlar'!S$2</f>
        <v>0</v>
      </c>
      <c r="Q223">
        <f>'Kullanılan gübre'!Q223*'Gübre oranlar'!T$2</f>
        <v>0</v>
      </c>
      <c r="R223">
        <f>'Kullanılan gübre'!R223*'Gübre oranlar'!U$2</f>
        <v>0</v>
      </c>
      <c r="S223">
        <f>'Kullanılan gübre'!S223*'Gübre oranlar'!V$2</f>
        <v>0</v>
      </c>
      <c r="T223">
        <f>'Kullanılan gübre'!T223*'Gübre oranlar'!W$2</f>
        <v>0</v>
      </c>
      <c r="U223">
        <f>'Kullanılan gübre'!U223*'Gübre oranlar'!X$2</f>
        <v>0</v>
      </c>
      <c r="V223">
        <f>'Kullanılan gübre'!V223*'Gübre oranlar'!Y$2</f>
        <v>0</v>
      </c>
      <c r="W223">
        <f>'Kullanılan gübre'!W223*'Gübre oranlar'!Z$2</f>
        <v>0</v>
      </c>
      <c r="X223">
        <f>'Kullanılan gübre'!X223*'Gübre oranlar'!AA$2</f>
        <v>0</v>
      </c>
      <c r="Y223">
        <f>'Kullanılan gübre'!Y223*'Gübre oranlar'!AB$2</f>
        <v>0</v>
      </c>
      <c r="Z223">
        <f>'Kullanılan gübre'!Z223*'Gübre oranlar'!AC$2</f>
        <v>0</v>
      </c>
      <c r="AA223">
        <f>'Kullanılan gübre'!AA223*'Gübre oranlar'!AD$2</f>
        <v>0</v>
      </c>
      <c r="AB223">
        <f>'Kullanılan gübre'!AB223*'Gübre oranlar'!AE$2</f>
        <v>0</v>
      </c>
      <c r="AC223">
        <f>'Kullanılan gübre'!AC223*'Gübre oranlar'!AF$2</f>
        <v>0</v>
      </c>
      <c r="AD223">
        <f>'Kullanılan gübre'!AD223*'Gübre oranlar'!AG$2</f>
        <v>0</v>
      </c>
      <c r="AE223">
        <f>'Kullanılan gübre'!AE223*'Gübre oranlar'!AH$2</f>
        <v>0</v>
      </c>
      <c r="AF223">
        <f>'Kullanılan gübre'!AF223*'Gübre oranlar'!AI$2</f>
        <v>0</v>
      </c>
      <c r="AG223">
        <f>'Kullanılan gübre'!AG223*'Gübre oranlar'!AJ$2</f>
        <v>0</v>
      </c>
      <c r="AH223">
        <f>'Kullanılan gübre'!AH223*'Gübre oranlar'!AK$2</f>
        <v>0</v>
      </c>
      <c r="AI223">
        <f>'Kullanılan gübre'!AI223*'Gübre oranlar'!AL$2</f>
        <v>0</v>
      </c>
      <c r="AJ223">
        <f>'Kullanılan gübre'!AJ223*'Gübre oranlar'!AM$2</f>
        <v>0</v>
      </c>
      <c r="AK223">
        <f>'Kullanılan gübre'!AK223*'Gübre oranlar'!AN$2</f>
        <v>0</v>
      </c>
      <c r="AL223">
        <f>'Kullanılan gübre'!AL223*'Gübre oranlar'!AO$2</f>
        <v>0</v>
      </c>
      <c r="AM223">
        <f>'Kullanılan gübre'!AM223*'Gübre oranlar'!AP$2</f>
        <v>0</v>
      </c>
      <c r="AN223">
        <f>'Kullanılan gübre'!AN223*'Gübre oranlar'!AQ$2</f>
        <v>0</v>
      </c>
      <c r="AO223">
        <f>'Kullanılan gübre'!AO223*'Gübre oranlar'!AR$2</f>
        <v>0</v>
      </c>
      <c r="AP223">
        <f>'Kullanılan gübre'!AP223*'Gübre oranlar'!AS$2</f>
        <v>0</v>
      </c>
      <c r="AQ223">
        <f>'Kullanılan gübre'!AQ223*'Gübre oranlar'!AT$2</f>
        <v>0</v>
      </c>
      <c r="AR223">
        <f>'Kullanılan gübre'!AR223*'Gübre oranlar'!AU$2</f>
        <v>0</v>
      </c>
      <c r="AS223">
        <f>'Kullanılan gübre'!AS223*'Gübre oranlar'!AV$2</f>
        <v>0</v>
      </c>
      <c r="AT223">
        <f>'Kullanılan gübre'!AT223*'Gübre oranlar'!AW$2</f>
        <v>0</v>
      </c>
      <c r="AU223">
        <f>'Kullanılan gübre'!AU223*'Gübre oranlar'!AX$2</f>
        <v>0</v>
      </c>
      <c r="AV223">
        <f>'Kullanılan gübre'!AV223*'Gübre oranlar'!AY$2</f>
        <v>0</v>
      </c>
      <c r="AW223">
        <f t="shared" si="3"/>
        <v>762.85900000000004</v>
      </c>
    </row>
    <row r="224" spans="1:49" hidden="1" x14ac:dyDescent="0.25">
      <c r="A224" t="str">
        <f>'Kullanılan gübre'!A224</f>
        <v>BA</v>
      </c>
      <c r="B224" t="str">
        <f>'Kullanılan gübre'!B224</f>
        <v>BURDUR</v>
      </c>
      <c r="C224" t="str">
        <f>'Kullanılan gübre'!C224</f>
        <v>YESILOVA</v>
      </c>
      <c r="D224">
        <f>'Kullanılan gübre'!D224</f>
        <v>2008</v>
      </c>
      <c r="E224">
        <f>'Kullanılan gübre'!E224*'Gübre oranlar'!H$2</f>
        <v>1.7219999999999998</v>
      </c>
      <c r="F224">
        <f>'Kullanılan gübre'!F224*'Gübre oranlar'!I$2</f>
        <v>2.6519999999999997</v>
      </c>
      <c r="G224">
        <f>'Kullanılan gübre'!G224*'Gübre oranlar'!J$2</f>
        <v>80.058000000000007</v>
      </c>
      <c r="H224">
        <f>'Kullanılan gübre'!H224*'Gübre oranlar'!K$2</f>
        <v>433.596</v>
      </c>
      <c r="I224">
        <f>'Kullanılan gübre'!I224*'Gübre oranlar'!L$2</f>
        <v>0</v>
      </c>
      <c r="J224">
        <f>'Kullanılan gübre'!J224*'Gübre oranlar'!M$2</f>
        <v>3.5819999999999994</v>
      </c>
      <c r="K224">
        <f>'Kullanılan gübre'!K224*'Gübre oranlar'!N$2</f>
        <v>85.38</v>
      </c>
      <c r="L224">
        <f>'Kullanılan gübre'!L224*'Gübre oranlar'!O$2</f>
        <v>153.88</v>
      </c>
      <c r="M224">
        <f>'Kullanılan gübre'!M224*'Gübre oranlar'!P$2</f>
        <v>1.0349999999999999</v>
      </c>
      <c r="N224">
        <f>'Kullanılan gübre'!N224*'Gübre oranlar'!Q$2</f>
        <v>0.73499999999999999</v>
      </c>
      <c r="O224">
        <f>'Kullanılan gübre'!O224*'Gübre oranlar'!R$2</f>
        <v>0</v>
      </c>
      <c r="P224">
        <f>'Kullanılan gübre'!P224*'Gübre oranlar'!S$2</f>
        <v>0</v>
      </c>
      <c r="Q224">
        <f>'Kullanılan gübre'!Q224*'Gübre oranlar'!T$2</f>
        <v>0</v>
      </c>
      <c r="R224">
        <f>'Kullanılan gübre'!R224*'Gübre oranlar'!U$2</f>
        <v>0</v>
      </c>
      <c r="S224">
        <f>'Kullanılan gübre'!S224*'Gübre oranlar'!V$2</f>
        <v>0</v>
      </c>
      <c r="T224">
        <f>'Kullanılan gübre'!T224*'Gübre oranlar'!W$2</f>
        <v>0</v>
      </c>
      <c r="U224">
        <f>'Kullanılan gübre'!U224*'Gübre oranlar'!X$2</f>
        <v>0</v>
      </c>
      <c r="V224">
        <f>'Kullanılan gübre'!V224*'Gübre oranlar'!Y$2</f>
        <v>0</v>
      </c>
      <c r="W224">
        <f>'Kullanılan gübre'!W224*'Gübre oranlar'!Z$2</f>
        <v>0</v>
      </c>
      <c r="X224">
        <f>'Kullanılan gübre'!X224*'Gübre oranlar'!AA$2</f>
        <v>0</v>
      </c>
      <c r="Y224">
        <f>'Kullanılan gübre'!Y224*'Gübre oranlar'!AB$2</f>
        <v>0</v>
      </c>
      <c r="Z224">
        <f>'Kullanılan gübre'!Z224*'Gübre oranlar'!AC$2</f>
        <v>0</v>
      </c>
      <c r="AA224">
        <f>'Kullanılan gübre'!AA224*'Gübre oranlar'!AD$2</f>
        <v>0</v>
      </c>
      <c r="AB224">
        <f>'Kullanılan gübre'!AB224*'Gübre oranlar'!AE$2</f>
        <v>0</v>
      </c>
      <c r="AC224">
        <f>'Kullanılan gübre'!AC224*'Gübre oranlar'!AF$2</f>
        <v>0</v>
      </c>
      <c r="AD224">
        <f>'Kullanılan gübre'!AD224*'Gübre oranlar'!AG$2</f>
        <v>0</v>
      </c>
      <c r="AE224">
        <f>'Kullanılan gübre'!AE224*'Gübre oranlar'!AH$2</f>
        <v>0</v>
      </c>
      <c r="AF224">
        <f>'Kullanılan gübre'!AF224*'Gübre oranlar'!AI$2</f>
        <v>0</v>
      </c>
      <c r="AG224">
        <f>'Kullanılan gübre'!AG224*'Gübre oranlar'!AJ$2</f>
        <v>0</v>
      </c>
      <c r="AH224">
        <f>'Kullanılan gübre'!AH224*'Gübre oranlar'!AK$2</f>
        <v>0</v>
      </c>
      <c r="AI224">
        <f>'Kullanılan gübre'!AI224*'Gübre oranlar'!AL$2</f>
        <v>0</v>
      </c>
      <c r="AJ224">
        <f>'Kullanılan gübre'!AJ224*'Gübre oranlar'!AM$2</f>
        <v>0</v>
      </c>
      <c r="AK224">
        <f>'Kullanılan gübre'!AK224*'Gübre oranlar'!AN$2</f>
        <v>0</v>
      </c>
      <c r="AL224">
        <f>'Kullanılan gübre'!AL224*'Gübre oranlar'!AO$2</f>
        <v>0</v>
      </c>
      <c r="AM224">
        <f>'Kullanılan gübre'!AM224*'Gübre oranlar'!AP$2</f>
        <v>0</v>
      </c>
      <c r="AN224">
        <f>'Kullanılan gübre'!AN224*'Gübre oranlar'!AQ$2</f>
        <v>0</v>
      </c>
      <c r="AO224">
        <f>'Kullanılan gübre'!AO224*'Gübre oranlar'!AR$2</f>
        <v>0</v>
      </c>
      <c r="AP224">
        <f>'Kullanılan gübre'!AP224*'Gübre oranlar'!AS$2</f>
        <v>0</v>
      </c>
      <c r="AQ224">
        <f>'Kullanılan gübre'!AQ224*'Gübre oranlar'!AT$2</f>
        <v>0</v>
      </c>
      <c r="AR224">
        <f>'Kullanılan gübre'!AR224*'Gübre oranlar'!AU$2</f>
        <v>0</v>
      </c>
      <c r="AS224">
        <f>'Kullanılan gübre'!AS224*'Gübre oranlar'!AV$2</f>
        <v>0</v>
      </c>
      <c r="AT224">
        <f>'Kullanılan gübre'!AT224*'Gübre oranlar'!AW$2</f>
        <v>0</v>
      </c>
      <c r="AU224">
        <f>'Kullanılan gübre'!AU224*'Gübre oranlar'!AX$2</f>
        <v>0</v>
      </c>
      <c r="AV224">
        <f>'Kullanılan gübre'!AV224*'Gübre oranlar'!AY$2</f>
        <v>0</v>
      </c>
      <c r="AW224">
        <f t="shared" si="3"/>
        <v>762.64</v>
      </c>
    </row>
    <row r="225" spans="1:49" hidden="1" x14ac:dyDescent="0.25">
      <c r="A225" t="str">
        <f>'Kullanılan gübre'!A225</f>
        <v>BA</v>
      </c>
      <c r="B225" t="str">
        <f>'Kullanılan gübre'!B225</f>
        <v>BURDUR</v>
      </c>
      <c r="C225" t="str">
        <f>'Kullanılan gübre'!C225</f>
        <v>YESILOVA</v>
      </c>
      <c r="D225">
        <f>'Kullanılan gübre'!D225</f>
        <v>2009</v>
      </c>
      <c r="E225">
        <f>'Kullanılan gübre'!E225*'Gübre oranlar'!H$2</f>
        <v>1.4909999999999999</v>
      </c>
      <c r="F225">
        <f>'Kullanılan gübre'!F225*'Gübre oranlar'!I$2</f>
        <v>2.5740000000000003</v>
      </c>
      <c r="G225">
        <f>'Kullanılan gübre'!G225*'Gübre oranlar'!J$2</f>
        <v>79.728000000000009</v>
      </c>
      <c r="H225">
        <f>'Kullanılan gübre'!H225*'Gübre oranlar'!K$2</f>
        <v>432.584</v>
      </c>
      <c r="I225">
        <f>'Kullanılan gübre'!I225*'Gübre oranlar'!L$2</f>
        <v>0</v>
      </c>
      <c r="J225">
        <f>'Kullanılan gübre'!J225*'Gübre oranlar'!M$2</f>
        <v>3.4019999999999997</v>
      </c>
      <c r="K225">
        <f>'Kullanılan gübre'!K225*'Gübre oranlar'!N$2</f>
        <v>85.240000000000009</v>
      </c>
      <c r="L225">
        <f>'Kullanılan gübre'!L225*'Gübre oranlar'!O$2</f>
        <v>91.98</v>
      </c>
      <c r="M225">
        <f>'Kullanılan gübre'!M225*'Gübre oranlar'!P$2</f>
        <v>0.92999999999999994</v>
      </c>
      <c r="N225">
        <f>'Kullanılan gübre'!N225*'Gübre oranlar'!Q$2</f>
        <v>0.70499999999999996</v>
      </c>
      <c r="O225">
        <f>'Kullanılan gübre'!O225*'Gübre oranlar'!R$2</f>
        <v>0</v>
      </c>
      <c r="P225">
        <f>'Kullanılan gübre'!P225*'Gübre oranlar'!S$2</f>
        <v>0</v>
      </c>
      <c r="Q225">
        <f>'Kullanılan gübre'!Q225*'Gübre oranlar'!T$2</f>
        <v>0</v>
      </c>
      <c r="R225">
        <f>'Kullanılan gübre'!R225*'Gübre oranlar'!U$2</f>
        <v>0</v>
      </c>
      <c r="S225">
        <f>'Kullanılan gübre'!S225*'Gübre oranlar'!V$2</f>
        <v>0</v>
      </c>
      <c r="T225">
        <f>'Kullanılan gübre'!T225*'Gübre oranlar'!W$2</f>
        <v>0</v>
      </c>
      <c r="U225">
        <f>'Kullanılan gübre'!U225*'Gübre oranlar'!X$2</f>
        <v>0</v>
      </c>
      <c r="V225">
        <f>'Kullanılan gübre'!V225*'Gübre oranlar'!Y$2</f>
        <v>0</v>
      </c>
      <c r="W225">
        <f>'Kullanılan gübre'!W225*'Gübre oranlar'!Z$2</f>
        <v>0</v>
      </c>
      <c r="X225">
        <f>'Kullanılan gübre'!X225*'Gübre oranlar'!AA$2</f>
        <v>0</v>
      </c>
      <c r="Y225">
        <f>'Kullanılan gübre'!Y225*'Gübre oranlar'!AB$2</f>
        <v>0</v>
      </c>
      <c r="Z225">
        <f>'Kullanılan gübre'!Z225*'Gübre oranlar'!AC$2</f>
        <v>0</v>
      </c>
      <c r="AA225">
        <f>'Kullanılan gübre'!AA225*'Gübre oranlar'!AD$2</f>
        <v>0</v>
      </c>
      <c r="AB225">
        <f>'Kullanılan gübre'!AB225*'Gübre oranlar'!AE$2</f>
        <v>0</v>
      </c>
      <c r="AC225">
        <f>'Kullanılan gübre'!AC225*'Gübre oranlar'!AF$2</f>
        <v>0</v>
      </c>
      <c r="AD225">
        <f>'Kullanılan gübre'!AD225*'Gübre oranlar'!AG$2</f>
        <v>0</v>
      </c>
      <c r="AE225">
        <f>'Kullanılan gübre'!AE225*'Gübre oranlar'!AH$2</f>
        <v>0</v>
      </c>
      <c r="AF225">
        <f>'Kullanılan gübre'!AF225*'Gübre oranlar'!AI$2</f>
        <v>0</v>
      </c>
      <c r="AG225">
        <f>'Kullanılan gübre'!AG225*'Gübre oranlar'!AJ$2</f>
        <v>0</v>
      </c>
      <c r="AH225">
        <f>'Kullanılan gübre'!AH225*'Gübre oranlar'!AK$2</f>
        <v>0</v>
      </c>
      <c r="AI225">
        <f>'Kullanılan gübre'!AI225*'Gübre oranlar'!AL$2</f>
        <v>0</v>
      </c>
      <c r="AJ225">
        <f>'Kullanılan gübre'!AJ225*'Gübre oranlar'!AM$2</f>
        <v>0</v>
      </c>
      <c r="AK225">
        <f>'Kullanılan gübre'!AK225*'Gübre oranlar'!AN$2</f>
        <v>0</v>
      </c>
      <c r="AL225">
        <f>'Kullanılan gübre'!AL225*'Gübre oranlar'!AO$2</f>
        <v>0</v>
      </c>
      <c r="AM225">
        <f>'Kullanılan gübre'!AM225*'Gübre oranlar'!AP$2</f>
        <v>0</v>
      </c>
      <c r="AN225">
        <f>'Kullanılan gübre'!AN225*'Gübre oranlar'!AQ$2</f>
        <v>0</v>
      </c>
      <c r="AO225">
        <f>'Kullanılan gübre'!AO225*'Gübre oranlar'!AR$2</f>
        <v>0</v>
      </c>
      <c r="AP225">
        <f>'Kullanılan gübre'!AP225*'Gübre oranlar'!AS$2</f>
        <v>0</v>
      </c>
      <c r="AQ225">
        <f>'Kullanılan gübre'!AQ225*'Gübre oranlar'!AT$2</f>
        <v>0</v>
      </c>
      <c r="AR225">
        <f>'Kullanılan gübre'!AR225*'Gübre oranlar'!AU$2</f>
        <v>0</v>
      </c>
      <c r="AS225">
        <f>'Kullanılan gübre'!AS225*'Gübre oranlar'!AV$2</f>
        <v>0</v>
      </c>
      <c r="AT225">
        <f>'Kullanılan gübre'!AT225*'Gübre oranlar'!AW$2</f>
        <v>0</v>
      </c>
      <c r="AU225">
        <f>'Kullanılan gübre'!AU225*'Gübre oranlar'!AX$2</f>
        <v>0</v>
      </c>
      <c r="AV225">
        <f>'Kullanılan gübre'!AV225*'Gübre oranlar'!AY$2</f>
        <v>0</v>
      </c>
      <c r="AW225">
        <f t="shared" si="3"/>
        <v>698.63400000000001</v>
      </c>
    </row>
    <row r="226" spans="1:49" hidden="1" x14ac:dyDescent="0.25">
      <c r="A226" t="str">
        <f>'Kullanılan gübre'!A226</f>
        <v>BA</v>
      </c>
      <c r="B226" t="str">
        <f>'Kullanılan gübre'!B226</f>
        <v>BURDUR</v>
      </c>
      <c r="C226" t="str">
        <f>'Kullanılan gübre'!C226</f>
        <v>YESILOVA</v>
      </c>
      <c r="D226">
        <f>'Kullanılan gübre'!D226</f>
        <v>2010</v>
      </c>
      <c r="E226">
        <f>'Kullanılan gübre'!E226*'Gübre oranlar'!H$2</f>
        <v>1.554</v>
      </c>
      <c r="F226">
        <f>'Kullanılan gübre'!F226*'Gübre oranlar'!I$2</f>
        <v>2.0540000000000003</v>
      </c>
      <c r="G226">
        <f>'Kullanılan gübre'!G226*'Gübre oranlar'!J$2</f>
        <v>79.397999999999996</v>
      </c>
      <c r="H226">
        <f>'Kullanılan gübre'!H226*'Gübre oranlar'!K$2</f>
        <v>434.74600000000004</v>
      </c>
      <c r="I226">
        <f>'Kullanılan gübre'!I226*'Gübre oranlar'!L$2</f>
        <v>0</v>
      </c>
      <c r="J226">
        <f>'Kullanılan gübre'!J226*'Gübre oranlar'!M$2</f>
        <v>3.6719999999999997</v>
      </c>
      <c r="K226">
        <f>'Kullanılan gübre'!K226*'Gübre oranlar'!N$2</f>
        <v>85.18</v>
      </c>
      <c r="L226">
        <f>'Kullanılan gübre'!L226*'Gübre oranlar'!O$2</f>
        <v>153.18</v>
      </c>
      <c r="M226">
        <f>'Kullanılan gübre'!M226*'Gübre oranlar'!P$2</f>
        <v>0.92999999999999994</v>
      </c>
      <c r="N226">
        <f>'Kullanılan gübre'!N226*'Gübre oranlar'!Q$2</f>
        <v>0.72</v>
      </c>
      <c r="O226">
        <f>'Kullanılan gübre'!O226*'Gübre oranlar'!R$2</f>
        <v>0</v>
      </c>
      <c r="P226">
        <f>'Kullanılan gübre'!P226*'Gübre oranlar'!S$2</f>
        <v>0</v>
      </c>
      <c r="Q226">
        <f>'Kullanılan gübre'!Q226*'Gübre oranlar'!T$2</f>
        <v>0</v>
      </c>
      <c r="R226">
        <f>'Kullanılan gübre'!R226*'Gübre oranlar'!U$2</f>
        <v>0</v>
      </c>
      <c r="S226">
        <f>'Kullanılan gübre'!S226*'Gübre oranlar'!V$2</f>
        <v>0</v>
      </c>
      <c r="T226">
        <f>'Kullanılan gübre'!T226*'Gübre oranlar'!W$2</f>
        <v>0</v>
      </c>
      <c r="U226">
        <f>'Kullanılan gübre'!U226*'Gübre oranlar'!X$2</f>
        <v>0</v>
      </c>
      <c r="V226">
        <f>'Kullanılan gübre'!V226*'Gübre oranlar'!Y$2</f>
        <v>0</v>
      </c>
      <c r="W226">
        <f>'Kullanılan gübre'!W226*'Gübre oranlar'!Z$2</f>
        <v>0</v>
      </c>
      <c r="X226">
        <f>'Kullanılan gübre'!X226*'Gübre oranlar'!AA$2</f>
        <v>0</v>
      </c>
      <c r="Y226">
        <f>'Kullanılan gübre'!Y226*'Gübre oranlar'!AB$2</f>
        <v>0</v>
      </c>
      <c r="Z226">
        <f>'Kullanılan gübre'!Z226*'Gübre oranlar'!AC$2</f>
        <v>0</v>
      </c>
      <c r="AA226">
        <f>'Kullanılan gübre'!AA226*'Gübre oranlar'!AD$2</f>
        <v>0</v>
      </c>
      <c r="AB226">
        <f>'Kullanılan gübre'!AB226*'Gübre oranlar'!AE$2</f>
        <v>0</v>
      </c>
      <c r="AC226">
        <f>'Kullanılan gübre'!AC226*'Gübre oranlar'!AF$2</f>
        <v>0</v>
      </c>
      <c r="AD226">
        <f>'Kullanılan gübre'!AD226*'Gübre oranlar'!AG$2</f>
        <v>0</v>
      </c>
      <c r="AE226">
        <f>'Kullanılan gübre'!AE226*'Gübre oranlar'!AH$2</f>
        <v>0</v>
      </c>
      <c r="AF226">
        <f>'Kullanılan gübre'!AF226*'Gübre oranlar'!AI$2</f>
        <v>0</v>
      </c>
      <c r="AG226">
        <f>'Kullanılan gübre'!AG226*'Gübre oranlar'!AJ$2</f>
        <v>0</v>
      </c>
      <c r="AH226">
        <f>'Kullanılan gübre'!AH226*'Gübre oranlar'!AK$2</f>
        <v>0</v>
      </c>
      <c r="AI226">
        <f>'Kullanılan gübre'!AI226*'Gübre oranlar'!AL$2</f>
        <v>0</v>
      </c>
      <c r="AJ226">
        <f>'Kullanılan gübre'!AJ226*'Gübre oranlar'!AM$2</f>
        <v>0</v>
      </c>
      <c r="AK226">
        <f>'Kullanılan gübre'!AK226*'Gübre oranlar'!AN$2</f>
        <v>0</v>
      </c>
      <c r="AL226">
        <f>'Kullanılan gübre'!AL226*'Gübre oranlar'!AO$2</f>
        <v>0</v>
      </c>
      <c r="AM226">
        <f>'Kullanılan gübre'!AM226*'Gübre oranlar'!AP$2</f>
        <v>0</v>
      </c>
      <c r="AN226">
        <f>'Kullanılan gübre'!AN226*'Gübre oranlar'!AQ$2</f>
        <v>0</v>
      </c>
      <c r="AO226">
        <f>'Kullanılan gübre'!AO226*'Gübre oranlar'!AR$2</f>
        <v>0</v>
      </c>
      <c r="AP226">
        <f>'Kullanılan gübre'!AP226*'Gübre oranlar'!AS$2</f>
        <v>0</v>
      </c>
      <c r="AQ226">
        <f>'Kullanılan gübre'!AQ226*'Gübre oranlar'!AT$2</f>
        <v>0</v>
      </c>
      <c r="AR226">
        <f>'Kullanılan gübre'!AR226*'Gübre oranlar'!AU$2</f>
        <v>0</v>
      </c>
      <c r="AS226">
        <f>'Kullanılan gübre'!AS226*'Gübre oranlar'!AV$2</f>
        <v>0</v>
      </c>
      <c r="AT226">
        <f>'Kullanılan gübre'!AT226*'Gübre oranlar'!AW$2</f>
        <v>0</v>
      </c>
      <c r="AU226">
        <f>'Kullanılan gübre'!AU226*'Gübre oranlar'!AX$2</f>
        <v>0</v>
      </c>
      <c r="AV226">
        <f>'Kullanılan gübre'!AV226*'Gübre oranlar'!AY$2</f>
        <v>0</v>
      </c>
      <c r="AW226">
        <f t="shared" si="3"/>
        <v>761.43400000000008</v>
      </c>
    </row>
    <row r="227" spans="1:49" hidden="1" x14ac:dyDescent="0.25">
      <c r="A227" t="str">
        <f>'Kullanılan gübre'!A227</f>
        <v>BA</v>
      </c>
      <c r="B227" t="str">
        <f>'Kullanılan gübre'!B227</f>
        <v>BURDUR</v>
      </c>
      <c r="C227" t="str">
        <f>'Kullanılan gübre'!C227</f>
        <v>YESILOVA</v>
      </c>
      <c r="D227">
        <f>'Kullanılan gübre'!D227</f>
        <v>2011</v>
      </c>
      <c r="E227">
        <f>'Kullanılan gübre'!E227*'Gübre oranlar'!H$2</f>
        <v>1.5959999999999999</v>
      </c>
      <c r="F227">
        <f>'Kullanılan gübre'!F227*'Gübre oranlar'!I$2</f>
        <v>2.2359999999999998</v>
      </c>
      <c r="G227">
        <f>'Kullanılan gübre'!G227*'Gübre oranlar'!J$2</f>
        <v>76.362000000000009</v>
      </c>
      <c r="H227">
        <f>'Kullanılan gübre'!H227*'Gübre oranlar'!K$2</f>
        <v>433.50400000000002</v>
      </c>
      <c r="I227">
        <f>'Kullanılan gübre'!I227*'Gübre oranlar'!L$2</f>
        <v>0</v>
      </c>
      <c r="J227">
        <f>'Kullanılan gübre'!J227*'Gübre oranlar'!M$2</f>
        <v>3.4919999999999995</v>
      </c>
      <c r="K227">
        <f>'Kullanılan gübre'!K227*'Gübre oranlar'!N$2</f>
        <v>85.52000000000001</v>
      </c>
      <c r="L227">
        <f>'Kullanılan gübre'!L227*'Gübre oranlar'!O$2</f>
        <v>152.97999999999999</v>
      </c>
      <c r="M227">
        <f>'Kullanılan gübre'!M227*'Gübre oranlar'!P$2</f>
        <v>1.1399999999999999</v>
      </c>
      <c r="N227">
        <f>'Kullanılan gübre'!N227*'Gübre oranlar'!Q$2</f>
        <v>0.81</v>
      </c>
      <c r="O227">
        <f>'Kullanılan gübre'!O227*'Gübre oranlar'!R$2</f>
        <v>0</v>
      </c>
      <c r="P227">
        <f>'Kullanılan gübre'!P227*'Gübre oranlar'!S$2</f>
        <v>0</v>
      </c>
      <c r="Q227">
        <f>'Kullanılan gübre'!Q227*'Gübre oranlar'!T$2</f>
        <v>0</v>
      </c>
      <c r="R227">
        <f>'Kullanılan gübre'!R227*'Gübre oranlar'!U$2</f>
        <v>0</v>
      </c>
      <c r="S227">
        <f>'Kullanılan gübre'!S227*'Gübre oranlar'!V$2</f>
        <v>0</v>
      </c>
      <c r="T227">
        <f>'Kullanılan gübre'!T227*'Gübre oranlar'!W$2</f>
        <v>0</v>
      </c>
      <c r="U227">
        <f>'Kullanılan gübre'!U227*'Gübre oranlar'!X$2</f>
        <v>0</v>
      </c>
      <c r="V227">
        <f>'Kullanılan gübre'!V227*'Gübre oranlar'!Y$2</f>
        <v>0</v>
      </c>
      <c r="W227">
        <f>'Kullanılan gübre'!W227*'Gübre oranlar'!Z$2</f>
        <v>0</v>
      </c>
      <c r="X227">
        <f>'Kullanılan gübre'!X227*'Gübre oranlar'!AA$2</f>
        <v>0</v>
      </c>
      <c r="Y227">
        <f>'Kullanılan gübre'!Y227*'Gübre oranlar'!AB$2</f>
        <v>0</v>
      </c>
      <c r="Z227">
        <f>'Kullanılan gübre'!Z227*'Gübre oranlar'!AC$2</f>
        <v>0</v>
      </c>
      <c r="AA227">
        <f>'Kullanılan gübre'!AA227*'Gübre oranlar'!AD$2</f>
        <v>0</v>
      </c>
      <c r="AB227">
        <f>'Kullanılan gübre'!AB227*'Gübre oranlar'!AE$2</f>
        <v>0</v>
      </c>
      <c r="AC227">
        <f>'Kullanılan gübre'!AC227*'Gübre oranlar'!AF$2</f>
        <v>0</v>
      </c>
      <c r="AD227">
        <f>'Kullanılan gübre'!AD227*'Gübre oranlar'!AG$2</f>
        <v>0</v>
      </c>
      <c r="AE227">
        <f>'Kullanılan gübre'!AE227*'Gübre oranlar'!AH$2</f>
        <v>0</v>
      </c>
      <c r="AF227">
        <f>'Kullanılan gübre'!AF227*'Gübre oranlar'!AI$2</f>
        <v>0</v>
      </c>
      <c r="AG227">
        <f>'Kullanılan gübre'!AG227*'Gübre oranlar'!AJ$2</f>
        <v>0</v>
      </c>
      <c r="AH227">
        <f>'Kullanılan gübre'!AH227*'Gübre oranlar'!AK$2</f>
        <v>0</v>
      </c>
      <c r="AI227">
        <f>'Kullanılan gübre'!AI227*'Gübre oranlar'!AL$2</f>
        <v>0</v>
      </c>
      <c r="AJ227">
        <f>'Kullanılan gübre'!AJ227*'Gübre oranlar'!AM$2</f>
        <v>0</v>
      </c>
      <c r="AK227">
        <f>'Kullanılan gübre'!AK227*'Gübre oranlar'!AN$2</f>
        <v>0</v>
      </c>
      <c r="AL227">
        <f>'Kullanılan gübre'!AL227*'Gübre oranlar'!AO$2</f>
        <v>0</v>
      </c>
      <c r="AM227">
        <f>'Kullanılan gübre'!AM227*'Gübre oranlar'!AP$2</f>
        <v>0</v>
      </c>
      <c r="AN227">
        <f>'Kullanılan gübre'!AN227*'Gübre oranlar'!AQ$2</f>
        <v>0</v>
      </c>
      <c r="AO227">
        <f>'Kullanılan gübre'!AO227*'Gübre oranlar'!AR$2</f>
        <v>0</v>
      </c>
      <c r="AP227">
        <f>'Kullanılan gübre'!AP227*'Gübre oranlar'!AS$2</f>
        <v>0</v>
      </c>
      <c r="AQ227">
        <f>'Kullanılan gübre'!AQ227*'Gübre oranlar'!AT$2</f>
        <v>0</v>
      </c>
      <c r="AR227">
        <f>'Kullanılan gübre'!AR227*'Gübre oranlar'!AU$2</f>
        <v>0</v>
      </c>
      <c r="AS227">
        <f>'Kullanılan gübre'!AS227*'Gübre oranlar'!AV$2</f>
        <v>0</v>
      </c>
      <c r="AT227">
        <f>'Kullanılan gübre'!AT227*'Gübre oranlar'!AW$2</f>
        <v>0</v>
      </c>
      <c r="AU227">
        <f>'Kullanılan gübre'!AU227*'Gübre oranlar'!AX$2</f>
        <v>0</v>
      </c>
      <c r="AV227">
        <f>'Kullanılan gübre'!AV227*'Gübre oranlar'!AY$2</f>
        <v>0</v>
      </c>
      <c r="AW227">
        <f t="shared" si="3"/>
        <v>757.63999999999987</v>
      </c>
    </row>
    <row r="228" spans="1:49" hidden="1" x14ac:dyDescent="0.25">
      <c r="A228" t="str">
        <f>'Kullanılan gübre'!A228</f>
        <v>BA</v>
      </c>
      <c r="B228" t="str">
        <f>'Kullanılan gübre'!B228</f>
        <v>BURDUR</v>
      </c>
      <c r="C228" t="str">
        <f>'Kullanılan gübre'!C228</f>
        <v>YESILOVA</v>
      </c>
      <c r="D228">
        <f>'Kullanılan gübre'!D228</f>
        <v>2012</v>
      </c>
      <c r="E228">
        <f>'Kullanılan gübre'!E228*'Gübre oranlar'!H$2</f>
        <v>1.407</v>
      </c>
      <c r="F228">
        <f>'Kullanılan gübre'!F228*'Gübre oranlar'!I$2</f>
        <v>2.262</v>
      </c>
      <c r="G228">
        <f>'Kullanılan gübre'!G228*'Gübre oranlar'!J$2</f>
        <v>77.418000000000006</v>
      </c>
      <c r="H228">
        <f>'Kullanılan gübre'!H228*'Gübre oranlar'!K$2</f>
        <v>430.37600000000003</v>
      </c>
      <c r="I228">
        <f>'Kullanılan gübre'!I228*'Gübre oranlar'!L$2</f>
        <v>0</v>
      </c>
      <c r="J228">
        <f>'Kullanılan gübre'!J228*'Gübre oranlar'!M$2</f>
        <v>3.5640000000000001</v>
      </c>
      <c r="K228">
        <f>'Kullanılan gübre'!K228*'Gübre oranlar'!N$2</f>
        <v>85.52000000000001</v>
      </c>
      <c r="L228">
        <f>'Kullanılan gübre'!L228*'Gübre oranlar'!O$2</f>
        <v>151.84</v>
      </c>
      <c r="M228">
        <f>'Kullanılan gübre'!M228*'Gübre oranlar'!P$2</f>
        <v>1.1399999999999999</v>
      </c>
      <c r="N228">
        <f>'Kullanılan gübre'!N228*'Gübre oranlar'!Q$2</f>
        <v>0.84</v>
      </c>
      <c r="O228">
        <f>'Kullanılan gübre'!O228*'Gübre oranlar'!R$2</f>
        <v>0</v>
      </c>
      <c r="P228">
        <f>'Kullanılan gübre'!P228*'Gübre oranlar'!S$2</f>
        <v>0</v>
      </c>
      <c r="Q228">
        <f>'Kullanılan gübre'!Q228*'Gübre oranlar'!T$2</f>
        <v>0</v>
      </c>
      <c r="R228">
        <f>'Kullanılan gübre'!R228*'Gübre oranlar'!U$2</f>
        <v>0</v>
      </c>
      <c r="S228">
        <f>'Kullanılan gübre'!S228*'Gübre oranlar'!V$2</f>
        <v>0</v>
      </c>
      <c r="T228">
        <f>'Kullanılan gübre'!T228*'Gübre oranlar'!W$2</f>
        <v>0</v>
      </c>
      <c r="U228">
        <f>'Kullanılan gübre'!U228*'Gübre oranlar'!X$2</f>
        <v>0</v>
      </c>
      <c r="V228">
        <f>'Kullanılan gübre'!V228*'Gübre oranlar'!Y$2</f>
        <v>0</v>
      </c>
      <c r="W228">
        <f>'Kullanılan gübre'!W228*'Gübre oranlar'!Z$2</f>
        <v>0</v>
      </c>
      <c r="X228">
        <f>'Kullanılan gübre'!X228*'Gübre oranlar'!AA$2</f>
        <v>0</v>
      </c>
      <c r="Y228">
        <f>'Kullanılan gübre'!Y228*'Gübre oranlar'!AB$2</f>
        <v>0</v>
      </c>
      <c r="Z228">
        <f>'Kullanılan gübre'!Z228*'Gübre oranlar'!AC$2</f>
        <v>0</v>
      </c>
      <c r="AA228">
        <f>'Kullanılan gübre'!AA228*'Gübre oranlar'!AD$2</f>
        <v>0</v>
      </c>
      <c r="AB228">
        <f>'Kullanılan gübre'!AB228*'Gübre oranlar'!AE$2</f>
        <v>0</v>
      </c>
      <c r="AC228">
        <f>'Kullanılan gübre'!AC228*'Gübre oranlar'!AF$2</f>
        <v>0</v>
      </c>
      <c r="AD228">
        <f>'Kullanılan gübre'!AD228*'Gübre oranlar'!AG$2</f>
        <v>0</v>
      </c>
      <c r="AE228">
        <f>'Kullanılan gübre'!AE228*'Gübre oranlar'!AH$2</f>
        <v>0</v>
      </c>
      <c r="AF228">
        <f>'Kullanılan gübre'!AF228*'Gübre oranlar'!AI$2</f>
        <v>0</v>
      </c>
      <c r="AG228">
        <f>'Kullanılan gübre'!AG228*'Gübre oranlar'!AJ$2</f>
        <v>0</v>
      </c>
      <c r="AH228">
        <f>'Kullanılan gübre'!AH228*'Gübre oranlar'!AK$2</f>
        <v>0</v>
      </c>
      <c r="AI228">
        <f>'Kullanılan gübre'!AI228*'Gübre oranlar'!AL$2</f>
        <v>0</v>
      </c>
      <c r="AJ228">
        <f>'Kullanılan gübre'!AJ228*'Gübre oranlar'!AM$2</f>
        <v>0</v>
      </c>
      <c r="AK228">
        <f>'Kullanılan gübre'!AK228*'Gübre oranlar'!AN$2</f>
        <v>0</v>
      </c>
      <c r="AL228">
        <f>'Kullanılan gübre'!AL228*'Gübre oranlar'!AO$2</f>
        <v>0</v>
      </c>
      <c r="AM228">
        <f>'Kullanılan gübre'!AM228*'Gübre oranlar'!AP$2</f>
        <v>0</v>
      </c>
      <c r="AN228">
        <f>'Kullanılan gübre'!AN228*'Gübre oranlar'!AQ$2</f>
        <v>0</v>
      </c>
      <c r="AO228">
        <f>'Kullanılan gübre'!AO228*'Gübre oranlar'!AR$2</f>
        <v>0</v>
      </c>
      <c r="AP228">
        <f>'Kullanılan gübre'!AP228*'Gübre oranlar'!AS$2</f>
        <v>0</v>
      </c>
      <c r="AQ228">
        <f>'Kullanılan gübre'!AQ228*'Gübre oranlar'!AT$2</f>
        <v>0</v>
      </c>
      <c r="AR228">
        <f>'Kullanılan gübre'!AR228*'Gübre oranlar'!AU$2</f>
        <v>0</v>
      </c>
      <c r="AS228">
        <f>'Kullanılan gübre'!AS228*'Gübre oranlar'!AV$2</f>
        <v>0</v>
      </c>
      <c r="AT228">
        <f>'Kullanılan gübre'!AT228*'Gübre oranlar'!AW$2</f>
        <v>0</v>
      </c>
      <c r="AU228">
        <f>'Kullanılan gübre'!AU228*'Gübre oranlar'!AX$2</f>
        <v>0</v>
      </c>
      <c r="AV228">
        <f>'Kullanılan gübre'!AV228*'Gübre oranlar'!AY$2</f>
        <v>0</v>
      </c>
      <c r="AW228">
        <f t="shared" si="3"/>
        <v>754.36700000000008</v>
      </c>
    </row>
    <row r="229" spans="1:49" hidden="1" x14ac:dyDescent="0.25">
      <c r="A229" t="str">
        <f>'Kullanılan gübre'!A229</f>
        <v>BA</v>
      </c>
      <c r="B229" t="str">
        <f>'Kullanılan gübre'!B229</f>
        <v>BURDUR</v>
      </c>
      <c r="C229" t="str">
        <f>'Kullanılan gübre'!C229</f>
        <v>YESILOVA</v>
      </c>
      <c r="D229">
        <f>'Kullanılan gübre'!D229</f>
        <v>2013</v>
      </c>
      <c r="E229">
        <f>'Kullanılan gübre'!E229*'Gübre oranlar'!H$2</f>
        <v>1.3440000000000001</v>
      </c>
      <c r="F229">
        <f>'Kullanılan gübre'!F229*'Gübre oranlar'!I$2</f>
        <v>2.3140000000000001</v>
      </c>
      <c r="G229">
        <f>'Kullanılan gübre'!G229*'Gübre oranlar'!J$2</f>
        <v>77.088000000000008</v>
      </c>
      <c r="H229">
        <f>'Kullanılan gübre'!H229*'Gübre oranlar'!K$2</f>
        <v>426.60399999999998</v>
      </c>
      <c r="I229">
        <f>'Kullanılan gübre'!I229*'Gübre oranlar'!L$2</f>
        <v>0</v>
      </c>
      <c r="J229">
        <f>'Kullanılan gübre'!J229*'Gübre oranlar'!M$2</f>
        <v>3.3480000000000003</v>
      </c>
      <c r="K229">
        <f>'Kullanılan gübre'!K229*'Gübre oranlar'!N$2</f>
        <v>85.52000000000001</v>
      </c>
      <c r="L229">
        <f>'Kullanılan gübre'!L229*'Gübre oranlar'!O$2</f>
        <v>151.47999999999999</v>
      </c>
      <c r="M229">
        <f>'Kullanılan gübre'!M229*'Gübre oranlar'!P$2</f>
        <v>1.1399999999999999</v>
      </c>
      <c r="N229">
        <f>'Kullanılan gübre'!N229*'Gübre oranlar'!Q$2</f>
        <v>0.73499999999999999</v>
      </c>
      <c r="O229">
        <f>'Kullanılan gübre'!O229*'Gübre oranlar'!R$2</f>
        <v>0</v>
      </c>
      <c r="P229">
        <f>'Kullanılan gübre'!P229*'Gübre oranlar'!S$2</f>
        <v>0</v>
      </c>
      <c r="Q229">
        <f>'Kullanılan gübre'!Q229*'Gübre oranlar'!T$2</f>
        <v>0</v>
      </c>
      <c r="R229">
        <f>'Kullanılan gübre'!R229*'Gübre oranlar'!U$2</f>
        <v>0</v>
      </c>
      <c r="S229">
        <f>'Kullanılan gübre'!S229*'Gübre oranlar'!V$2</f>
        <v>0</v>
      </c>
      <c r="T229">
        <f>'Kullanılan gübre'!T229*'Gübre oranlar'!W$2</f>
        <v>0</v>
      </c>
      <c r="U229">
        <f>'Kullanılan gübre'!U229*'Gübre oranlar'!X$2</f>
        <v>0</v>
      </c>
      <c r="V229">
        <f>'Kullanılan gübre'!V229*'Gübre oranlar'!Y$2</f>
        <v>0</v>
      </c>
      <c r="W229">
        <f>'Kullanılan gübre'!W229*'Gübre oranlar'!Z$2</f>
        <v>0</v>
      </c>
      <c r="X229">
        <f>'Kullanılan gübre'!X229*'Gübre oranlar'!AA$2</f>
        <v>0</v>
      </c>
      <c r="Y229">
        <f>'Kullanılan gübre'!Y229*'Gübre oranlar'!AB$2</f>
        <v>0</v>
      </c>
      <c r="Z229">
        <f>'Kullanılan gübre'!Z229*'Gübre oranlar'!AC$2</f>
        <v>0</v>
      </c>
      <c r="AA229">
        <f>'Kullanılan gübre'!AA229*'Gübre oranlar'!AD$2</f>
        <v>0</v>
      </c>
      <c r="AB229">
        <f>'Kullanılan gübre'!AB229*'Gübre oranlar'!AE$2</f>
        <v>0</v>
      </c>
      <c r="AC229">
        <f>'Kullanılan gübre'!AC229*'Gübre oranlar'!AF$2</f>
        <v>0</v>
      </c>
      <c r="AD229">
        <f>'Kullanılan gübre'!AD229*'Gübre oranlar'!AG$2</f>
        <v>0</v>
      </c>
      <c r="AE229">
        <f>'Kullanılan gübre'!AE229*'Gübre oranlar'!AH$2</f>
        <v>0</v>
      </c>
      <c r="AF229">
        <f>'Kullanılan gübre'!AF229*'Gübre oranlar'!AI$2</f>
        <v>0</v>
      </c>
      <c r="AG229">
        <f>'Kullanılan gübre'!AG229*'Gübre oranlar'!AJ$2</f>
        <v>0</v>
      </c>
      <c r="AH229">
        <f>'Kullanılan gübre'!AH229*'Gübre oranlar'!AK$2</f>
        <v>0</v>
      </c>
      <c r="AI229">
        <f>'Kullanılan gübre'!AI229*'Gübre oranlar'!AL$2</f>
        <v>0</v>
      </c>
      <c r="AJ229">
        <f>'Kullanılan gübre'!AJ229*'Gübre oranlar'!AM$2</f>
        <v>0</v>
      </c>
      <c r="AK229">
        <f>'Kullanılan gübre'!AK229*'Gübre oranlar'!AN$2</f>
        <v>0</v>
      </c>
      <c r="AL229">
        <f>'Kullanılan gübre'!AL229*'Gübre oranlar'!AO$2</f>
        <v>0</v>
      </c>
      <c r="AM229">
        <f>'Kullanılan gübre'!AM229*'Gübre oranlar'!AP$2</f>
        <v>0</v>
      </c>
      <c r="AN229">
        <f>'Kullanılan gübre'!AN229*'Gübre oranlar'!AQ$2</f>
        <v>0</v>
      </c>
      <c r="AO229">
        <f>'Kullanılan gübre'!AO229*'Gübre oranlar'!AR$2</f>
        <v>0</v>
      </c>
      <c r="AP229">
        <f>'Kullanılan gübre'!AP229*'Gübre oranlar'!AS$2</f>
        <v>0</v>
      </c>
      <c r="AQ229">
        <f>'Kullanılan gübre'!AQ229*'Gübre oranlar'!AT$2</f>
        <v>0</v>
      </c>
      <c r="AR229">
        <f>'Kullanılan gübre'!AR229*'Gübre oranlar'!AU$2</f>
        <v>0</v>
      </c>
      <c r="AS229">
        <f>'Kullanılan gübre'!AS229*'Gübre oranlar'!AV$2</f>
        <v>0</v>
      </c>
      <c r="AT229">
        <f>'Kullanılan gübre'!AT229*'Gübre oranlar'!AW$2</f>
        <v>0</v>
      </c>
      <c r="AU229">
        <f>'Kullanılan gübre'!AU229*'Gübre oranlar'!AX$2</f>
        <v>0</v>
      </c>
      <c r="AV229">
        <f>'Kullanılan gübre'!AV229*'Gübre oranlar'!AY$2</f>
        <v>0</v>
      </c>
      <c r="AW229">
        <f t="shared" si="3"/>
        <v>749.57300000000009</v>
      </c>
    </row>
    <row r="230" spans="1:49" hidden="1" x14ac:dyDescent="0.25">
      <c r="A230" t="str">
        <f>'Kullanılan gübre'!A230</f>
        <v>BA</v>
      </c>
      <c r="B230" t="str">
        <f>'Kullanılan gübre'!B230</f>
        <v>BURDUR</v>
      </c>
      <c r="C230" t="str">
        <f>'Kullanılan gübre'!C230</f>
        <v>YESILOVA</v>
      </c>
      <c r="D230">
        <f>'Kullanılan gübre'!D230</f>
        <v>2014</v>
      </c>
      <c r="E230">
        <f>'Kullanılan gübre'!E230*'Gübre oranlar'!H$2</f>
        <v>1.323</v>
      </c>
      <c r="F230">
        <f>'Kullanılan gübre'!F230*'Gübre oranlar'!I$2</f>
        <v>2.3660000000000001</v>
      </c>
      <c r="G230">
        <f>'Kullanılan gübre'!G230*'Gübre oranlar'!J$2</f>
        <v>77.616</v>
      </c>
      <c r="H230">
        <f>'Kullanılan gübre'!H230*'Gübre oranlar'!K$2</f>
        <v>426.14400000000001</v>
      </c>
      <c r="I230">
        <f>'Kullanılan gübre'!I230*'Gübre oranlar'!L$2</f>
        <v>0</v>
      </c>
      <c r="J230">
        <f>'Kullanılan gübre'!J230*'Gübre oranlar'!M$2</f>
        <v>3.4019999999999997</v>
      </c>
      <c r="K230">
        <f>'Kullanılan gübre'!K230*'Gübre oranlar'!N$2</f>
        <v>85.64</v>
      </c>
      <c r="L230">
        <f>'Kullanılan gübre'!L230*'Gübre oranlar'!O$2</f>
        <v>151.08000000000001</v>
      </c>
      <c r="M230">
        <f>'Kullanılan gübre'!M230*'Gübre oranlar'!P$2</f>
        <v>1.2299999999999998</v>
      </c>
      <c r="N230">
        <f>'Kullanılan gübre'!N230*'Gübre oranlar'!Q$2</f>
        <v>0.70499999999999996</v>
      </c>
      <c r="O230">
        <f>'Kullanılan gübre'!O230*'Gübre oranlar'!R$2</f>
        <v>0</v>
      </c>
      <c r="P230">
        <f>'Kullanılan gübre'!P230*'Gübre oranlar'!S$2</f>
        <v>0</v>
      </c>
      <c r="Q230">
        <f>'Kullanılan gübre'!Q230*'Gübre oranlar'!T$2</f>
        <v>0</v>
      </c>
      <c r="R230">
        <f>'Kullanılan gübre'!R230*'Gübre oranlar'!U$2</f>
        <v>0</v>
      </c>
      <c r="S230">
        <f>'Kullanılan gübre'!S230*'Gübre oranlar'!V$2</f>
        <v>0</v>
      </c>
      <c r="T230">
        <f>'Kullanılan gübre'!T230*'Gübre oranlar'!W$2</f>
        <v>0</v>
      </c>
      <c r="U230">
        <f>'Kullanılan gübre'!U230*'Gübre oranlar'!X$2</f>
        <v>0</v>
      </c>
      <c r="V230">
        <f>'Kullanılan gübre'!V230*'Gübre oranlar'!Y$2</f>
        <v>0</v>
      </c>
      <c r="W230">
        <f>'Kullanılan gübre'!W230*'Gübre oranlar'!Z$2</f>
        <v>0</v>
      </c>
      <c r="X230">
        <f>'Kullanılan gübre'!X230*'Gübre oranlar'!AA$2</f>
        <v>0</v>
      </c>
      <c r="Y230">
        <f>'Kullanılan gübre'!Y230*'Gübre oranlar'!AB$2</f>
        <v>0</v>
      </c>
      <c r="Z230">
        <f>'Kullanılan gübre'!Z230*'Gübre oranlar'!AC$2</f>
        <v>0</v>
      </c>
      <c r="AA230">
        <f>'Kullanılan gübre'!AA230*'Gübre oranlar'!AD$2</f>
        <v>0</v>
      </c>
      <c r="AB230">
        <f>'Kullanılan gübre'!AB230*'Gübre oranlar'!AE$2</f>
        <v>0</v>
      </c>
      <c r="AC230">
        <f>'Kullanılan gübre'!AC230*'Gübre oranlar'!AF$2</f>
        <v>0</v>
      </c>
      <c r="AD230">
        <f>'Kullanılan gübre'!AD230*'Gübre oranlar'!AG$2</f>
        <v>0</v>
      </c>
      <c r="AE230">
        <f>'Kullanılan gübre'!AE230*'Gübre oranlar'!AH$2</f>
        <v>0</v>
      </c>
      <c r="AF230">
        <f>'Kullanılan gübre'!AF230*'Gübre oranlar'!AI$2</f>
        <v>0</v>
      </c>
      <c r="AG230">
        <f>'Kullanılan gübre'!AG230*'Gübre oranlar'!AJ$2</f>
        <v>0</v>
      </c>
      <c r="AH230">
        <f>'Kullanılan gübre'!AH230*'Gübre oranlar'!AK$2</f>
        <v>0</v>
      </c>
      <c r="AI230">
        <f>'Kullanılan gübre'!AI230*'Gübre oranlar'!AL$2</f>
        <v>0</v>
      </c>
      <c r="AJ230">
        <f>'Kullanılan gübre'!AJ230*'Gübre oranlar'!AM$2</f>
        <v>0</v>
      </c>
      <c r="AK230">
        <f>'Kullanılan gübre'!AK230*'Gübre oranlar'!AN$2</f>
        <v>0</v>
      </c>
      <c r="AL230">
        <f>'Kullanılan gübre'!AL230*'Gübre oranlar'!AO$2</f>
        <v>0</v>
      </c>
      <c r="AM230">
        <f>'Kullanılan gübre'!AM230*'Gübre oranlar'!AP$2</f>
        <v>0</v>
      </c>
      <c r="AN230">
        <f>'Kullanılan gübre'!AN230*'Gübre oranlar'!AQ$2</f>
        <v>0</v>
      </c>
      <c r="AO230">
        <f>'Kullanılan gübre'!AO230*'Gübre oranlar'!AR$2</f>
        <v>0</v>
      </c>
      <c r="AP230">
        <f>'Kullanılan gübre'!AP230*'Gübre oranlar'!AS$2</f>
        <v>0</v>
      </c>
      <c r="AQ230">
        <f>'Kullanılan gübre'!AQ230*'Gübre oranlar'!AT$2</f>
        <v>0</v>
      </c>
      <c r="AR230">
        <f>'Kullanılan gübre'!AR230*'Gübre oranlar'!AU$2</f>
        <v>0</v>
      </c>
      <c r="AS230">
        <f>'Kullanılan gübre'!AS230*'Gübre oranlar'!AV$2</f>
        <v>0</v>
      </c>
      <c r="AT230">
        <f>'Kullanılan gübre'!AT230*'Gübre oranlar'!AW$2</f>
        <v>0</v>
      </c>
      <c r="AU230">
        <f>'Kullanılan gübre'!AU230*'Gübre oranlar'!AX$2</f>
        <v>0</v>
      </c>
      <c r="AV230">
        <f>'Kullanılan gübre'!AV230*'Gübre oranlar'!AY$2</f>
        <v>0</v>
      </c>
      <c r="AW230">
        <f t="shared" si="3"/>
        <v>749.50600000000009</v>
      </c>
    </row>
    <row r="231" spans="1:49" hidden="1" x14ac:dyDescent="0.25">
      <c r="A231" t="str">
        <f>'Kullanılan gübre'!A231</f>
        <v>BA</v>
      </c>
      <c r="B231" t="str">
        <f>'Kullanılan gübre'!B231</f>
        <v>BURDUR</v>
      </c>
      <c r="C231" t="str">
        <f>'Kullanılan gübre'!C231</f>
        <v>YESILOVA</v>
      </c>
      <c r="D231">
        <f>'Kullanılan gübre'!D231</f>
        <v>2015</v>
      </c>
      <c r="E231">
        <f>'Kullanılan gübre'!E231*'Gübre oranlar'!H$2</f>
        <v>1.4279999999999999</v>
      </c>
      <c r="F231">
        <f>'Kullanılan gübre'!F231*'Gübre oranlar'!I$2</f>
        <v>2.3140000000000001</v>
      </c>
      <c r="G231">
        <f>'Kullanılan gübre'!G231*'Gübre oranlar'!J$2</f>
        <v>77.418000000000006</v>
      </c>
      <c r="H231">
        <f>'Kullanılan gübre'!H231*'Gübre oranlar'!K$2</f>
        <v>425.22399999999999</v>
      </c>
      <c r="I231">
        <f>'Kullanılan gübre'!I231*'Gübre oranlar'!L$2</f>
        <v>0</v>
      </c>
      <c r="J231">
        <f>'Kullanılan gübre'!J231*'Gübre oranlar'!M$2</f>
        <v>3.3659999999999997</v>
      </c>
      <c r="K231">
        <f>'Kullanılan gübre'!K231*'Gübre oranlar'!N$2</f>
        <v>85.920000000000016</v>
      </c>
      <c r="L231">
        <f>'Kullanılan gübre'!L231*'Gübre oranlar'!O$2</f>
        <v>150.47999999999999</v>
      </c>
      <c r="M231">
        <f>'Kullanılan gübre'!M231*'Gübre oranlar'!P$2</f>
        <v>1.44</v>
      </c>
      <c r="N231">
        <f>'Kullanılan gübre'!N231*'Gübre oranlar'!Q$2</f>
        <v>0.69</v>
      </c>
      <c r="O231">
        <f>'Kullanılan gübre'!O231*'Gübre oranlar'!R$2</f>
        <v>0</v>
      </c>
      <c r="P231">
        <f>'Kullanılan gübre'!P231*'Gübre oranlar'!S$2</f>
        <v>0</v>
      </c>
      <c r="Q231">
        <f>'Kullanılan gübre'!Q231*'Gübre oranlar'!T$2</f>
        <v>0</v>
      </c>
      <c r="R231">
        <f>'Kullanılan gübre'!R231*'Gübre oranlar'!U$2</f>
        <v>0</v>
      </c>
      <c r="S231">
        <f>'Kullanılan gübre'!S231*'Gübre oranlar'!V$2</f>
        <v>0</v>
      </c>
      <c r="T231">
        <f>'Kullanılan gübre'!T231*'Gübre oranlar'!W$2</f>
        <v>0</v>
      </c>
      <c r="U231">
        <f>'Kullanılan gübre'!U231*'Gübre oranlar'!X$2</f>
        <v>0</v>
      </c>
      <c r="V231">
        <f>'Kullanılan gübre'!V231*'Gübre oranlar'!Y$2</f>
        <v>0</v>
      </c>
      <c r="W231">
        <f>'Kullanılan gübre'!W231*'Gübre oranlar'!Z$2</f>
        <v>0</v>
      </c>
      <c r="X231">
        <f>'Kullanılan gübre'!X231*'Gübre oranlar'!AA$2</f>
        <v>0</v>
      </c>
      <c r="Y231">
        <f>'Kullanılan gübre'!Y231*'Gübre oranlar'!AB$2</f>
        <v>0</v>
      </c>
      <c r="Z231">
        <f>'Kullanılan gübre'!Z231*'Gübre oranlar'!AC$2</f>
        <v>0</v>
      </c>
      <c r="AA231">
        <f>'Kullanılan gübre'!AA231*'Gübre oranlar'!AD$2</f>
        <v>0</v>
      </c>
      <c r="AB231">
        <f>'Kullanılan gübre'!AB231*'Gübre oranlar'!AE$2</f>
        <v>0</v>
      </c>
      <c r="AC231">
        <f>'Kullanılan gübre'!AC231*'Gübre oranlar'!AF$2</f>
        <v>0</v>
      </c>
      <c r="AD231">
        <f>'Kullanılan gübre'!AD231*'Gübre oranlar'!AG$2</f>
        <v>0</v>
      </c>
      <c r="AE231">
        <f>'Kullanılan gübre'!AE231*'Gübre oranlar'!AH$2</f>
        <v>0</v>
      </c>
      <c r="AF231">
        <f>'Kullanılan gübre'!AF231*'Gübre oranlar'!AI$2</f>
        <v>0</v>
      </c>
      <c r="AG231">
        <f>'Kullanılan gübre'!AG231*'Gübre oranlar'!AJ$2</f>
        <v>0</v>
      </c>
      <c r="AH231">
        <f>'Kullanılan gübre'!AH231*'Gübre oranlar'!AK$2</f>
        <v>0</v>
      </c>
      <c r="AI231">
        <f>'Kullanılan gübre'!AI231*'Gübre oranlar'!AL$2</f>
        <v>0</v>
      </c>
      <c r="AJ231">
        <f>'Kullanılan gübre'!AJ231*'Gübre oranlar'!AM$2</f>
        <v>0</v>
      </c>
      <c r="AK231">
        <f>'Kullanılan gübre'!AK231*'Gübre oranlar'!AN$2</f>
        <v>0</v>
      </c>
      <c r="AL231">
        <f>'Kullanılan gübre'!AL231*'Gübre oranlar'!AO$2</f>
        <v>0</v>
      </c>
      <c r="AM231">
        <f>'Kullanılan gübre'!AM231*'Gübre oranlar'!AP$2</f>
        <v>0</v>
      </c>
      <c r="AN231">
        <f>'Kullanılan gübre'!AN231*'Gübre oranlar'!AQ$2</f>
        <v>0</v>
      </c>
      <c r="AO231">
        <f>'Kullanılan gübre'!AO231*'Gübre oranlar'!AR$2</f>
        <v>0</v>
      </c>
      <c r="AP231">
        <f>'Kullanılan gübre'!AP231*'Gübre oranlar'!AS$2</f>
        <v>0</v>
      </c>
      <c r="AQ231">
        <f>'Kullanılan gübre'!AQ231*'Gübre oranlar'!AT$2</f>
        <v>0</v>
      </c>
      <c r="AR231">
        <f>'Kullanılan gübre'!AR231*'Gübre oranlar'!AU$2</f>
        <v>0</v>
      </c>
      <c r="AS231">
        <f>'Kullanılan gübre'!AS231*'Gübre oranlar'!AV$2</f>
        <v>0</v>
      </c>
      <c r="AT231">
        <f>'Kullanılan gübre'!AT231*'Gübre oranlar'!AW$2</f>
        <v>0</v>
      </c>
      <c r="AU231">
        <f>'Kullanılan gübre'!AU231*'Gübre oranlar'!AX$2</f>
        <v>0</v>
      </c>
      <c r="AV231">
        <f>'Kullanılan gübre'!AV231*'Gübre oranlar'!AY$2</f>
        <v>0</v>
      </c>
      <c r="AW231">
        <f t="shared" si="3"/>
        <v>748.2800000000002</v>
      </c>
    </row>
    <row r="232" spans="1:49" hidden="1" x14ac:dyDescent="0.25">
      <c r="A232" t="str">
        <f>'Kullanılan gübre'!A232</f>
        <v>BA</v>
      </c>
      <c r="B232" t="str">
        <f>'Kullanılan gübre'!B232</f>
        <v>BURDUR</v>
      </c>
      <c r="C232" t="str">
        <f>'Kullanılan gübre'!C232</f>
        <v>YESILOVA</v>
      </c>
      <c r="D232">
        <f>'Kullanılan gübre'!D232</f>
        <v>2016</v>
      </c>
      <c r="E232">
        <f>'Kullanılan gübre'!E232*'Gübre oranlar'!H$2</f>
        <v>0</v>
      </c>
      <c r="F232">
        <f>'Kullanılan gübre'!F232*'Gübre oranlar'!I$2</f>
        <v>2.3919999999999999</v>
      </c>
      <c r="G232">
        <f>'Kullanılan gübre'!G232*'Gübre oranlar'!J$2</f>
        <v>77.120999999999995</v>
      </c>
      <c r="H232">
        <f>'Kullanılan gübre'!H232*'Gübre oranlar'!K$2</f>
        <v>424.39600000000002</v>
      </c>
      <c r="I232">
        <f>'Kullanılan gübre'!I232*'Gübre oranlar'!L$2</f>
        <v>0</v>
      </c>
      <c r="J232">
        <f>'Kullanılan gübre'!J232*'Gübre oranlar'!M$2</f>
        <v>3.3480000000000003</v>
      </c>
      <c r="K232">
        <f>'Kullanılan gübre'!K232*'Gübre oranlar'!N$2</f>
        <v>85.720000000000013</v>
      </c>
      <c r="L232">
        <f>'Kullanılan gübre'!L232*'Gübre oranlar'!O$2</f>
        <v>150.28</v>
      </c>
      <c r="M232">
        <f>'Kullanılan gübre'!M232*'Gübre oranlar'!P$2</f>
        <v>1.2899999999999998</v>
      </c>
      <c r="N232">
        <f>'Kullanılan gübre'!N232*'Gübre oranlar'!Q$2</f>
        <v>0.70499999999999996</v>
      </c>
      <c r="O232">
        <f>'Kullanılan gübre'!O232*'Gübre oranlar'!R$2</f>
        <v>0</v>
      </c>
      <c r="P232">
        <f>'Kullanılan gübre'!P232*'Gübre oranlar'!S$2</f>
        <v>0</v>
      </c>
      <c r="Q232">
        <f>'Kullanılan gübre'!Q232*'Gübre oranlar'!T$2</f>
        <v>0</v>
      </c>
      <c r="R232">
        <f>'Kullanılan gübre'!R232*'Gübre oranlar'!U$2</f>
        <v>0</v>
      </c>
      <c r="S232">
        <f>'Kullanılan gübre'!S232*'Gübre oranlar'!V$2</f>
        <v>0</v>
      </c>
      <c r="T232">
        <f>'Kullanılan gübre'!T232*'Gübre oranlar'!W$2</f>
        <v>0</v>
      </c>
      <c r="U232">
        <f>'Kullanılan gübre'!U232*'Gübre oranlar'!X$2</f>
        <v>0</v>
      </c>
      <c r="V232">
        <f>'Kullanılan gübre'!V232*'Gübre oranlar'!Y$2</f>
        <v>0</v>
      </c>
      <c r="W232">
        <f>'Kullanılan gübre'!W232*'Gübre oranlar'!Z$2</f>
        <v>0</v>
      </c>
      <c r="X232">
        <f>'Kullanılan gübre'!X232*'Gübre oranlar'!AA$2</f>
        <v>0</v>
      </c>
      <c r="Y232">
        <f>'Kullanılan gübre'!Y232*'Gübre oranlar'!AB$2</f>
        <v>0</v>
      </c>
      <c r="Z232">
        <f>'Kullanılan gübre'!Z232*'Gübre oranlar'!AC$2</f>
        <v>0</v>
      </c>
      <c r="AA232">
        <f>'Kullanılan gübre'!AA232*'Gübre oranlar'!AD$2</f>
        <v>0</v>
      </c>
      <c r="AB232">
        <f>'Kullanılan gübre'!AB232*'Gübre oranlar'!AE$2</f>
        <v>0</v>
      </c>
      <c r="AC232">
        <f>'Kullanılan gübre'!AC232*'Gübre oranlar'!AF$2</f>
        <v>0</v>
      </c>
      <c r="AD232">
        <f>'Kullanılan gübre'!AD232*'Gübre oranlar'!AG$2</f>
        <v>0</v>
      </c>
      <c r="AE232">
        <f>'Kullanılan gübre'!AE232*'Gübre oranlar'!AH$2</f>
        <v>0</v>
      </c>
      <c r="AF232">
        <f>'Kullanılan gübre'!AF232*'Gübre oranlar'!AI$2</f>
        <v>0</v>
      </c>
      <c r="AG232">
        <f>'Kullanılan gübre'!AG232*'Gübre oranlar'!AJ$2</f>
        <v>0</v>
      </c>
      <c r="AH232">
        <f>'Kullanılan gübre'!AH232*'Gübre oranlar'!AK$2</f>
        <v>0</v>
      </c>
      <c r="AI232">
        <f>'Kullanılan gübre'!AI232*'Gübre oranlar'!AL$2</f>
        <v>0</v>
      </c>
      <c r="AJ232">
        <f>'Kullanılan gübre'!AJ232*'Gübre oranlar'!AM$2</f>
        <v>0</v>
      </c>
      <c r="AK232">
        <f>'Kullanılan gübre'!AK232*'Gübre oranlar'!AN$2</f>
        <v>0</v>
      </c>
      <c r="AL232">
        <f>'Kullanılan gübre'!AL232*'Gübre oranlar'!AO$2</f>
        <v>0</v>
      </c>
      <c r="AM232">
        <f>'Kullanılan gübre'!AM232*'Gübre oranlar'!AP$2</f>
        <v>0</v>
      </c>
      <c r="AN232">
        <f>'Kullanılan gübre'!AN232*'Gübre oranlar'!AQ$2</f>
        <v>0</v>
      </c>
      <c r="AO232">
        <f>'Kullanılan gübre'!AO232*'Gübre oranlar'!AR$2</f>
        <v>0</v>
      </c>
      <c r="AP232">
        <f>'Kullanılan gübre'!AP232*'Gübre oranlar'!AS$2</f>
        <v>0</v>
      </c>
      <c r="AQ232">
        <f>'Kullanılan gübre'!AQ232*'Gübre oranlar'!AT$2</f>
        <v>0</v>
      </c>
      <c r="AR232">
        <f>'Kullanılan gübre'!AR232*'Gübre oranlar'!AU$2</f>
        <v>0</v>
      </c>
      <c r="AS232">
        <f>'Kullanılan gübre'!AS232*'Gübre oranlar'!AV$2</f>
        <v>0</v>
      </c>
      <c r="AT232">
        <f>'Kullanılan gübre'!AT232*'Gübre oranlar'!AW$2</f>
        <v>0</v>
      </c>
      <c r="AU232">
        <f>'Kullanılan gübre'!AU232*'Gübre oranlar'!AX$2</f>
        <v>0</v>
      </c>
      <c r="AV232">
        <f>'Kullanılan gübre'!AV232*'Gübre oranlar'!AY$2</f>
        <v>0</v>
      </c>
      <c r="AW232">
        <f t="shared" si="3"/>
        <v>745.25199999999995</v>
      </c>
    </row>
    <row r="233" spans="1:49" hidden="1" x14ac:dyDescent="0.25">
      <c r="A233" t="str">
        <f>'Kullanılan gübre'!A233</f>
        <v>BA</v>
      </c>
      <c r="B233" t="str">
        <f>'Kullanılan gübre'!B233</f>
        <v>BURDUR</v>
      </c>
      <c r="C233" t="str">
        <f>'Kullanılan gübre'!C233</f>
        <v>YESILOVA</v>
      </c>
      <c r="D233">
        <f>'Kullanılan gübre'!D233</f>
        <v>2017</v>
      </c>
      <c r="E233">
        <f>'Kullanılan gübre'!E233*'Gübre oranlar'!H$2</f>
        <v>1.3440000000000001</v>
      </c>
      <c r="F233">
        <f>'Kullanılan gübre'!F233*'Gübre oranlar'!I$2</f>
        <v>2.3919999999999999</v>
      </c>
      <c r="G233">
        <f>'Kullanılan gübre'!G233*'Gübre oranlar'!J$2</f>
        <v>0</v>
      </c>
      <c r="H233">
        <f>'Kullanılan gübre'!H233*'Gübre oranlar'!K$2</f>
        <v>425.77600000000001</v>
      </c>
      <c r="I233">
        <f>'Kullanılan gübre'!I233*'Gübre oranlar'!L$2</f>
        <v>0</v>
      </c>
      <c r="J233">
        <f>'Kullanılan gübre'!J233*'Gübre oranlar'!M$2</f>
        <v>3.4019999999999997</v>
      </c>
      <c r="K233">
        <f>'Kullanılan gübre'!K233*'Gübre oranlar'!N$2</f>
        <v>85.52000000000001</v>
      </c>
      <c r="L233">
        <f>'Kullanılan gübre'!L233*'Gübre oranlar'!O$2</f>
        <v>150.92000000000002</v>
      </c>
      <c r="M233">
        <f>'Kullanılan gübre'!M233*'Gübre oranlar'!P$2</f>
        <v>1.1399999999999999</v>
      </c>
      <c r="N233">
        <f>'Kullanılan gübre'!N233*'Gübre oranlar'!Q$2</f>
        <v>0.72</v>
      </c>
      <c r="O233">
        <f>'Kullanılan gübre'!O233*'Gübre oranlar'!R$2</f>
        <v>0</v>
      </c>
      <c r="P233">
        <f>'Kullanılan gübre'!P233*'Gübre oranlar'!S$2</f>
        <v>0</v>
      </c>
      <c r="Q233">
        <f>'Kullanılan gübre'!Q233*'Gübre oranlar'!T$2</f>
        <v>0</v>
      </c>
      <c r="R233">
        <f>'Kullanılan gübre'!R233*'Gübre oranlar'!U$2</f>
        <v>0</v>
      </c>
      <c r="S233">
        <f>'Kullanılan gübre'!S233*'Gübre oranlar'!V$2</f>
        <v>0</v>
      </c>
      <c r="T233">
        <f>'Kullanılan gübre'!T233*'Gübre oranlar'!W$2</f>
        <v>0</v>
      </c>
      <c r="U233">
        <f>'Kullanılan gübre'!U233*'Gübre oranlar'!X$2</f>
        <v>0</v>
      </c>
      <c r="V233">
        <f>'Kullanılan gübre'!V233*'Gübre oranlar'!Y$2</f>
        <v>0</v>
      </c>
      <c r="W233">
        <f>'Kullanılan gübre'!W233*'Gübre oranlar'!Z$2</f>
        <v>0</v>
      </c>
      <c r="X233">
        <f>'Kullanılan gübre'!X233*'Gübre oranlar'!AA$2</f>
        <v>0</v>
      </c>
      <c r="Y233">
        <f>'Kullanılan gübre'!Y233*'Gübre oranlar'!AB$2</f>
        <v>0</v>
      </c>
      <c r="Z233">
        <f>'Kullanılan gübre'!Z233*'Gübre oranlar'!AC$2</f>
        <v>0</v>
      </c>
      <c r="AA233">
        <f>'Kullanılan gübre'!AA233*'Gübre oranlar'!AD$2</f>
        <v>0</v>
      </c>
      <c r="AB233">
        <f>'Kullanılan gübre'!AB233*'Gübre oranlar'!AE$2</f>
        <v>0</v>
      </c>
      <c r="AC233">
        <f>'Kullanılan gübre'!AC233*'Gübre oranlar'!AF$2</f>
        <v>0</v>
      </c>
      <c r="AD233">
        <f>'Kullanılan gübre'!AD233*'Gübre oranlar'!AG$2</f>
        <v>0</v>
      </c>
      <c r="AE233">
        <f>'Kullanılan gübre'!AE233*'Gübre oranlar'!AH$2</f>
        <v>0</v>
      </c>
      <c r="AF233">
        <f>'Kullanılan gübre'!AF233*'Gübre oranlar'!AI$2</f>
        <v>0</v>
      </c>
      <c r="AG233">
        <f>'Kullanılan gübre'!AG233*'Gübre oranlar'!AJ$2</f>
        <v>0</v>
      </c>
      <c r="AH233">
        <f>'Kullanılan gübre'!AH233*'Gübre oranlar'!AK$2</f>
        <v>0</v>
      </c>
      <c r="AI233">
        <f>'Kullanılan gübre'!AI233*'Gübre oranlar'!AL$2</f>
        <v>0</v>
      </c>
      <c r="AJ233">
        <f>'Kullanılan gübre'!AJ233*'Gübre oranlar'!AM$2</f>
        <v>0</v>
      </c>
      <c r="AK233">
        <f>'Kullanılan gübre'!AK233*'Gübre oranlar'!AN$2</f>
        <v>0</v>
      </c>
      <c r="AL233">
        <f>'Kullanılan gübre'!AL233*'Gübre oranlar'!AO$2</f>
        <v>0</v>
      </c>
      <c r="AM233">
        <f>'Kullanılan gübre'!AM233*'Gübre oranlar'!AP$2</f>
        <v>0</v>
      </c>
      <c r="AN233">
        <f>'Kullanılan gübre'!AN233*'Gübre oranlar'!AQ$2</f>
        <v>0</v>
      </c>
      <c r="AO233">
        <f>'Kullanılan gübre'!AO233*'Gübre oranlar'!AR$2</f>
        <v>0</v>
      </c>
      <c r="AP233">
        <f>'Kullanılan gübre'!AP233*'Gübre oranlar'!AS$2</f>
        <v>0</v>
      </c>
      <c r="AQ233">
        <f>'Kullanılan gübre'!AQ233*'Gübre oranlar'!AT$2</f>
        <v>0</v>
      </c>
      <c r="AR233">
        <f>'Kullanılan gübre'!AR233*'Gübre oranlar'!AU$2</f>
        <v>0</v>
      </c>
      <c r="AS233">
        <f>'Kullanılan gübre'!AS233*'Gübre oranlar'!AV$2</f>
        <v>0</v>
      </c>
      <c r="AT233">
        <f>'Kullanılan gübre'!AT233*'Gübre oranlar'!AW$2</f>
        <v>0</v>
      </c>
      <c r="AU233">
        <f>'Kullanılan gübre'!AU233*'Gübre oranlar'!AX$2</f>
        <v>0</v>
      </c>
      <c r="AV233">
        <f>'Kullanılan gübre'!AV233*'Gübre oranlar'!AY$2</f>
        <v>0</v>
      </c>
      <c r="AW233">
        <f t="shared" si="3"/>
        <v>671.21400000000006</v>
      </c>
    </row>
    <row r="234" spans="1:49" hidden="1" x14ac:dyDescent="0.25">
      <c r="A234" t="str">
        <f>'Kullanılan gübre'!A234</f>
        <v>BA</v>
      </c>
      <c r="B234" t="str">
        <f>'Kullanılan gübre'!B234</f>
        <v>BURDUR</v>
      </c>
      <c r="C234" t="str">
        <f>'Kullanılan gübre'!C234</f>
        <v>TEFENNI</v>
      </c>
      <c r="D234">
        <f>'Kullanılan gübre'!D234</f>
        <v>2014</v>
      </c>
      <c r="E234">
        <f>'Kullanılan gübre'!E234*'Gübre oranlar'!H$2</f>
        <v>1.323</v>
      </c>
      <c r="F234">
        <f>'Kullanılan gübre'!F234*'Gübre oranlar'!I$2</f>
        <v>2.3660000000000001</v>
      </c>
      <c r="G234">
        <f>'Kullanılan gübre'!G234*'Gübre oranlar'!J$2</f>
        <v>50.49</v>
      </c>
      <c r="H234">
        <f>'Kullanılan gübre'!H234*'Gübre oranlar'!K$2</f>
        <v>221.03</v>
      </c>
      <c r="I234">
        <f>'Kullanılan gübre'!I234*'Gübre oranlar'!L$2</f>
        <v>0</v>
      </c>
      <c r="J234">
        <f>'Kullanılan gübre'!J234*'Gübre oranlar'!M$2</f>
        <v>3.78</v>
      </c>
      <c r="K234">
        <f>'Kullanılan gübre'!K234*'Gübre oranlar'!N$2</f>
        <v>65.02000000000001</v>
      </c>
      <c r="L234">
        <f>'Kullanılan gübre'!L234*'Gübre oranlar'!O$2</f>
        <v>108.4</v>
      </c>
      <c r="M234">
        <f>'Kullanılan gübre'!M234*'Gübre oranlar'!P$2</f>
        <v>1.2299999999999998</v>
      </c>
      <c r="N234">
        <f>'Kullanılan gübre'!N234*'Gübre oranlar'!Q$2</f>
        <v>0.70499999999999996</v>
      </c>
      <c r="O234">
        <f>'Kullanılan gübre'!O234*'Gübre oranlar'!R$2</f>
        <v>0</v>
      </c>
      <c r="P234">
        <f>'Kullanılan gübre'!P234*'Gübre oranlar'!S$2</f>
        <v>0</v>
      </c>
      <c r="Q234">
        <f>'Kullanılan gübre'!Q234*'Gübre oranlar'!T$2</f>
        <v>0</v>
      </c>
      <c r="R234">
        <f>'Kullanılan gübre'!R234*'Gübre oranlar'!U$2</f>
        <v>0</v>
      </c>
      <c r="S234">
        <f>'Kullanılan gübre'!S234*'Gübre oranlar'!V$2</f>
        <v>0</v>
      </c>
      <c r="T234">
        <f>'Kullanılan gübre'!T234*'Gübre oranlar'!W$2</f>
        <v>0</v>
      </c>
      <c r="U234">
        <f>'Kullanılan gübre'!U234*'Gübre oranlar'!X$2</f>
        <v>0</v>
      </c>
      <c r="V234">
        <f>'Kullanılan gübre'!V234*'Gübre oranlar'!Y$2</f>
        <v>0</v>
      </c>
      <c r="W234">
        <f>'Kullanılan gübre'!W234*'Gübre oranlar'!Z$2</f>
        <v>0</v>
      </c>
      <c r="X234">
        <f>'Kullanılan gübre'!X234*'Gübre oranlar'!AA$2</f>
        <v>0</v>
      </c>
      <c r="Y234">
        <f>'Kullanılan gübre'!Y234*'Gübre oranlar'!AB$2</f>
        <v>0</v>
      </c>
      <c r="Z234">
        <f>'Kullanılan gübre'!Z234*'Gübre oranlar'!AC$2</f>
        <v>0</v>
      </c>
      <c r="AA234">
        <f>'Kullanılan gübre'!AA234*'Gübre oranlar'!AD$2</f>
        <v>0</v>
      </c>
      <c r="AB234">
        <f>'Kullanılan gübre'!AB234*'Gübre oranlar'!AE$2</f>
        <v>0</v>
      </c>
      <c r="AC234">
        <f>'Kullanılan gübre'!AC234*'Gübre oranlar'!AF$2</f>
        <v>0</v>
      </c>
      <c r="AD234">
        <f>'Kullanılan gübre'!AD234*'Gübre oranlar'!AG$2</f>
        <v>0</v>
      </c>
      <c r="AE234">
        <f>'Kullanılan gübre'!AE234*'Gübre oranlar'!AH$2</f>
        <v>0</v>
      </c>
      <c r="AF234">
        <f>'Kullanılan gübre'!AF234*'Gübre oranlar'!AI$2</f>
        <v>0</v>
      </c>
      <c r="AG234">
        <f>'Kullanılan gübre'!AG234*'Gübre oranlar'!AJ$2</f>
        <v>0</v>
      </c>
      <c r="AH234">
        <f>'Kullanılan gübre'!AH234*'Gübre oranlar'!AK$2</f>
        <v>0</v>
      </c>
      <c r="AI234">
        <f>'Kullanılan gübre'!AI234*'Gübre oranlar'!AL$2</f>
        <v>0</v>
      </c>
      <c r="AJ234">
        <f>'Kullanılan gübre'!AJ234*'Gübre oranlar'!AM$2</f>
        <v>0</v>
      </c>
      <c r="AK234">
        <f>'Kullanılan gübre'!AK234*'Gübre oranlar'!AN$2</f>
        <v>0</v>
      </c>
      <c r="AL234">
        <f>'Kullanılan gübre'!AL234*'Gübre oranlar'!AO$2</f>
        <v>0</v>
      </c>
      <c r="AM234">
        <f>'Kullanılan gübre'!AM234*'Gübre oranlar'!AP$2</f>
        <v>0</v>
      </c>
      <c r="AN234">
        <f>'Kullanılan gübre'!AN234*'Gübre oranlar'!AQ$2</f>
        <v>0</v>
      </c>
      <c r="AO234">
        <f>'Kullanılan gübre'!AO234*'Gübre oranlar'!AR$2</f>
        <v>0</v>
      </c>
      <c r="AP234">
        <f>'Kullanılan gübre'!AP234*'Gübre oranlar'!AS$2</f>
        <v>0</v>
      </c>
      <c r="AQ234">
        <f>'Kullanılan gübre'!AQ234*'Gübre oranlar'!AT$2</f>
        <v>0</v>
      </c>
      <c r="AR234">
        <f>'Kullanılan gübre'!AR234*'Gübre oranlar'!AU$2</f>
        <v>0</v>
      </c>
      <c r="AS234">
        <f>'Kullanılan gübre'!AS234*'Gübre oranlar'!AV$2</f>
        <v>0</v>
      </c>
      <c r="AT234">
        <f>'Kullanılan gübre'!AT234*'Gübre oranlar'!AW$2</f>
        <v>0</v>
      </c>
      <c r="AU234">
        <f>'Kullanılan gübre'!AU234*'Gübre oranlar'!AX$2</f>
        <v>0</v>
      </c>
      <c r="AV234">
        <f>'Kullanılan gübre'!AV234*'Gübre oranlar'!AY$2</f>
        <v>0</v>
      </c>
      <c r="AW234">
        <f t="shared" si="3"/>
        <v>454.34399999999999</v>
      </c>
    </row>
    <row r="235" spans="1:49" hidden="1" x14ac:dyDescent="0.25">
      <c r="A235" t="str">
        <f>'Kullanılan gübre'!A235</f>
        <v>BA</v>
      </c>
      <c r="B235" t="str">
        <f>'Kullanılan gübre'!B235</f>
        <v>BURDUR</v>
      </c>
      <c r="C235" t="str">
        <f>'Kullanılan gübre'!C235</f>
        <v>TEFENNI</v>
      </c>
      <c r="D235">
        <f>'Kullanılan gübre'!D235</f>
        <v>2015</v>
      </c>
      <c r="E235">
        <f>'Kullanılan gübre'!E235*'Gübre oranlar'!H$2</f>
        <v>1.4279999999999999</v>
      </c>
      <c r="F235">
        <f>'Kullanılan gübre'!F235*'Gübre oranlar'!I$2</f>
        <v>2.3140000000000001</v>
      </c>
      <c r="G235">
        <f>'Kullanılan gübre'!G235*'Gübre oranlar'!J$2</f>
        <v>46.365000000000002</v>
      </c>
      <c r="H235">
        <f>'Kullanılan gübre'!H235*'Gübre oranlar'!K$2</f>
        <v>229.90800000000002</v>
      </c>
      <c r="I235">
        <f>'Kullanılan gübre'!I235*'Gübre oranlar'!L$2</f>
        <v>0</v>
      </c>
      <c r="J235">
        <f>'Kullanılan gübre'!J235*'Gübre oranlar'!M$2</f>
        <v>3.06</v>
      </c>
      <c r="K235">
        <f>'Kullanılan gübre'!K235*'Gübre oranlar'!N$2</f>
        <v>66.52000000000001</v>
      </c>
      <c r="L235">
        <f>'Kullanılan gübre'!L235*'Gübre oranlar'!O$2</f>
        <v>111.2</v>
      </c>
      <c r="M235">
        <f>'Kullanılan gübre'!M235*'Gübre oranlar'!P$2</f>
        <v>1.44</v>
      </c>
      <c r="N235">
        <f>'Kullanılan gübre'!N235*'Gübre oranlar'!Q$2</f>
        <v>0.69</v>
      </c>
      <c r="O235">
        <f>'Kullanılan gübre'!O235*'Gübre oranlar'!R$2</f>
        <v>0</v>
      </c>
      <c r="P235">
        <f>'Kullanılan gübre'!P235*'Gübre oranlar'!S$2</f>
        <v>0</v>
      </c>
      <c r="Q235">
        <f>'Kullanılan gübre'!Q235*'Gübre oranlar'!T$2</f>
        <v>0</v>
      </c>
      <c r="R235">
        <f>'Kullanılan gübre'!R235*'Gübre oranlar'!U$2</f>
        <v>0</v>
      </c>
      <c r="S235">
        <f>'Kullanılan gübre'!S235*'Gübre oranlar'!V$2</f>
        <v>0</v>
      </c>
      <c r="T235">
        <f>'Kullanılan gübre'!T235*'Gübre oranlar'!W$2</f>
        <v>0</v>
      </c>
      <c r="U235">
        <f>'Kullanılan gübre'!U235*'Gübre oranlar'!X$2</f>
        <v>0</v>
      </c>
      <c r="V235">
        <f>'Kullanılan gübre'!V235*'Gübre oranlar'!Y$2</f>
        <v>0</v>
      </c>
      <c r="W235">
        <f>'Kullanılan gübre'!W235*'Gübre oranlar'!Z$2</f>
        <v>0</v>
      </c>
      <c r="X235">
        <f>'Kullanılan gübre'!X235*'Gübre oranlar'!AA$2</f>
        <v>0</v>
      </c>
      <c r="Y235">
        <f>'Kullanılan gübre'!Y235*'Gübre oranlar'!AB$2</f>
        <v>0</v>
      </c>
      <c r="Z235">
        <f>'Kullanılan gübre'!Z235*'Gübre oranlar'!AC$2</f>
        <v>0</v>
      </c>
      <c r="AA235">
        <f>'Kullanılan gübre'!AA235*'Gübre oranlar'!AD$2</f>
        <v>0</v>
      </c>
      <c r="AB235">
        <f>'Kullanılan gübre'!AB235*'Gübre oranlar'!AE$2</f>
        <v>0</v>
      </c>
      <c r="AC235">
        <f>'Kullanılan gübre'!AC235*'Gübre oranlar'!AF$2</f>
        <v>0</v>
      </c>
      <c r="AD235">
        <f>'Kullanılan gübre'!AD235*'Gübre oranlar'!AG$2</f>
        <v>0</v>
      </c>
      <c r="AE235">
        <f>'Kullanılan gübre'!AE235*'Gübre oranlar'!AH$2</f>
        <v>0</v>
      </c>
      <c r="AF235">
        <f>'Kullanılan gübre'!AF235*'Gübre oranlar'!AI$2</f>
        <v>0</v>
      </c>
      <c r="AG235">
        <f>'Kullanılan gübre'!AG235*'Gübre oranlar'!AJ$2</f>
        <v>0</v>
      </c>
      <c r="AH235">
        <f>'Kullanılan gübre'!AH235*'Gübre oranlar'!AK$2</f>
        <v>0</v>
      </c>
      <c r="AI235">
        <f>'Kullanılan gübre'!AI235*'Gübre oranlar'!AL$2</f>
        <v>0</v>
      </c>
      <c r="AJ235">
        <f>'Kullanılan gübre'!AJ235*'Gübre oranlar'!AM$2</f>
        <v>0</v>
      </c>
      <c r="AK235">
        <f>'Kullanılan gübre'!AK235*'Gübre oranlar'!AN$2</f>
        <v>0</v>
      </c>
      <c r="AL235">
        <f>'Kullanılan gübre'!AL235*'Gübre oranlar'!AO$2</f>
        <v>0</v>
      </c>
      <c r="AM235">
        <f>'Kullanılan gübre'!AM235*'Gübre oranlar'!AP$2</f>
        <v>0</v>
      </c>
      <c r="AN235">
        <f>'Kullanılan gübre'!AN235*'Gübre oranlar'!AQ$2</f>
        <v>0</v>
      </c>
      <c r="AO235">
        <f>'Kullanılan gübre'!AO235*'Gübre oranlar'!AR$2</f>
        <v>0</v>
      </c>
      <c r="AP235">
        <f>'Kullanılan gübre'!AP235*'Gübre oranlar'!AS$2</f>
        <v>0</v>
      </c>
      <c r="AQ235">
        <f>'Kullanılan gübre'!AQ235*'Gübre oranlar'!AT$2</f>
        <v>0</v>
      </c>
      <c r="AR235">
        <f>'Kullanılan gübre'!AR235*'Gübre oranlar'!AU$2</f>
        <v>0</v>
      </c>
      <c r="AS235">
        <f>'Kullanılan gübre'!AS235*'Gübre oranlar'!AV$2</f>
        <v>0</v>
      </c>
      <c r="AT235">
        <f>'Kullanılan gübre'!AT235*'Gübre oranlar'!AW$2</f>
        <v>0</v>
      </c>
      <c r="AU235">
        <f>'Kullanılan gübre'!AU235*'Gübre oranlar'!AX$2</f>
        <v>0</v>
      </c>
      <c r="AV235">
        <f>'Kullanılan gübre'!AV235*'Gübre oranlar'!AY$2</f>
        <v>0</v>
      </c>
      <c r="AW235">
        <f t="shared" si="3"/>
        <v>462.92500000000001</v>
      </c>
    </row>
    <row r="236" spans="1:49" hidden="1" x14ac:dyDescent="0.25">
      <c r="A236" t="str">
        <f>'Kullanılan gübre'!A236</f>
        <v>BA</v>
      </c>
      <c r="B236" t="str">
        <f>'Kullanılan gübre'!B236</f>
        <v>BURDUR</v>
      </c>
      <c r="C236" t="str">
        <f>'Kullanılan gübre'!C236</f>
        <v>TEFENNI</v>
      </c>
      <c r="D236">
        <f>'Kullanılan gübre'!D236</f>
        <v>2016</v>
      </c>
      <c r="E236">
        <f>'Kullanılan gübre'!E236*'Gübre oranlar'!H$2</f>
        <v>0</v>
      </c>
      <c r="F236">
        <f>'Kullanılan gübre'!F236*'Gübre oranlar'!I$2</f>
        <v>2.3919999999999999</v>
      </c>
      <c r="G236">
        <f>'Kullanılan gübre'!G236*'Gübre oranlar'!J$2</f>
        <v>48.279000000000003</v>
      </c>
      <c r="H236">
        <f>'Kullanılan gübre'!H236*'Gübre oranlar'!K$2</f>
        <v>245.73200000000003</v>
      </c>
      <c r="I236">
        <f>'Kullanılan gübre'!I236*'Gübre oranlar'!L$2</f>
        <v>0</v>
      </c>
      <c r="J236">
        <f>'Kullanılan gübre'!J236*'Gübre oranlar'!M$2</f>
        <v>2.9699999999999998</v>
      </c>
      <c r="K236">
        <f>'Kullanılan gübre'!K236*'Gübre oranlar'!N$2</f>
        <v>57.820000000000007</v>
      </c>
      <c r="L236">
        <f>'Kullanılan gübre'!L236*'Gübre oranlar'!O$2</f>
        <v>97.800000000000011</v>
      </c>
      <c r="M236">
        <f>'Kullanılan gübre'!M236*'Gübre oranlar'!P$2</f>
        <v>1.2899999999999998</v>
      </c>
      <c r="N236">
        <f>'Kullanılan gübre'!N236*'Gübre oranlar'!Q$2</f>
        <v>0.70499999999999996</v>
      </c>
      <c r="O236">
        <f>'Kullanılan gübre'!O236*'Gübre oranlar'!R$2</f>
        <v>0</v>
      </c>
      <c r="P236">
        <f>'Kullanılan gübre'!P236*'Gübre oranlar'!S$2</f>
        <v>0</v>
      </c>
      <c r="Q236">
        <f>'Kullanılan gübre'!Q236*'Gübre oranlar'!T$2</f>
        <v>0</v>
      </c>
      <c r="R236">
        <f>'Kullanılan gübre'!R236*'Gübre oranlar'!U$2</f>
        <v>0</v>
      </c>
      <c r="S236">
        <f>'Kullanılan gübre'!S236*'Gübre oranlar'!V$2</f>
        <v>0</v>
      </c>
      <c r="T236">
        <f>'Kullanılan gübre'!T236*'Gübre oranlar'!W$2</f>
        <v>0</v>
      </c>
      <c r="U236">
        <f>'Kullanılan gübre'!U236*'Gübre oranlar'!X$2</f>
        <v>0</v>
      </c>
      <c r="V236">
        <f>'Kullanılan gübre'!V236*'Gübre oranlar'!Y$2</f>
        <v>0</v>
      </c>
      <c r="W236">
        <f>'Kullanılan gübre'!W236*'Gübre oranlar'!Z$2</f>
        <v>0</v>
      </c>
      <c r="X236">
        <f>'Kullanılan gübre'!X236*'Gübre oranlar'!AA$2</f>
        <v>0</v>
      </c>
      <c r="Y236">
        <f>'Kullanılan gübre'!Y236*'Gübre oranlar'!AB$2</f>
        <v>0</v>
      </c>
      <c r="Z236">
        <f>'Kullanılan gübre'!Z236*'Gübre oranlar'!AC$2</f>
        <v>0</v>
      </c>
      <c r="AA236">
        <f>'Kullanılan gübre'!AA236*'Gübre oranlar'!AD$2</f>
        <v>0</v>
      </c>
      <c r="AB236">
        <f>'Kullanılan gübre'!AB236*'Gübre oranlar'!AE$2</f>
        <v>0</v>
      </c>
      <c r="AC236">
        <f>'Kullanılan gübre'!AC236*'Gübre oranlar'!AF$2</f>
        <v>0</v>
      </c>
      <c r="AD236">
        <f>'Kullanılan gübre'!AD236*'Gübre oranlar'!AG$2</f>
        <v>0</v>
      </c>
      <c r="AE236">
        <f>'Kullanılan gübre'!AE236*'Gübre oranlar'!AH$2</f>
        <v>0</v>
      </c>
      <c r="AF236">
        <f>'Kullanılan gübre'!AF236*'Gübre oranlar'!AI$2</f>
        <v>0</v>
      </c>
      <c r="AG236">
        <f>'Kullanılan gübre'!AG236*'Gübre oranlar'!AJ$2</f>
        <v>0</v>
      </c>
      <c r="AH236">
        <f>'Kullanılan gübre'!AH236*'Gübre oranlar'!AK$2</f>
        <v>0</v>
      </c>
      <c r="AI236">
        <f>'Kullanılan gübre'!AI236*'Gübre oranlar'!AL$2</f>
        <v>0</v>
      </c>
      <c r="AJ236">
        <f>'Kullanılan gübre'!AJ236*'Gübre oranlar'!AM$2</f>
        <v>0</v>
      </c>
      <c r="AK236">
        <f>'Kullanılan gübre'!AK236*'Gübre oranlar'!AN$2</f>
        <v>0</v>
      </c>
      <c r="AL236">
        <f>'Kullanılan gübre'!AL236*'Gübre oranlar'!AO$2</f>
        <v>0</v>
      </c>
      <c r="AM236">
        <f>'Kullanılan gübre'!AM236*'Gübre oranlar'!AP$2</f>
        <v>0</v>
      </c>
      <c r="AN236">
        <f>'Kullanılan gübre'!AN236*'Gübre oranlar'!AQ$2</f>
        <v>0</v>
      </c>
      <c r="AO236">
        <f>'Kullanılan gübre'!AO236*'Gübre oranlar'!AR$2</f>
        <v>0</v>
      </c>
      <c r="AP236">
        <f>'Kullanılan gübre'!AP236*'Gübre oranlar'!AS$2</f>
        <v>0</v>
      </c>
      <c r="AQ236">
        <f>'Kullanılan gübre'!AQ236*'Gübre oranlar'!AT$2</f>
        <v>0</v>
      </c>
      <c r="AR236">
        <f>'Kullanılan gübre'!AR236*'Gübre oranlar'!AU$2</f>
        <v>0</v>
      </c>
      <c r="AS236">
        <f>'Kullanılan gübre'!AS236*'Gübre oranlar'!AV$2</f>
        <v>0</v>
      </c>
      <c r="AT236">
        <f>'Kullanılan gübre'!AT236*'Gübre oranlar'!AW$2</f>
        <v>0</v>
      </c>
      <c r="AU236">
        <f>'Kullanılan gübre'!AU236*'Gübre oranlar'!AX$2</f>
        <v>0</v>
      </c>
      <c r="AV236">
        <f>'Kullanılan gübre'!AV236*'Gübre oranlar'!AY$2</f>
        <v>0</v>
      </c>
      <c r="AW236">
        <f t="shared" si="3"/>
        <v>456.98800000000006</v>
      </c>
    </row>
    <row r="237" spans="1:49" hidden="1" x14ac:dyDescent="0.25">
      <c r="A237" t="str">
        <f>'Kullanılan gübre'!A237</f>
        <v>BA</v>
      </c>
      <c r="B237" t="str">
        <f>'Kullanılan gübre'!B237</f>
        <v>BURDUR</v>
      </c>
      <c r="C237" t="str">
        <f>'Kullanılan gübre'!C237</f>
        <v>TEFENNI</v>
      </c>
      <c r="D237">
        <f>'Kullanılan gübre'!D237</f>
        <v>2017</v>
      </c>
      <c r="E237">
        <f>'Kullanılan gübre'!E237*'Gübre oranlar'!H$2</f>
        <v>1.1340000000000001</v>
      </c>
      <c r="F237">
        <f>'Kullanılan gübre'!F237*'Gübre oranlar'!I$2</f>
        <v>5.7460000000000004</v>
      </c>
      <c r="G237">
        <f>'Kullanılan gübre'!G237*'Gübre oranlar'!J$2</f>
        <v>0</v>
      </c>
      <c r="H237">
        <f>'Kullanılan gübre'!H237*'Gübre oranlar'!K$2</f>
        <v>230.64400000000001</v>
      </c>
      <c r="I237">
        <f>'Kullanılan gübre'!I237*'Gübre oranlar'!L$2</f>
        <v>0</v>
      </c>
      <c r="J237">
        <f>'Kullanılan gübre'!J237*'Gübre oranlar'!M$2</f>
        <v>3.1680000000000001</v>
      </c>
      <c r="K237">
        <f>'Kullanılan gübre'!K237*'Gübre oranlar'!N$2</f>
        <v>69.160000000000011</v>
      </c>
      <c r="L237">
        <f>'Kullanılan gübre'!L237*'Gübre oranlar'!O$2</f>
        <v>117.2</v>
      </c>
      <c r="M237">
        <f>'Kullanılan gübre'!M237*'Gübre oranlar'!P$2</f>
        <v>1.1399999999999999</v>
      </c>
      <c r="N237">
        <f>'Kullanılan gübre'!N237*'Gübre oranlar'!Q$2</f>
        <v>0.72</v>
      </c>
      <c r="O237">
        <f>'Kullanılan gübre'!O237*'Gübre oranlar'!R$2</f>
        <v>0</v>
      </c>
      <c r="P237">
        <f>'Kullanılan gübre'!P237*'Gübre oranlar'!S$2</f>
        <v>0</v>
      </c>
      <c r="Q237">
        <f>'Kullanılan gübre'!Q237*'Gübre oranlar'!T$2</f>
        <v>0</v>
      </c>
      <c r="R237">
        <f>'Kullanılan gübre'!R237*'Gübre oranlar'!U$2</f>
        <v>0</v>
      </c>
      <c r="S237">
        <f>'Kullanılan gübre'!S237*'Gübre oranlar'!V$2</f>
        <v>0</v>
      </c>
      <c r="T237">
        <f>'Kullanılan gübre'!T237*'Gübre oranlar'!W$2</f>
        <v>0</v>
      </c>
      <c r="U237">
        <f>'Kullanılan gübre'!U237*'Gübre oranlar'!X$2</f>
        <v>0</v>
      </c>
      <c r="V237">
        <f>'Kullanılan gübre'!V237*'Gübre oranlar'!Y$2</f>
        <v>0</v>
      </c>
      <c r="W237">
        <f>'Kullanılan gübre'!W237*'Gübre oranlar'!Z$2</f>
        <v>0</v>
      </c>
      <c r="X237">
        <f>'Kullanılan gübre'!X237*'Gübre oranlar'!AA$2</f>
        <v>0</v>
      </c>
      <c r="Y237">
        <f>'Kullanılan gübre'!Y237*'Gübre oranlar'!AB$2</f>
        <v>0</v>
      </c>
      <c r="Z237">
        <f>'Kullanılan gübre'!Z237*'Gübre oranlar'!AC$2</f>
        <v>0</v>
      </c>
      <c r="AA237">
        <f>'Kullanılan gübre'!AA237*'Gübre oranlar'!AD$2</f>
        <v>0</v>
      </c>
      <c r="AB237">
        <f>'Kullanılan gübre'!AB237*'Gübre oranlar'!AE$2</f>
        <v>0</v>
      </c>
      <c r="AC237">
        <f>'Kullanılan gübre'!AC237*'Gübre oranlar'!AF$2</f>
        <v>0</v>
      </c>
      <c r="AD237">
        <f>'Kullanılan gübre'!AD237*'Gübre oranlar'!AG$2</f>
        <v>0</v>
      </c>
      <c r="AE237">
        <f>'Kullanılan gübre'!AE237*'Gübre oranlar'!AH$2</f>
        <v>0</v>
      </c>
      <c r="AF237">
        <f>'Kullanılan gübre'!AF237*'Gübre oranlar'!AI$2</f>
        <v>0</v>
      </c>
      <c r="AG237">
        <f>'Kullanılan gübre'!AG237*'Gübre oranlar'!AJ$2</f>
        <v>0</v>
      </c>
      <c r="AH237">
        <f>'Kullanılan gübre'!AH237*'Gübre oranlar'!AK$2</f>
        <v>0</v>
      </c>
      <c r="AI237">
        <f>'Kullanılan gübre'!AI237*'Gübre oranlar'!AL$2</f>
        <v>0</v>
      </c>
      <c r="AJ237">
        <f>'Kullanılan gübre'!AJ237*'Gübre oranlar'!AM$2</f>
        <v>0</v>
      </c>
      <c r="AK237">
        <f>'Kullanılan gübre'!AK237*'Gübre oranlar'!AN$2</f>
        <v>0</v>
      </c>
      <c r="AL237">
        <f>'Kullanılan gübre'!AL237*'Gübre oranlar'!AO$2</f>
        <v>0</v>
      </c>
      <c r="AM237">
        <f>'Kullanılan gübre'!AM237*'Gübre oranlar'!AP$2</f>
        <v>0</v>
      </c>
      <c r="AN237">
        <f>'Kullanılan gübre'!AN237*'Gübre oranlar'!AQ$2</f>
        <v>0</v>
      </c>
      <c r="AO237">
        <f>'Kullanılan gübre'!AO237*'Gübre oranlar'!AR$2</f>
        <v>0</v>
      </c>
      <c r="AP237">
        <f>'Kullanılan gübre'!AP237*'Gübre oranlar'!AS$2</f>
        <v>0</v>
      </c>
      <c r="AQ237">
        <f>'Kullanılan gübre'!AQ237*'Gübre oranlar'!AT$2</f>
        <v>0</v>
      </c>
      <c r="AR237">
        <f>'Kullanılan gübre'!AR237*'Gübre oranlar'!AU$2</f>
        <v>0</v>
      </c>
      <c r="AS237">
        <f>'Kullanılan gübre'!AS237*'Gübre oranlar'!AV$2</f>
        <v>0</v>
      </c>
      <c r="AT237">
        <f>'Kullanılan gübre'!AT237*'Gübre oranlar'!AW$2</f>
        <v>0</v>
      </c>
      <c r="AU237">
        <f>'Kullanılan gübre'!AU237*'Gübre oranlar'!AX$2</f>
        <v>0</v>
      </c>
      <c r="AV237">
        <f>'Kullanılan gübre'!AV237*'Gübre oranlar'!AY$2</f>
        <v>0</v>
      </c>
      <c r="AW237">
        <f t="shared" si="3"/>
        <v>428.91200000000003</v>
      </c>
    </row>
    <row r="238" spans="1:49" hidden="1" x14ac:dyDescent="0.25">
      <c r="A238" t="str">
        <f>'Kullanılan gübre'!A238</f>
        <v>BA</v>
      </c>
      <c r="B238" t="str">
        <f>'Kullanılan gübre'!B238</f>
        <v>BURDUR</v>
      </c>
      <c r="C238" t="str">
        <f>'Kullanılan gübre'!C238</f>
        <v>CAVDIR</v>
      </c>
      <c r="D238">
        <f>'Kullanılan gübre'!D238</f>
        <v>2011</v>
      </c>
      <c r="E238">
        <f>'Kullanılan gübre'!E238*'Gübre oranlar'!H$2</f>
        <v>42.430500000000002</v>
      </c>
      <c r="F238">
        <f>'Kullanılan gübre'!F238*'Gübre oranlar'!I$2</f>
        <v>19.850999999999999</v>
      </c>
      <c r="G238">
        <f>'Kullanılan gübre'!G238*'Gübre oranlar'!J$2</f>
        <v>209.97899999999998</v>
      </c>
      <c r="H238">
        <f>'Kullanılan gübre'!H238*'Gübre oranlar'!K$2</f>
        <v>80.960000000000008</v>
      </c>
      <c r="I238">
        <f>'Kullanılan gübre'!I238*'Gübre oranlar'!L$2</f>
        <v>0</v>
      </c>
      <c r="J238">
        <f>'Kullanılan gübre'!J238*'Gübre oranlar'!M$2</f>
        <v>16.362000000000002</v>
      </c>
      <c r="K238">
        <f>'Kullanılan gübre'!K238*'Gübre oranlar'!N$2</f>
        <v>68.010000000000005</v>
      </c>
      <c r="L238">
        <f>'Kullanılan gübre'!L238*'Gübre oranlar'!O$2</f>
        <v>18.760000000000002</v>
      </c>
      <c r="M238">
        <f>'Kullanılan gübre'!M238*'Gübre oranlar'!P$2</f>
        <v>10.35</v>
      </c>
      <c r="N238">
        <f>'Kullanılan gübre'!N238*'Gübre oranlar'!Q$2</f>
        <v>62.827500000000001</v>
      </c>
      <c r="O238">
        <f>'Kullanılan gübre'!O238*'Gübre oranlar'!R$2</f>
        <v>0</v>
      </c>
      <c r="P238">
        <f>'Kullanılan gübre'!P238*'Gübre oranlar'!S$2</f>
        <v>1.8590000000000002</v>
      </c>
      <c r="Q238">
        <f>'Kullanılan gübre'!Q238*'Gübre oranlar'!T$2</f>
        <v>0</v>
      </c>
      <c r="R238">
        <f>'Kullanılan gübre'!R238*'Gübre oranlar'!U$2</f>
        <v>0</v>
      </c>
      <c r="S238">
        <f>'Kullanılan gübre'!S238*'Gübre oranlar'!V$2</f>
        <v>0</v>
      </c>
      <c r="T238">
        <f>'Kullanılan gübre'!T238*'Gübre oranlar'!W$2</f>
        <v>0</v>
      </c>
      <c r="U238">
        <f>'Kullanılan gübre'!U238*'Gübre oranlar'!X$2</f>
        <v>0</v>
      </c>
      <c r="V238">
        <f>'Kullanılan gübre'!V238*'Gübre oranlar'!Y$2</f>
        <v>0</v>
      </c>
      <c r="W238">
        <f>'Kullanılan gübre'!W238*'Gübre oranlar'!Z$2</f>
        <v>0</v>
      </c>
      <c r="X238">
        <f>'Kullanılan gübre'!X238*'Gübre oranlar'!AA$2</f>
        <v>0</v>
      </c>
      <c r="Y238">
        <f>'Kullanılan gübre'!Y238*'Gübre oranlar'!AB$2</f>
        <v>0</v>
      </c>
      <c r="Z238">
        <f>'Kullanılan gübre'!Z238*'Gübre oranlar'!AC$2</f>
        <v>0</v>
      </c>
      <c r="AA238">
        <f>'Kullanılan gübre'!AA238*'Gübre oranlar'!AD$2</f>
        <v>0</v>
      </c>
      <c r="AB238">
        <f>'Kullanılan gübre'!AB238*'Gübre oranlar'!AE$2</f>
        <v>0</v>
      </c>
      <c r="AC238">
        <f>'Kullanılan gübre'!AC238*'Gübre oranlar'!AF$2</f>
        <v>0</v>
      </c>
      <c r="AD238">
        <f>'Kullanılan gübre'!AD238*'Gübre oranlar'!AG$2</f>
        <v>0</v>
      </c>
      <c r="AE238">
        <f>'Kullanılan gübre'!AE238*'Gübre oranlar'!AH$2</f>
        <v>0</v>
      </c>
      <c r="AF238">
        <f>'Kullanılan gübre'!AF238*'Gübre oranlar'!AI$2</f>
        <v>0</v>
      </c>
      <c r="AG238">
        <f>'Kullanılan gübre'!AG238*'Gübre oranlar'!AJ$2</f>
        <v>0</v>
      </c>
      <c r="AH238">
        <f>'Kullanılan gübre'!AH238*'Gübre oranlar'!AK$2</f>
        <v>0</v>
      </c>
      <c r="AI238">
        <f>'Kullanılan gübre'!AI238*'Gübre oranlar'!AL$2</f>
        <v>0</v>
      </c>
      <c r="AJ238">
        <f>'Kullanılan gübre'!AJ238*'Gübre oranlar'!AM$2</f>
        <v>0</v>
      </c>
      <c r="AK238">
        <f>'Kullanılan gübre'!AK238*'Gübre oranlar'!AN$2</f>
        <v>0</v>
      </c>
      <c r="AL238">
        <f>'Kullanılan gübre'!AL238*'Gübre oranlar'!AO$2</f>
        <v>0</v>
      </c>
      <c r="AM238">
        <f>'Kullanılan gübre'!AM238*'Gübre oranlar'!AP$2</f>
        <v>0</v>
      </c>
      <c r="AN238">
        <f>'Kullanılan gübre'!AN238*'Gübre oranlar'!AQ$2</f>
        <v>0</v>
      </c>
      <c r="AO238">
        <f>'Kullanılan gübre'!AO238*'Gübre oranlar'!AR$2</f>
        <v>0</v>
      </c>
      <c r="AP238">
        <f>'Kullanılan gübre'!AP238*'Gübre oranlar'!AS$2</f>
        <v>0</v>
      </c>
      <c r="AQ238">
        <f>'Kullanılan gübre'!AQ238*'Gübre oranlar'!AT$2</f>
        <v>0</v>
      </c>
      <c r="AR238">
        <f>'Kullanılan gübre'!AR238*'Gübre oranlar'!AU$2</f>
        <v>0</v>
      </c>
      <c r="AS238">
        <f>'Kullanılan gübre'!AS238*'Gübre oranlar'!AV$2</f>
        <v>0</v>
      </c>
      <c r="AT238">
        <f>'Kullanılan gübre'!AT238*'Gübre oranlar'!AW$2</f>
        <v>0</v>
      </c>
      <c r="AU238">
        <f>'Kullanılan gübre'!AU238*'Gübre oranlar'!AX$2</f>
        <v>0</v>
      </c>
      <c r="AV238">
        <f>'Kullanılan gübre'!AV238*'Gübre oranlar'!AY$2</f>
        <v>0</v>
      </c>
      <c r="AW238">
        <f t="shared" si="3"/>
        <v>531.38900000000012</v>
      </c>
    </row>
    <row r="239" spans="1:49" hidden="1" x14ac:dyDescent="0.25">
      <c r="A239" t="str">
        <f>'Kullanılan gübre'!A239</f>
        <v>BA</v>
      </c>
      <c r="B239" t="str">
        <f>'Kullanılan gübre'!B239</f>
        <v>BURDUR</v>
      </c>
      <c r="C239" t="str">
        <f>'Kullanılan gübre'!C239</f>
        <v>CAVDIR</v>
      </c>
      <c r="D239">
        <f>'Kullanılan gübre'!D239</f>
        <v>2012</v>
      </c>
      <c r="E239">
        <f>'Kullanılan gübre'!E239*'Gübre oranlar'!H$2</f>
        <v>13.502999999999998</v>
      </c>
      <c r="F239">
        <f>'Kullanılan gübre'!F239*'Gübre oranlar'!I$2</f>
        <v>21.229000000000003</v>
      </c>
      <c r="G239">
        <f>'Kullanılan gübre'!G239*'Gübre oranlar'!J$2</f>
        <v>126.67050000000002</v>
      </c>
      <c r="H239">
        <f>'Kullanılan gübre'!H239*'Gübre oranlar'!K$2</f>
        <v>47.633000000000003</v>
      </c>
      <c r="I239">
        <f>'Kullanılan gübre'!I239*'Gübre oranlar'!L$2</f>
        <v>0</v>
      </c>
      <c r="J239">
        <f>'Kullanılan gübre'!J239*'Gübre oranlar'!M$2</f>
        <v>7.1549999999999994</v>
      </c>
      <c r="K239">
        <f>'Kullanılan gübre'!K239*'Gübre oranlar'!N$2</f>
        <v>14.62</v>
      </c>
      <c r="L239">
        <f>'Kullanılan gübre'!L239*'Gübre oranlar'!O$2</f>
        <v>2.2100000000000004</v>
      </c>
      <c r="M239">
        <f>'Kullanılan gübre'!M239*'Gübre oranlar'!P$2</f>
        <v>4.95</v>
      </c>
      <c r="N239">
        <f>'Kullanılan gübre'!N239*'Gübre oranlar'!Q$2</f>
        <v>30.037499999999998</v>
      </c>
      <c r="O239">
        <f>'Kullanılan gübre'!O239*'Gübre oranlar'!R$2</f>
        <v>0</v>
      </c>
      <c r="P239">
        <f>'Kullanılan gübre'!P239*'Gübre oranlar'!S$2</f>
        <v>0.74750000000000005</v>
      </c>
      <c r="Q239">
        <f>'Kullanılan gübre'!Q239*'Gübre oranlar'!T$2</f>
        <v>0</v>
      </c>
      <c r="R239">
        <f>'Kullanılan gübre'!R239*'Gübre oranlar'!U$2</f>
        <v>0</v>
      </c>
      <c r="S239">
        <f>'Kullanılan gübre'!S239*'Gübre oranlar'!V$2</f>
        <v>0</v>
      </c>
      <c r="T239">
        <f>'Kullanılan gübre'!T239*'Gübre oranlar'!W$2</f>
        <v>0</v>
      </c>
      <c r="U239">
        <f>'Kullanılan gübre'!U239*'Gübre oranlar'!X$2</f>
        <v>0</v>
      </c>
      <c r="V239">
        <f>'Kullanılan gübre'!V239*'Gübre oranlar'!Y$2</f>
        <v>0</v>
      </c>
      <c r="W239">
        <f>'Kullanılan gübre'!W239*'Gübre oranlar'!Z$2</f>
        <v>0</v>
      </c>
      <c r="X239">
        <f>'Kullanılan gübre'!X239*'Gübre oranlar'!AA$2</f>
        <v>0</v>
      </c>
      <c r="Y239">
        <f>'Kullanılan gübre'!Y239*'Gübre oranlar'!AB$2</f>
        <v>0</v>
      </c>
      <c r="Z239">
        <f>'Kullanılan gübre'!Z239*'Gübre oranlar'!AC$2</f>
        <v>0</v>
      </c>
      <c r="AA239">
        <f>'Kullanılan gübre'!AA239*'Gübre oranlar'!AD$2</f>
        <v>0</v>
      </c>
      <c r="AB239">
        <f>'Kullanılan gübre'!AB239*'Gübre oranlar'!AE$2</f>
        <v>0</v>
      </c>
      <c r="AC239">
        <f>'Kullanılan gübre'!AC239*'Gübre oranlar'!AF$2</f>
        <v>0</v>
      </c>
      <c r="AD239">
        <f>'Kullanılan gübre'!AD239*'Gübre oranlar'!AG$2</f>
        <v>0</v>
      </c>
      <c r="AE239">
        <f>'Kullanılan gübre'!AE239*'Gübre oranlar'!AH$2</f>
        <v>0</v>
      </c>
      <c r="AF239">
        <f>'Kullanılan gübre'!AF239*'Gübre oranlar'!AI$2</f>
        <v>0</v>
      </c>
      <c r="AG239">
        <f>'Kullanılan gübre'!AG239*'Gübre oranlar'!AJ$2</f>
        <v>0</v>
      </c>
      <c r="AH239">
        <f>'Kullanılan gübre'!AH239*'Gübre oranlar'!AK$2</f>
        <v>0</v>
      </c>
      <c r="AI239">
        <f>'Kullanılan gübre'!AI239*'Gübre oranlar'!AL$2</f>
        <v>0</v>
      </c>
      <c r="AJ239">
        <f>'Kullanılan gübre'!AJ239*'Gübre oranlar'!AM$2</f>
        <v>0</v>
      </c>
      <c r="AK239">
        <f>'Kullanılan gübre'!AK239*'Gübre oranlar'!AN$2</f>
        <v>0</v>
      </c>
      <c r="AL239">
        <f>'Kullanılan gübre'!AL239*'Gübre oranlar'!AO$2</f>
        <v>0</v>
      </c>
      <c r="AM239">
        <f>'Kullanılan gübre'!AM239*'Gübre oranlar'!AP$2</f>
        <v>0</v>
      </c>
      <c r="AN239">
        <f>'Kullanılan gübre'!AN239*'Gübre oranlar'!AQ$2</f>
        <v>0</v>
      </c>
      <c r="AO239">
        <f>'Kullanılan gübre'!AO239*'Gübre oranlar'!AR$2</f>
        <v>0</v>
      </c>
      <c r="AP239">
        <f>'Kullanılan gübre'!AP239*'Gübre oranlar'!AS$2</f>
        <v>0</v>
      </c>
      <c r="AQ239">
        <f>'Kullanılan gübre'!AQ239*'Gübre oranlar'!AT$2</f>
        <v>0</v>
      </c>
      <c r="AR239">
        <f>'Kullanılan gübre'!AR239*'Gübre oranlar'!AU$2</f>
        <v>0</v>
      </c>
      <c r="AS239">
        <f>'Kullanılan gübre'!AS239*'Gübre oranlar'!AV$2</f>
        <v>0</v>
      </c>
      <c r="AT239">
        <f>'Kullanılan gübre'!AT239*'Gübre oranlar'!AW$2</f>
        <v>0</v>
      </c>
      <c r="AU239">
        <f>'Kullanılan gübre'!AU239*'Gübre oranlar'!AX$2</f>
        <v>0</v>
      </c>
      <c r="AV239">
        <f>'Kullanılan gübre'!AV239*'Gübre oranlar'!AY$2</f>
        <v>0</v>
      </c>
      <c r="AW239">
        <f t="shared" si="3"/>
        <v>268.75550000000004</v>
      </c>
    </row>
    <row r="240" spans="1:49" hidden="1" x14ac:dyDescent="0.25">
      <c r="A240" t="str">
        <f>'Kullanılan gübre'!A240</f>
        <v>BA</v>
      </c>
      <c r="B240" t="str">
        <f>'Kullanılan gübre'!B240</f>
        <v>BURDUR</v>
      </c>
      <c r="C240" t="str">
        <f>'Kullanılan gübre'!C240</f>
        <v>CAVDIR</v>
      </c>
      <c r="D240">
        <f>'Kullanılan gübre'!D240</f>
        <v>2013</v>
      </c>
      <c r="E240">
        <f>'Kullanılan gübre'!E240*'Gübre oranlar'!H$2</f>
        <v>33.515999999999998</v>
      </c>
      <c r="F240">
        <f>'Kullanılan gübre'!F240*'Gübre oranlar'!I$2</f>
        <v>26.312000000000001</v>
      </c>
      <c r="G240">
        <f>'Kullanılan gübre'!G240*'Gübre oranlar'!J$2</f>
        <v>178.10100000000003</v>
      </c>
      <c r="H240">
        <f>'Kullanılan gübre'!H240*'Gübre oranlar'!K$2</f>
        <v>87.262</v>
      </c>
      <c r="I240">
        <f>'Kullanılan gübre'!I240*'Gübre oranlar'!L$2</f>
        <v>0</v>
      </c>
      <c r="J240">
        <f>'Kullanılan gübre'!J240*'Gübre oranlar'!M$2</f>
        <v>26.495999999999999</v>
      </c>
      <c r="K240">
        <f>'Kullanılan gübre'!K240*'Gübre oranlar'!N$2</f>
        <v>41.930000000000007</v>
      </c>
      <c r="L240">
        <f>'Kullanılan gübre'!L240*'Gübre oranlar'!O$2</f>
        <v>7.46</v>
      </c>
      <c r="M240">
        <f>'Kullanılan gübre'!M240*'Gübre oranlar'!P$2</f>
        <v>6.9974999999999996</v>
      </c>
      <c r="N240">
        <f>'Kullanılan gübre'!N240*'Gübre oranlar'!Q$2</f>
        <v>39.104999999999997</v>
      </c>
      <c r="O240">
        <f>'Kullanılan gübre'!O240*'Gübre oranlar'!R$2</f>
        <v>0</v>
      </c>
      <c r="P240">
        <f>'Kullanılan gübre'!P240*'Gübre oranlar'!S$2</f>
        <v>1.1147499999999999</v>
      </c>
      <c r="Q240">
        <f>'Kullanılan gübre'!Q240*'Gübre oranlar'!T$2</f>
        <v>0</v>
      </c>
      <c r="R240">
        <f>'Kullanılan gübre'!R240*'Gübre oranlar'!U$2</f>
        <v>0</v>
      </c>
      <c r="S240">
        <f>'Kullanılan gübre'!S240*'Gübre oranlar'!V$2</f>
        <v>0</v>
      </c>
      <c r="T240">
        <f>'Kullanılan gübre'!T240*'Gübre oranlar'!W$2</f>
        <v>0</v>
      </c>
      <c r="U240">
        <f>'Kullanılan gübre'!U240*'Gübre oranlar'!X$2</f>
        <v>0</v>
      </c>
      <c r="V240">
        <f>'Kullanılan gübre'!V240*'Gübre oranlar'!Y$2</f>
        <v>0</v>
      </c>
      <c r="W240">
        <f>'Kullanılan gübre'!W240*'Gübre oranlar'!Z$2</f>
        <v>0</v>
      </c>
      <c r="X240">
        <f>'Kullanılan gübre'!X240*'Gübre oranlar'!AA$2</f>
        <v>0</v>
      </c>
      <c r="Y240">
        <f>'Kullanılan gübre'!Y240*'Gübre oranlar'!AB$2</f>
        <v>0</v>
      </c>
      <c r="Z240">
        <f>'Kullanılan gübre'!Z240*'Gübre oranlar'!AC$2</f>
        <v>0</v>
      </c>
      <c r="AA240">
        <f>'Kullanılan gübre'!AA240*'Gübre oranlar'!AD$2</f>
        <v>0</v>
      </c>
      <c r="AB240">
        <f>'Kullanılan gübre'!AB240*'Gübre oranlar'!AE$2</f>
        <v>0</v>
      </c>
      <c r="AC240">
        <f>'Kullanılan gübre'!AC240*'Gübre oranlar'!AF$2</f>
        <v>0</v>
      </c>
      <c r="AD240">
        <f>'Kullanılan gübre'!AD240*'Gübre oranlar'!AG$2</f>
        <v>0</v>
      </c>
      <c r="AE240">
        <f>'Kullanılan gübre'!AE240*'Gübre oranlar'!AH$2</f>
        <v>0</v>
      </c>
      <c r="AF240">
        <f>'Kullanılan gübre'!AF240*'Gübre oranlar'!AI$2</f>
        <v>0</v>
      </c>
      <c r="AG240">
        <f>'Kullanılan gübre'!AG240*'Gübre oranlar'!AJ$2</f>
        <v>0</v>
      </c>
      <c r="AH240">
        <f>'Kullanılan gübre'!AH240*'Gübre oranlar'!AK$2</f>
        <v>0</v>
      </c>
      <c r="AI240">
        <f>'Kullanılan gübre'!AI240*'Gübre oranlar'!AL$2</f>
        <v>0</v>
      </c>
      <c r="AJ240">
        <f>'Kullanılan gübre'!AJ240*'Gübre oranlar'!AM$2</f>
        <v>0</v>
      </c>
      <c r="AK240">
        <f>'Kullanılan gübre'!AK240*'Gübre oranlar'!AN$2</f>
        <v>0</v>
      </c>
      <c r="AL240">
        <f>'Kullanılan gübre'!AL240*'Gübre oranlar'!AO$2</f>
        <v>0</v>
      </c>
      <c r="AM240">
        <f>'Kullanılan gübre'!AM240*'Gübre oranlar'!AP$2</f>
        <v>0</v>
      </c>
      <c r="AN240">
        <f>'Kullanılan gübre'!AN240*'Gübre oranlar'!AQ$2</f>
        <v>0</v>
      </c>
      <c r="AO240">
        <f>'Kullanılan gübre'!AO240*'Gübre oranlar'!AR$2</f>
        <v>0</v>
      </c>
      <c r="AP240">
        <f>'Kullanılan gübre'!AP240*'Gübre oranlar'!AS$2</f>
        <v>0</v>
      </c>
      <c r="AQ240">
        <f>'Kullanılan gübre'!AQ240*'Gübre oranlar'!AT$2</f>
        <v>0</v>
      </c>
      <c r="AR240">
        <f>'Kullanılan gübre'!AR240*'Gübre oranlar'!AU$2</f>
        <v>0</v>
      </c>
      <c r="AS240">
        <f>'Kullanılan gübre'!AS240*'Gübre oranlar'!AV$2</f>
        <v>0</v>
      </c>
      <c r="AT240">
        <f>'Kullanılan gübre'!AT240*'Gübre oranlar'!AW$2</f>
        <v>0</v>
      </c>
      <c r="AU240">
        <f>'Kullanılan gübre'!AU240*'Gübre oranlar'!AX$2</f>
        <v>0</v>
      </c>
      <c r="AV240">
        <f>'Kullanılan gübre'!AV240*'Gübre oranlar'!AY$2</f>
        <v>0</v>
      </c>
      <c r="AW240">
        <f t="shared" si="3"/>
        <v>448.29425000000003</v>
      </c>
    </row>
    <row r="241" spans="1:49" hidden="1" x14ac:dyDescent="0.25">
      <c r="A241" t="str">
        <f>'Kullanılan gübre'!A241</f>
        <v>BA</v>
      </c>
      <c r="B241" t="str">
        <f>'Kullanılan gübre'!B241</f>
        <v>BURDUR</v>
      </c>
      <c r="C241" t="str">
        <f>'Kullanılan gübre'!C241</f>
        <v>CAVDIR</v>
      </c>
      <c r="D241">
        <f>'Kullanılan gübre'!D241</f>
        <v>2014</v>
      </c>
      <c r="E241">
        <f>'Kullanılan gübre'!E241*'Gübre oranlar'!H$2</f>
        <v>38.356499999999997</v>
      </c>
      <c r="F241">
        <f>'Kullanılan gübre'!F241*'Gübre oranlar'!I$2</f>
        <v>22.75</v>
      </c>
      <c r="G241">
        <f>'Kullanılan gübre'!G241*'Gübre oranlar'!J$2</f>
        <v>170.08199999999999</v>
      </c>
      <c r="H241">
        <f>'Kullanılan gübre'!H241*'Gübre oranlar'!K$2</f>
        <v>95.128000000000014</v>
      </c>
      <c r="I241">
        <f>'Kullanılan gübre'!I241*'Gübre oranlar'!L$2</f>
        <v>0</v>
      </c>
      <c r="J241">
        <f>'Kullanılan gübre'!J241*'Gübre oranlar'!M$2</f>
        <v>30.419999999999998</v>
      </c>
      <c r="K241">
        <f>'Kullanılan gübre'!K241*'Gübre oranlar'!N$2</f>
        <v>42.050000000000004</v>
      </c>
      <c r="L241">
        <f>'Kullanılan gübre'!L241*'Gübre oranlar'!O$2</f>
        <v>9.24</v>
      </c>
      <c r="M241">
        <f>'Kullanılan gübre'!M241*'Gübre oranlar'!P$2</f>
        <v>5.49</v>
      </c>
      <c r="N241">
        <f>'Kullanılan gübre'!N241*'Gübre oranlar'!Q$2</f>
        <v>37.357500000000002</v>
      </c>
      <c r="O241">
        <f>'Kullanılan gübre'!O241*'Gübre oranlar'!R$2</f>
        <v>0</v>
      </c>
      <c r="P241">
        <f>'Kullanılan gübre'!P241*'Gübre oranlar'!S$2</f>
        <v>1.2426699999999999</v>
      </c>
      <c r="Q241">
        <f>'Kullanılan gübre'!Q241*'Gübre oranlar'!T$2</f>
        <v>0</v>
      </c>
      <c r="R241">
        <f>'Kullanılan gübre'!R241*'Gübre oranlar'!U$2</f>
        <v>0</v>
      </c>
      <c r="S241">
        <f>'Kullanılan gübre'!S241*'Gübre oranlar'!V$2</f>
        <v>0</v>
      </c>
      <c r="T241">
        <f>'Kullanılan gübre'!T241*'Gübre oranlar'!W$2</f>
        <v>0</v>
      </c>
      <c r="U241">
        <f>'Kullanılan gübre'!U241*'Gübre oranlar'!X$2</f>
        <v>0</v>
      </c>
      <c r="V241">
        <f>'Kullanılan gübre'!V241*'Gübre oranlar'!Y$2</f>
        <v>0</v>
      </c>
      <c r="W241">
        <f>'Kullanılan gübre'!W241*'Gübre oranlar'!Z$2</f>
        <v>0</v>
      </c>
      <c r="X241">
        <f>'Kullanılan gübre'!X241*'Gübre oranlar'!AA$2</f>
        <v>0</v>
      </c>
      <c r="Y241">
        <f>'Kullanılan gübre'!Y241*'Gübre oranlar'!AB$2</f>
        <v>0</v>
      </c>
      <c r="Z241">
        <f>'Kullanılan gübre'!Z241*'Gübre oranlar'!AC$2</f>
        <v>0</v>
      </c>
      <c r="AA241">
        <f>'Kullanılan gübre'!AA241*'Gübre oranlar'!AD$2</f>
        <v>0</v>
      </c>
      <c r="AB241">
        <f>'Kullanılan gübre'!AB241*'Gübre oranlar'!AE$2</f>
        <v>0</v>
      </c>
      <c r="AC241">
        <f>'Kullanılan gübre'!AC241*'Gübre oranlar'!AF$2</f>
        <v>0</v>
      </c>
      <c r="AD241">
        <f>'Kullanılan gübre'!AD241*'Gübre oranlar'!AG$2</f>
        <v>0</v>
      </c>
      <c r="AE241">
        <f>'Kullanılan gübre'!AE241*'Gübre oranlar'!AH$2</f>
        <v>0</v>
      </c>
      <c r="AF241">
        <f>'Kullanılan gübre'!AF241*'Gübre oranlar'!AI$2</f>
        <v>0</v>
      </c>
      <c r="AG241">
        <f>'Kullanılan gübre'!AG241*'Gübre oranlar'!AJ$2</f>
        <v>0</v>
      </c>
      <c r="AH241">
        <f>'Kullanılan gübre'!AH241*'Gübre oranlar'!AK$2</f>
        <v>0</v>
      </c>
      <c r="AI241">
        <f>'Kullanılan gübre'!AI241*'Gübre oranlar'!AL$2</f>
        <v>0</v>
      </c>
      <c r="AJ241">
        <f>'Kullanılan gübre'!AJ241*'Gübre oranlar'!AM$2</f>
        <v>0</v>
      </c>
      <c r="AK241">
        <f>'Kullanılan gübre'!AK241*'Gübre oranlar'!AN$2</f>
        <v>0</v>
      </c>
      <c r="AL241">
        <f>'Kullanılan gübre'!AL241*'Gübre oranlar'!AO$2</f>
        <v>0</v>
      </c>
      <c r="AM241">
        <f>'Kullanılan gübre'!AM241*'Gübre oranlar'!AP$2</f>
        <v>0</v>
      </c>
      <c r="AN241">
        <f>'Kullanılan gübre'!AN241*'Gübre oranlar'!AQ$2</f>
        <v>0</v>
      </c>
      <c r="AO241">
        <f>'Kullanılan gübre'!AO241*'Gübre oranlar'!AR$2</f>
        <v>0</v>
      </c>
      <c r="AP241">
        <f>'Kullanılan gübre'!AP241*'Gübre oranlar'!AS$2</f>
        <v>0</v>
      </c>
      <c r="AQ241">
        <f>'Kullanılan gübre'!AQ241*'Gübre oranlar'!AT$2</f>
        <v>0</v>
      </c>
      <c r="AR241">
        <f>'Kullanılan gübre'!AR241*'Gübre oranlar'!AU$2</f>
        <v>0</v>
      </c>
      <c r="AS241">
        <f>'Kullanılan gübre'!AS241*'Gübre oranlar'!AV$2</f>
        <v>0</v>
      </c>
      <c r="AT241">
        <f>'Kullanılan gübre'!AT241*'Gübre oranlar'!AW$2</f>
        <v>0</v>
      </c>
      <c r="AU241">
        <f>'Kullanılan gübre'!AU241*'Gübre oranlar'!AX$2</f>
        <v>0</v>
      </c>
      <c r="AV241">
        <f>'Kullanılan gübre'!AV241*'Gübre oranlar'!AY$2</f>
        <v>0</v>
      </c>
      <c r="AW241">
        <f t="shared" si="3"/>
        <v>452.11667000000006</v>
      </c>
    </row>
    <row r="242" spans="1:49" hidden="1" x14ac:dyDescent="0.25">
      <c r="A242" t="str">
        <f>'Kullanılan gübre'!A242</f>
        <v>BA</v>
      </c>
      <c r="B242" t="str">
        <f>'Kullanılan gübre'!B242</f>
        <v>BURDUR</v>
      </c>
      <c r="C242" t="str">
        <f>'Kullanılan gübre'!C242</f>
        <v>CAVDIR</v>
      </c>
      <c r="D242">
        <f>'Kullanılan gübre'!D242</f>
        <v>2015</v>
      </c>
      <c r="E242">
        <f>'Kullanılan gübre'!E242*'Gübre oranlar'!H$2</f>
        <v>43.218000000000004</v>
      </c>
      <c r="F242">
        <f>'Kullanılan gübre'!F242*'Gübre oranlar'!I$2</f>
        <v>31.225999999999999</v>
      </c>
      <c r="G242">
        <f>'Kullanılan gübre'!G242*'Gübre oranlar'!J$2</f>
        <v>243.77100000000002</v>
      </c>
      <c r="H242">
        <f>'Kullanılan gübre'!H242*'Gübre oranlar'!K$2</f>
        <v>132.96300000000002</v>
      </c>
      <c r="I242">
        <f>'Kullanılan gübre'!I242*'Gübre oranlar'!L$2</f>
        <v>0</v>
      </c>
      <c r="J242">
        <f>'Kullanılan gübre'!J242*'Gübre oranlar'!M$2</f>
        <v>20.196000000000002</v>
      </c>
      <c r="K242">
        <f>'Kullanılan gübre'!K242*'Gübre oranlar'!N$2</f>
        <v>43.17</v>
      </c>
      <c r="L242">
        <f>'Kullanılan gübre'!L242*'Gübre oranlar'!O$2</f>
        <v>2.2800000000000002</v>
      </c>
      <c r="M242">
        <f>'Kullanılan gübre'!M242*'Gübre oranlar'!P$2</f>
        <v>3.7949999999999999</v>
      </c>
      <c r="N242">
        <f>'Kullanılan gübre'!N242*'Gübre oranlar'!Q$2</f>
        <v>48.959999999999994</v>
      </c>
      <c r="O242">
        <f>'Kullanılan gübre'!O242*'Gübre oranlar'!R$2</f>
        <v>0</v>
      </c>
      <c r="P242">
        <f>'Kullanılan gübre'!P242*'Gübre oranlar'!S$2</f>
        <v>3.0225</v>
      </c>
      <c r="Q242">
        <f>'Kullanılan gübre'!Q242*'Gübre oranlar'!T$2</f>
        <v>0</v>
      </c>
      <c r="R242">
        <f>'Kullanılan gübre'!R242*'Gübre oranlar'!U$2</f>
        <v>0</v>
      </c>
      <c r="S242">
        <f>'Kullanılan gübre'!S242*'Gübre oranlar'!V$2</f>
        <v>0</v>
      </c>
      <c r="T242">
        <f>'Kullanılan gübre'!T242*'Gübre oranlar'!W$2</f>
        <v>0</v>
      </c>
      <c r="U242">
        <f>'Kullanılan gübre'!U242*'Gübre oranlar'!X$2</f>
        <v>0</v>
      </c>
      <c r="V242">
        <f>'Kullanılan gübre'!V242*'Gübre oranlar'!Y$2</f>
        <v>0</v>
      </c>
      <c r="W242">
        <f>'Kullanılan gübre'!W242*'Gübre oranlar'!Z$2</f>
        <v>0</v>
      </c>
      <c r="X242">
        <f>'Kullanılan gübre'!X242*'Gübre oranlar'!AA$2</f>
        <v>0</v>
      </c>
      <c r="Y242">
        <f>'Kullanılan gübre'!Y242*'Gübre oranlar'!AB$2</f>
        <v>0</v>
      </c>
      <c r="Z242">
        <f>'Kullanılan gübre'!Z242*'Gübre oranlar'!AC$2</f>
        <v>0</v>
      </c>
      <c r="AA242">
        <f>'Kullanılan gübre'!AA242*'Gübre oranlar'!AD$2</f>
        <v>0</v>
      </c>
      <c r="AB242">
        <f>'Kullanılan gübre'!AB242*'Gübre oranlar'!AE$2</f>
        <v>0</v>
      </c>
      <c r="AC242">
        <f>'Kullanılan gübre'!AC242*'Gübre oranlar'!AF$2</f>
        <v>0</v>
      </c>
      <c r="AD242">
        <f>'Kullanılan gübre'!AD242*'Gübre oranlar'!AG$2</f>
        <v>0</v>
      </c>
      <c r="AE242">
        <f>'Kullanılan gübre'!AE242*'Gübre oranlar'!AH$2</f>
        <v>0</v>
      </c>
      <c r="AF242">
        <f>'Kullanılan gübre'!AF242*'Gübre oranlar'!AI$2</f>
        <v>0</v>
      </c>
      <c r="AG242">
        <f>'Kullanılan gübre'!AG242*'Gübre oranlar'!AJ$2</f>
        <v>0</v>
      </c>
      <c r="AH242">
        <f>'Kullanılan gübre'!AH242*'Gübre oranlar'!AK$2</f>
        <v>0</v>
      </c>
      <c r="AI242">
        <f>'Kullanılan gübre'!AI242*'Gübre oranlar'!AL$2</f>
        <v>0</v>
      </c>
      <c r="AJ242">
        <f>'Kullanılan gübre'!AJ242*'Gübre oranlar'!AM$2</f>
        <v>0</v>
      </c>
      <c r="AK242">
        <f>'Kullanılan gübre'!AK242*'Gübre oranlar'!AN$2</f>
        <v>0</v>
      </c>
      <c r="AL242">
        <f>'Kullanılan gübre'!AL242*'Gübre oranlar'!AO$2</f>
        <v>0</v>
      </c>
      <c r="AM242">
        <f>'Kullanılan gübre'!AM242*'Gübre oranlar'!AP$2</f>
        <v>0</v>
      </c>
      <c r="AN242">
        <f>'Kullanılan gübre'!AN242*'Gübre oranlar'!AQ$2</f>
        <v>0</v>
      </c>
      <c r="AO242">
        <f>'Kullanılan gübre'!AO242*'Gübre oranlar'!AR$2</f>
        <v>0</v>
      </c>
      <c r="AP242">
        <f>'Kullanılan gübre'!AP242*'Gübre oranlar'!AS$2</f>
        <v>0</v>
      </c>
      <c r="AQ242">
        <f>'Kullanılan gübre'!AQ242*'Gübre oranlar'!AT$2</f>
        <v>0</v>
      </c>
      <c r="AR242">
        <f>'Kullanılan gübre'!AR242*'Gübre oranlar'!AU$2</f>
        <v>0</v>
      </c>
      <c r="AS242">
        <f>'Kullanılan gübre'!AS242*'Gübre oranlar'!AV$2</f>
        <v>0</v>
      </c>
      <c r="AT242">
        <f>'Kullanılan gübre'!AT242*'Gübre oranlar'!AW$2</f>
        <v>0</v>
      </c>
      <c r="AU242">
        <f>'Kullanılan gübre'!AU242*'Gübre oranlar'!AX$2</f>
        <v>0</v>
      </c>
      <c r="AV242">
        <f>'Kullanılan gübre'!AV242*'Gübre oranlar'!AY$2</f>
        <v>0</v>
      </c>
      <c r="AW242">
        <f t="shared" si="3"/>
        <v>572.6015000000001</v>
      </c>
    </row>
    <row r="243" spans="1:49" hidden="1" x14ac:dyDescent="0.25">
      <c r="A243" t="str">
        <f>'Kullanılan gübre'!A243</f>
        <v>BA</v>
      </c>
      <c r="B243" t="str">
        <f>'Kullanılan gübre'!B243</f>
        <v>BURDUR</v>
      </c>
      <c r="C243" t="str">
        <f>'Kullanılan gübre'!C243</f>
        <v>CAVDIR</v>
      </c>
      <c r="D243">
        <f>'Kullanılan gübre'!D243</f>
        <v>2016</v>
      </c>
      <c r="E243">
        <f>'Kullanılan gübre'!E243*'Gübre oranlar'!H$2</f>
        <v>80.734499999999997</v>
      </c>
      <c r="F243">
        <f>'Kullanılan gübre'!F243*'Gübre oranlar'!I$2</f>
        <v>14.872000000000002</v>
      </c>
      <c r="G243">
        <f>'Kullanılan gübre'!G243*'Gübre oranlar'!J$2</f>
        <v>174.57825</v>
      </c>
      <c r="H243">
        <f>'Kullanılan gübre'!H243*'Gübre oranlar'!K$2</f>
        <v>188.30100000000002</v>
      </c>
      <c r="I243">
        <f>'Kullanılan gübre'!I243*'Gübre oranlar'!L$2</f>
        <v>0</v>
      </c>
      <c r="J243">
        <f>'Kullanılan gübre'!J243*'Gübre oranlar'!M$2</f>
        <v>23.157</v>
      </c>
      <c r="K243">
        <f>'Kullanılan gübre'!K243*'Gübre oranlar'!N$2</f>
        <v>39.550000000000004</v>
      </c>
      <c r="L243">
        <f>'Kullanılan gübre'!L243*'Gübre oranlar'!O$2</f>
        <v>4.6000000000000005</v>
      </c>
      <c r="M243">
        <f>'Kullanılan gübre'!M243*'Gübre oranlar'!P$2</f>
        <v>2.9549999999999996</v>
      </c>
      <c r="N243">
        <f>'Kullanılan gübre'!N243*'Gübre oranlar'!Q$2</f>
        <v>56.91</v>
      </c>
      <c r="O243">
        <f>'Kullanılan gübre'!O243*'Gübre oranlar'!R$2</f>
        <v>0</v>
      </c>
      <c r="P243">
        <f>'Kullanılan gübre'!P243*'Gübre oranlar'!S$2</f>
        <v>1.9500000000000002</v>
      </c>
      <c r="Q243">
        <f>'Kullanılan gübre'!Q243*'Gübre oranlar'!T$2</f>
        <v>0</v>
      </c>
      <c r="R243">
        <f>'Kullanılan gübre'!R243*'Gübre oranlar'!U$2</f>
        <v>0</v>
      </c>
      <c r="S243">
        <f>'Kullanılan gübre'!S243*'Gübre oranlar'!V$2</f>
        <v>0</v>
      </c>
      <c r="T243">
        <f>'Kullanılan gübre'!T243*'Gübre oranlar'!W$2</f>
        <v>0</v>
      </c>
      <c r="U243">
        <f>'Kullanılan gübre'!U243*'Gübre oranlar'!X$2</f>
        <v>0</v>
      </c>
      <c r="V243">
        <f>'Kullanılan gübre'!V243*'Gübre oranlar'!Y$2</f>
        <v>0</v>
      </c>
      <c r="W243">
        <f>'Kullanılan gübre'!W243*'Gübre oranlar'!Z$2</f>
        <v>0</v>
      </c>
      <c r="X243">
        <f>'Kullanılan gübre'!X243*'Gübre oranlar'!AA$2</f>
        <v>0</v>
      </c>
      <c r="Y243">
        <f>'Kullanılan gübre'!Y243*'Gübre oranlar'!AB$2</f>
        <v>0</v>
      </c>
      <c r="Z243">
        <f>'Kullanılan gübre'!Z243*'Gübre oranlar'!AC$2</f>
        <v>0</v>
      </c>
      <c r="AA243">
        <f>'Kullanılan gübre'!AA243*'Gübre oranlar'!AD$2</f>
        <v>0</v>
      </c>
      <c r="AB243">
        <f>'Kullanılan gübre'!AB243*'Gübre oranlar'!AE$2</f>
        <v>0</v>
      </c>
      <c r="AC243">
        <f>'Kullanılan gübre'!AC243*'Gübre oranlar'!AF$2</f>
        <v>0</v>
      </c>
      <c r="AD243">
        <f>'Kullanılan gübre'!AD243*'Gübre oranlar'!AG$2</f>
        <v>0</v>
      </c>
      <c r="AE243">
        <f>'Kullanılan gübre'!AE243*'Gübre oranlar'!AH$2</f>
        <v>0</v>
      </c>
      <c r="AF243">
        <f>'Kullanılan gübre'!AF243*'Gübre oranlar'!AI$2</f>
        <v>0</v>
      </c>
      <c r="AG243">
        <f>'Kullanılan gübre'!AG243*'Gübre oranlar'!AJ$2</f>
        <v>0</v>
      </c>
      <c r="AH243">
        <f>'Kullanılan gübre'!AH243*'Gübre oranlar'!AK$2</f>
        <v>0</v>
      </c>
      <c r="AI243">
        <f>'Kullanılan gübre'!AI243*'Gübre oranlar'!AL$2</f>
        <v>0</v>
      </c>
      <c r="AJ243">
        <f>'Kullanılan gübre'!AJ243*'Gübre oranlar'!AM$2</f>
        <v>0</v>
      </c>
      <c r="AK243">
        <f>'Kullanılan gübre'!AK243*'Gübre oranlar'!AN$2</f>
        <v>0</v>
      </c>
      <c r="AL243">
        <f>'Kullanılan gübre'!AL243*'Gübre oranlar'!AO$2</f>
        <v>0</v>
      </c>
      <c r="AM243">
        <f>'Kullanılan gübre'!AM243*'Gübre oranlar'!AP$2</f>
        <v>0</v>
      </c>
      <c r="AN243">
        <f>'Kullanılan gübre'!AN243*'Gübre oranlar'!AQ$2</f>
        <v>0</v>
      </c>
      <c r="AO243">
        <f>'Kullanılan gübre'!AO243*'Gübre oranlar'!AR$2</f>
        <v>0</v>
      </c>
      <c r="AP243">
        <f>'Kullanılan gübre'!AP243*'Gübre oranlar'!AS$2</f>
        <v>0</v>
      </c>
      <c r="AQ243">
        <f>'Kullanılan gübre'!AQ243*'Gübre oranlar'!AT$2</f>
        <v>0</v>
      </c>
      <c r="AR243">
        <f>'Kullanılan gübre'!AR243*'Gübre oranlar'!AU$2</f>
        <v>0</v>
      </c>
      <c r="AS243">
        <f>'Kullanılan gübre'!AS243*'Gübre oranlar'!AV$2</f>
        <v>0</v>
      </c>
      <c r="AT243">
        <f>'Kullanılan gübre'!AT243*'Gübre oranlar'!AW$2</f>
        <v>0</v>
      </c>
      <c r="AU243">
        <f>'Kullanılan gübre'!AU243*'Gübre oranlar'!AX$2</f>
        <v>0</v>
      </c>
      <c r="AV243">
        <f>'Kullanılan gübre'!AV243*'Gübre oranlar'!AY$2</f>
        <v>0</v>
      </c>
      <c r="AW243">
        <f t="shared" si="3"/>
        <v>587.60775000000012</v>
      </c>
    </row>
    <row r="244" spans="1:49" hidden="1" x14ac:dyDescent="0.25">
      <c r="A244" t="str">
        <f>'Kullanılan gübre'!A244</f>
        <v>BA</v>
      </c>
      <c r="B244" t="str">
        <f>'Kullanılan gübre'!B244</f>
        <v>BURDUR</v>
      </c>
      <c r="C244" t="str">
        <f>'Kullanılan gübre'!C244</f>
        <v>CAVDIR</v>
      </c>
      <c r="D244">
        <f>'Kullanılan gübre'!D244</f>
        <v>2017</v>
      </c>
      <c r="E244">
        <f>'Kullanılan gübre'!E244*'Gübre oranlar'!H$2</f>
        <v>55.628999999999991</v>
      </c>
      <c r="F244">
        <f>'Kullanılan gübre'!F244*'Gübre oranlar'!I$2</f>
        <v>3.5619999999999998</v>
      </c>
      <c r="G244">
        <f>'Kullanılan gübre'!G244*'Gübre oranlar'!J$2</f>
        <v>2.0295000000000001</v>
      </c>
      <c r="H244">
        <f>'Kullanılan gübre'!H244*'Gübre oranlar'!K$2</f>
        <v>276.50600000000003</v>
      </c>
      <c r="I244">
        <f>'Kullanılan gübre'!I244*'Gübre oranlar'!L$2</f>
        <v>0</v>
      </c>
      <c r="J244">
        <f>'Kullanılan gübre'!J244*'Gübre oranlar'!M$2</f>
        <v>20.25</v>
      </c>
      <c r="K244">
        <f>'Kullanılan gübre'!K244*'Gübre oranlar'!N$2</f>
        <v>21.76</v>
      </c>
      <c r="L244">
        <f>'Kullanılan gübre'!L244*'Gübre oranlar'!O$2</f>
        <v>1.58</v>
      </c>
      <c r="M244">
        <f>'Kullanılan gübre'!M244*'Gübre oranlar'!P$2</f>
        <v>10.012499999999999</v>
      </c>
      <c r="N244">
        <f>'Kullanılan gübre'!N244*'Gübre oranlar'!Q$2</f>
        <v>38.647499999999994</v>
      </c>
      <c r="O244">
        <f>'Kullanılan gübre'!O244*'Gübre oranlar'!R$2</f>
        <v>0</v>
      </c>
      <c r="P244">
        <f>'Kullanılan gübre'!P244*'Gübre oranlar'!S$2</f>
        <v>6.8964999999999996</v>
      </c>
      <c r="Q244">
        <f>'Kullanılan gübre'!Q244*'Gübre oranlar'!T$2</f>
        <v>0</v>
      </c>
      <c r="R244">
        <f>'Kullanılan gübre'!R244*'Gübre oranlar'!U$2</f>
        <v>0</v>
      </c>
      <c r="S244">
        <f>'Kullanılan gübre'!S244*'Gübre oranlar'!V$2</f>
        <v>1.9375</v>
      </c>
      <c r="T244">
        <f>'Kullanılan gübre'!T244*'Gübre oranlar'!W$2</f>
        <v>0</v>
      </c>
      <c r="U244">
        <f>'Kullanılan gübre'!U244*'Gübre oranlar'!X$2</f>
        <v>0</v>
      </c>
      <c r="V244">
        <f>'Kullanılan gübre'!V244*'Gübre oranlar'!Y$2</f>
        <v>0</v>
      </c>
      <c r="W244">
        <f>'Kullanılan gübre'!W244*'Gübre oranlar'!Z$2</f>
        <v>0</v>
      </c>
      <c r="X244">
        <f>'Kullanılan gübre'!X244*'Gübre oranlar'!AA$2</f>
        <v>0</v>
      </c>
      <c r="Y244">
        <f>'Kullanılan gübre'!Y244*'Gübre oranlar'!AB$2</f>
        <v>1.0649999999999999</v>
      </c>
      <c r="Z244">
        <f>'Kullanılan gübre'!Z244*'Gübre oranlar'!AC$2</f>
        <v>0</v>
      </c>
      <c r="AA244">
        <f>'Kullanılan gübre'!AA244*'Gübre oranlar'!AD$2</f>
        <v>0</v>
      </c>
      <c r="AB244">
        <f>'Kullanılan gübre'!AB244*'Gübre oranlar'!AE$2</f>
        <v>0</v>
      </c>
      <c r="AC244">
        <f>'Kullanılan gübre'!AC244*'Gübre oranlar'!AF$2</f>
        <v>0</v>
      </c>
      <c r="AD244">
        <f>'Kullanılan gübre'!AD244*'Gübre oranlar'!AG$2</f>
        <v>0</v>
      </c>
      <c r="AE244">
        <f>'Kullanılan gübre'!AE244*'Gübre oranlar'!AH$2</f>
        <v>0</v>
      </c>
      <c r="AF244">
        <f>'Kullanılan gübre'!AF244*'Gübre oranlar'!AI$2</f>
        <v>7.6725000000000003</v>
      </c>
      <c r="AG244">
        <f>'Kullanılan gübre'!AG244*'Gübre oranlar'!AJ$2</f>
        <v>1.7849999999999999</v>
      </c>
      <c r="AH244">
        <f>'Kullanılan gübre'!AH244*'Gübre oranlar'!AK$2</f>
        <v>0</v>
      </c>
      <c r="AI244">
        <f>'Kullanılan gübre'!AI244*'Gübre oranlar'!AL$2</f>
        <v>0</v>
      </c>
      <c r="AJ244">
        <f>'Kullanılan gübre'!AJ244*'Gübre oranlar'!AM$2</f>
        <v>0</v>
      </c>
      <c r="AK244">
        <f>'Kullanılan gübre'!AK244*'Gübre oranlar'!AN$2</f>
        <v>0</v>
      </c>
      <c r="AL244">
        <f>'Kullanılan gübre'!AL244*'Gübre oranlar'!AO$2</f>
        <v>0</v>
      </c>
      <c r="AM244">
        <f>'Kullanılan gübre'!AM244*'Gübre oranlar'!AP$2</f>
        <v>0</v>
      </c>
      <c r="AN244">
        <f>'Kullanılan gübre'!AN244*'Gübre oranlar'!AQ$2</f>
        <v>0</v>
      </c>
      <c r="AO244">
        <f>'Kullanılan gübre'!AO244*'Gübre oranlar'!AR$2</f>
        <v>0</v>
      </c>
      <c r="AP244">
        <f>'Kullanılan gübre'!AP244*'Gübre oranlar'!AS$2</f>
        <v>0</v>
      </c>
      <c r="AQ244">
        <f>'Kullanılan gübre'!AQ244*'Gübre oranlar'!AT$2</f>
        <v>0</v>
      </c>
      <c r="AR244">
        <f>'Kullanılan gübre'!AR244*'Gübre oranlar'!AU$2</f>
        <v>0</v>
      </c>
      <c r="AS244">
        <f>'Kullanılan gübre'!AS244*'Gübre oranlar'!AV$2</f>
        <v>0</v>
      </c>
      <c r="AT244">
        <f>'Kullanılan gübre'!AT244*'Gübre oranlar'!AW$2</f>
        <v>0</v>
      </c>
      <c r="AU244">
        <f>'Kullanılan gübre'!AU244*'Gübre oranlar'!AX$2</f>
        <v>0.48</v>
      </c>
      <c r="AV244">
        <f>'Kullanılan gübre'!AV244*'Gübre oranlar'!AY$2</f>
        <v>0.99</v>
      </c>
      <c r="AW244">
        <f t="shared" si="3"/>
        <v>450.803</v>
      </c>
    </row>
    <row r="245" spans="1:49" hidden="1" x14ac:dyDescent="0.25">
      <c r="A245" t="str">
        <f>'Kullanılan gübre'!A245</f>
        <v>BA</v>
      </c>
      <c r="B245" t="str">
        <f>'Kullanılan gübre'!B245</f>
        <v>MUGLA</v>
      </c>
      <c r="C245" t="str">
        <f>'Kullanılan gübre'!C245</f>
        <v>MILAS</v>
      </c>
      <c r="D245">
        <f>'Kullanılan gübre'!D245</f>
        <v>2017</v>
      </c>
      <c r="E245">
        <f>'Kullanılan gübre'!E245*'Gübre oranlar'!H$2</f>
        <v>189.1995</v>
      </c>
      <c r="F245">
        <f>'Kullanılan gübre'!F245*'Gübre oranlar'!I$2</f>
        <v>21.073</v>
      </c>
      <c r="G245">
        <f>'Kullanılan gübre'!G245*'Gübre oranlar'!J$2</f>
        <v>0</v>
      </c>
      <c r="H245">
        <f>'Kullanılan gübre'!H245*'Gübre oranlar'!K$2</f>
        <v>953.67199999999991</v>
      </c>
      <c r="I245">
        <f>'Kullanılan gübre'!I245*'Gübre oranlar'!L$2</f>
        <v>0</v>
      </c>
      <c r="J245">
        <f>'Kullanılan gübre'!J245*'Gübre oranlar'!M$2</f>
        <v>54.035999999999994</v>
      </c>
      <c r="K245">
        <f>'Kullanılan gübre'!K245*'Gübre oranlar'!N$2</f>
        <v>256.40000000000003</v>
      </c>
      <c r="L245">
        <f>'Kullanılan gübre'!L245*'Gübre oranlar'!O$2</f>
        <v>11.540000000000001</v>
      </c>
      <c r="M245">
        <f>'Kullanılan gübre'!M245*'Gübre oranlar'!P$2</f>
        <v>287.94749999999999</v>
      </c>
      <c r="N245">
        <f>'Kullanılan gübre'!N245*'Gübre oranlar'!Q$2</f>
        <v>41.482500000000002</v>
      </c>
      <c r="O245">
        <f>'Kullanılan gübre'!O245*'Gübre oranlar'!R$2</f>
        <v>0</v>
      </c>
      <c r="P245">
        <f>'Kullanılan gübre'!P245*'Gübre oranlar'!S$2</f>
        <v>0.34125</v>
      </c>
      <c r="Q245">
        <f>'Kullanılan gübre'!Q245*'Gübre oranlar'!T$2</f>
        <v>0</v>
      </c>
      <c r="R245">
        <f>'Kullanılan gübre'!R245*'Gübre oranlar'!U$2</f>
        <v>0</v>
      </c>
      <c r="S245">
        <f>'Kullanılan gübre'!S245*'Gübre oranlar'!V$2</f>
        <v>0.18987500000000002</v>
      </c>
      <c r="T245">
        <f>'Kullanılan gübre'!T245*'Gübre oranlar'!W$2</f>
        <v>0.65</v>
      </c>
      <c r="U245">
        <f>'Kullanılan gübre'!U245*'Gübre oranlar'!X$2</f>
        <v>0</v>
      </c>
      <c r="V245">
        <f>'Kullanılan gübre'!V245*'Gübre oranlar'!Y$2</f>
        <v>0</v>
      </c>
      <c r="W245">
        <f>'Kullanılan gübre'!W245*'Gübre oranlar'!Z$2</f>
        <v>0</v>
      </c>
      <c r="X245">
        <f>'Kullanılan gübre'!X245*'Gübre oranlar'!AA$2</f>
        <v>0.03</v>
      </c>
      <c r="Y245">
        <f>'Kullanılan gübre'!Y245*'Gübre oranlar'!AB$2</f>
        <v>0.03</v>
      </c>
      <c r="Z245">
        <f>'Kullanılan gübre'!Z245*'Gübre oranlar'!AC$2</f>
        <v>0</v>
      </c>
      <c r="AA245">
        <f>'Kullanılan gübre'!AA245*'Gübre oranlar'!AD$2</f>
        <v>47.716500000000003</v>
      </c>
      <c r="AB245">
        <f>'Kullanılan gübre'!AB245*'Gübre oranlar'!AE$2</f>
        <v>8.9999999999999993E-3</v>
      </c>
      <c r="AC245">
        <f>'Kullanılan gübre'!AC245*'Gübre oranlar'!AF$2</f>
        <v>0</v>
      </c>
      <c r="AD245">
        <f>'Kullanılan gübre'!AD245*'Gübre oranlar'!AG$2</f>
        <v>0</v>
      </c>
      <c r="AE245">
        <f>'Kullanılan gübre'!AE245*'Gübre oranlar'!AH$2</f>
        <v>0</v>
      </c>
      <c r="AF245">
        <f>'Kullanılan gübre'!AF245*'Gübre oranlar'!AI$2</f>
        <v>306.14100000000002</v>
      </c>
      <c r="AG245">
        <f>'Kullanılan gübre'!AG245*'Gübre oranlar'!AJ$2</f>
        <v>0</v>
      </c>
      <c r="AH245">
        <f>'Kullanılan gübre'!AH245*'Gübre oranlar'!AK$2</f>
        <v>0</v>
      </c>
      <c r="AI245">
        <f>'Kullanılan gübre'!AI245*'Gübre oranlar'!AL$2</f>
        <v>0</v>
      </c>
      <c r="AJ245">
        <f>'Kullanılan gübre'!AJ245*'Gübre oranlar'!AM$2</f>
        <v>0</v>
      </c>
      <c r="AK245">
        <f>'Kullanılan gübre'!AK245*'Gübre oranlar'!AN$2</f>
        <v>0</v>
      </c>
      <c r="AL245">
        <f>'Kullanılan gübre'!AL245*'Gübre oranlar'!AO$2</f>
        <v>0</v>
      </c>
      <c r="AM245">
        <f>'Kullanılan gübre'!AM245*'Gübre oranlar'!AP$2</f>
        <v>0</v>
      </c>
      <c r="AN245">
        <f>'Kullanılan gübre'!AN245*'Gübre oranlar'!AQ$2</f>
        <v>0</v>
      </c>
      <c r="AO245">
        <f>'Kullanılan gübre'!AO245*'Gübre oranlar'!AR$2</f>
        <v>0</v>
      </c>
      <c r="AP245">
        <f>'Kullanılan gübre'!AP245*'Gübre oranlar'!AS$2</f>
        <v>0</v>
      </c>
      <c r="AQ245">
        <f>'Kullanılan gübre'!AQ245*'Gübre oranlar'!AT$2</f>
        <v>0</v>
      </c>
      <c r="AR245">
        <f>'Kullanılan gübre'!AR245*'Gübre oranlar'!AU$2</f>
        <v>0</v>
      </c>
      <c r="AS245">
        <f>'Kullanılan gübre'!AS245*'Gübre oranlar'!AV$2</f>
        <v>0</v>
      </c>
      <c r="AT245">
        <f>'Kullanılan gübre'!AT245*'Gübre oranlar'!AW$2</f>
        <v>0</v>
      </c>
      <c r="AU245">
        <f>'Kullanılan gübre'!AU245*'Gübre oranlar'!AX$2</f>
        <v>0</v>
      </c>
      <c r="AV245">
        <f>'Kullanılan gübre'!AV245*'Gübre oranlar'!AY$2</f>
        <v>0</v>
      </c>
      <c r="AW245">
        <f t="shared" si="3"/>
        <v>2170.4581250000001</v>
      </c>
    </row>
    <row r="246" spans="1:49" hidden="1" x14ac:dyDescent="0.25">
      <c r="A246" t="str">
        <f>'Kullanılan gübre'!A246</f>
        <v>BA</v>
      </c>
      <c r="B246" t="str">
        <f>'Kullanılan gübre'!B246</f>
        <v>MUGLA</v>
      </c>
      <c r="C246" t="str">
        <f>'Kullanılan gübre'!C246</f>
        <v>FETHIYE</v>
      </c>
      <c r="D246">
        <f>'Kullanılan gübre'!D246</f>
        <v>2017</v>
      </c>
      <c r="E246">
        <f>'Kullanılan gübre'!E246*'Gübre oranlar'!H$2</f>
        <v>129.68549999999999</v>
      </c>
      <c r="F246">
        <f>'Kullanılan gübre'!F246*'Gübre oranlar'!I$2</f>
        <v>18.797999999999998</v>
      </c>
      <c r="G246">
        <f>'Kullanılan gübre'!G246*'Gübre oranlar'!J$2</f>
        <v>14.3055</v>
      </c>
      <c r="H246">
        <f>'Kullanılan gübre'!H246*'Gübre oranlar'!K$2</f>
        <v>190.80800000000002</v>
      </c>
      <c r="I246">
        <f>'Kullanılan gübre'!I246*'Gübre oranlar'!L$2</f>
        <v>0</v>
      </c>
      <c r="J246">
        <f>'Kullanılan gübre'!J246*'Gübre oranlar'!M$2</f>
        <v>19.647000000000002</v>
      </c>
      <c r="K246">
        <f>'Kullanılan gübre'!K246*'Gübre oranlar'!N$2</f>
        <v>18.440000000000001</v>
      </c>
      <c r="L246">
        <f>'Kullanılan gübre'!L246*'Gübre oranlar'!O$2</f>
        <v>4.4700000000000006</v>
      </c>
      <c r="M246">
        <f>'Kullanılan gübre'!M246*'Gübre oranlar'!P$2</f>
        <v>6.4424999999999999</v>
      </c>
      <c r="N246">
        <f>'Kullanılan gübre'!N246*'Gübre oranlar'!Q$2</f>
        <v>90.015000000000001</v>
      </c>
      <c r="O246">
        <f>'Kullanılan gübre'!O246*'Gübre oranlar'!R$2</f>
        <v>0</v>
      </c>
      <c r="P246">
        <f>'Kullanılan gübre'!P246*'Gübre oranlar'!S$2</f>
        <v>11.804</v>
      </c>
      <c r="Q246">
        <f>'Kullanılan gübre'!Q246*'Gübre oranlar'!T$2</f>
        <v>0</v>
      </c>
      <c r="R246">
        <f>'Kullanılan gübre'!R246*'Gübre oranlar'!U$2</f>
        <v>0</v>
      </c>
      <c r="S246">
        <f>'Kullanılan gübre'!S246*'Gübre oranlar'!V$2</f>
        <v>1.2438750000000001</v>
      </c>
      <c r="T246">
        <f>'Kullanılan gübre'!T246*'Gübre oranlar'!W$2</f>
        <v>2.431</v>
      </c>
      <c r="U246">
        <f>'Kullanılan gübre'!U246*'Gübre oranlar'!X$2</f>
        <v>0</v>
      </c>
      <c r="V246">
        <f>'Kullanılan gübre'!V246*'Gübre oranlar'!Y$2</f>
        <v>0</v>
      </c>
      <c r="W246">
        <f>'Kullanılan gübre'!W246*'Gübre oranlar'!Z$2</f>
        <v>0</v>
      </c>
      <c r="X246">
        <f>'Kullanılan gübre'!X246*'Gübre oranlar'!AA$2</f>
        <v>0</v>
      </c>
      <c r="Y246">
        <f>'Kullanılan gübre'!Y246*'Gübre oranlar'!AB$2</f>
        <v>1.0349999999999999</v>
      </c>
      <c r="Z246">
        <f>'Kullanılan gübre'!Z246*'Gübre oranlar'!AC$2</f>
        <v>0</v>
      </c>
      <c r="AA246">
        <f>'Kullanılan gübre'!AA246*'Gübre oranlar'!AD$2</f>
        <v>3.2565000000000004</v>
      </c>
      <c r="AB246">
        <f>'Kullanılan gübre'!AB246*'Gübre oranlar'!AE$2</f>
        <v>1.125</v>
      </c>
      <c r="AC246">
        <f>'Kullanılan gübre'!AC246*'Gübre oranlar'!AF$2</f>
        <v>0</v>
      </c>
      <c r="AD246">
        <f>'Kullanılan gübre'!AD246*'Gübre oranlar'!AG$2</f>
        <v>0.40425</v>
      </c>
      <c r="AE246">
        <f>'Kullanılan gübre'!AE246*'Gübre oranlar'!AH$2</f>
        <v>2.9350000000000005</v>
      </c>
      <c r="AF246">
        <f>'Kullanılan gübre'!AF246*'Gübre oranlar'!AI$2</f>
        <v>1.089</v>
      </c>
      <c r="AG246">
        <f>'Kullanılan gübre'!AG246*'Gübre oranlar'!AJ$2</f>
        <v>0</v>
      </c>
      <c r="AH246">
        <f>'Kullanılan gübre'!AH246*'Gübre oranlar'!AK$2</f>
        <v>0</v>
      </c>
      <c r="AI246">
        <f>'Kullanılan gübre'!AI246*'Gübre oranlar'!AL$2</f>
        <v>0</v>
      </c>
      <c r="AJ246">
        <f>'Kullanılan gübre'!AJ246*'Gübre oranlar'!AM$2</f>
        <v>0</v>
      </c>
      <c r="AK246">
        <f>'Kullanılan gübre'!AK246*'Gübre oranlar'!AN$2</f>
        <v>0</v>
      </c>
      <c r="AL246">
        <f>'Kullanılan gübre'!AL246*'Gübre oranlar'!AO$2</f>
        <v>0</v>
      </c>
      <c r="AM246">
        <f>'Kullanılan gübre'!AM246*'Gübre oranlar'!AP$2</f>
        <v>0</v>
      </c>
      <c r="AN246">
        <f>'Kullanılan gübre'!AN246*'Gübre oranlar'!AQ$2</f>
        <v>0</v>
      </c>
      <c r="AO246">
        <f>'Kullanılan gübre'!AO246*'Gübre oranlar'!AR$2</f>
        <v>0</v>
      </c>
      <c r="AP246">
        <f>'Kullanılan gübre'!AP246*'Gübre oranlar'!AS$2</f>
        <v>0</v>
      </c>
      <c r="AQ246">
        <f>'Kullanılan gübre'!AQ246*'Gübre oranlar'!AT$2</f>
        <v>0</v>
      </c>
      <c r="AR246">
        <f>'Kullanılan gübre'!AR246*'Gübre oranlar'!AU$2</f>
        <v>0</v>
      </c>
      <c r="AS246">
        <f>'Kullanılan gübre'!AS246*'Gübre oranlar'!AV$2</f>
        <v>0</v>
      </c>
      <c r="AT246">
        <f>'Kullanılan gübre'!AT246*'Gübre oranlar'!AW$2</f>
        <v>0</v>
      </c>
      <c r="AU246">
        <f>'Kullanılan gübre'!AU246*'Gübre oranlar'!AX$2</f>
        <v>0</v>
      </c>
      <c r="AV246">
        <f>'Kullanılan gübre'!AV246*'Gübre oranlar'!AY$2</f>
        <v>0</v>
      </c>
      <c r="AW246">
        <f t="shared" si="3"/>
        <v>517.93512499999997</v>
      </c>
    </row>
    <row r="247" spans="1:49" hidden="1" x14ac:dyDescent="0.25">
      <c r="A247" t="str">
        <f>'Kullanılan gübre'!A247</f>
        <v>BA</v>
      </c>
      <c r="B247" t="str">
        <f>'Kullanılan gübre'!B247</f>
        <v>MUGLA</v>
      </c>
      <c r="C247" t="str">
        <f>'Kullanılan gübre'!C247</f>
        <v>DALAMAN</v>
      </c>
      <c r="D247">
        <f>'Kullanılan gübre'!D247</f>
        <v>2017</v>
      </c>
      <c r="E247">
        <f>'Kullanılan gübre'!E247*'Gübre oranlar'!H$2</f>
        <v>124.16249999999999</v>
      </c>
      <c r="F247">
        <f>'Kullanılan gübre'!F247*'Gübre oranlar'!I$2</f>
        <v>80.210000000000008</v>
      </c>
      <c r="G247">
        <f>'Kullanılan gübre'!G247*'Gübre oranlar'!J$2</f>
        <v>0</v>
      </c>
      <c r="H247">
        <f>'Kullanılan gübre'!H247*'Gübre oranlar'!K$2</f>
        <v>390.05700000000002</v>
      </c>
      <c r="I247">
        <f>'Kullanılan gübre'!I247*'Gübre oranlar'!L$2</f>
        <v>0</v>
      </c>
      <c r="J247">
        <f>'Kullanılan gübre'!J247*'Gübre oranlar'!M$2</f>
        <v>22.986000000000001</v>
      </c>
      <c r="K247">
        <f>'Kullanılan gübre'!K247*'Gübre oranlar'!N$2</f>
        <v>53.39</v>
      </c>
      <c r="L247">
        <f>'Kullanılan gübre'!L247*'Gübre oranlar'!O$2</f>
        <v>0</v>
      </c>
      <c r="M247">
        <f>'Kullanılan gübre'!M247*'Gübre oranlar'!P$2</f>
        <v>26.167499999999997</v>
      </c>
      <c r="N247">
        <f>'Kullanılan gübre'!N247*'Gübre oranlar'!Q$2</f>
        <v>86.977500000000006</v>
      </c>
      <c r="O247">
        <f>'Kullanılan gübre'!O247*'Gübre oranlar'!R$2</f>
        <v>0</v>
      </c>
      <c r="P247">
        <f>'Kullanılan gübre'!P247*'Gübre oranlar'!S$2</f>
        <v>3.2825000000000002</v>
      </c>
      <c r="Q247">
        <f>'Kullanılan gübre'!Q247*'Gübre oranlar'!T$2</f>
        <v>0</v>
      </c>
      <c r="R247">
        <f>'Kullanılan gübre'!R247*'Gübre oranlar'!U$2</f>
        <v>0</v>
      </c>
      <c r="S247">
        <f>'Kullanılan gübre'!S247*'Gübre oranlar'!V$2</f>
        <v>9.2999999999999999E-2</v>
      </c>
      <c r="T247">
        <f>'Kullanılan gübre'!T247*'Gübre oranlar'!W$2</f>
        <v>0</v>
      </c>
      <c r="U247">
        <f>'Kullanılan gübre'!U247*'Gübre oranlar'!X$2</f>
        <v>0</v>
      </c>
      <c r="V247">
        <f>'Kullanılan gübre'!V247*'Gübre oranlar'!Y$2</f>
        <v>0</v>
      </c>
      <c r="W247">
        <f>'Kullanılan gübre'!W247*'Gübre oranlar'!Z$2</f>
        <v>0</v>
      </c>
      <c r="X247">
        <f>'Kullanılan gübre'!X247*'Gübre oranlar'!AA$2</f>
        <v>1.1100000000000001</v>
      </c>
      <c r="Y247">
        <f>'Kullanılan gübre'!Y247*'Gübre oranlar'!AB$2</f>
        <v>0.50249999999999995</v>
      </c>
      <c r="Z247">
        <f>'Kullanılan gübre'!Z247*'Gübre oranlar'!AC$2</f>
        <v>0</v>
      </c>
      <c r="AA247">
        <f>'Kullanılan gübre'!AA247*'Gübre oranlar'!AD$2</f>
        <v>10.14</v>
      </c>
      <c r="AB247">
        <f>'Kullanılan gübre'!AB247*'Gübre oranlar'!AE$2</f>
        <v>0.34499999999999997</v>
      </c>
      <c r="AC247">
        <f>'Kullanılan gübre'!AC247*'Gübre oranlar'!AF$2</f>
        <v>0</v>
      </c>
      <c r="AD247">
        <f>'Kullanılan gübre'!AD247*'Gübre oranlar'!AG$2</f>
        <v>4.4000000000000004E-2</v>
      </c>
      <c r="AE247">
        <f>'Kullanılan gübre'!AE247*'Gübre oranlar'!AH$2</f>
        <v>0.30000000000000004</v>
      </c>
      <c r="AF247">
        <f>'Kullanılan gübre'!AF247*'Gübre oranlar'!AI$2</f>
        <v>1.254</v>
      </c>
      <c r="AG247">
        <f>'Kullanılan gübre'!AG247*'Gübre oranlar'!AJ$2</f>
        <v>3.1709999999999998</v>
      </c>
      <c r="AH247">
        <f>'Kullanılan gübre'!AH247*'Gübre oranlar'!AK$2</f>
        <v>0</v>
      </c>
      <c r="AI247">
        <f>'Kullanılan gübre'!AI247*'Gübre oranlar'!AL$2</f>
        <v>0</v>
      </c>
      <c r="AJ247">
        <f>'Kullanılan gübre'!AJ247*'Gübre oranlar'!AM$2</f>
        <v>0</v>
      </c>
      <c r="AK247">
        <f>'Kullanılan gübre'!AK247*'Gübre oranlar'!AN$2</f>
        <v>0</v>
      </c>
      <c r="AL247">
        <f>'Kullanılan gübre'!AL247*'Gübre oranlar'!AO$2</f>
        <v>0</v>
      </c>
      <c r="AM247">
        <f>'Kullanılan gübre'!AM247*'Gübre oranlar'!AP$2</f>
        <v>0</v>
      </c>
      <c r="AN247">
        <f>'Kullanılan gübre'!AN247*'Gübre oranlar'!AQ$2</f>
        <v>0</v>
      </c>
      <c r="AO247">
        <f>'Kullanılan gübre'!AO247*'Gübre oranlar'!AR$2</f>
        <v>0</v>
      </c>
      <c r="AP247">
        <f>'Kullanılan gübre'!AP247*'Gübre oranlar'!AS$2</f>
        <v>0</v>
      </c>
      <c r="AQ247">
        <f>'Kullanılan gübre'!AQ247*'Gübre oranlar'!AT$2</f>
        <v>0</v>
      </c>
      <c r="AR247">
        <f>'Kullanılan gübre'!AR247*'Gübre oranlar'!AU$2</f>
        <v>0</v>
      </c>
      <c r="AS247">
        <f>'Kullanılan gübre'!AS247*'Gübre oranlar'!AV$2</f>
        <v>0</v>
      </c>
      <c r="AT247">
        <f>'Kullanılan gübre'!AT247*'Gübre oranlar'!AW$2</f>
        <v>0</v>
      </c>
      <c r="AU247">
        <f>'Kullanılan gübre'!AU247*'Gübre oranlar'!AX$2</f>
        <v>0</v>
      </c>
      <c r="AV247">
        <f>'Kullanılan gübre'!AV247*'Gübre oranlar'!AY$2</f>
        <v>0</v>
      </c>
      <c r="AW247">
        <f t="shared" si="3"/>
        <v>804.1925</v>
      </c>
    </row>
    <row r="248" spans="1:49" hidden="1" x14ac:dyDescent="0.25">
      <c r="A248" t="str">
        <f>'Kullanılan gübre'!A248</f>
        <v>BA</v>
      </c>
      <c r="B248" t="str">
        <f>'Kullanılan gübre'!B248</f>
        <v>MUGLA</v>
      </c>
      <c r="C248" t="str">
        <f>'Kullanılan gübre'!C248</f>
        <v>ORTACA</v>
      </c>
      <c r="D248">
        <f>'Kullanılan gübre'!D248</f>
        <v>2017</v>
      </c>
      <c r="E248">
        <f>'Kullanılan gübre'!E248*'Gübre oranlar'!H$2</f>
        <v>274.78499999999997</v>
      </c>
      <c r="F248">
        <f>'Kullanılan gübre'!F248*'Gübre oranlar'!I$2</f>
        <v>92.963000000000008</v>
      </c>
      <c r="G248">
        <f>'Kullanılan gübre'!G248*'Gübre oranlar'!J$2</f>
        <v>23.727000000000004</v>
      </c>
      <c r="H248">
        <f>'Kullanılan gübre'!H248*'Gübre oranlar'!K$2</f>
        <v>556.6</v>
      </c>
      <c r="I248">
        <f>'Kullanılan gübre'!I248*'Gübre oranlar'!L$2</f>
        <v>0</v>
      </c>
      <c r="J248">
        <f>'Kullanılan gübre'!J248*'Gübre oranlar'!M$2</f>
        <v>35.558999999999997</v>
      </c>
      <c r="K248">
        <f>'Kullanılan gübre'!K248*'Gübre oranlar'!N$2</f>
        <v>24.02</v>
      </c>
      <c r="L248">
        <f>'Kullanılan gübre'!L248*'Gübre oranlar'!O$2</f>
        <v>0</v>
      </c>
      <c r="M248">
        <f>'Kullanılan gübre'!M248*'Gübre oranlar'!P$2</f>
        <v>32.317499999999995</v>
      </c>
      <c r="N248">
        <f>'Kullanılan gübre'!N248*'Gübre oranlar'!Q$2</f>
        <v>250.89750000000001</v>
      </c>
      <c r="O248">
        <f>'Kullanılan gübre'!O248*'Gübre oranlar'!R$2</f>
        <v>0</v>
      </c>
      <c r="P248">
        <f>'Kullanılan gübre'!P248*'Gübre oranlar'!S$2</f>
        <v>4.5207499999999996</v>
      </c>
      <c r="Q248">
        <f>'Kullanılan gübre'!Q248*'Gübre oranlar'!T$2</f>
        <v>0</v>
      </c>
      <c r="R248">
        <f>'Kullanılan gübre'!R248*'Gübre oranlar'!U$2</f>
        <v>0</v>
      </c>
      <c r="S248">
        <f>'Kullanılan gübre'!S248*'Gübre oranlar'!V$2</f>
        <v>7.0214999999999996</v>
      </c>
      <c r="T248">
        <f>'Kullanılan gübre'!T248*'Gübre oranlar'!W$2</f>
        <v>0</v>
      </c>
      <c r="U248">
        <f>'Kullanılan gübre'!U248*'Gübre oranlar'!X$2</f>
        <v>0</v>
      </c>
      <c r="V248">
        <f>'Kullanılan gübre'!V248*'Gübre oranlar'!Y$2</f>
        <v>0</v>
      </c>
      <c r="W248">
        <f>'Kullanılan gübre'!W248*'Gübre oranlar'!Z$2</f>
        <v>0</v>
      </c>
      <c r="X248">
        <f>'Kullanılan gübre'!X248*'Gübre oranlar'!AA$2</f>
        <v>0</v>
      </c>
      <c r="Y248">
        <f>'Kullanılan gübre'!Y248*'Gübre oranlar'!AB$2</f>
        <v>7.05</v>
      </c>
      <c r="Z248">
        <f>'Kullanılan gübre'!Z248*'Gübre oranlar'!AC$2</f>
        <v>0</v>
      </c>
      <c r="AA248">
        <f>'Kullanılan gübre'!AA248*'Gübre oranlar'!AD$2</f>
        <v>0</v>
      </c>
      <c r="AB248">
        <f>'Kullanılan gübre'!AB248*'Gübre oranlar'!AE$2</f>
        <v>1.587</v>
      </c>
      <c r="AC248">
        <f>'Kullanılan gübre'!AC248*'Gübre oranlar'!AF$2</f>
        <v>0</v>
      </c>
      <c r="AD248">
        <f>'Kullanılan gübre'!AD248*'Gübre oranlar'!AG$2</f>
        <v>0.79749999999999999</v>
      </c>
      <c r="AE248">
        <f>'Kullanılan gübre'!AE248*'Gübre oranlar'!AH$2</f>
        <v>0</v>
      </c>
      <c r="AF248">
        <f>'Kullanılan gübre'!AF248*'Gübre oranlar'!AI$2</f>
        <v>0</v>
      </c>
      <c r="AG248">
        <f>'Kullanılan gübre'!AG248*'Gübre oranlar'!AJ$2</f>
        <v>0</v>
      </c>
      <c r="AH248">
        <f>'Kullanılan gübre'!AH248*'Gübre oranlar'!AK$2</f>
        <v>0</v>
      </c>
      <c r="AI248">
        <f>'Kullanılan gübre'!AI248*'Gübre oranlar'!AL$2</f>
        <v>0</v>
      </c>
      <c r="AJ248">
        <f>'Kullanılan gübre'!AJ248*'Gübre oranlar'!AM$2</f>
        <v>0</v>
      </c>
      <c r="AK248">
        <f>'Kullanılan gübre'!AK248*'Gübre oranlar'!AN$2</f>
        <v>0</v>
      </c>
      <c r="AL248">
        <f>'Kullanılan gübre'!AL248*'Gübre oranlar'!AO$2</f>
        <v>0</v>
      </c>
      <c r="AM248">
        <f>'Kullanılan gübre'!AM248*'Gübre oranlar'!AP$2</f>
        <v>0</v>
      </c>
      <c r="AN248">
        <f>'Kullanılan gübre'!AN248*'Gübre oranlar'!AQ$2</f>
        <v>0</v>
      </c>
      <c r="AO248">
        <f>'Kullanılan gübre'!AO248*'Gübre oranlar'!AR$2</f>
        <v>0</v>
      </c>
      <c r="AP248">
        <f>'Kullanılan gübre'!AP248*'Gübre oranlar'!AS$2</f>
        <v>0</v>
      </c>
      <c r="AQ248">
        <f>'Kullanılan gübre'!AQ248*'Gübre oranlar'!AT$2</f>
        <v>0</v>
      </c>
      <c r="AR248">
        <f>'Kullanılan gübre'!AR248*'Gübre oranlar'!AU$2</f>
        <v>0</v>
      </c>
      <c r="AS248">
        <f>'Kullanılan gübre'!AS248*'Gübre oranlar'!AV$2</f>
        <v>0</v>
      </c>
      <c r="AT248">
        <f>'Kullanılan gübre'!AT248*'Gübre oranlar'!AW$2</f>
        <v>0</v>
      </c>
      <c r="AU248">
        <f>'Kullanılan gübre'!AU248*'Gübre oranlar'!AX$2</f>
        <v>0</v>
      </c>
      <c r="AV248">
        <f>'Kullanılan gübre'!AV248*'Gübre oranlar'!AY$2</f>
        <v>0</v>
      </c>
      <c r="AW248">
        <f t="shared" si="3"/>
        <v>1311.84575</v>
      </c>
    </row>
    <row r="249" spans="1:49" hidden="1" x14ac:dyDescent="0.25">
      <c r="A249" t="str">
        <f>'Kullanılan gübre'!A249</f>
        <v>BA</v>
      </c>
      <c r="B249" t="str">
        <f>'Kullanılan gübre'!B249</f>
        <v>MUGLA</v>
      </c>
      <c r="C249" t="str">
        <f>'Kullanılan gübre'!C249</f>
        <v>KOYCEGIZ</v>
      </c>
      <c r="D249">
        <f>'Kullanılan gübre'!D249</f>
        <v>2017</v>
      </c>
      <c r="E249">
        <f>'Kullanılan gübre'!E249*'Gübre oranlar'!H$2</f>
        <v>329.51099999999997</v>
      </c>
      <c r="F249">
        <f>'Kullanılan gübre'!F249*'Gübre oranlar'!I$2</f>
        <v>14.976000000000001</v>
      </c>
      <c r="G249">
        <f>'Kullanılan gübre'!G249*'Gübre oranlar'!J$2</f>
        <v>4.6530000000000005</v>
      </c>
      <c r="H249">
        <f>'Kullanılan gübre'!H249*'Gübre oranlar'!K$2</f>
        <v>445.71700000000004</v>
      </c>
      <c r="I249">
        <f>'Kullanılan gübre'!I249*'Gübre oranlar'!L$2</f>
        <v>0</v>
      </c>
      <c r="J249">
        <f>'Kullanılan gübre'!J249*'Gübre oranlar'!M$2</f>
        <v>22.364999999999998</v>
      </c>
      <c r="K249">
        <f>'Kullanılan gübre'!K249*'Gübre oranlar'!N$2</f>
        <v>71.14</v>
      </c>
      <c r="L249">
        <f>'Kullanılan gübre'!L249*'Gübre oranlar'!O$2</f>
        <v>2</v>
      </c>
      <c r="M249">
        <f>'Kullanılan gübre'!M249*'Gübre oranlar'!P$2</f>
        <v>19.5825</v>
      </c>
      <c r="N249">
        <f>'Kullanılan gübre'!N249*'Gübre oranlar'!Q$2</f>
        <v>228.21</v>
      </c>
      <c r="O249">
        <f>'Kullanılan gübre'!O249*'Gübre oranlar'!R$2</f>
        <v>0</v>
      </c>
      <c r="P249">
        <f>'Kullanılan gübre'!P249*'Gübre oranlar'!S$2</f>
        <v>1.8590000000000002</v>
      </c>
      <c r="Q249">
        <f>'Kullanılan gübre'!Q249*'Gübre oranlar'!T$2</f>
        <v>0</v>
      </c>
      <c r="R249">
        <f>'Kullanılan gübre'!R249*'Gübre oranlar'!U$2</f>
        <v>0</v>
      </c>
      <c r="S249">
        <f>'Kullanılan gübre'!S249*'Gübre oranlar'!V$2</f>
        <v>4.9483750000000004</v>
      </c>
      <c r="T249">
        <f>'Kullanılan gübre'!T249*'Gübre oranlar'!W$2</f>
        <v>0</v>
      </c>
      <c r="U249">
        <f>'Kullanılan gübre'!U249*'Gübre oranlar'!X$2</f>
        <v>0</v>
      </c>
      <c r="V249">
        <f>'Kullanılan gübre'!V249*'Gübre oranlar'!Y$2</f>
        <v>0</v>
      </c>
      <c r="W249">
        <f>'Kullanılan gübre'!W249*'Gübre oranlar'!Z$2</f>
        <v>0</v>
      </c>
      <c r="X249">
        <f>'Kullanılan gübre'!X249*'Gübre oranlar'!AA$2</f>
        <v>0</v>
      </c>
      <c r="Y249">
        <f>'Kullanılan gübre'!Y249*'Gübre oranlar'!AB$2</f>
        <v>0</v>
      </c>
      <c r="Z249">
        <f>'Kullanılan gübre'!Z249*'Gübre oranlar'!AC$2</f>
        <v>0.69000000000000006</v>
      </c>
      <c r="AA249">
        <f>'Kullanılan gübre'!AA249*'Gübre oranlar'!AD$2</f>
        <v>0.52649999999999997</v>
      </c>
      <c r="AB249">
        <f>'Kullanılan gübre'!AB249*'Gübre oranlar'!AE$2</f>
        <v>0.52199999999999991</v>
      </c>
      <c r="AC249">
        <f>'Kullanılan gübre'!AC249*'Gübre oranlar'!AF$2</f>
        <v>0</v>
      </c>
      <c r="AD249">
        <f>'Kullanılan gübre'!AD249*'Gübre oranlar'!AG$2</f>
        <v>0</v>
      </c>
      <c r="AE249">
        <f>'Kullanılan gübre'!AE249*'Gübre oranlar'!AH$2</f>
        <v>0</v>
      </c>
      <c r="AF249">
        <f>'Kullanılan gübre'!AF249*'Gübre oranlar'!AI$2</f>
        <v>0</v>
      </c>
      <c r="AG249">
        <f>'Kullanılan gübre'!AG249*'Gübre oranlar'!AJ$2</f>
        <v>0</v>
      </c>
      <c r="AH249">
        <f>'Kullanılan gübre'!AH249*'Gübre oranlar'!AK$2</f>
        <v>0</v>
      </c>
      <c r="AI249">
        <f>'Kullanılan gübre'!AI249*'Gübre oranlar'!AL$2</f>
        <v>0</v>
      </c>
      <c r="AJ249">
        <f>'Kullanılan gübre'!AJ249*'Gübre oranlar'!AM$2</f>
        <v>0</v>
      </c>
      <c r="AK249">
        <f>'Kullanılan gübre'!AK249*'Gübre oranlar'!AN$2</f>
        <v>0</v>
      </c>
      <c r="AL249">
        <f>'Kullanılan gübre'!AL249*'Gübre oranlar'!AO$2</f>
        <v>0</v>
      </c>
      <c r="AM249">
        <f>'Kullanılan gübre'!AM249*'Gübre oranlar'!AP$2</f>
        <v>0</v>
      </c>
      <c r="AN249">
        <f>'Kullanılan gübre'!AN249*'Gübre oranlar'!AQ$2</f>
        <v>0</v>
      </c>
      <c r="AO249">
        <f>'Kullanılan gübre'!AO249*'Gübre oranlar'!AR$2</f>
        <v>0</v>
      </c>
      <c r="AP249">
        <f>'Kullanılan gübre'!AP249*'Gübre oranlar'!AS$2</f>
        <v>0</v>
      </c>
      <c r="AQ249">
        <f>'Kullanılan gübre'!AQ249*'Gübre oranlar'!AT$2</f>
        <v>0</v>
      </c>
      <c r="AR249">
        <f>'Kullanılan gübre'!AR249*'Gübre oranlar'!AU$2</f>
        <v>0</v>
      </c>
      <c r="AS249">
        <f>'Kullanılan gübre'!AS249*'Gübre oranlar'!AV$2</f>
        <v>0</v>
      </c>
      <c r="AT249">
        <f>'Kullanılan gübre'!AT249*'Gübre oranlar'!AW$2</f>
        <v>0</v>
      </c>
      <c r="AU249">
        <f>'Kullanılan gübre'!AU249*'Gübre oranlar'!AX$2</f>
        <v>0</v>
      </c>
      <c r="AV249">
        <f>'Kullanılan gübre'!AV249*'Gübre oranlar'!AY$2</f>
        <v>0</v>
      </c>
      <c r="AW249">
        <f t="shared" si="3"/>
        <v>1146.7003749999997</v>
      </c>
    </row>
    <row r="250" spans="1:49" hidden="1" x14ac:dyDescent="0.25">
      <c r="A250" t="str">
        <f>'Kullanılan gübre'!A250</f>
        <v>BA</v>
      </c>
      <c r="B250" t="str">
        <f>'Kullanılan gübre'!B250</f>
        <v>MUGLA</v>
      </c>
      <c r="C250" t="str">
        <f>'Kullanılan gübre'!C250</f>
        <v>DATCA</v>
      </c>
      <c r="D250">
        <f>'Kullanılan gübre'!D250</f>
        <v>2017</v>
      </c>
      <c r="E250">
        <f>'Kullanılan gübre'!E250*'Gübre oranlar'!H$2</f>
        <v>5.6280000000000001</v>
      </c>
      <c r="F250">
        <f>'Kullanılan gübre'!F250*'Gübre oranlar'!I$2</f>
        <v>0</v>
      </c>
      <c r="G250">
        <f>'Kullanılan gübre'!G250*'Gübre oranlar'!J$2</f>
        <v>0</v>
      </c>
      <c r="H250">
        <f>'Kullanılan gübre'!H250*'Gübre oranlar'!K$2</f>
        <v>36.914999999999999</v>
      </c>
      <c r="I250">
        <f>'Kullanılan gübre'!I250*'Gübre oranlar'!L$2</f>
        <v>0</v>
      </c>
      <c r="J250">
        <f>'Kullanılan gübre'!J250*'Gübre oranlar'!M$2</f>
        <v>5.76</v>
      </c>
      <c r="K250">
        <f>'Kullanılan gübre'!K250*'Gübre oranlar'!N$2</f>
        <v>2.3000000000000003</v>
      </c>
      <c r="L250">
        <f>'Kullanılan gübre'!L250*'Gübre oranlar'!O$2</f>
        <v>0</v>
      </c>
      <c r="M250">
        <f>'Kullanılan gübre'!M250*'Gübre oranlar'!P$2</f>
        <v>0</v>
      </c>
      <c r="N250">
        <f>'Kullanılan gübre'!N250*'Gübre oranlar'!Q$2</f>
        <v>5.25</v>
      </c>
      <c r="O250">
        <f>'Kullanılan gübre'!O250*'Gübre oranlar'!R$2</f>
        <v>0</v>
      </c>
      <c r="P250">
        <f>'Kullanılan gübre'!P250*'Gübre oranlar'!S$2</f>
        <v>0.58174999999999999</v>
      </c>
      <c r="Q250">
        <f>'Kullanılan gübre'!Q250*'Gübre oranlar'!T$2</f>
        <v>0</v>
      </c>
      <c r="R250">
        <f>'Kullanılan gübre'!R250*'Gübre oranlar'!U$2</f>
        <v>0</v>
      </c>
      <c r="S250">
        <f>'Kullanılan gübre'!S250*'Gübre oranlar'!V$2</f>
        <v>7.7499999999999999E-3</v>
      </c>
      <c r="T250">
        <f>'Kullanılan gübre'!T250*'Gübre oranlar'!W$2</f>
        <v>0</v>
      </c>
      <c r="U250">
        <f>'Kullanılan gübre'!U250*'Gübre oranlar'!X$2</f>
        <v>0</v>
      </c>
      <c r="V250">
        <f>'Kullanılan gübre'!V250*'Gübre oranlar'!Y$2</f>
        <v>0</v>
      </c>
      <c r="W250">
        <f>'Kullanılan gübre'!W250*'Gübre oranlar'!Z$2</f>
        <v>0</v>
      </c>
      <c r="X250">
        <f>'Kullanılan gübre'!X250*'Gübre oranlar'!AA$2</f>
        <v>0</v>
      </c>
      <c r="Y250">
        <f>'Kullanılan gübre'!Y250*'Gübre oranlar'!AB$2</f>
        <v>16.102499999999999</v>
      </c>
      <c r="Z250">
        <f>'Kullanılan gübre'!Z250*'Gübre oranlar'!AC$2</f>
        <v>0</v>
      </c>
      <c r="AA250">
        <f>'Kullanılan gübre'!AA250*'Gübre oranlar'!AD$2</f>
        <v>11.7715</v>
      </c>
      <c r="AB250">
        <f>'Kullanılan gübre'!AB250*'Gübre oranlar'!AE$2</f>
        <v>2.7E-2</v>
      </c>
      <c r="AC250">
        <f>'Kullanılan gübre'!AC250*'Gübre oranlar'!AF$2</f>
        <v>0</v>
      </c>
      <c r="AD250">
        <f>'Kullanılan gübre'!AD250*'Gübre oranlar'!AG$2</f>
        <v>0</v>
      </c>
      <c r="AE250">
        <f>'Kullanılan gübre'!AE250*'Gübre oranlar'!AH$2</f>
        <v>0</v>
      </c>
      <c r="AF250">
        <f>'Kullanılan gübre'!AF250*'Gübre oranlar'!AI$2</f>
        <v>34.864500000000007</v>
      </c>
      <c r="AG250">
        <f>'Kullanılan gübre'!AG250*'Gübre oranlar'!AJ$2</f>
        <v>0</v>
      </c>
      <c r="AH250">
        <f>'Kullanılan gübre'!AH250*'Gübre oranlar'!AK$2</f>
        <v>0</v>
      </c>
      <c r="AI250">
        <f>'Kullanılan gübre'!AI250*'Gübre oranlar'!AL$2</f>
        <v>0</v>
      </c>
      <c r="AJ250">
        <f>'Kullanılan gübre'!AJ250*'Gübre oranlar'!AM$2</f>
        <v>0</v>
      </c>
      <c r="AK250">
        <f>'Kullanılan gübre'!AK250*'Gübre oranlar'!AN$2</f>
        <v>0</v>
      </c>
      <c r="AL250">
        <f>'Kullanılan gübre'!AL250*'Gübre oranlar'!AO$2</f>
        <v>0</v>
      </c>
      <c r="AM250">
        <f>'Kullanılan gübre'!AM250*'Gübre oranlar'!AP$2</f>
        <v>0</v>
      </c>
      <c r="AN250">
        <f>'Kullanılan gübre'!AN250*'Gübre oranlar'!AQ$2</f>
        <v>0</v>
      </c>
      <c r="AO250">
        <f>'Kullanılan gübre'!AO250*'Gübre oranlar'!AR$2</f>
        <v>0</v>
      </c>
      <c r="AP250">
        <f>'Kullanılan gübre'!AP250*'Gübre oranlar'!AS$2</f>
        <v>0</v>
      </c>
      <c r="AQ250">
        <f>'Kullanılan gübre'!AQ250*'Gübre oranlar'!AT$2</f>
        <v>0</v>
      </c>
      <c r="AR250">
        <f>'Kullanılan gübre'!AR250*'Gübre oranlar'!AU$2</f>
        <v>0</v>
      </c>
      <c r="AS250">
        <f>'Kullanılan gübre'!AS250*'Gübre oranlar'!AV$2</f>
        <v>0</v>
      </c>
      <c r="AT250">
        <f>'Kullanılan gübre'!AT250*'Gübre oranlar'!AW$2</f>
        <v>0</v>
      </c>
      <c r="AU250">
        <f>'Kullanılan gübre'!AU250*'Gübre oranlar'!AX$2</f>
        <v>0</v>
      </c>
      <c r="AV250">
        <f>'Kullanılan gübre'!AV250*'Gübre oranlar'!AY$2</f>
        <v>0</v>
      </c>
      <c r="AW250">
        <f t="shared" si="3"/>
        <v>119.208</v>
      </c>
    </row>
    <row r="251" spans="1:49" hidden="1" x14ac:dyDescent="0.25">
      <c r="A251" t="str">
        <f>'Kullanılan gübre'!A251</f>
        <v>BA</v>
      </c>
      <c r="B251" t="str">
        <f>'Kullanılan gübre'!B251</f>
        <v>MUGLA</v>
      </c>
      <c r="C251" t="str">
        <f>'Kullanılan gübre'!C251</f>
        <v>ULA</v>
      </c>
      <c r="D251">
        <f>'Kullanılan gübre'!D251</f>
        <v>2017</v>
      </c>
      <c r="E251">
        <f>'Kullanılan gübre'!E251*'Gübre oranlar'!H$2</f>
        <v>46.346999999999994</v>
      </c>
      <c r="F251">
        <f>'Kullanılan gübre'!F251*'Gübre oranlar'!I$2</f>
        <v>0</v>
      </c>
      <c r="G251">
        <f>'Kullanılan gübre'!G251*'Gübre oranlar'!J$2</f>
        <v>0</v>
      </c>
      <c r="H251">
        <f>'Kullanılan gübre'!H251*'Gübre oranlar'!K$2</f>
        <v>264.661</v>
      </c>
      <c r="I251">
        <f>'Kullanılan gübre'!I251*'Gübre oranlar'!L$2</f>
        <v>0</v>
      </c>
      <c r="J251">
        <f>'Kullanılan gübre'!J251*'Gübre oranlar'!M$2</f>
        <v>2.484</v>
      </c>
      <c r="K251">
        <f>'Kullanılan gübre'!K251*'Gübre oranlar'!N$2</f>
        <v>6.9</v>
      </c>
      <c r="L251">
        <f>'Kullanılan gübre'!L251*'Gübre oranlar'!O$2</f>
        <v>28.730000000000004</v>
      </c>
      <c r="M251">
        <f>'Kullanılan gübre'!M251*'Gübre oranlar'!P$2</f>
        <v>0.98249999999999993</v>
      </c>
      <c r="N251">
        <f>'Kullanılan gübre'!N251*'Gübre oranlar'!Q$2</f>
        <v>38.512499999999996</v>
      </c>
      <c r="O251">
        <f>'Kullanılan gübre'!O251*'Gübre oranlar'!R$2</f>
        <v>0</v>
      </c>
      <c r="P251">
        <f>'Kullanılan gübre'!P251*'Gübre oranlar'!S$2</f>
        <v>0.49725000000000003</v>
      </c>
      <c r="Q251">
        <f>'Kullanılan gübre'!Q251*'Gübre oranlar'!T$2</f>
        <v>0</v>
      </c>
      <c r="R251">
        <f>'Kullanılan gübre'!R251*'Gübre oranlar'!U$2</f>
        <v>0</v>
      </c>
      <c r="S251">
        <f>'Kullanılan gübre'!S251*'Gübre oranlar'!V$2</f>
        <v>0.18987500000000002</v>
      </c>
      <c r="T251">
        <f>'Kullanılan gübre'!T251*'Gübre oranlar'!W$2</f>
        <v>0</v>
      </c>
      <c r="U251">
        <f>'Kullanılan gübre'!U251*'Gübre oranlar'!X$2</f>
        <v>0</v>
      </c>
      <c r="V251">
        <f>'Kullanılan gübre'!V251*'Gübre oranlar'!Y$2</f>
        <v>0</v>
      </c>
      <c r="W251">
        <f>'Kullanılan gübre'!W251*'Gübre oranlar'!Z$2</f>
        <v>0</v>
      </c>
      <c r="X251">
        <f>'Kullanılan gübre'!X251*'Gübre oranlar'!AA$2</f>
        <v>0</v>
      </c>
      <c r="Y251">
        <f>'Kullanılan gübre'!Y251*'Gübre oranlar'!AB$2</f>
        <v>0</v>
      </c>
      <c r="Z251">
        <f>'Kullanılan gübre'!Z251*'Gübre oranlar'!AC$2</f>
        <v>0</v>
      </c>
      <c r="AA251">
        <f>'Kullanılan gübre'!AA251*'Gübre oranlar'!AD$2</f>
        <v>3.9E-2</v>
      </c>
      <c r="AB251">
        <f>'Kullanılan gübre'!AB251*'Gübre oranlar'!AE$2</f>
        <v>4.8000000000000001E-2</v>
      </c>
      <c r="AC251">
        <f>'Kullanılan gübre'!AC251*'Gübre oranlar'!AF$2</f>
        <v>0</v>
      </c>
      <c r="AD251">
        <f>'Kullanılan gübre'!AD251*'Gübre oranlar'!AG$2</f>
        <v>2.4750000000000001E-2</v>
      </c>
      <c r="AE251">
        <f>'Kullanılan gübre'!AE251*'Gübre oranlar'!AH$2</f>
        <v>0</v>
      </c>
      <c r="AF251">
        <f>'Kullanılan gübre'!AF251*'Gübre oranlar'!AI$2</f>
        <v>61.660499999999999</v>
      </c>
      <c r="AG251">
        <f>'Kullanılan gübre'!AG251*'Gübre oranlar'!AJ$2</f>
        <v>0</v>
      </c>
      <c r="AH251">
        <f>'Kullanılan gübre'!AH251*'Gübre oranlar'!AK$2</f>
        <v>0</v>
      </c>
      <c r="AI251">
        <f>'Kullanılan gübre'!AI251*'Gübre oranlar'!AL$2</f>
        <v>0</v>
      </c>
      <c r="AJ251">
        <f>'Kullanılan gübre'!AJ251*'Gübre oranlar'!AM$2</f>
        <v>0</v>
      </c>
      <c r="AK251">
        <f>'Kullanılan gübre'!AK251*'Gübre oranlar'!AN$2</f>
        <v>0</v>
      </c>
      <c r="AL251">
        <f>'Kullanılan gübre'!AL251*'Gübre oranlar'!AO$2</f>
        <v>0</v>
      </c>
      <c r="AM251">
        <f>'Kullanılan gübre'!AM251*'Gübre oranlar'!AP$2</f>
        <v>0</v>
      </c>
      <c r="AN251">
        <f>'Kullanılan gübre'!AN251*'Gübre oranlar'!AQ$2</f>
        <v>0</v>
      </c>
      <c r="AO251">
        <f>'Kullanılan gübre'!AO251*'Gübre oranlar'!AR$2</f>
        <v>0</v>
      </c>
      <c r="AP251">
        <f>'Kullanılan gübre'!AP251*'Gübre oranlar'!AS$2</f>
        <v>0</v>
      </c>
      <c r="AQ251">
        <f>'Kullanılan gübre'!AQ251*'Gübre oranlar'!AT$2</f>
        <v>0</v>
      </c>
      <c r="AR251">
        <f>'Kullanılan gübre'!AR251*'Gübre oranlar'!AU$2</f>
        <v>0</v>
      </c>
      <c r="AS251">
        <f>'Kullanılan gübre'!AS251*'Gübre oranlar'!AV$2</f>
        <v>0</v>
      </c>
      <c r="AT251">
        <f>'Kullanılan gübre'!AT251*'Gübre oranlar'!AW$2</f>
        <v>0</v>
      </c>
      <c r="AU251">
        <f>'Kullanılan gübre'!AU251*'Gübre oranlar'!AX$2</f>
        <v>0</v>
      </c>
      <c r="AV251">
        <f>'Kullanılan gübre'!AV251*'Gübre oranlar'!AY$2</f>
        <v>0</v>
      </c>
      <c r="AW251">
        <f t="shared" si="3"/>
        <v>451.07637499999993</v>
      </c>
    </row>
    <row r="252" spans="1:49" hidden="1" x14ac:dyDescent="0.25">
      <c r="A252" t="str">
        <f>'Kullanılan gübre'!A252</f>
        <v>BA</v>
      </c>
      <c r="B252" t="str">
        <f>'Kullanılan gübre'!B252</f>
        <v>MUGLA</v>
      </c>
      <c r="C252" t="str">
        <f>'Kullanılan gübre'!C252</f>
        <v>BODRUM</v>
      </c>
      <c r="D252">
        <f>'Kullanılan gübre'!D252</f>
        <v>2017</v>
      </c>
      <c r="E252">
        <f>'Kullanılan gübre'!E252*'Gübre oranlar'!H$2</f>
        <v>9.8279999999999994</v>
      </c>
      <c r="F252">
        <f>'Kullanılan gübre'!F252*'Gübre oranlar'!I$2</f>
        <v>0</v>
      </c>
      <c r="G252">
        <f>'Kullanılan gübre'!G252*'Gübre oranlar'!J$2</f>
        <v>0</v>
      </c>
      <c r="H252">
        <f>'Kullanılan gübre'!H252*'Gübre oranlar'!K$2</f>
        <v>164.358</v>
      </c>
      <c r="I252">
        <f>'Kullanılan gübre'!I252*'Gübre oranlar'!L$2</f>
        <v>0</v>
      </c>
      <c r="J252">
        <f>'Kullanılan gübre'!J252*'Gübre oranlar'!M$2</f>
        <v>1.7549999999999999</v>
      </c>
      <c r="K252">
        <f>'Kullanılan gübre'!K252*'Gübre oranlar'!N$2</f>
        <v>47.460000000000008</v>
      </c>
      <c r="L252">
        <f>'Kullanılan gübre'!L252*'Gübre oranlar'!O$2</f>
        <v>0.1</v>
      </c>
      <c r="M252">
        <f>'Kullanılan gübre'!M252*'Gübre oranlar'!P$2</f>
        <v>27.487500000000001</v>
      </c>
      <c r="N252">
        <f>'Kullanılan gübre'!N252*'Gübre oranlar'!Q$2</f>
        <v>4.05</v>
      </c>
      <c r="O252">
        <f>'Kullanılan gübre'!O252*'Gübre oranlar'!R$2</f>
        <v>0</v>
      </c>
      <c r="P252">
        <f>'Kullanılan gübre'!P252*'Gübre oranlar'!S$2</f>
        <v>0</v>
      </c>
      <c r="Q252">
        <f>'Kullanılan gübre'!Q252*'Gübre oranlar'!T$2</f>
        <v>0</v>
      </c>
      <c r="R252">
        <f>'Kullanılan gübre'!R252*'Gübre oranlar'!U$2</f>
        <v>0</v>
      </c>
      <c r="S252">
        <f>'Kullanılan gübre'!S252*'Gübre oranlar'!V$2</f>
        <v>0</v>
      </c>
      <c r="T252">
        <f>'Kullanılan gübre'!T252*'Gübre oranlar'!W$2</f>
        <v>0</v>
      </c>
      <c r="U252">
        <f>'Kullanılan gübre'!U252*'Gübre oranlar'!X$2</f>
        <v>0</v>
      </c>
      <c r="V252">
        <f>'Kullanılan gübre'!V252*'Gübre oranlar'!Y$2</f>
        <v>0</v>
      </c>
      <c r="W252">
        <f>'Kullanılan gübre'!W252*'Gübre oranlar'!Z$2</f>
        <v>0</v>
      </c>
      <c r="X252">
        <f>'Kullanılan gübre'!X252*'Gübre oranlar'!AA$2</f>
        <v>0</v>
      </c>
      <c r="Y252">
        <f>'Kullanılan gübre'!Y252*'Gübre oranlar'!AB$2</f>
        <v>0</v>
      </c>
      <c r="Z252">
        <f>'Kullanılan gübre'!Z252*'Gübre oranlar'!AC$2</f>
        <v>0</v>
      </c>
      <c r="AA252">
        <f>'Kullanılan gübre'!AA252*'Gübre oranlar'!AD$2</f>
        <v>0.13</v>
      </c>
      <c r="AB252">
        <f>'Kullanılan gübre'!AB252*'Gübre oranlar'!AE$2</f>
        <v>1.2E-2</v>
      </c>
      <c r="AC252">
        <f>'Kullanılan gübre'!AC252*'Gübre oranlar'!AF$2</f>
        <v>0</v>
      </c>
      <c r="AD252">
        <f>'Kullanılan gübre'!AD252*'Gübre oranlar'!AG$2</f>
        <v>0</v>
      </c>
      <c r="AE252">
        <f>'Kullanılan gübre'!AE252*'Gübre oranlar'!AH$2</f>
        <v>0</v>
      </c>
      <c r="AF252">
        <f>'Kullanılan gübre'!AF252*'Gübre oranlar'!AI$2</f>
        <v>35.408999999999999</v>
      </c>
      <c r="AG252">
        <f>'Kullanılan gübre'!AG252*'Gübre oranlar'!AJ$2</f>
        <v>0</v>
      </c>
      <c r="AH252">
        <f>'Kullanılan gübre'!AH252*'Gübre oranlar'!AK$2</f>
        <v>0</v>
      </c>
      <c r="AI252">
        <f>'Kullanılan gübre'!AI252*'Gübre oranlar'!AL$2</f>
        <v>0</v>
      </c>
      <c r="AJ252">
        <f>'Kullanılan gübre'!AJ252*'Gübre oranlar'!AM$2</f>
        <v>0</v>
      </c>
      <c r="AK252">
        <f>'Kullanılan gübre'!AK252*'Gübre oranlar'!AN$2</f>
        <v>0</v>
      </c>
      <c r="AL252">
        <f>'Kullanılan gübre'!AL252*'Gübre oranlar'!AO$2</f>
        <v>0</v>
      </c>
      <c r="AM252">
        <f>'Kullanılan gübre'!AM252*'Gübre oranlar'!AP$2</f>
        <v>0</v>
      </c>
      <c r="AN252">
        <f>'Kullanılan gübre'!AN252*'Gübre oranlar'!AQ$2</f>
        <v>0</v>
      </c>
      <c r="AO252">
        <f>'Kullanılan gübre'!AO252*'Gübre oranlar'!AR$2</f>
        <v>0</v>
      </c>
      <c r="AP252">
        <f>'Kullanılan gübre'!AP252*'Gübre oranlar'!AS$2</f>
        <v>0</v>
      </c>
      <c r="AQ252">
        <f>'Kullanılan gübre'!AQ252*'Gübre oranlar'!AT$2</f>
        <v>0</v>
      </c>
      <c r="AR252">
        <f>'Kullanılan gübre'!AR252*'Gübre oranlar'!AU$2</f>
        <v>0</v>
      </c>
      <c r="AS252">
        <f>'Kullanılan gübre'!AS252*'Gübre oranlar'!AV$2</f>
        <v>0</v>
      </c>
      <c r="AT252">
        <f>'Kullanılan gübre'!AT252*'Gübre oranlar'!AW$2</f>
        <v>0</v>
      </c>
      <c r="AU252">
        <f>'Kullanılan gübre'!AU252*'Gübre oranlar'!AX$2</f>
        <v>0</v>
      </c>
      <c r="AV252">
        <f>'Kullanılan gübre'!AV252*'Gübre oranlar'!AY$2</f>
        <v>0</v>
      </c>
      <c r="AW252">
        <f t="shared" si="3"/>
        <v>290.58950000000004</v>
      </c>
    </row>
    <row r="253" spans="1:49" hidden="1" x14ac:dyDescent="0.25">
      <c r="A253" t="str">
        <f>'Kullanılan gübre'!A253</f>
        <v>BA</v>
      </c>
      <c r="B253" t="str">
        <f>'Kullanılan gübre'!B253</f>
        <v>MUGLA</v>
      </c>
      <c r="C253" t="str">
        <f>'Kullanılan gübre'!C253</f>
        <v>MENTESE</v>
      </c>
      <c r="D253">
        <f>'Kullanılan gübre'!D253</f>
        <v>2017</v>
      </c>
      <c r="E253">
        <f>'Kullanılan gübre'!E253*'Gübre oranlar'!H$2</f>
        <v>36.907499999999999</v>
      </c>
      <c r="F253">
        <f>'Kullanılan gübre'!F253*'Gübre oranlar'!I$2</f>
        <v>9.7110000000000003</v>
      </c>
      <c r="G253">
        <f>'Kullanılan gübre'!G253*'Gübre oranlar'!J$2</f>
        <v>0</v>
      </c>
      <c r="H253">
        <f>'Kullanılan gübre'!H253*'Gübre oranlar'!K$2</f>
        <v>631.16599999999994</v>
      </c>
      <c r="I253">
        <f>'Kullanılan gübre'!I253*'Gübre oranlar'!L$2</f>
        <v>0</v>
      </c>
      <c r="J253">
        <f>'Kullanılan gübre'!J253*'Gübre oranlar'!M$2</f>
        <v>61.65</v>
      </c>
      <c r="K253">
        <f>'Kullanılan gübre'!K253*'Gübre oranlar'!N$2</f>
        <v>86.89</v>
      </c>
      <c r="L253">
        <f>'Kullanılan gübre'!L253*'Gübre oranlar'!O$2</f>
        <v>6.7</v>
      </c>
      <c r="M253">
        <f>'Kullanılan gübre'!M253*'Gübre oranlar'!P$2</f>
        <v>27.337499999999999</v>
      </c>
      <c r="N253">
        <f>'Kullanılan gübre'!N253*'Gübre oranlar'!Q$2</f>
        <v>29.3475</v>
      </c>
      <c r="O253">
        <f>'Kullanılan gübre'!O253*'Gübre oranlar'!R$2</f>
        <v>0</v>
      </c>
      <c r="P253">
        <f>'Kullanılan gübre'!P253*'Gübre oranlar'!S$2</f>
        <v>0.377</v>
      </c>
      <c r="Q253">
        <f>'Kullanılan gübre'!Q253*'Gübre oranlar'!T$2</f>
        <v>0</v>
      </c>
      <c r="R253">
        <f>'Kullanılan gübre'!R253*'Gübre oranlar'!U$2</f>
        <v>0</v>
      </c>
      <c r="S253">
        <f>'Kullanılan gübre'!S253*'Gübre oranlar'!V$2</f>
        <v>1.55E-2</v>
      </c>
      <c r="T253">
        <f>'Kullanılan gübre'!T253*'Gübre oranlar'!W$2</f>
        <v>4.0819999999999999</v>
      </c>
      <c r="U253">
        <f>'Kullanılan gübre'!U253*'Gübre oranlar'!X$2</f>
        <v>0</v>
      </c>
      <c r="V253">
        <f>'Kullanılan gübre'!V253*'Gübre oranlar'!Y$2</f>
        <v>1.5050000000000001</v>
      </c>
      <c r="W253">
        <f>'Kullanılan gübre'!W253*'Gübre oranlar'!Z$2</f>
        <v>0</v>
      </c>
      <c r="X253">
        <f>'Kullanılan gübre'!X253*'Gübre oranlar'!AA$2</f>
        <v>0</v>
      </c>
      <c r="Y253">
        <f>'Kullanılan gübre'!Y253*'Gübre oranlar'!AB$2</f>
        <v>26.145</v>
      </c>
      <c r="Z253">
        <f>'Kullanılan gübre'!Z253*'Gübre oranlar'!AC$2</f>
        <v>0</v>
      </c>
      <c r="AA253">
        <f>'Kullanılan gübre'!AA253*'Gübre oranlar'!AD$2</f>
        <v>16.724500000000003</v>
      </c>
      <c r="AB253">
        <f>'Kullanılan gübre'!AB253*'Gübre oranlar'!AE$2</f>
        <v>0.192</v>
      </c>
      <c r="AC253">
        <f>'Kullanılan gübre'!AC253*'Gübre oranlar'!AF$2</f>
        <v>0</v>
      </c>
      <c r="AD253">
        <f>'Kullanılan gübre'!AD253*'Gübre oranlar'!AG$2</f>
        <v>0</v>
      </c>
      <c r="AE253">
        <f>'Kullanılan gübre'!AE253*'Gübre oranlar'!AH$2</f>
        <v>0</v>
      </c>
      <c r="AF253">
        <f>'Kullanılan gübre'!AF253*'Gübre oranlar'!AI$2</f>
        <v>112.167</v>
      </c>
      <c r="AG253">
        <f>'Kullanılan gübre'!AG253*'Gübre oranlar'!AJ$2</f>
        <v>0</v>
      </c>
      <c r="AH253">
        <f>'Kullanılan gübre'!AH253*'Gübre oranlar'!AK$2</f>
        <v>0</v>
      </c>
      <c r="AI253">
        <f>'Kullanılan gübre'!AI253*'Gübre oranlar'!AL$2</f>
        <v>0</v>
      </c>
      <c r="AJ253">
        <f>'Kullanılan gübre'!AJ253*'Gübre oranlar'!AM$2</f>
        <v>0</v>
      </c>
      <c r="AK253">
        <f>'Kullanılan gübre'!AK253*'Gübre oranlar'!AN$2</f>
        <v>0</v>
      </c>
      <c r="AL253">
        <f>'Kullanılan gübre'!AL253*'Gübre oranlar'!AO$2</f>
        <v>0</v>
      </c>
      <c r="AM253">
        <f>'Kullanılan gübre'!AM253*'Gübre oranlar'!AP$2</f>
        <v>0</v>
      </c>
      <c r="AN253">
        <f>'Kullanılan gübre'!AN253*'Gübre oranlar'!AQ$2</f>
        <v>0</v>
      </c>
      <c r="AO253">
        <f>'Kullanılan gübre'!AO253*'Gübre oranlar'!AR$2</f>
        <v>0</v>
      </c>
      <c r="AP253">
        <f>'Kullanılan gübre'!AP253*'Gübre oranlar'!AS$2</f>
        <v>0</v>
      </c>
      <c r="AQ253">
        <f>'Kullanılan gübre'!AQ253*'Gübre oranlar'!AT$2</f>
        <v>0</v>
      </c>
      <c r="AR253">
        <f>'Kullanılan gübre'!AR253*'Gübre oranlar'!AU$2</f>
        <v>0</v>
      </c>
      <c r="AS253">
        <f>'Kullanılan gübre'!AS253*'Gübre oranlar'!AV$2</f>
        <v>0</v>
      </c>
      <c r="AT253">
        <f>'Kullanılan gübre'!AT253*'Gübre oranlar'!AW$2</f>
        <v>0</v>
      </c>
      <c r="AU253">
        <f>'Kullanılan gübre'!AU253*'Gübre oranlar'!AX$2</f>
        <v>0</v>
      </c>
      <c r="AV253">
        <f>'Kullanılan gübre'!AV253*'Gübre oranlar'!AY$2</f>
        <v>0</v>
      </c>
      <c r="AW253">
        <f t="shared" si="3"/>
        <v>1050.9174999999998</v>
      </c>
    </row>
    <row r="254" spans="1:49" hidden="1" x14ac:dyDescent="0.25">
      <c r="A254" t="str">
        <f>'Kullanılan gübre'!A254</f>
        <v>BA</v>
      </c>
      <c r="B254" t="str">
        <f>'Kullanılan gübre'!B254</f>
        <v>MUGLA</v>
      </c>
      <c r="C254" t="str">
        <f>'Kullanılan gübre'!C254</f>
        <v>MARMARIS</v>
      </c>
      <c r="D254">
        <f>'Kullanılan gübre'!D254</f>
        <v>2017</v>
      </c>
      <c r="E254" t="e">
        <f>'Kullanılan gübre'!E254*'Gübre oranlar'!H$2</f>
        <v>#VALUE!</v>
      </c>
      <c r="F254" t="e">
        <f>'Kullanılan gübre'!F254*'Gübre oranlar'!I$2</f>
        <v>#VALUE!</v>
      </c>
      <c r="G254" t="e">
        <f>'Kullanılan gübre'!G254*'Gübre oranlar'!J$2</f>
        <v>#VALUE!</v>
      </c>
      <c r="H254" t="e">
        <f>'Kullanılan gübre'!H254*'Gübre oranlar'!K$2</f>
        <v>#VALUE!</v>
      </c>
      <c r="I254" t="e">
        <f>'Kullanılan gübre'!I254*'Gübre oranlar'!L$2</f>
        <v>#VALUE!</v>
      </c>
      <c r="J254" t="e">
        <f>'Kullanılan gübre'!J254*'Gübre oranlar'!M$2</f>
        <v>#VALUE!</v>
      </c>
      <c r="K254" t="e">
        <f>'Kullanılan gübre'!K254*'Gübre oranlar'!N$2</f>
        <v>#VALUE!</v>
      </c>
      <c r="L254" t="e">
        <f>'Kullanılan gübre'!L254*'Gübre oranlar'!O$2</f>
        <v>#VALUE!</v>
      </c>
      <c r="M254" t="e">
        <f>'Kullanılan gübre'!M254*'Gübre oranlar'!P$2</f>
        <v>#VALUE!</v>
      </c>
      <c r="N254" t="e">
        <f>'Kullanılan gübre'!N254*'Gübre oranlar'!Q$2</f>
        <v>#VALUE!</v>
      </c>
      <c r="O254" t="e">
        <f>'Kullanılan gübre'!O254*'Gübre oranlar'!R$2</f>
        <v>#VALUE!</v>
      </c>
      <c r="P254" t="e">
        <f>'Kullanılan gübre'!P254*'Gübre oranlar'!S$2</f>
        <v>#VALUE!</v>
      </c>
      <c r="Q254">
        <f>'Kullanılan gübre'!Q254*'Gübre oranlar'!T$2</f>
        <v>0</v>
      </c>
      <c r="R254" t="e">
        <f>'Kullanılan gübre'!R254*'Gübre oranlar'!U$2</f>
        <v>#VALUE!</v>
      </c>
      <c r="S254" t="e">
        <f>'Kullanılan gübre'!S254*'Gübre oranlar'!V$2</f>
        <v>#VALUE!</v>
      </c>
      <c r="T254" t="e">
        <f>'Kullanılan gübre'!T254*'Gübre oranlar'!W$2</f>
        <v>#VALUE!</v>
      </c>
      <c r="U254" t="e">
        <f>'Kullanılan gübre'!U254*'Gübre oranlar'!X$2</f>
        <v>#VALUE!</v>
      </c>
      <c r="V254" t="e">
        <f>'Kullanılan gübre'!V254*'Gübre oranlar'!Y$2</f>
        <v>#VALUE!</v>
      </c>
      <c r="W254" t="e">
        <f>'Kullanılan gübre'!W254*'Gübre oranlar'!Z$2</f>
        <v>#VALUE!</v>
      </c>
      <c r="X254" t="e">
        <f>'Kullanılan gübre'!X254*'Gübre oranlar'!AA$2</f>
        <v>#VALUE!</v>
      </c>
      <c r="Y254" t="e">
        <f>'Kullanılan gübre'!Y254*'Gübre oranlar'!AB$2</f>
        <v>#VALUE!</v>
      </c>
      <c r="Z254" t="e">
        <f>'Kullanılan gübre'!Z254*'Gübre oranlar'!AC$2</f>
        <v>#VALUE!</v>
      </c>
      <c r="AA254" t="e">
        <f>'Kullanılan gübre'!AA254*'Gübre oranlar'!AD$2</f>
        <v>#VALUE!</v>
      </c>
      <c r="AB254" t="e">
        <f>'Kullanılan gübre'!AB254*'Gübre oranlar'!AE$2</f>
        <v>#VALUE!</v>
      </c>
      <c r="AC254" t="e">
        <f>'Kullanılan gübre'!AC254*'Gübre oranlar'!AF$2</f>
        <v>#VALUE!</v>
      </c>
      <c r="AD254" t="e">
        <f>'Kullanılan gübre'!AD254*'Gübre oranlar'!AG$2</f>
        <v>#VALUE!</v>
      </c>
      <c r="AE254" t="e">
        <f>'Kullanılan gübre'!AE254*'Gübre oranlar'!AH$2</f>
        <v>#VALUE!</v>
      </c>
      <c r="AF254" t="e">
        <f>'Kullanılan gübre'!AF254*'Gübre oranlar'!AI$2</f>
        <v>#VALUE!</v>
      </c>
      <c r="AG254" t="e">
        <f>'Kullanılan gübre'!AG254*'Gübre oranlar'!AJ$2</f>
        <v>#VALUE!</v>
      </c>
      <c r="AH254">
        <f>'Kullanılan gübre'!AH254*'Gübre oranlar'!AK$2</f>
        <v>0</v>
      </c>
      <c r="AI254">
        <f>'Kullanılan gübre'!AI254*'Gübre oranlar'!AL$2</f>
        <v>0</v>
      </c>
      <c r="AJ254">
        <f>'Kullanılan gübre'!AJ254*'Gübre oranlar'!AM$2</f>
        <v>0</v>
      </c>
      <c r="AK254">
        <f>'Kullanılan gübre'!AK254*'Gübre oranlar'!AN$2</f>
        <v>0</v>
      </c>
      <c r="AL254">
        <f>'Kullanılan gübre'!AL254*'Gübre oranlar'!AO$2</f>
        <v>0</v>
      </c>
      <c r="AM254">
        <f>'Kullanılan gübre'!AM254*'Gübre oranlar'!AP$2</f>
        <v>0</v>
      </c>
      <c r="AN254">
        <f>'Kullanılan gübre'!AN254*'Gübre oranlar'!AQ$2</f>
        <v>0</v>
      </c>
      <c r="AO254">
        <f>'Kullanılan gübre'!AO254*'Gübre oranlar'!AR$2</f>
        <v>0</v>
      </c>
      <c r="AP254">
        <f>'Kullanılan gübre'!AP254*'Gübre oranlar'!AS$2</f>
        <v>0</v>
      </c>
      <c r="AQ254">
        <f>'Kullanılan gübre'!AQ254*'Gübre oranlar'!AT$2</f>
        <v>0</v>
      </c>
      <c r="AR254">
        <f>'Kullanılan gübre'!AR254*'Gübre oranlar'!AU$2</f>
        <v>0</v>
      </c>
      <c r="AS254">
        <f>'Kullanılan gübre'!AS254*'Gübre oranlar'!AV$2</f>
        <v>0</v>
      </c>
      <c r="AT254">
        <f>'Kullanılan gübre'!AT254*'Gübre oranlar'!AW$2</f>
        <v>0</v>
      </c>
      <c r="AU254">
        <f>'Kullanılan gübre'!AU254*'Gübre oranlar'!AX$2</f>
        <v>0</v>
      </c>
      <c r="AV254">
        <f>'Kullanılan gübre'!AV254*'Gübre oranlar'!AY$2</f>
        <v>0</v>
      </c>
      <c r="AW254" t="e">
        <f t="shared" si="3"/>
        <v>#VALUE!</v>
      </c>
    </row>
    <row r="255" spans="1:49" hidden="1" x14ac:dyDescent="0.25">
      <c r="A255" t="str">
        <f>'Kullanılan gübre'!A255</f>
        <v>BA</v>
      </c>
      <c r="B255" t="str">
        <f>'Kullanılan gübre'!B255</f>
        <v>MUGLA</v>
      </c>
      <c r="C255" t="str">
        <f>'Kullanılan gübre'!C255</f>
        <v>SEYDIKEMER</v>
      </c>
      <c r="D255">
        <f>'Kullanılan gübre'!D255</f>
        <v>2017</v>
      </c>
      <c r="E255">
        <f>'Kullanılan gübre'!E255*'Gübre oranlar'!H$2</f>
        <v>279.14249999999998</v>
      </c>
      <c r="F255">
        <f>'Kullanılan gübre'!F255*'Gübre oranlar'!I$2</f>
        <v>246.24600000000001</v>
      </c>
      <c r="G255">
        <f>'Kullanılan gübre'!G255*'Gübre oranlar'!J$2</f>
        <v>8.9265000000000008</v>
      </c>
      <c r="H255">
        <f>'Kullanılan gübre'!H255*'Gübre oranlar'!K$2</f>
        <v>1475.105</v>
      </c>
      <c r="I255">
        <f>'Kullanılan gübre'!I255*'Gübre oranlar'!L$2</f>
        <v>0</v>
      </c>
      <c r="J255">
        <f>'Kullanılan gübre'!J255*'Gübre oranlar'!M$2</f>
        <v>133.01999999999998</v>
      </c>
      <c r="K255">
        <f>'Kullanılan gübre'!K255*'Gübre oranlar'!N$2</f>
        <v>393.06</v>
      </c>
      <c r="L255">
        <f>'Kullanılan gübre'!L255*'Gübre oranlar'!O$2</f>
        <v>43.47</v>
      </c>
      <c r="M255">
        <f>'Kullanılan gübre'!M255*'Gübre oranlar'!P$2</f>
        <v>23.587499999999999</v>
      </c>
      <c r="N255">
        <f>'Kullanılan gübre'!N255*'Gübre oranlar'!Q$2</f>
        <v>198.06</v>
      </c>
      <c r="O255">
        <f>'Kullanılan gübre'!O255*'Gübre oranlar'!R$2</f>
        <v>0</v>
      </c>
      <c r="P255">
        <f>'Kullanılan gübre'!P255*'Gübre oranlar'!S$2</f>
        <v>28.148250000000001</v>
      </c>
      <c r="Q255">
        <f>'Kullanılan gübre'!Q255*'Gübre oranlar'!T$2</f>
        <v>0</v>
      </c>
      <c r="R255">
        <f>'Kullanılan gübre'!R255*'Gübre oranlar'!U$2</f>
        <v>0</v>
      </c>
      <c r="S255">
        <f>'Kullanılan gübre'!S255*'Gübre oranlar'!V$2</f>
        <v>18.448875000000001</v>
      </c>
      <c r="T255">
        <f>'Kullanılan gübre'!T255*'Gübre oranlar'!W$2</f>
        <v>9.6914999999999996</v>
      </c>
      <c r="U255">
        <f>'Kullanılan gübre'!U255*'Gübre oranlar'!X$2</f>
        <v>27.037500000000001</v>
      </c>
      <c r="V255">
        <f>'Kullanılan gübre'!V255*'Gübre oranlar'!Y$2</f>
        <v>0</v>
      </c>
      <c r="W255">
        <f>'Kullanılan gübre'!W255*'Gübre oranlar'!Z$2</f>
        <v>0</v>
      </c>
      <c r="X255">
        <f>'Kullanılan gübre'!X255*'Gübre oranlar'!AA$2</f>
        <v>0</v>
      </c>
      <c r="Y255">
        <f>'Kullanılan gübre'!Y255*'Gübre oranlar'!AB$2</f>
        <v>0</v>
      </c>
      <c r="Z255">
        <f>'Kullanılan gübre'!Z255*'Gübre oranlar'!AC$2</f>
        <v>0</v>
      </c>
      <c r="AA255">
        <f>'Kullanılan gübre'!AA255*'Gübre oranlar'!AD$2</f>
        <v>23.998000000000001</v>
      </c>
      <c r="AB255">
        <f>'Kullanılan gübre'!AB255*'Gübre oranlar'!AE$2</f>
        <v>5.0339999999999998</v>
      </c>
      <c r="AC255">
        <f>'Kullanılan gübre'!AC255*'Gübre oranlar'!AF$2</f>
        <v>0</v>
      </c>
      <c r="AD255">
        <f>'Kullanılan gübre'!AD255*'Gübre oranlar'!AG$2</f>
        <v>5.5825000000000005</v>
      </c>
      <c r="AE255">
        <f>'Kullanılan gübre'!AE255*'Gübre oranlar'!AH$2</f>
        <v>6.68</v>
      </c>
      <c r="AF255">
        <f>'Kullanılan gübre'!AF255*'Gübre oranlar'!AI$2</f>
        <v>98.471999999999994</v>
      </c>
      <c r="AG255">
        <f>'Kullanılan gübre'!AG255*'Gübre oranlar'!AJ$2</f>
        <v>2.1630000000000003</v>
      </c>
      <c r="AH255">
        <f>'Kullanılan gübre'!AH255*'Gübre oranlar'!AK$2</f>
        <v>0</v>
      </c>
      <c r="AI255">
        <f>'Kullanılan gübre'!AI255*'Gübre oranlar'!AL$2</f>
        <v>0</v>
      </c>
      <c r="AJ255">
        <f>'Kullanılan gübre'!AJ255*'Gübre oranlar'!AM$2</f>
        <v>0</v>
      </c>
      <c r="AK255">
        <f>'Kullanılan gübre'!AK255*'Gübre oranlar'!AN$2</f>
        <v>0</v>
      </c>
      <c r="AL255">
        <f>'Kullanılan gübre'!AL255*'Gübre oranlar'!AO$2</f>
        <v>0</v>
      </c>
      <c r="AM255">
        <f>'Kullanılan gübre'!AM255*'Gübre oranlar'!AP$2</f>
        <v>0</v>
      </c>
      <c r="AN255">
        <f>'Kullanılan gübre'!AN255*'Gübre oranlar'!AQ$2</f>
        <v>0</v>
      </c>
      <c r="AO255">
        <f>'Kullanılan gübre'!AO255*'Gübre oranlar'!AR$2</f>
        <v>0</v>
      </c>
      <c r="AP255">
        <f>'Kullanılan gübre'!AP255*'Gübre oranlar'!AS$2</f>
        <v>0</v>
      </c>
      <c r="AQ255">
        <f>'Kullanılan gübre'!AQ255*'Gübre oranlar'!AT$2</f>
        <v>0</v>
      </c>
      <c r="AR255">
        <f>'Kullanılan gübre'!AR255*'Gübre oranlar'!AU$2</f>
        <v>0</v>
      </c>
      <c r="AS255">
        <f>'Kullanılan gübre'!AS255*'Gübre oranlar'!AV$2</f>
        <v>0</v>
      </c>
      <c r="AT255">
        <f>'Kullanılan gübre'!AT255*'Gübre oranlar'!AW$2</f>
        <v>0</v>
      </c>
      <c r="AU255">
        <f>'Kullanılan gübre'!AU255*'Gübre oranlar'!AX$2</f>
        <v>0</v>
      </c>
      <c r="AV255">
        <f>'Kullanılan gübre'!AV255*'Gübre oranlar'!AY$2</f>
        <v>0</v>
      </c>
      <c r="AW255">
        <f t="shared" si="3"/>
        <v>3025.8731250000001</v>
      </c>
    </row>
    <row r="256" spans="1:49" hidden="1" x14ac:dyDescent="0.25">
      <c r="A256" t="str">
        <f>'Kullanılan gübre'!A256</f>
        <v>YI</v>
      </c>
      <c r="B256" t="str">
        <f>'Kullanılan gübre'!B256</f>
        <v>ERZINCAN</v>
      </c>
      <c r="C256" t="str">
        <f>'Kullanılan gübre'!C256</f>
        <v>REFAHIYE</v>
      </c>
      <c r="D256">
        <f>'Kullanılan gübre'!D256</f>
        <v>2015</v>
      </c>
      <c r="E256">
        <f>'Kullanılan gübre'!E256*'Gübre oranlar'!H$2</f>
        <v>0</v>
      </c>
      <c r="F256">
        <f>'Kullanılan gübre'!F256*'Gübre oranlar'!I$2</f>
        <v>0</v>
      </c>
      <c r="G256">
        <f>'Kullanılan gübre'!G256*'Gübre oranlar'!J$2</f>
        <v>0.19800000000000001</v>
      </c>
      <c r="H256">
        <f>'Kullanılan gübre'!H256*'Gübre oranlar'!K$2</f>
        <v>2.3000000000000003E-2</v>
      </c>
      <c r="I256">
        <f>'Kullanılan gübre'!I256*'Gübre oranlar'!L$2</f>
        <v>0</v>
      </c>
      <c r="J256">
        <f>'Kullanılan gübre'!J256*'Gübre oranlar'!M$2</f>
        <v>8.2169999999999987</v>
      </c>
      <c r="K256">
        <f>'Kullanılan gübre'!K256*'Gübre oranlar'!N$2</f>
        <v>0.8</v>
      </c>
      <c r="L256">
        <f>'Kullanılan gübre'!L256*'Gübre oranlar'!O$2</f>
        <v>0</v>
      </c>
      <c r="M256">
        <f>'Kullanılan gübre'!M256*'Gübre oranlar'!P$2</f>
        <v>0</v>
      </c>
      <c r="N256">
        <f>'Kullanılan gübre'!N256*'Gübre oranlar'!Q$2</f>
        <v>0</v>
      </c>
      <c r="O256">
        <f>'Kullanılan gübre'!O256*'Gübre oranlar'!R$2</f>
        <v>0</v>
      </c>
      <c r="P256">
        <f>'Kullanılan gübre'!P256*'Gübre oranlar'!S$2</f>
        <v>0</v>
      </c>
      <c r="Q256">
        <f>'Kullanılan gübre'!Q256*'Gübre oranlar'!T$2</f>
        <v>0</v>
      </c>
      <c r="R256">
        <f>'Kullanılan gübre'!R256*'Gübre oranlar'!U$2</f>
        <v>0</v>
      </c>
      <c r="S256">
        <f>'Kullanılan gübre'!S256*'Gübre oranlar'!V$2</f>
        <v>3.9137499999999998</v>
      </c>
      <c r="T256">
        <f>'Kullanılan gübre'!T256*'Gübre oranlar'!W$2</f>
        <v>0</v>
      </c>
      <c r="U256">
        <f>'Kullanılan gübre'!U256*'Gübre oranlar'!X$2</f>
        <v>0</v>
      </c>
      <c r="V256">
        <f>'Kullanılan gübre'!V256*'Gübre oranlar'!Y$2</f>
        <v>0</v>
      </c>
      <c r="W256">
        <f>'Kullanılan gübre'!W256*'Gübre oranlar'!Z$2</f>
        <v>0</v>
      </c>
      <c r="X256">
        <f>'Kullanılan gübre'!X256*'Gübre oranlar'!AA$2</f>
        <v>0</v>
      </c>
      <c r="Y256">
        <f>'Kullanılan gübre'!Y256*'Gübre oranlar'!AB$2</f>
        <v>0</v>
      </c>
      <c r="Z256">
        <f>'Kullanılan gübre'!Z256*'Gübre oranlar'!AC$2</f>
        <v>0</v>
      </c>
      <c r="AA256">
        <f>'Kullanılan gübre'!AA256*'Gübre oranlar'!AD$2</f>
        <v>0</v>
      </c>
      <c r="AB256">
        <f>'Kullanılan gübre'!AB256*'Gübre oranlar'!AE$2</f>
        <v>0</v>
      </c>
      <c r="AC256">
        <f>'Kullanılan gübre'!AC256*'Gübre oranlar'!AF$2</f>
        <v>0</v>
      </c>
      <c r="AD256">
        <f>'Kullanılan gübre'!AD256*'Gübre oranlar'!AG$2</f>
        <v>0</v>
      </c>
      <c r="AE256">
        <f>'Kullanılan gübre'!AE256*'Gübre oranlar'!AH$2</f>
        <v>0</v>
      </c>
      <c r="AF256">
        <f>'Kullanılan gübre'!AF256*'Gübre oranlar'!AI$2</f>
        <v>0</v>
      </c>
      <c r="AG256">
        <f>'Kullanılan gübre'!AG256*'Gübre oranlar'!AJ$2</f>
        <v>0</v>
      </c>
      <c r="AH256">
        <f>'Kullanılan gübre'!AH256*'Gübre oranlar'!AK$2</f>
        <v>0</v>
      </c>
      <c r="AI256">
        <f>'Kullanılan gübre'!AI256*'Gübre oranlar'!AL$2</f>
        <v>0</v>
      </c>
      <c r="AJ256">
        <f>'Kullanılan gübre'!AJ256*'Gübre oranlar'!AM$2</f>
        <v>0</v>
      </c>
      <c r="AK256">
        <f>'Kullanılan gübre'!AK256*'Gübre oranlar'!AN$2</f>
        <v>0</v>
      </c>
      <c r="AL256">
        <f>'Kullanılan gübre'!AL256*'Gübre oranlar'!AO$2</f>
        <v>0</v>
      </c>
      <c r="AM256">
        <f>'Kullanılan gübre'!AM256*'Gübre oranlar'!AP$2</f>
        <v>0</v>
      </c>
      <c r="AN256">
        <f>'Kullanılan gübre'!AN256*'Gübre oranlar'!AQ$2</f>
        <v>0</v>
      </c>
      <c r="AO256">
        <f>'Kullanılan gübre'!AO256*'Gübre oranlar'!AR$2</f>
        <v>0</v>
      </c>
      <c r="AP256">
        <f>'Kullanılan gübre'!AP256*'Gübre oranlar'!AS$2</f>
        <v>0</v>
      </c>
      <c r="AQ256">
        <f>'Kullanılan gübre'!AQ256*'Gübre oranlar'!AT$2</f>
        <v>0</v>
      </c>
      <c r="AR256">
        <f>'Kullanılan gübre'!AR256*'Gübre oranlar'!AU$2</f>
        <v>0</v>
      </c>
      <c r="AS256">
        <f>'Kullanılan gübre'!AS256*'Gübre oranlar'!AV$2</f>
        <v>0</v>
      </c>
      <c r="AT256">
        <f>'Kullanılan gübre'!AT256*'Gübre oranlar'!AW$2</f>
        <v>0</v>
      </c>
      <c r="AU256">
        <f>'Kullanılan gübre'!AU256*'Gübre oranlar'!AX$2</f>
        <v>0</v>
      </c>
      <c r="AV256">
        <f>'Kullanılan gübre'!AV256*'Gübre oranlar'!AY$2</f>
        <v>0</v>
      </c>
      <c r="AW256">
        <f t="shared" si="3"/>
        <v>13.15175</v>
      </c>
    </row>
    <row r="257" spans="1:49" hidden="1" x14ac:dyDescent="0.25">
      <c r="A257" t="str">
        <f>'Kullanılan gübre'!A257</f>
        <v>YI</v>
      </c>
      <c r="B257" t="str">
        <f>'Kullanılan gübre'!B257</f>
        <v>ERZINCAN</v>
      </c>
      <c r="C257" t="str">
        <f>'Kullanılan gübre'!C257</f>
        <v>REFAHIYE</v>
      </c>
      <c r="D257">
        <f>'Kullanılan gübre'!D257</f>
        <v>2016</v>
      </c>
      <c r="E257">
        <f>'Kullanılan gübre'!E257*'Gübre oranlar'!H$2</f>
        <v>5.2499999999999998E-2</v>
      </c>
      <c r="F257">
        <f>'Kullanılan gübre'!F257*'Gübre oranlar'!I$2</f>
        <v>0</v>
      </c>
      <c r="G257">
        <f>'Kullanılan gübre'!G257*'Gübre oranlar'!J$2</f>
        <v>5.5274999999999999</v>
      </c>
      <c r="H257">
        <f>'Kullanılan gübre'!H257*'Gübre oranlar'!K$2</f>
        <v>16.352999999999998</v>
      </c>
      <c r="I257">
        <f>'Kullanılan gübre'!I257*'Gübre oranlar'!L$2</f>
        <v>0</v>
      </c>
      <c r="J257">
        <f>'Kullanılan gübre'!J257*'Gübre oranlar'!M$2</f>
        <v>2.3849999999999998</v>
      </c>
      <c r="K257">
        <f>'Kullanılan gübre'!K257*'Gübre oranlar'!N$2</f>
        <v>0.86</v>
      </c>
      <c r="L257">
        <f>'Kullanılan gübre'!L257*'Gübre oranlar'!O$2</f>
        <v>0</v>
      </c>
      <c r="M257">
        <f>'Kullanılan gübre'!M257*'Gübre oranlar'!P$2</f>
        <v>1.44</v>
      </c>
      <c r="N257">
        <f>'Kullanılan gübre'!N257*'Gübre oranlar'!Q$2</f>
        <v>0</v>
      </c>
      <c r="O257">
        <f>'Kullanılan gübre'!O257*'Gübre oranlar'!R$2</f>
        <v>0</v>
      </c>
      <c r="P257">
        <f>'Kullanılan gübre'!P257*'Gübre oranlar'!S$2</f>
        <v>0</v>
      </c>
      <c r="Q257">
        <f>'Kullanılan gübre'!Q257*'Gübre oranlar'!T$2</f>
        <v>0</v>
      </c>
      <c r="R257">
        <f>'Kullanılan gübre'!R257*'Gübre oranlar'!U$2</f>
        <v>0</v>
      </c>
      <c r="S257">
        <f>'Kullanılan gübre'!S257*'Gübre oranlar'!V$2</f>
        <v>0</v>
      </c>
      <c r="T257">
        <f>'Kullanılan gübre'!T257*'Gübre oranlar'!W$2</f>
        <v>0</v>
      </c>
      <c r="U257">
        <f>'Kullanılan gübre'!U257*'Gübre oranlar'!X$2</f>
        <v>0</v>
      </c>
      <c r="V257">
        <f>'Kullanılan gübre'!V257*'Gübre oranlar'!Y$2</f>
        <v>0</v>
      </c>
      <c r="W257">
        <f>'Kullanılan gübre'!W257*'Gübre oranlar'!Z$2</f>
        <v>0</v>
      </c>
      <c r="X257">
        <f>'Kullanılan gübre'!X257*'Gübre oranlar'!AA$2</f>
        <v>0</v>
      </c>
      <c r="Y257">
        <f>'Kullanılan gübre'!Y257*'Gübre oranlar'!AB$2</f>
        <v>0</v>
      </c>
      <c r="Z257">
        <f>'Kullanılan gübre'!Z257*'Gübre oranlar'!AC$2</f>
        <v>0</v>
      </c>
      <c r="AA257">
        <f>'Kullanılan gübre'!AA257*'Gübre oranlar'!AD$2</f>
        <v>0</v>
      </c>
      <c r="AB257">
        <f>'Kullanılan gübre'!AB257*'Gübre oranlar'!AE$2</f>
        <v>0</v>
      </c>
      <c r="AC257">
        <f>'Kullanılan gübre'!AC257*'Gübre oranlar'!AF$2</f>
        <v>0</v>
      </c>
      <c r="AD257">
        <f>'Kullanılan gübre'!AD257*'Gübre oranlar'!AG$2</f>
        <v>0</v>
      </c>
      <c r="AE257">
        <f>'Kullanılan gübre'!AE257*'Gübre oranlar'!AH$2</f>
        <v>0</v>
      </c>
      <c r="AF257">
        <f>'Kullanılan gübre'!AF257*'Gübre oranlar'!AI$2</f>
        <v>0</v>
      </c>
      <c r="AG257">
        <f>'Kullanılan gübre'!AG257*'Gübre oranlar'!AJ$2</f>
        <v>0</v>
      </c>
      <c r="AH257">
        <f>'Kullanılan gübre'!AH257*'Gübre oranlar'!AK$2</f>
        <v>0</v>
      </c>
      <c r="AI257">
        <f>'Kullanılan gübre'!AI257*'Gübre oranlar'!AL$2</f>
        <v>0</v>
      </c>
      <c r="AJ257">
        <f>'Kullanılan gübre'!AJ257*'Gübre oranlar'!AM$2</f>
        <v>0</v>
      </c>
      <c r="AK257">
        <f>'Kullanılan gübre'!AK257*'Gübre oranlar'!AN$2</f>
        <v>0</v>
      </c>
      <c r="AL257">
        <f>'Kullanılan gübre'!AL257*'Gübre oranlar'!AO$2</f>
        <v>0</v>
      </c>
      <c r="AM257">
        <f>'Kullanılan gübre'!AM257*'Gübre oranlar'!AP$2</f>
        <v>0</v>
      </c>
      <c r="AN257">
        <f>'Kullanılan gübre'!AN257*'Gübre oranlar'!AQ$2</f>
        <v>0</v>
      </c>
      <c r="AO257">
        <f>'Kullanılan gübre'!AO257*'Gübre oranlar'!AR$2</f>
        <v>0</v>
      </c>
      <c r="AP257">
        <f>'Kullanılan gübre'!AP257*'Gübre oranlar'!AS$2</f>
        <v>0</v>
      </c>
      <c r="AQ257">
        <f>'Kullanılan gübre'!AQ257*'Gübre oranlar'!AT$2</f>
        <v>0</v>
      </c>
      <c r="AR257">
        <f>'Kullanılan gübre'!AR257*'Gübre oranlar'!AU$2</f>
        <v>0</v>
      </c>
      <c r="AS257">
        <f>'Kullanılan gübre'!AS257*'Gübre oranlar'!AV$2</f>
        <v>0</v>
      </c>
      <c r="AT257">
        <f>'Kullanılan gübre'!AT257*'Gübre oranlar'!AW$2</f>
        <v>0</v>
      </c>
      <c r="AU257">
        <f>'Kullanılan gübre'!AU257*'Gübre oranlar'!AX$2</f>
        <v>0</v>
      </c>
      <c r="AV257">
        <f>'Kullanılan gübre'!AV257*'Gübre oranlar'!AY$2</f>
        <v>0</v>
      </c>
      <c r="AW257">
        <f t="shared" si="3"/>
        <v>26.617999999999999</v>
      </c>
    </row>
    <row r="258" spans="1:49" hidden="1" x14ac:dyDescent="0.25">
      <c r="A258" t="str">
        <f>'Kullanılan gübre'!A258</f>
        <v>YI</v>
      </c>
      <c r="B258" t="str">
        <f>'Kullanılan gübre'!B258</f>
        <v>ERZINCAN</v>
      </c>
      <c r="C258" t="str">
        <f>'Kullanılan gübre'!C258</f>
        <v>REFAHIYE</v>
      </c>
      <c r="D258">
        <f>'Kullanılan gübre'!D258</f>
        <v>2017</v>
      </c>
      <c r="E258">
        <f>'Kullanılan gübre'!E258*'Gübre oranlar'!H$2</f>
        <v>0</v>
      </c>
      <c r="F258">
        <f>'Kullanılan gübre'!F258*'Gübre oranlar'!I$2</f>
        <v>0</v>
      </c>
      <c r="G258">
        <f>'Kullanılan gübre'!G258*'Gübre oranlar'!J$2</f>
        <v>0</v>
      </c>
      <c r="H258">
        <f>'Kullanılan gübre'!H258*'Gübre oranlar'!K$2</f>
        <v>13.523999999999999</v>
      </c>
      <c r="I258">
        <f>'Kullanılan gübre'!I258*'Gübre oranlar'!L$2</f>
        <v>0</v>
      </c>
      <c r="J258">
        <f>'Kullanılan gübre'!J258*'Gübre oranlar'!M$2</f>
        <v>0</v>
      </c>
      <c r="K258">
        <f>'Kullanılan gübre'!K258*'Gübre oranlar'!N$2</f>
        <v>0.2</v>
      </c>
      <c r="L258">
        <f>'Kullanılan gübre'!L258*'Gübre oranlar'!O$2</f>
        <v>0</v>
      </c>
      <c r="M258">
        <f>'Kullanılan gübre'!M258*'Gübre oranlar'!P$2</f>
        <v>0</v>
      </c>
      <c r="N258">
        <f>'Kullanılan gübre'!N258*'Gübre oranlar'!Q$2</f>
        <v>0</v>
      </c>
      <c r="O258">
        <f>'Kullanılan gübre'!O258*'Gübre oranlar'!R$2</f>
        <v>0</v>
      </c>
      <c r="P258">
        <f>'Kullanılan gübre'!P258*'Gübre oranlar'!S$2</f>
        <v>0</v>
      </c>
      <c r="Q258">
        <f>'Kullanılan gübre'!Q258*'Gübre oranlar'!T$2</f>
        <v>0</v>
      </c>
      <c r="R258">
        <f>'Kullanılan gübre'!R258*'Gübre oranlar'!U$2</f>
        <v>0</v>
      </c>
      <c r="S258">
        <f>'Kullanılan gübre'!S258*'Gübre oranlar'!V$2</f>
        <v>0.38750000000000001</v>
      </c>
      <c r="T258">
        <f>'Kullanılan gübre'!T258*'Gübre oranlar'!W$2</f>
        <v>0</v>
      </c>
      <c r="U258">
        <f>'Kullanılan gübre'!U258*'Gübre oranlar'!X$2</f>
        <v>0</v>
      </c>
      <c r="V258">
        <f>'Kullanılan gübre'!V258*'Gübre oranlar'!Y$2</f>
        <v>0</v>
      </c>
      <c r="W258">
        <f>'Kullanılan gübre'!W258*'Gübre oranlar'!Z$2</f>
        <v>0</v>
      </c>
      <c r="X258">
        <f>'Kullanılan gübre'!X258*'Gübre oranlar'!AA$2</f>
        <v>0</v>
      </c>
      <c r="Y258">
        <f>'Kullanılan gübre'!Y258*'Gübre oranlar'!AB$2</f>
        <v>0</v>
      </c>
      <c r="Z258">
        <f>'Kullanılan gübre'!Z258*'Gübre oranlar'!AC$2</f>
        <v>0</v>
      </c>
      <c r="AA258">
        <f>'Kullanılan gübre'!AA258*'Gübre oranlar'!AD$2</f>
        <v>0</v>
      </c>
      <c r="AB258">
        <f>'Kullanılan gübre'!AB258*'Gübre oranlar'!AE$2</f>
        <v>0</v>
      </c>
      <c r="AC258">
        <f>'Kullanılan gübre'!AC258*'Gübre oranlar'!AF$2</f>
        <v>0</v>
      </c>
      <c r="AD258">
        <f>'Kullanılan gübre'!AD258*'Gübre oranlar'!AG$2</f>
        <v>0</v>
      </c>
      <c r="AE258">
        <f>'Kullanılan gübre'!AE258*'Gübre oranlar'!AH$2</f>
        <v>0</v>
      </c>
      <c r="AF258">
        <f>'Kullanılan gübre'!AF258*'Gübre oranlar'!AI$2</f>
        <v>0</v>
      </c>
      <c r="AG258">
        <f>'Kullanılan gübre'!AG258*'Gübre oranlar'!AJ$2</f>
        <v>0</v>
      </c>
      <c r="AH258">
        <f>'Kullanılan gübre'!AH258*'Gübre oranlar'!AK$2</f>
        <v>0</v>
      </c>
      <c r="AI258">
        <f>'Kullanılan gübre'!AI258*'Gübre oranlar'!AL$2</f>
        <v>0</v>
      </c>
      <c r="AJ258">
        <f>'Kullanılan gübre'!AJ258*'Gübre oranlar'!AM$2</f>
        <v>0</v>
      </c>
      <c r="AK258">
        <f>'Kullanılan gübre'!AK258*'Gübre oranlar'!AN$2</f>
        <v>0</v>
      </c>
      <c r="AL258">
        <f>'Kullanılan gübre'!AL258*'Gübre oranlar'!AO$2</f>
        <v>0</v>
      </c>
      <c r="AM258">
        <f>'Kullanılan gübre'!AM258*'Gübre oranlar'!AP$2</f>
        <v>0</v>
      </c>
      <c r="AN258">
        <f>'Kullanılan gübre'!AN258*'Gübre oranlar'!AQ$2</f>
        <v>0</v>
      </c>
      <c r="AO258">
        <f>'Kullanılan gübre'!AO258*'Gübre oranlar'!AR$2</f>
        <v>0</v>
      </c>
      <c r="AP258">
        <f>'Kullanılan gübre'!AP258*'Gübre oranlar'!AS$2</f>
        <v>0</v>
      </c>
      <c r="AQ258">
        <f>'Kullanılan gübre'!AQ258*'Gübre oranlar'!AT$2</f>
        <v>0</v>
      </c>
      <c r="AR258">
        <f>'Kullanılan gübre'!AR258*'Gübre oranlar'!AU$2</f>
        <v>0</v>
      </c>
      <c r="AS258">
        <f>'Kullanılan gübre'!AS258*'Gübre oranlar'!AV$2</f>
        <v>0</v>
      </c>
      <c r="AT258">
        <f>'Kullanılan gübre'!AT258*'Gübre oranlar'!AW$2</f>
        <v>0</v>
      </c>
      <c r="AU258">
        <f>'Kullanılan gübre'!AU258*'Gübre oranlar'!AX$2</f>
        <v>0</v>
      </c>
      <c r="AV258">
        <f>'Kullanılan gübre'!AV258*'Gübre oranlar'!AY$2</f>
        <v>0</v>
      </c>
      <c r="AW258">
        <f t="shared" si="3"/>
        <v>14.111499999999998</v>
      </c>
    </row>
    <row r="259" spans="1:49" hidden="1" x14ac:dyDescent="0.25">
      <c r="A259" t="str">
        <f>'Kullanılan gübre'!A259</f>
        <v>YI</v>
      </c>
      <c r="B259" t="str">
        <f>'Kullanılan gübre'!B259</f>
        <v>TOKAT</v>
      </c>
      <c r="C259" t="str">
        <f>'Kullanılan gübre'!C259</f>
        <v>MERKEZ</v>
      </c>
      <c r="D259">
        <f>'Kullanılan gübre'!D259</f>
        <v>2005</v>
      </c>
      <c r="E259">
        <f>'Kullanılan gübre'!E259*'Gübre oranlar'!H$2</f>
        <v>33.736499999999999</v>
      </c>
      <c r="F259">
        <f>'Kullanılan gübre'!F259*'Gübre oranlar'!I$2</f>
        <v>336.661</v>
      </c>
      <c r="G259">
        <f>'Kullanılan gübre'!G259*'Gübre oranlar'!J$2</f>
        <v>591.97050000000002</v>
      </c>
      <c r="H259">
        <f>'Kullanılan gübre'!H259*'Gübre oranlar'!K$2</f>
        <v>369.90899999999999</v>
      </c>
      <c r="I259">
        <f>'Kullanılan gübre'!I259*'Gübre oranlar'!L$2</f>
        <v>0</v>
      </c>
      <c r="J259">
        <f>'Kullanılan gübre'!J259*'Gübre oranlar'!M$2</f>
        <v>197.81100000000001</v>
      </c>
      <c r="K259">
        <f>'Kullanılan gübre'!K259*'Gübre oranlar'!N$2</f>
        <v>78.070000000000007</v>
      </c>
      <c r="L259">
        <f>'Kullanılan gübre'!L259*'Gübre oranlar'!O$2</f>
        <v>50.460000000000008</v>
      </c>
      <c r="M259">
        <f>'Kullanılan gübre'!M259*'Gübre oranlar'!P$2</f>
        <v>34.102499999999999</v>
      </c>
      <c r="N259">
        <f>'Kullanılan gübre'!N259*'Gübre oranlar'!Q$2</f>
        <v>15.87</v>
      </c>
      <c r="O259">
        <f>'Kullanılan gübre'!O259*'Gübre oranlar'!R$2</f>
        <v>0</v>
      </c>
      <c r="P259">
        <f>'Kullanılan gübre'!P259*'Gübre oranlar'!S$2</f>
        <v>0</v>
      </c>
      <c r="Q259">
        <f>'Kullanılan gübre'!Q259*'Gübre oranlar'!T$2</f>
        <v>45.6</v>
      </c>
      <c r="R259">
        <f>'Kullanılan gübre'!R259*'Gübre oranlar'!U$2</f>
        <v>0</v>
      </c>
      <c r="S259">
        <f>'Kullanılan gübre'!S259*'Gübre oranlar'!V$2</f>
        <v>0</v>
      </c>
      <c r="T259">
        <f>'Kullanılan gübre'!T259*'Gübre oranlar'!W$2</f>
        <v>0</v>
      </c>
      <c r="U259">
        <f>'Kullanılan gübre'!U259*'Gübre oranlar'!X$2</f>
        <v>0</v>
      </c>
      <c r="V259">
        <f>'Kullanılan gübre'!V259*'Gübre oranlar'!Y$2</f>
        <v>0</v>
      </c>
      <c r="W259">
        <f>'Kullanılan gübre'!W259*'Gübre oranlar'!Z$2</f>
        <v>0</v>
      </c>
      <c r="X259">
        <f>'Kullanılan gübre'!X259*'Gübre oranlar'!AA$2</f>
        <v>0</v>
      </c>
      <c r="Y259">
        <f>'Kullanılan gübre'!Y259*'Gübre oranlar'!AB$2</f>
        <v>0</v>
      </c>
      <c r="Z259">
        <f>'Kullanılan gübre'!Z259*'Gübre oranlar'!AC$2</f>
        <v>0</v>
      </c>
      <c r="AA259">
        <f>'Kullanılan gübre'!AA259*'Gübre oranlar'!AD$2</f>
        <v>0</v>
      </c>
      <c r="AB259">
        <f>'Kullanılan gübre'!AB259*'Gübre oranlar'!AE$2</f>
        <v>0</v>
      </c>
      <c r="AC259">
        <f>'Kullanılan gübre'!AC259*'Gübre oranlar'!AF$2</f>
        <v>0</v>
      </c>
      <c r="AD259">
        <f>'Kullanılan gübre'!AD259*'Gübre oranlar'!AG$2</f>
        <v>0</v>
      </c>
      <c r="AE259">
        <f>'Kullanılan gübre'!AE259*'Gübre oranlar'!AH$2</f>
        <v>0</v>
      </c>
      <c r="AF259">
        <f>'Kullanılan gübre'!AF259*'Gübre oranlar'!AI$2</f>
        <v>0</v>
      </c>
      <c r="AG259">
        <f>'Kullanılan gübre'!AG259*'Gübre oranlar'!AJ$2</f>
        <v>0</v>
      </c>
      <c r="AH259">
        <f>'Kullanılan gübre'!AH259*'Gübre oranlar'!AK$2</f>
        <v>0</v>
      </c>
      <c r="AI259">
        <f>'Kullanılan gübre'!AI259*'Gübre oranlar'!AL$2</f>
        <v>0</v>
      </c>
      <c r="AJ259">
        <f>'Kullanılan gübre'!AJ259*'Gübre oranlar'!AM$2</f>
        <v>0</v>
      </c>
      <c r="AK259">
        <f>'Kullanılan gübre'!AK259*'Gübre oranlar'!AN$2</f>
        <v>0</v>
      </c>
      <c r="AL259">
        <f>'Kullanılan gübre'!AL259*'Gübre oranlar'!AO$2</f>
        <v>0</v>
      </c>
      <c r="AM259">
        <f>'Kullanılan gübre'!AM259*'Gübre oranlar'!AP$2</f>
        <v>0</v>
      </c>
      <c r="AN259">
        <f>'Kullanılan gübre'!AN259*'Gübre oranlar'!AQ$2</f>
        <v>0</v>
      </c>
      <c r="AO259">
        <f>'Kullanılan gübre'!AO259*'Gübre oranlar'!AR$2</f>
        <v>0</v>
      </c>
      <c r="AP259">
        <f>'Kullanılan gübre'!AP259*'Gübre oranlar'!AS$2</f>
        <v>0</v>
      </c>
      <c r="AQ259">
        <f>'Kullanılan gübre'!AQ259*'Gübre oranlar'!AT$2</f>
        <v>0</v>
      </c>
      <c r="AR259">
        <f>'Kullanılan gübre'!AR259*'Gübre oranlar'!AU$2</f>
        <v>0</v>
      </c>
      <c r="AS259">
        <f>'Kullanılan gübre'!AS259*'Gübre oranlar'!AV$2</f>
        <v>0</v>
      </c>
      <c r="AT259">
        <f>'Kullanılan gübre'!AT259*'Gübre oranlar'!AW$2</f>
        <v>0</v>
      </c>
      <c r="AU259">
        <f>'Kullanılan gübre'!AU259*'Gübre oranlar'!AX$2</f>
        <v>0</v>
      </c>
      <c r="AV259">
        <f>'Kullanılan gübre'!AV259*'Gübre oranlar'!AY$2</f>
        <v>0</v>
      </c>
      <c r="AW259">
        <f t="shared" ref="AW259:AW322" si="4">SUM(E259:AV259)</f>
        <v>1754.1904999999997</v>
      </c>
    </row>
    <row r="260" spans="1:49" hidden="1" x14ac:dyDescent="0.25">
      <c r="A260" t="str">
        <f>'Kullanılan gübre'!A260</f>
        <v>YI</v>
      </c>
      <c r="B260" t="str">
        <f>'Kullanılan gübre'!B260</f>
        <v>TOKAT</v>
      </c>
      <c r="C260" t="str">
        <f>'Kullanılan gübre'!C260</f>
        <v>ALMUS</v>
      </c>
      <c r="D260">
        <f>'Kullanılan gübre'!D260</f>
        <v>2005</v>
      </c>
      <c r="E260">
        <f>'Kullanılan gübre'!E260*'Gübre oranlar'!H$2</f>
        <v>0.43049999999999994</v>
      </c>
      <c r="F260">
        <f>'Kullanılan gübre'!F260*'Gübre oranlar'!I$2</f>
        <v>28.027999999999999</v>
      </c>
      <c r="G260">
        <f>'Kullanılan gübre'!G260*'Gübre oranlar'!J$2</f>
        <v>25.872000000000003</v>
      </c>
      <c r="H260">
        <f>'Kullanılan gübre'!H260*'Gübre oranlar'!K$2</f>
        <v>67.206000000000003</v>
      </c>
      <c r="I260">
        <f>'Kullanılan gübre'!I260*'Gübre oranlar'!L$2</f>
        <v>0</v>
      </c>
      <c r="J260">
        <f>'Kullanılan gübre'!J260*'Gübre oranlar'!M$2</f>
        <v>50.021999999999991</v>
      </c>
      <c r="K260">
        <f>'Kullanılan gübre'!K260*'Gübre oranlar'!N$2</f>
        <v>0.8</v>
      </c>
      <c r="L260">
        <f>'Kullanılan gübre'!L260*'Gübre oranlar'!O$2</f>
        <v>0</v>
      </c>
      <c r="M260">
        <f>'Kullanılan gübre'!M260*'Gübre oranlar'!P$2</f>
        <v>0</v>
      </c>
      <c r="N260">
        <f>'Kullanılan gübre'!N260*'Gübre oranlar'!Q$2</f>
        <v>0</v>
      </c>
      <c r="O260">
        <f>'Kullanılan gübre'!O260*'Gübre oranlar'!R$2</f>
        <v>0</v>
      </c>
      <c r="P260">
        <f>'Kullanılan gübre'!P260*'Gübre oranlar'!S$2</f>
        <v>0</v>
      </c>
      <c r="Q260">
        <f>'Kullanılan gübre'!Q260*'Gübre oranlar'!T$2</f>
        <v>0</v>
      </c>
      <c r="R260">
        <f>'Kullanılan gübre'!R260*'Gübre oranlar'!U$2</f>
        <v>0</v>
      </c>
      <c r="S260">
        <f>'Kullanılan gübre'!S260*'Gübre oranlar'!V$2</f>
        <v>0</v>
      </c>
      <c r="T260">
        <f>'Kullanılan gübre'!T260*'Gübre oranlar'!W$2</f>
        <v>0</v>
      </c>
      <c r="U260">
        <f>'Kullanılan gübre'!U260*'Gübre oranlar'!X$2</f>
        <v>0</v>
      </c>
      <c r="V260">
        <f>'Kullanılan gübre'!V260*'Gübre oranlar'!Y$2</f>
        <v>0</v>
      </c>
      <c r="W260">
        <f>'Kullanılan gübre'!W260*'Gübre oranlar'!Z$2</f>
        <v>0</v>
      </c>
      <c r="X260">
        <f>'Kullanılan gübre'!X260*'Gübre oranlar'!AA$2</f>
        <v>0</v>
      </c>
      <c r="Y260">
        <f>'Kullanılan gübre'!Y260*'Gübre oranlar'!AB$2</f>
        <v>0</v>
      </c>
      <c r="Z260">
        <f>'Kullanılan gübre'!Z260*'Gübre oranlar'!AC$2</f>
        <v>0</v>
      </c>
      <c r="AA260">
        <f>'Kullanılan gübre'!AA260*'Gübre oranlar'!AD$2</f>
        <v>0</v>
      </c>
      <c r="AB260">
        <f>'Kullanılan gübre'!AB260*'Gübre oranlar'!AE$2</f>
        <v>0</v>
      </c>
      <c r="AC260">
        <f>'Kullanılan gübre'!AC260*'Gübre oranlar'!AF$2</f>
        <v>0</v>
      </c>
      <c r="AD260">
        <f>'Kullanılan gübre'!AD260*'Gübre oranlar'!AG$2</f>
        <v>0</v>
      </c>
      <c r="AE260">
        <f>'Kullanılan gübre'!AE260*'Gübre oranlar'!AH$2</f>
        <v>0</v>
      </c>
      <c r="AF260">
        <f>'Kullanılan gübre'!AF260*'Gübre oranlar'!AI$2</f>
        <v>0</v>
      </c>
      <c r="AG260">
        <f>'Kullanılan gübre'!AG260*'Gübre oranlar'!AJ$2</f>
        <v>0</v>
      </c>
      <c r="AH260">
        <f>'Kullanılan gübre'!AH260*'Gübre oranlar'!AK$2</f>
        <v>0</v>
      </c>
      <c r="AI260">
        <f>'Kullanılan gübre'!AI260*'Gübre oranlar'!AL$2</f>
        <v>0</v>
      </c>
      <c r="AJ260">
        <f>'Kullanılan gübre'!AJ260*'Gübre oranlar'!AM$2</f>
        <v>0</v>
      </c>
      <c r="AK260">
        <f>'Kullanılan gübre'!AK260*'Gübre oranlar'!AN$2</f>
        <v>0</v>
      </c>
      <c r="AL260">
        <f>'Kullanılan gübre'!AL260*'Gübre oranlar'!AO$2</f>
        <v>0</v>
      </c>
      <c r="AM260">
        <f>'Kullanılan gübre'!AM260*'Gübre oranlar'!AP$2</f>
        <v>0</v>
      </c>
      <c r="AN260">
        <f>'Kullanılan gübre'!AN260*'Gübre oranlar'!AQ$2</f>
        <v>0</v>
      </c>
      <c r="AO260">
        <f>'Kullanılan gübre'!AO260*'Gübre oranlar'!AR$2</f>
        <v>0</v>
      </c>
      <c r="AP260">
        <f>'Kullanılan gübre'!AP260*'Gübre oranlar'!AS$2</f>
        <v>0</v>
      </c>
      <c r="AQ260">
        <f>'Kullanılan gübre'!AQ260*'Gübre oranlar'!AT$2</f>
        <v>0</v>
      </c>
      <c r="AR260">
        <f>'Kullanılan gübre'!AR260*'Gübre oranlar'!AU$2</f>
        <v>0</v>
      </c>
      <c r="AS260">
        <f>'Kullanılan gübre'!AS260*'Gübre oranlar'!AV$2</f>
        <v>0</v>
      </c>
      <c r="AT260">
        <f>'Kullanılan gübre'!AT260*'Gübre oranlar'!AW$2</f>
        <v>0</v>
      </c>
      <c r="AU260">
        <f>'Kullanılan gübre'!AU260*'Gübre oranlar'!AX$2</f>
        <v>0</v>
      </c>
      <c r="AV260">
        <f>'Kullanılan gübre'!AV260*'Gübre oranlar'!AY$2</f>
        <v>0</v>
      </c>
      <c r="AW260">
        <f t="shared" si="4"/>
        <v>172.35849999999999</v>
      </c>
    </row>
    <row r="261" spans="1:49" hidden="1" x14ac:dyDescent="0.25">
      <c r="A261" t="str">
        <f>'Kullanılan gübre'!A261</f>
        <v>YI</v>
      </c>
      <c r="B261" t="str">
        <f>'Kullanılan gübre'!B261</f>
        <v>TOKAT</v>
      </c>
      <c r="C261" t="str">
        <f>'Kullanılan gübre'!C261</f>
        <v>ARTOVA</v>
      </c>
      <c r="D261">
        <f>'Kullanılan gübre'!D261</f>
        <v>2005</v>
      </c>
      <c r="E261">
        <f>'Kullanılan gübre'!E261*'Gübre oranlar'!H$2</f>
        <v>6.3314999999999992</v>
      </c>
      <c r="F261">
        <f>'Kullanılan gübre'!F261*'Gübre oranlar'!I$2</f>
        <v>144.066</v>
      </c>
      <c r="G261">
        <f>'Kullanılan gübre'!G261*'Gübre oranlar'!J$2</f>
        <v>77.038499999999999</v>
      </c>
      <c r="H261">
        <f>'Kullanılan gübre'!H261*'Gübre oranlar'!K$2</f>
        <v>17.572000000000003</v>
      </c>
      <c r="I261">
        <f>'Kullanılan gübre'!I261*'Gübre oranlar'!L$2</f>
        <v>0</v>
      </c>
      <c r="J261">
        <f>'Kullanılan gübre'!J261*'Gübre oranlar'!M$2</f>
        <v>73.323000000000008</v>
      </c>
      <c r="K261">
        <f>'Kullanılan gübre'!K261*'Gübre oranlar'!N$2</f>
        <v>18.040000000000003</v>
      </c>
      <c r="L261">
        <f>'Kullanılan gübre'!L261*'Gübre oranlar'!O$2</f>
        <v>0</v>
      </c>
      <c r="M261">
        <f>'Kullanılan gübre'!M261*'Gübre oranlar'!P$2</f>
        <v>0.52500000000000002</v>
      </c>
      <c r="N261">
        <f>'Kullanılan gübre'!N261*'Gübre oranlar'!Q$2</f>
        <v>0</v>
      </c>
      <c r="O261">
        <f>'Kullanılan gübre'!O261*'Gübre oranlar'!R$2</f>
        <v>0</v>
      </c>
      <c r="P261">
        <f>'Kullanılan gübre'!P261*'Gübre oranlar'!S$2</f>
        <v>0</v>
      </c>
      <c r="Q261">
        <f>'Kullanılan gübre'!Q261*'Gübre oranlar'!T$2</f>
        <v>0</v>
      </c>
      <c r="R261">
        <f>'Kullanılan gübre'!R261*'Gübre oranlar'!U$2</f>
        <v>0</v>
      </c>
      <c r="S261">
        <f>'Kullanılan gübre'!S261*'Gübre oranlar'!V$2</f>
        <v>0</v>
      </c>
      <c r="T261">
        <f>'Kullanılan gübre'!T261*'Gübre oranlar'!W$2</f>
        <v>0</v>
      </c>
      <c r="U261">
        <f>'Kullanılan gübre'!U261*'Gübre oranlar'!X$2</f>
        <v>0</v>
      </c>
      <c r="V261">
        <f>'Kullanılan gübre'!V261*'Gübre oranlar'!Y$2</f>
        <v>0</v>
      </c>
      <c r="W261">
        <f>'Kullanılan gübre'!W261*'Gübre oranlar'!Z$2</f>
        <v>0</v>
      </c>
      <c r="X261">
        <f>'Kullanılan gübre'!X261*'Gübre oranlar'!AA$2</f>
        <v>0</v>
      </c>
      <c r="Y261">
        <f>'Kullanılan gübre'!Y261*'Gübre oranlar'!AB$2</f>
        <v>0</v>
      </c>
      <c r="Z261">
        <f>'Kullanılan gübre'!Z261*'Gübre oranlar'!AC$2</f>
        <v>0</v>
      </c>
      <c r="AA261">
        <f>'Kullanılan gübre'!AA261*'Gübre oranlar'!AD$2</f>
        <v>0</v>
      </c>
      <c r="AB261">
        <f>'Kullanılan gübre'!AB261*'Gübre oranlar'!AE$2</f>
        <v>0</v>
      </c>
      <c r="AC261">
        <f>'Kullanılan gübre'!AC261*'Gübre oranlar'!AF$2</f>
        <v>0</v>
      </c>
      <c r="AD261">
        <f>'Kullanılan gübre'!AD261*'Gübre oranlar'!AG$2</f>
        <v>0</v>
      </c>
      <c r="AE261">
        <f>'Kullanılan gübre'!AE261*'Gübre oranlar'!AH$2</f>
        <v>0</v>
      </c>
      <c r="AF261">
        <f>'Kullanılan gübre'!AF261*'Gübre oranlar'!AI$2</f>
        <v>0</v>
      </c>
      <c r="AG261">
        <f>'Kullanılan gübre'!AG261*'Gübre oranlar'!AJ$2</f>
        <v>0</v>
      </c>
      <c r="AH261">
        <f>'Kullanılan gübre'!AH261*'Gübre oranlar'!AK$2</f>
        <v>0</v>
      </c>
      <c r="AI261">
        <f>'Kullanılan gübre'!AI261*'Gübre oranlar'!AL$2</f>
        <v>0</v>
      </c>
      <c r="AJ261">
        <f>'Kullanılan gübre'!AJ261*'Gübre oranlar'!AM$2</f>
        <v>0</v>
      </c>
      <c r="AK261">
        <f>'Kullanılan gübre'!AK261*'Gübre oranlar'!AN$2</f>
        <v>0</v>
      </c>
      <c r="AL261">
        <f>'Kullanılan gübre'!AL261*'Gübre oranlar'!AO$2</f>
        <v>0</v>
      </c>
      <c r="AM261">
        <f>'Kullanılan gübre'!AM261*'Gübre oranlar'!AP$2</f>
        <v>0</v>
      </c>
      <c r="AN261">
        <f>'Kullanılan gübre'!AN261*'Gübre oranlar'!AQ$2</f>
        <v>0</v>
      </c>
      <c r="AO261">
        <f>'Kullanılan gübre'!AO261*'Gübre oranlar'!AR$2</f>
        <v>0</v>
      </c>
      <c r="AP261">
        <f>'Kullanılan gübre'!AP261*'Gübre oranlar'!AS$2</f>
        <v>0</v>
      </c>
      <c r="AQ261">
        <f>'Kullanılan gübre'!AQ261*'Gübre oranlar'!AT$2</f>
        <v>0</v>
      </c>
      <c r="AR261">
        <f>'Kullanılan gübre'!AR261*'Gübre oranlar'!AU$2</f>
        <v>0</v>
      </c>
      <c r="AS261">
        <f>'Kullanılan gübre'!AS261*'Gübre oranlar'!AV$2</f>
        <v>0</v>
      </c>
      <c r="AT261">
        <f>'Kullanılan gübre'!AT261*'Gübre oranlar'!AW$2</f>
        <v>0</v>
      </c>
      <c r="AU261">
        <f>'Kullanılan gübre'!AU261*'Gübre oranlar'!AX$2</f>
        <v>0</v>
      </c>
      <c r="AV261">
        <f>'Kullanılan gübre'!AV261*'Gübre oranlar'!AY$2</f>
        <v>0</v>
      </c>
      <c r="AW261">
        <f t="shared" si="4"/>
        <v>336.89600000000002</v>
      </c>
    </row>
    <row r="262" spans="1:49" hidden="1" x14ac:dyDescent="0.25">
      <c r="A262" t="str">
        <f>'Kullanılan gübre'!A262</f>
        <v>YI</v>
      </c>
      <c r="B262" t="str">
        <f>'Kullanılan gübre'!B262</f>
        <v>TOKAT</v>
      </c>
      <c r="C262" t="str">
        <f>'Kullanılan gübre'!C262</f>
        <v>BASCIFTLIK</v>
      </c>
      <c r="D262">
        <f>'Kullanılan gübre'!D262</f>
        <v>2005</v>
      </c>
      <c r="E262">
        <f>'Kullanılan gübre'!E262*'Gübre oranlar'!H$2</f>
        <v>4.2</v>
      </c>
      <c r="F262">
        <f>'Kullanılan gübre'!F262*'Gübre oranlar'!I$2</f>
        <v>0</v>
      </c>
      <c r="G262">
        <f>'Kullanılan gübre'!G262*'Gübre oranlar'!J$2</f>
        <v>11.5665</v>
      </c>
      <c r="H262">
        <f>'Kullanılan gübre'!H262*'Gübre oranlar'!K$2</f>
        <v>0</v>
      </c>
      <c r="I262">
        <f>'Kullanılan gübre'!I262*'Gübre oranlar'!L$2</f>
        <v>0</v>
      </c>
      <c r="J262">
        <f>'Kullanılan gübre'!J262*'Gübre oranlar'!M$2</f>
        <v>3.8159999999999998</v>
      </c>
      <c r="K262">
        <f>'Kullanılan gübre'!K262*'Gübre oranlar'!N$2</f>
        <v>0</v>
      </c>
      <c r="L262">
        <f>'Kullanılan gübre'!L262*'Gübre oranlar'!O$2</f>
        <v>0</v>
      </c>
      <c r="M262">
        <f>'Kullanılan gübre'!M262*'Gübre oranlar'!P$2</f>
        <v>0</v>
      </c>
      <c r="N262">
        <f>'Kullanılan gübre'!N262*'Gübre oranlar'!Q$2</f>
        <v>0</v>
      </c>
      <c r="O262">
        <f>'Kullanılan gübre'!O262*'Gübre oranlar'!R$2</f>
        <v>0</v>
      </c>
      <c r="P262">
        <f>'Kullanılan gübre'!P262*'Gübre oranlar'!S$2</f>
        <v>0</v>
      </c>
      <c r="Q262">
        <f>'Kullanılan gübre'!Q262*'Gübre oranlar'!T$2</f>
        <v>0</v>
      </c>
      <c r="R262">
        <f>'Kullanılan gübre'!R262*'Gübre oranlar'!U$2</f>
        <v>0</v>
      </c>
      <c r="S262">
        <f>'Kullanılan gübre'!S262*'Gübre oranlar'!V$2</f>
        <v>0</v>
      </c>
      <c r="T262">
        <f>'Kullanılan gübre'!T262*'Gübre oranlar'!W$2</f>
        <v>0</v>
      </c>
      <c r="U262">
        <f>'Kullanılan gübre'!U262*'Gübre oranlar'!X$2</f>
        <v>0</v>
      </c>
      <c r="V262">
        <f>'Kullanılan gübre'!V262*'Gübre oranlar'!Y$2</f>
        <v>0</v>
      </c>
      <c r="W262">
        <f>'Kullanılan gübre'!W262*'Gübre oranlar'!Z$2</f>
        <v>0</v>
      </c>
      <c r="X262">
        <f>'Kullanılan gübre'!X262*'Gübre oranlar'!AA$2</f>
        <v>0</v>
      </c>
      <c r="Y262">
        <f>'Kullanılan gübre'!Y262*'Gübre oranlar'!AB$2</f>
        <v>0</v>
      </c>
      <c r="Z262">
        <f>'Kullanılan gübre'!Z262*'Gübre oranlar'!AC$2</f>
        <v>0</v>
      </c>
      <c r="AA262">
        <f>'Kullanılan gübre'!AA262*'Gübre oranlar'!AD$2</f>
        <v>0</v>
      </c>
      <c r="AB262">
        <f>'Kullanılan gübre'!AB262*'Gübre oranlar'!AE$2</f>
        <v>0</v>
      </c>
      <c r="AC262">
        <f>'Kullanılan gübre'!AC262*'Gübre oranlar'!AF$2</f>
        <v>0</v>
      </c>
      <c r="AD262">
        <f>'Kullanılan gübre'!AD262*'Gübre oranlar'!AG$2</f>
        <v>0</v>
      </c>
      <c r="AE262">
        <f>'Kullanılan gübre'!AE262*'Gübre oranlar'!AH$2</f>
        <v>0</v>
      </c>
      <c r="AF262">
        <f>'Kullanılan gübre'!AF262*'Gübre oranlar'!AI$2</f>
        <v>0</v>
      </c>
      <c r="AG262">
        <f>'Kullanılan gübre'!AG262*'Gübre oranlar'!AJ$2</f>
        <v>0</v>
      </c>
      <c r="AH262">
        <f>'Kullanılan gübre'!AH262*'Gübre oranlar'!AK$2</f>
        <v>0</v>
      </c>
      <c r="AI262">
        <f>'Kullanılan gübre'!AI262*'Gübre oranlar'!AL$2</f>
        <v>0</v>
      </c>
      <c r="AJ262">
        <f>'Kullanılan gübre'!AJ262*'Gübre oranlar'!AM$2</f>
        <v>0</v>
      </c>
      <c r="AK262">
        <f>'Kullanılan gübre'!AK262*'Gübre oranlar'!AN$2</f>
        <v>0</v>
      </c>
      <c r="AL262">
        <f>'Kullanılan gübre'!AL262*'Gübre oranlar'!AO$2</f>
        <v>0</v>
      </c>
      <c r="AM262">
        <f>'Kullanılan gübre'!AM262*'Gübre oranlar'!AP$2</f>
        <v>0</v>
      </c>
      <c r="AN262">
        <f>'Kullanılan gübre'!AN262*'Gübre oranlar'!AQ$2</f>
        <v>0</v>
      </c>
      <c r="AO262">
        <f>'Kullanılan gübre'!AO262*'Gübre oranlar'!AR$2</f>
        <v>0</v>
      </c>
      <c r="AP262">
        <f>'Kullanılan gübre'!AP262*'Gübre oranlar'!AS$2</f>
        <v>0</v>
      </c>
      <c r="AQ262">
        <f>'Kullanılan gübre'!AQ262*'Gübre oranlar'!AT$2</f>
        <v>0</v>
      </c>
      <c r="AR262">
        <f>'Kullanılan gübre'!AR262*'Gübre oranlar'!AU$2</f>
        <v>0</v>
      </c>
      <c r="AS262">
        <f>'Kullanılan gübre'!AS262*'Gübre oranlar'!AV$2</f>
        <v>0</v>
      </c>
      <c r="AT262">
        <f>'Kullanılan gübre'!AT262*'Gübre oranlar'!AW$2</f>
        <v>0</v>
      </c>
      <c r="AU262">
        <f>'Kullanılan gübre'!AU262*'Gübre oranlar'!AX$2</f>
        <v>0</v>
      </c>
      <c r="AV262">
        <f>'Kullanılan gübre'!AV262*'Gübre oranlar'!AY$2</f>
        <v>0</v>
      </c>
      <c r="AW262">
        <f t="shared" si="4"/>
        <v>19.5825</v>
      </c>
    </row>
    <row r="263" spans="1:49" hidden="1" x14ac:dyDescent="0.25">
      <c r="A263" t="str">
        <f>'Kullanılan gübre'!A263</f>
        <v>YI</v>
      </c>
      <c r="B263" t="str">
        <f>'Kullanılan gübre'!B263</f>
        <v>TOKAT</v>
      </c>
      <c r="C263" t="str">
        <f>'Kullanılan gübre'!C263</f>
        <v>ERBAA</v>
      </c>
      <c r="D263">
        <f>'Kullanılan gübre'!D263</f>
        <v>2005</v>
      </c>
      <c r="E263">
        <f>'Kullanılan gübre'!E263*'Gübre oranlar'!H$2</f>
        <v>233.51999999999998</v>
      </c>
      <c r="F263">
        <f>'Kullanılan gübre'!F263*'Gübre oranlar'!I$2</f>
        <v>402.64900000000006</v>
      </c>
      <c r="G263">
        <f>'Kullanılan gübre'!G263*'Gübre oranlar'!J$2</f>
        <v>437.77799999999996</v>
      </c>
      <c r="H263">
        <f>'Kullanılan gübre'!H263*'Gübre oranlar'!K$2</f>
        <v>622.38</v>
      </c>
      <c r="I263">
        <f>'Kullanılan gübre'!I263*'Gübre oranlar'!L$2</f>
        <v>0</v>
      </c>
      <c r="J263">
        <f>'Kullanılan gübre'!J263*'Gübre oranlar'!M$2</f>
        <v>166.374</v>
      </c>
      <c r="K263">
        <f>'Kullanılan gübre'!K263*'Gübre oranlar'!N$2</f>
        <v>195.8</v>
      </c>
      <c r="L263">
        <f>'Kullanılan gübre'!L263*'Gübre oranlar'!O$2</f>
        <v>0</v>
      </c>
      <c r="M263">
        <f>'Kullanılan gübre'!M263*'Gübre oranlar'!P$2</f>
        <v>50.152500000000003</v>
      </c>
      <c r="N263">
        <f>'Kullanılan gübre'!N263*'Gübre oranlar'!Q$2</f>
        <v>126.88499999999999</v>
      </c>
      <c r="O263">
        <f>'Kullanılan gübre'!O263*'Gübre oranlar'!R$2</f>
        <v>0</v>
      </c>
      <c r="P263">
        <f>'Kullanılan gübre'!P263*'Gübre oranlar'!S$2</f>
        <v>0</v>
      </c>
      <c r="Q263">
        <f>'Kullanılan gübre'!Q263*'Gübre oranlar'!T$2</f>
        <v>0</v>
      </c>
      <c r="R263">
        <f>'Kullanılan gübre'!R263*'Gübre oranlar'!U$2</f>
        <v>0</v>
      </c>
      <c r="S263">
        <f>'Kullanılan gübre'!S263*'Gübre oranlar'!V$2</f>
        <v>0</v>
      </c>
      <c r="T263">
        <f>'Kullanılan gübre'!T263*'Gübre oranlar'!W$2</f>
        <v>0</v>
      </c>
      <c r="U263">
        <f>'Kullanılan gübre'!U263*'Gübre oranlar'!X$2</f>
        <v>0</v>
      </c>
      <c r="V263">
        <f>'Kullanılan gübre'!V263*'Gübre oranlar'!Y$2</f>
        <v>0</v>
      </c>
      <c r="W263">
        <f>'Kullanılan gübre'!W263*'Gübre oranlar'!Z$2</f>
        <v>0</v>
      </c>
      <c r="X263">
        <f>'Kullanılan gübre'!X263*'Gübre oranlar'!AA$2</f>
        <v>0</v>
      </c>
      <c r="Y263">
        <f>'Kullanılan gübre'!Y263*'Gübre oranlar'!AB$2</f>
        <v>0</v>
      </c>
      <c r="Z263">
        <f>'Kullanılan gübre'!Z263*'Gübre oranlar'!AC$2</f>
        <v>0</v>
      </c>
      <c r="AA263">
        <f>'Kullanılan gübre'!AA263*'Gübre oranlar'!AD$2</f>
        <v>0</v>
      </c>
      <c r="AB263">
        <f>'Kullanılan gübre'!AB263*'Gübre oranlar'!AE$2</f>
        <v>0</v>
      </c>
      <c r="AC263">
        <f>'Kullanılan gübre'!AC263*'Gübre oranlar'!AF$2</f>
        <v>0</v>
      </c>
      <c r="AD263">
        <f>'Kullanılan gübre'!AD263*'Gübre oranlar'!AG$2</f>
        <v>0</v>
      </c>
      <c r="AE263">
        <f>'Kullanılan gübre'!AE263*'Gübre oranlar'!AH$2</f>
        <v>0</v>
      </c>
      <c r="AF263">
        <f>'Kullanılan gübre'!AF263*'Gübre oranlar'!AI$2</f>
        <v>0</v>
      </c>
      <c r="AG263">
        <f>'Kullanılan gübre'!AG263*'Gübre oranlar'!AJ$2</f>
        <v>0</v>
      </c>
      <c r="AH263">
        <f>'Kullanılan gübre'!AH263*'Gübre oranlar'!AK$2</f>
        <v>0</v>
      </c>
      <c r="AI263">
        <f>'Kullanılan gübre'!AI263*'Gübre oranlar'!AL$2</f>
        <v>0</v>
      </c>
      <c r="AJ263">
        <f>'Kullanılan gübre'!AJ263*'Gübre oranlar'!AM$2</f>
        <v>0</v>
      </c>
      <c r="AK263">
        <f>'Kullanılan gübre'!AK263*'Gübre oranlar'!AN$2</f>
        <v>0</v>
      </c>
      <c r="AL263">
        <f>'Kullanılan gübre'!AL263*'Gübre oranlar'!AO$2</f>
        <v>0</v>
      </c>
      <c r="AM263">
        <f>'Kullanılan gübre'!AM263*'Gübre oranlar'!AP$2</f>
        <v>0</v>
      </c>
      <c r="AN263">
        <f>'Kullanılan gübre'!AN263*'Gübre oranlar'!AQ$2</f>
        <v>0</v>
      </c>
      <c r="AO263">
        <f>'Kullanılan gübre'!AO263*'Gübre oranlar'!AR$2</f>
        <v>0</v>
      </c>
      <c r="AP263">
        <f>'Kullanılan gübre'!AP263*'Gübre oranlar'!AS$2</f>
        <v>0</v>
      </c>
      <c r="AQ263">
        <f>'Kullanılan gübre'!AQ263*'Gübre oranlar'!AT$2</f>
        <v>0</v>
      </c>
      <c r="AR263">
        <f>'Kullanılan gübre'!AR263*'Gübre oranlar'!AU$2</f>
        <v>0</v>
      </c>
      <c r="AS263">
        <f>'Kullanılan gübre'!AS263*'Gübre oranlar'!AV$2</f>
        <v>0</v>
      </c>
      <c r="AT263">
        <f>'Kullanılan gübre'!AT263*'Gübre oranlar'!AW$2</f>
        <v>0</v>
      </c>
      <c r="AU263">
        <f>'Kullanılan gübre'!AU263*'Gübre oranlar'!AX$2</f>
        <v>0</v>
      </c>
      <c r="AV263">
        <f>'Kullanılan gübre'!AV263*'Gübre oranlar'!AY$2</f>
        <v>0</v>
      </c>
      <c r="AW263">
        <f t="shared" si="4"/>
        <v>2235.5385000000006</v>
      </c>
    </row>
    <row r="264" spans="1:49" hidden="1" x14ac:dyDescent="0.25">
      <c r="A264" t="str">
        <f>'Kullanılan gübre'!A264</f>
        <v>YI</v>
      </c>
      <c r="B264" t="str">
        <f>'Kullanılan gübre'!B264</f>
        <v>TOKAT</v>
      </c>
      <c r="C264" t="str">
        <f>'Kullanılan gübre'!C264</f>
        <v>NIKSAR</v>
      </c>
      <c r="D264">
        <f>'Kullanılan gübre'!D264</f>
        <v>2005</v>
      </c>
      <c r="E264">
        <f>'Kullanılan gübre'!E264*'Gübre oranlar'!H$2</f>
        <v>18.7425</v>
      </c>
      <c r="F264">
        <f>'Kullanılan gübre'!F264*'Gübre oranlar'!I$2</f>
        <v>14.468999999999999</v>
      </c>
      <c r="G264">
        <f>'Kullanılan gübre'!G264*'Gübre oranlar'!J$2</f>
        <v>290.91149999999999</v>
      </c>
      <c r="H264">
        <f>'Kullanılan gübre'!H264*'Gübre oranlar'!K$2</f>
        <v>170.17699999999999</v>
      </c>
      <c r="I264">
        <f>'Kullanılan gübre'!I264*'Gübre oranlar'!L$2</f>
        <v>0</v>
      </c>
      <c r="J264">
        <f>'Kullanılan gübre'!J264*'Gübre oranlar'!M$2</f>
        <v>84.798000000000002</v>
      </c>
      <c r="K264">
        <f>'Kullanılan gübre'!K264*'Gübre oranlar'!N$2</f>
        <v>43.680000000000007</v>
      </c>
      <c r="L264">
        <f>'Kullanılan gübre'!L264*'Gübre oranlar'!O$2</f>
        <v>0</v>
      </c>
      <c r="M264">
        <f>'Kullanılan gübre'!M264*'Gübre oranlar'!P$2</f>
        <v>34.515000000000001</v>
      </c>
      <c r="N264">
        <f>'Kullanılan gübre'!N264*'Gübre oranlar'!Q$2</f>
        <v>0</v>
      </c>
      <c r="O264">
        <f>'Kullanılan gübre'!O264*'Gübre oranlar'!R$2</f>
        <v>0</v>
      </c>
      <c r="P264">
        <f>'Kullanılan gübre'!P264*'Gübre oranlar'!S$2</f>
        <v>0</v>
      </c>
      <c r="Q264">
        <f>'Kullanılan gübre'!Q264*'Gübre oranlar'!T$2</f>
        <v>0</v>
      </c>
      <c r="R264">
        <f>'Kullanılan gübre'!R264*'Gübre oranlar'!U$2</f>
        <v>0</v>
      </c>
      <c r="S264">
        <f>'Kullanılan gübre'!S264*'Gübre oranlar'!V$2</f>
        <v>0</v>
      </c>
      <c r="T264">
        <f>'Kullanılan gübre'!T264*'Gübre oranlar'!W$2</f>
        <v>0</v>
      </c>
      <c r="U264">
        <f>'Kullanılan gübre'!U264*'Gübre oranlar'!X$2</f>
        <v>0</v>
      </c>
      <c r="V264">
        <f>'Kullanılan gübre'!V264*'Gübre oranlar'!Y$2</f>
        <v>0</v>
      </c>
      <c r="W264">
        <f>'Kullanılan gübre'!W264*'Gübre oranlar'!Z$2</f>
        <v>0</v>
      </c>
      <c r="X264">
        <f>'Kullanılan gübre'!X264*'Gübre oranlar'!AA$2</f>
        <v>0</v>
      </c>
      <c r="Y264">
        <f>'Kullanılan gübre'!Y264*'Gübre oranlar'!AB$2</f>
        <v>0</v>
      </c>
      <c r="Z264">
        <f>'Kullanılan gübre'!Z264*'Gübre oranlar'!AC$2</f>
        <v>0</v>
      </c>
      <c r="AA264">
        <f>'Kullanılan gübre'!AA264*'Gübre oranlar'!AD$2</f>
        <v>0</v>
      </c>
      <c r="AB264">
        <f>'Kullanılan gübre'!AB264*'Gübre oranlar'!AE$2</f>
        <v>0</v>
      </c>
      <c r="AC264">
        <f>'Kullanılan gübre'!AC264*'Gübre oranlar'!AF$2</f>
        <v>0</v>
      </c>
      <c r="AD264">
        <f>'Kullanılan gübre'!AD264*'Gübre oranlar'!AG$2</f>
        <v>0</v>
      </c>
      <c r="AE264">
        <f>'Kullanılan gübre'!AE264*'Gübre oranlar'!AH$2</f>
        <v>0</v>
      </c>
      <c r="AF264">
        <f>'Kullanılan gübre'!AF264*'Gübre oranlar'!AI$2</f>
        <v>0</v>
      </c>
      <c r="AG264">
        <f>'Kullanılan gübre'!AG264*'Gübre oranlar'!AJ$2</f>
        <v>0</v>
      </c>
      <c r="AH264">
        <f>'Kullanılan gübre'!AH264*'Gübre oranlar'!AK$2</f>
        <v>0</v>
      </c>
      <c r="AI264">
        <f>'Kullanılan gübre'!AI264*'Gübre oranlar'!AL$2</f>
        <v>0</v>
      </c>
      <c r="AJ264">
        <f>'Kullanılan gübre'!AJ264*'Gübre oranlar'!AM$2</f>
        <v>0</v>
      </c>
      <c r="AK264">
        <f>'Kullanılan gübre'!AK264*'Gübre oranlar'!AN$2</f>
        <v>0</v>
      </c>
      <c r="AL264">
        <f>'Kullanılan gübre'!AL264*'Gübre oranlar'!AO$2</f>
        <v>0</v>
      </c>
      <c r="AM264">
        <f>'Kullanılan gübre'!AM264*'Gübre oranlar'!AP$2</f>
        <v>0</v>
      </c>
      <c r="AN264">
        <f>'Kullanılan gübre'!AN264*'Gübre oranlar'!AQ$2</f>
        <v>0</v>
      </c>
      <c r="AO264">
        <f>'Kullanılan gübre'!AO264*'Gübre oranlar'!AR$2</f>
        <v>0</v>
      </c>
      <c r="AP264">
        <f>'Kullanılan gübre'!AP264*'Gübre oranlar'!AS$2</f>
        <v>0</v>
      </c>
      <c r="AQ264">
        <f>'Kullanılan gübre'!AQ264*'Gübre oranlar'!AT$2</f>
        <v>0</v>
      </c>
      <c r="AR264">
        <f>'Kullanılan gübre'!AR264*'Gübre oranlar'!AU$2</f>
        <v>0</v>
      </c>
      <c r="AS264">
        <f>'Kullanılan gübre'!AS264*'Gübre oranlar'!AV$2</f>
        <v>0</v>
      </c>
      <c r="AT264">
        <f>'Kullanılan gübre'!AT264*'Gübre oranlar'!AW$2</f>
        <v>0</v>
      </c>
      <c r="AU264">
        <f>'Kullanılan gübre'!AU264*'Gübre oranlar'!AX$2</f>
        <v>0</v>
      </c>
      <c r="AV264">
        <f>'Kullanılan gübre'!AV264*'Gübre oranlar'!AY$2</f>
        <v>0</v>
      </c>
      <c r="AW264">
        <f t="shared" si="4"/>
        <v>657.29300000000001</v>
      </c>
    </row>
    <row r="265" spans="1:49" hidden="1" x14ac:dyDescent="0.25">
      <c r="A265" t="str">
        <f>'Kullanılan gübre'!A265</f>
        <v>YI</v>
      </c>
      <c r="B265" t="str">
        <f>'Kullanılan gübre'!B265</f>
        <v>TOKAT</v>
      </c>
      <c r="C265" t="str">
        <f>'Kullanılan gübre'!C265</f>
        <v>PAZAR</v>
      </c>
      <c r="D265">
        <f>'Kullanılan gübre'!D265</f>
        <v>2005</v>
      </c>
      <c r="E265">
        <f>'Kullanılan gübre'!E265*'Gübre oranlar'!H$2</f>
        <v>7.9064999999999994</v>
      </c>
      <c r="F265">
        <f>'Kullanılan gübre'!F265*'Gübre oranlar'!I$2</f>
        <v>16.198</v>
      </c>
      <c r="G265">
        <f>'Kullanılan gübre'!G265*'Gübre oranlar'!J$2</f>
        <v>64.630499999999998</v>
      </c>
      <c r="H265">
        <f>'Kullanılan gübre'!H265*'Gübre oranlar'!K$2</f>
        <v>155.20400000000001</v>
      </c>
      <c r="I265">
        <f>'Kullanılan gübre'!I265*'Gübre oranlar'!L$2</f>
        <v>0</v>
      </c>
      <c r="J265">
        <f>'Kullanılan gübre'!J265*'Gübre oranlar'!M$2</f>
        <v>48.654000000000003</v>
      </c>
      <c r="K265">
        <f>'Kullanılan gübre'!K265*'Gübre oranlar'!N$2</f>
        <v>7.5</v>
      </c>
      <c r="L265">
        <f>'Kullanılan gübre'!L265*'Gübre oranlar'!O$2</f>
        <v>2.6300000000000003</v>
      </c>
      <c r="M265">
        <f>'Kullanılan gübre'!M265*'Gübre oranlar'!P$2</f>
        <v>7.0049999999999999</v>
      </c>
      <c r="N265">
        <f>'Kullanılan gübre'!N265*'Gübre oranlar'!Q$2</f>
        <v>13.2675</v>
      </c>
      <c r="O265">
        <f>'Kullanılan gübre'!O265*'Gübre oranlar'!R$2</f>
        <v>0</v>
      </c>
      <c r="P265">
        <f>'Kullanılan gübre'!P265*'Gübre oranlar'!S$2</f>
        <v>0</v>
      </c>
      <c r="Q265">
        <f>'Kullanılan gübre'!Q265*'Gübre oranlar'!T$2</f>
        <v>0</v>
      </c>
      <c r="R265">
        <f>'Kullanılan gübre'!R265*'Gübre oranlar'!U$2</f>
        <v>0</v>
      </c>
      <c r="S265">
        <f>'Kullanılan gübre'!S265*'Gübre oranlar'!V$2</f>
        <v>0</v>
      </c>
      <c r="T265">
        <f>'Kullanılan gübre'!T265*'Gübre oranlar'!W$2</f>
        <v>0</v>
      </c>
      <c r="U265">
        <f>'Kullanılan gübre'!U265*'Gübre oranlar'!X$2</f>
        <v>0</v>
      </c>
      <c r="V265">
        <f>'Kullanılan gübre'!V265*'Gübre oranlar'!Y$2</f>
        <v>0</v>
      </c>
      <c r="W265">
        <f>'Kullanılan gübre'!W265*'Gübre oranlar'!Z$2</f>
        <v>0</v>
      </c>
      <c r="X265">
        <f>'Kullanılan gübre'!X265*'Gübre oranlar'!AA$2</f>
        <v>0</v>
      </c>
      <c r="Y265">
        <f>'Kullanılan gübre'!Y265*'Gübre oranlar'!AB$2</f>
        <v>0</v>
      </c>
      <c r="Z265">
        <f>'Kullanılan gübre'!Z265*'Gübre oranlar'!AC$2</f>
        <v>0</v>
      </c>
      <c r="AA265">
        <f>'Kullanılan gübre'!AA265*'Gübre oranlar'!AD$2</f>
        <v>0</v>
      </c>
      <c r="AB265">
        <f>'Kullanılan gübre'!AB265*'Gübre oranlar'!AE$2</f>
        <v>0</v>
      </c>
      <c r="AC265">
        <f>'Kullanılan gübre'!AC265*'Gübre oranlar'!AF$2</f>
        <v>0</v>
      </c>
      <c r="AD265">
        <f>'Kullanılan gübre'!AD265*'Gübre oranlar'!AG$2</f>
        <v>0</v>
      </c>
      <c r="AE265">
        <f>'Kullanılan gübre'!AE265*'Gübre oranlar'!AH$2</f>
        <v>0</v>
      </c>
      <c r="AF265">
        <f>'Kullanılan gübre'!AF265*'Gübre oranlar'!AI$2</f>
        <v>0</v>
      </c>
      <c r="AG265">
        <f>'Kullanılan gübre'!AG265*'Gübre oranlar'!AJ$2</f>
        <v>0</v>
      </c>
      <c r="AH265">
        <f>'Kullanılan gübre'!AH265*'Gübre oranlar'!AK$2</f>
        <v>0</v>
      </c>
      <c r="AI265">
        <f>'Kullanılan gübre'!AI265*'Gübre oranlar'!AL$2</f>
        <v>0</v>
      </c>
      <c r="AJ265">
        <f>'Kullanılan gübre'!AJ265*'Gübre oranlar'!AM$2</f>
        <v>0</v>
      </c>
      <c r="AK265">
        <f>'Kullanılan gübre'!AK265*'Gübre oranlar'!AN$2</f>
        <v>0</v>
      </c>
      <c r="AL265">
        <f>'Kullanılan gübre'!AL265*'Gübre oranlar'!AO$2</f>
        <v>0</v>
      </c>
      <c r="AM265">
        <f>'Kullanılan gübre'!AM265*'Gübre oranlar'!AP$2</f>
        <v>0</v>
      </c>
      <c r="AN265">
        <f>'Kullanılan gübre'!AN265*'Gübre oranlar'!AQ$2</f>
        <v>0</v>
      </c>
      <c r="AO265">
        <f>'Kullanılan gübre'!AO265*'Gübre oranlar'!AR$2</f>
        <v>0</v>
      </c>
      <c r="AP265">
        <f>'Kullanılan gübre'!AP265*'Gübre oranlar'!AS$2</f>
        <v>0</v>
      </c>
      <c r="AQ265">
        <f>'Kullanılan gübre'!AQ265*'Gübre oranlar'!AT$2</f>
        <v>0</v>
      </c>
      <c r="AR265">
        <f>'Kullanılan gübre'!AR265*'Gübre oranlar'!AU$2</f>
        <v>0</v>
      </c>
      <c r="AS265">
        <f>'Kullanılan gübre'!AS265*'Gübre oranlar'!AV$2</f>
        <v>0</v>
      </c>
      <c r="AT265">
        <f>'Kullanılan gübre'!AT265*'Gübre oranlar'!AW$2</f>
        <v>0</v>
      </c>
      <c r="AU265">
        <f>'Kullanılan gübre'!AU265*'Gübre oranlar'!AX$2</f>
        <v>0</v>
      </c>
      <c r="AV265">
        <f>'Kullanılan gübre'!AV265*'Gübre oranlar'!AY$2</f>
        <v>0</v>
      </c>
      <c r="AW265">
        <f t="shared" si="4"/>
        <v>322.99549999999999</v>
      </c>
    </row>
    <row r="266" spans="1:49" hidden="1" x14ac:dyDescent="0.25">
      <c r="A266" t="str">
        <f>'Kullanılan gübre'!A266</f>
        <v>YI</v>
      </c>
      <c r="B266" t="str">
        <f>'Kullanılan gübre'!B266</f>
        <v>TOKAT</v>
      </c>
      <c r="C266" t="str">
        <f>'Kullanılan gübre'!C266</f>
        <v>RESADIYE</v>
      </c>
      <c r="D266">
        <f>'Kullanılan gübre'!D266</f>
        <v>2005</v>
      </c>
      <c r="E266">
        <f>'Kullanılan gübre'!E266*'Gübre oranlar'!H$2</f>
        <v>0</v>
      </c>
      <c r="F266">
        <f>'Kullanılan gübre'!F266*'Gübre oranlar'!I$2</f>
        <v>35.503000000000007</v>
      </c>
      <c r="G266">
        <f>'Kullanılan gübre'!G266*'Gübre oranlar'!J$2</f>
        <v>80.058000000000007</v>
      </c>
      <c r="H266">
        <f>'Kullanılan gübre'!H266*'Gübre oranlar'!K$2</f>
        <v>60.696999999999996</v>
      </c>
      <c r="I266">
        <f>'Kullanılan gübre'!I266*'Gübre oranlar'!L$2</f>
        <v>0</v>
      </c>
      <c r="J266">
        <f>'Kullanılan gübre'!J266*'Gübre oranlar'!M$2</f>
        <v>48.87</v>
      </c>
      <c r="K266">
        <f>'Kullanılan gübre'!K266*'Gübre oranlar'!N$2</f>
        <v>0</v>
      </c>
      <c r="L266">
        <f>'Kullanılan gübre'!L266*'Gübre oranlar'!O$2</f>
        <v>0</v>
      </c>
      <c r="M266">
        <f>'Kullanılan gübre'!M266*'Gübre oranlar'!P$2</f>
        <v>0</v>
      </c>
      <c r="N266">
        <f>'Kullanılan gübre'!N266*'Gübre oranlar'!Q$2</f>
        <v>0</v>
      </c>
      <c r="O266">
        <f>'Kullanılan gübre'!O266*'Gübre oranlar'!R$2</f>
        <v>0</v>
      </c>
      <c r="P266">
        <f>'Kullanılan gübre'!P266*'Gübre oranlar'!S$2</f>
        <v>0</v>
      </c>
      <c r="Q266">
        <f>'Kullanılan gübre'!Q266*'Gübre oranlar'!T$2</f>
        <v>0</v>
      </c>
      <c r="R266">
        <f>'Kullanılan gübre'!R266*'Gübre oranlar'!U$2</f>
        <v>0</v>
      </c>
      <c r="S266">
        <f>'Kullanılan gübre'!S266*'Gübre oranlar'!V$2</f>
        <v>0</v>
      </c>
      <c r="T266">
        <f>'Kullanılan gübre'!T266*'Gübre oranlar'!W$2</f>
        <v>0</v>
      </c>
      <c r="U266">
        <f>'Kullanılan gübre'!U266*'Gübre oranlar'!X$2</f>
        <v>0</v>
      </c>
      <c r="V266">
        <f>'Kullanılan gübre'!V266*'Gübre oranlar'!Y$2</f>
        <v>0</v>
      </c>
      <c r="W266">
        <f>'Kullanılan gübre'!W266*'Gübre oranlar'!Z$2</f>
        <v>0</v>
      </c>
      <c r="X266">
        <f>'Kullanılan gübre'!X266*'Gübre oranlar'!AA$2</f>
        <v>0</v>
      </c>
      <c r="Y266">
        <f>'Kullanılan gübre'!Y266*'Gübre oranlar'!AB$2</f>
        <v>0</v>
      </c>
      <c r="Z266">
        <f>'Kullanılan gübre'!Z266*'Gübre oranlar'!AC$2</f>
        <v>0</v>
      </c>
      <c r="AA266">
        <f>'Kullanılan gübre'!AA266*'Gübre oranlar'!AD$2</f>
        <v>0</v>
      </c>
      <c r="AB266">
        <f>'Kullanılan gübre'!AB266*'Gübre oranlar'!AE$2</f>
        <v>0</v>
      </c>
      <c r="AC266">
        <f>'Kullanılan gübre'!AC266*'Gübre oranlar'!AF$2</f>
        <v>0</v>
      </c>
      <c r="AD266">
        <f>'Kullanılan gübre'!AD266*'Gübre oranlar'!AG$2</f>
        <v>0</v>
      </c>
      <c r="AE266">
        <f>'Kullanılan gübre'!AE266*'Gübre oranlar'!AH$2</f>
        <v>0</v>
      </c>
      <c r="AF266">
        <f>'Kullanılan gübre'!AF266*'Gübre oranlar'!AI$2</f>
        <v>0</v>
      </c>
      <c r="AG266">
        <f>'Kullanılan gübre'!AG266*'Gübre oranlar'!AJ$2</f>
        <v>0</v>
      </c>
      <c r="AH266">
        <f>'Kullanılan gübre'!AH266*'Gübre oranlar'!AK$2</f>
        <v>0</v>
      </c>
      <c r="AI266">
        <f>'Kullanılan gübre'!AI266*'Gübre oranlar'!AL$2</f>
        <v>0</v>
      </c>
      <c r="AJ266">
        <f>'Kullanılan gübre'!AJ266*'Gübre oranlar'!AM$2</f>
        <v>0</v>
      </c>
      <c r="AK266">
        <f>'Kullanılan gübre'!AK266*'Gübre oranlar'!AN$2</f>
        <v>0</v>
      </c>
      <c r="AL266">
        <f>'Kullanılan gübre'!AL266*'Gübre oranlar'!AO$2</f>
        <v>0</v>
      </c>
      <c r="AM266">
        <f>'Kullanılan gübre'!AM266*'Gübre oranlar'!AP$2</f>
        <v>0</v>
      </c>
      <c r="AN266">
        <f>'Kullanılan gübre'!AN266*'Gübre oranlar'!AQ$2</f>
        <v>0</v>
      </c>
      <c r="AO266">
        <f>'Kullanılan gübre'!AO266*'Gübre oranlar'!AR$2</f>
        <v>0</v>
      </c>
      <c r="AP266">
        <f>'Kullanılan gübre'!AP266*'Gübre oranlar'!AS$2</f>
        <v>0</v>
      </c>
      <c r="AQ266">
        <f>'Kullanılan gübre'!AQ266*'Gübre oranlar'!AT$2</f>
        <v>0</v>
      </c>
      <c r="AR266">
        <f>'Kullanılan gübre'!AR266*'Gübre oranlar'!AU$2</f>
        <v>0</v>
      </c>
      <c r="AS266">
        <f>'Kullanılan gübre'!AS266*'Gübre oranlar'!AV$2</f>
        <v>0</v>
      </c>
      <c r="AT266">
        <f>'Kullanılan gübre'!AT266*'Gübre oranlar'!AW$2</f>
        <v>0</v>
      </c>
      <c r="AU266">
        <f>'Kullanılan gübre'!AU266*'Gübre oranlar'!AX$2</f>
        <v>0</v>
      </c>
      <c r="AV266">
        <f>'Kullanılan gübre'!AV266*'Gübre oranlar'!AY$2</f>
        <v>0</v>
      </c>
      <c r="AW266">
        <f t="shared" si="4"/>
        <v>225.12800000000001</v>
      </c>
    </row>
    <row r="267" spans="1:49" hidden="1" x14ac:dyDescent="0.25">
      <c r="A267" t="str">
        <f>'Kullanılan gübre'!A267</f>
        <v>YI</v>
      </c>
      <c r="B267" t="str">
        <f>'Kullanılan gübre'!B267</f>
        <v>TOKAT</v>
      </c>
      <c r="C267" t="str">
        <f>'Kullanılan gübre'!C267</f>
        <v>SULUSARAY</v>
      </c>
      <c r="D267">
        <f>'Kullanılan gübre'!D267</f>
        <v>2005</v>
      </c>
      <c r="E267">
        <f>'Kullanılan gübre'!E267*'Gübre oranlar'!H$2</f>
        <v>0</v>
      </c>
      <c r="F267">
        <f>'Kullanılan gübre'!F267*'Gübre oranlar'!I$2</f>
        <v>26.273</v>
      </c>
      <c r="G267">
        <f>'Kullanılan gübre'!G267*'Gübre oranlar'!J$2</f>
        <v>26.119500000000002</v>
      </c>
      <c r="H267">
        <f>'Kullanılan gübre'!H267*'Gübre oranlar'!K$2</f>
        <v>5.4740000000000002</v>
      </c>
      <c r="I267">
        <f>'Kullanılan gübre'!I267*'Gübre oranlar'!L$2</f>
        <v>0</v>
      </c>
      <c r="J267">
        <f>'Kullanılan gübre'!J267*'Gübre oranlar'!M$2</f>
        <v>17.343</v>
      </c>
      <c r="K267">
        <f>'Kullanılan gübre'!K267*'Gübre oranlar'!N$2</f>
        <v>4.0100000000000007</v>
      </c>
      <c r="L267">
        <f>'Kullanılan gübre'!L267*'Gübre oranlar'!O$2</f>
        <v>0.47000000000000003</v>
      </c>
      <c r="M267">
        <f>'Kullanılan gübre'!M267*'Gübre oranlar'!P$2</f>
        <v>0</v>
      </c>
      <c r="N267">
        <f>'Kullanılan gübre'!N267*'Gübre oranlar'!Q$2</f>
        <v>0</v>
      </c>
      <c r="O267">
        <f>'Kullanılan gübre'!O267*'Gübre oranlar'!R$2</f>
        <v>0</v>
      </c>
      <c r="P267">
        <f>'Kullanılan gübre'!P267*'Gübre oranlar'!S$2</f>
        <v>0</v>
      </c>
      <c r="Q267">
        <f>'Kullanılan gübre'!Q267*'Gübre oranlar'!T$2</f>
        <v>0</v>
      </c>
      <c r="R267">
        <f>'Kullanılan gübre'!R267*'Gübre oranlar'!U$2</f>
        <v>0</v>
      </c>
      <c r="S267">
        <f>'Kullanılan gübre'!S267*'Gübre oranlar'!V$2</f>
        <v>0</v>
      </c>
      <c r="T267">
        <f>'Kullanılan gübre'!T267*'Gübre oranlar'!W$2</f>
        <v>0</v>
      </c>
      <c r="U267">
        <f>'Kullanılan gübre'!U267*'Gübre oranlar'!X$2</f>
        <v>0</v>
      </c>
      <c r="V267">
        <f>'Kullanılan gübre'!V267*'Gübre oranlar'!Y$2</f>
        <v>0</v>
      </c>
      <c r="W267">
        <f>'Kullanılan gübre'!W267*'Gübre oranlar'!Z$2</f>
        <v>0</v>
      </c>
      <c r="X267">
        <f>'Kullanılan gübre'!X267*'Gübre oranlar'!AA$2</f>
        <v>0</v>
      </c>
      <c r="Y267">
        <f>'Kullanılan gübre'!Y267*'Gübre oranlar'!AB$2</f>
        <v>0</v>
      </c>
      <c r="Z267">
        <f>'Kullanılan gübre'!Z267*'Gübre oranlar'!AC$2</f>
        <v>0</v>
      </c>
      <c r="AA267">
        <f>'Kullanılan gübre'!AA267*'Gübre oranlar'!AD$2</f>
        <v>0</v>
      </c>
      <c r="AB267">
        <f>'Kullanılan gübre'!AB267*'Gübre oranlar'!AE$2</f>
        <v>0</v>
      </c>
      <c r="AC267">
        <f>'Kullanılan gübre'!AC267*'Gübre oranlar'!AF$2</f>
        <v>0</v>
      </c>
      <c r="AD267">
        <f>'Kullanılan gübre'!AD267*'Gübre oranlar'!AG$2</f>
        <v>0</v>
      </c>
      <c r="AE267">
        <f>'Kullanılan gübre'!AE267*'Gübre oranlar'!AH$2</f>
        <v>0</v>
      </c>
      <c r="AF267">
        <f>'Kullanılan gübre'!AF267*'Gübre oranlar'!AI$2</f>
        <v>0</v>
      </c>
      <c r="AG267">
        <f>'Kullanılan gübre'!AG267*'Gübre oranlar'!AJ$2</f>
        <v>0</v>
      </c>
      <c r="AH267">
        <f>'Kullanılan gübre'!AH267*'Gübre oranlar'!AK$2</f>
        <v>0</v>
      </c>
      <c r="AI267">
        <f>'Kullanılan gübre'!AI267*'Gübre oranlar'!AL$2</f>
        <v>0</v>
      </c>
      <c r="AJ267">
        <f>'Kullanılan gübre'!AJ267*'Gübre oranlar'!AM$2</f>
        <v>0</v>
      </c>
      <c r="AK267">
        <f>'Kullanılan gübre'!AK267*'Gübre oranlar'!AN$2</f>
        <v>0</v>
      </c>
      <c r="AL267">
        <f>'Kullanılan gübre'!AL267*'Gübre oranlar'!AO$2</f>
        <v>0</v>
      </c>
      <c r="AM267">
        <f>'Kullanılan gübre'!AM267*'Gübre oranlar'!AP$2</f>
        <v>0</v>
      </c>
      <c r="AN267">
        <f>'Kullanılan gübre'!AN267*'Gübre oranlar'!AQ$2</f>
        <v>0</v>
      </c>
      <c r="AO267">
        <f>'Kullanılan gübre'!AO267*'Gübre oranlar'!AR$2</f>
        <v>0</v>
      </c>
      <c r="AP267">
        <f>'Kullanılan gübre'!AP267*'Gübre oranlar'!AS$2</f>
        <v>0</v>
      </c>
      <c r="AQ267">
        <f>'Kullanılan gübre'!AQ267*'Gübre oranlar'!AT$2</f>
        <v>0</v>
      </c>
      <c r="AR267">
        <f>'Kullanılan gübre'!AR267*'Gübre oranlar'!AU$2</f>
        <v>0</v>
      </c>
      <c r="AS267">
        <f>'Kullanılan gübre'!AS267*'Gübre oranlar'!AV$2</f>
        <v>0</v>
      </c>
      <c r="AT267">
        <f>'Kullanılan gübre'!AT267*'Gübre oranlar'!AW$2</f>
        <v>0</v>
      </c>
      <c r="AU267">
        <f>'Kullanılan gübre'!AU267*'Gübre oranlar'!AX$2</f>
        <v>0</v>
      </c>
      <c r="AV267">
        <f>'Kullanılan gübre'!AV267*'Gübre oranlar'!AY$2</f>
        <v>0</v>
      </c>
      <c r="AW267">
        <f t="shared" si="4"/>
        <v>79.68950000000001</v>
      </c>
    </row>
    <row r="268" spans="1:49" hidden="1" x14ac:dyDescent="0.25">
      <c r="A268" t="str">
        <f>'Kullanılan gübre'!A268</f>
        <v>YI</v>
      </c>
      <c r="B268" t="str">
        <f>'Kullanılan gübre'!B268</f>
        <v>TOKAT</v>
      </c>
      <c r="C268" t="str">
        <f>'Kullanılan gübre'!C268</f>
        <v>TURHAL</v>
      </c>
      <c r="D268">
        <f>'Kullanılan gübre'!D268</f>
        <v>2005</v>
      </c>
      <c r="E268">
        <f>'Kullanılan gübre'!E268*'Gübre oranlar'!H$2</f>
        <v>9.3659999999999997</v>
      </c>
      <c r="F268">
        <f>'Kullanılan gübre'!F268*'Gübre oranlar'!I$2</f>
        <v>169.143</v>
      </c>
      <c r="G268">
        <f>'Kullanılan gübre'!G268*'Gübre oranlar'!J$2</f>
        <v>407.55</v>
      </c>
      <c r="H268">
        <f>'Kullanılan gübre'!H268*'Gübre oranlar'!K$2</f>
        <v>402.40800000000002</v>
      </c>
      <c r="I268">
        <f>'Kullanılan gübre'!I268*'Gübre oranlar'!L$2</f>
        <v>0</v>
      </c>
      <c r="J268">
        <f>'Kullanılan gübre'!J268*'Gübre oranlar'!M$2</f>
        <v>115.173</v>
      </c>
      <c r="K268">
        <f>'Kullanılan gübre'!K268*'Gübre oranlar'!N$2</f>
        <v>15.75</v>
      </c>
      <c r="L268">
        <f>'Kullanılan gübre'!L268*'Gübre oranlar'!O$2</f>
        <v>128.76</v>
      </c>
      <c r="M268">
        <f>'Kullanılan gübre'!M268*'Gübre oranlar'!P$2</f>
        <v>1.2149999999999999</v>
      </c>
      <c r="N268">
        <f>'Kullanılan gübre'!N268*'Gübre oranlar'!Q$2</f>
        <v>4.1775000000000002</v>
      </c>
      <c r="O268">
        <f>'Kullanılan gübre'!O268*'Gübre oranlar'!R$2</f>
        <v>0</v>
      </c>
      <c r="P268">
        <f>'Kullanılan gübre'!P268*'Gübre oranlar'!S$2</f>
        <v>3.9E-2</v>
      </c>
      <c r="Q268">
        <f>'Kullanılan gübre'!Q268*'Gübre oranlar'!T$2</f>
        <v>85.878</v>
      </c>
      <c r="R268">
        <f>'Kullanılan gübre'!R268*'Gübre oranlar'!U$2</f>
        <v>0</v>
      </c>
      <c r="S268">
        <f>'Kullanılan gübre'!S268*'Gübre oranlar'!V$2</f>
        <v>0</v>
      </c>
      <c r="T268">
        <f>'Kullanılan gübre'!T268*'Gübre oranlar'!W$2</f>
        <v>0</v>
      </c>
      <c r="U268">
        <f>'Kullanılan gübre'!U268*'Gübre oranlar'!X$2</f>
        <v>0</v>
      </c>
      <c r="V268">
        <f>'Kullanılan gübre'!V268*'Gübre oranlar'!Y$2</f>
        <v>0</v>
      </c>
      <c r="W268">
        <f>'Kullanılan gübre'!W268*'Gübre oranlar'!Z$2</f>
        <v>0</v>
      </c>
      <c r="X268">
        <f>'Kullanılan gübre'!X268*'Gübre oranlar'!AA$2</f>
        <v>0</v>
      </c>
      <c r="Y268">
        <f>'Kullanılan gübre'!Y268*'Gübre oranlar'!AB$2</f>
        <v>0</v>
      </c>
      <c r="Z268">
        <f>'Kullanılan gübre'!Z268*'Gübre oranlar'!AC$2</f>
        <v>0</v>
      </c>
      <c r="AA268">
        <f>'Kullanılan gübre'!AA268*'Gübre oranlar'!AD$2</f>
        <v>0</v>
      </c>
      <c r="AB268">
        <f>'Kullanılan gübre'!AB268*'Gübre oranlar'!AE$2</f>
        <v>0</v>
      </c>
      <c r="AC268">
        <f>'Kullanılan gübre'!AC268*'Gübre oranlar'!AF$2</f>
        <v>0</v>
      </c>
      <c r="AD268">
        <f>'Kullanılan gübre'!AD268*'Gübre oranlar'!AG$2</f>
        <v>0</v>
      </c>
      <c r="AE268">
        <f>'Kullanılan gübre'!AE268*'Gübre oranlar'!AH$2</f>
        <v>0</v>
      </c>
      <c r="AF268">
        <f>'Kullanılan gübre'!AF268*'Gübre oranlar'!AI$2</f>
        <v>0</v>
      </c>
      <c r="AG268">
        <f>'Kullanılan gübre'!AG268*'Gübre oranlar'!AJ$2</f>
        <v>0</v>
      </c>
      <c r="AH268">
        <f>'Kullanılan gübre'!AH268*'Gübre oranlar'!AK$2</f>
        <v>0</v>
      </c>
      <c r="AI268">
        <f>'Kullanılan gübre'!AI268*'Gübre oranlar'!AL$2</f>
        <v>0</v>
      </c>
      <c r="AJ268">
        <f>'Kullanılan gübre'!AJ268*'Gübre oranlar'!AM$2</f>
        <v>0</v>
      </c>
      <c r="AK268">
        <f>'Kullanılan gübre'!AK268*'Gübre oranlar'!AN$2</f>
        <v>0</v>
      </c>
      <c r="AL268">
        <f>'Kullanılan gübre'!AL268*'Gübre oranlar'!AO$2</f>
        <v>0</v>
      </c>
      <c r="AM268">
        <f>'Kullanılan gübre'!AM268*'Gübre oranlar'!AP$2</f>
        <v>0</v>
      </c>
      <c r="AN268">
        <f>'Kullanılan gübre'!AN268*'Gübre oranlar'!AQ$2</f>
        <v>0</v>
      </c>
      <c r="AO268">
        <f>'Kullanılan gübre'!AO268*'Gübre oranlar'!AR$2</f>
        <v>0</v>
      </c>
      <c r="AP268">
        <f>'Kullanılan gübre'!AP268*'Gübre oranlar'!AS$2</f>
        <v>0</v>
      </c>
      <c r="AQ268">
        <f>'Kullanılan gübre'!AQ268*'Gübre oranlar'!AT$2</f>
        <v>0</v>
      </c>
      <c r="AR268">
        <f>'Kullanılan gübre'!AR268*'Gübre oranlar'!AU$2</f>
        <v>0</v>
      </c>
      <c r="AS268">
        <f>'Kullanılan gübre'!AS268*'Gübre oranlar'!AV$2</f>
        <v>0</v>
      </c>
      <c r="AT268">
        <f>'Kullanılan gübre'!AT268*'Gübre oranlar'!AW$2</f>
        <v>0</v>
      </c>
      <c r="AU268">
        <f>'Kullanılan gübre'!AU268*'Gübre oranlar'!AX$2</f>
        <v>0</v>
      </c>
      <c r="AV268">
        <f>'Kullanılan gübre'!AV268*'Gübre oranlar'!AY$2</f>
        <v>0</v>
      </c>
      <c r="AW268">
        <f t="shared" si="4"/>
        <v>1339.4594999999997</v>
      </c>
    </row>
    <row r="269" spans="1:49" hidden="1" x14ac:dyDescent="0.25">
      <c r="A269" t="str">
        <f>'Kullanılan gübre'!A269</f>
        <v>YI</v>
      </c>
      <c r="B269" t="str">
        <f>'Kullanılan gübre'!B269</f>
        <v>TOKAT</v>
      </c>
      <c r="C269" t="str">
        <f>'Kullanılan gübre'!C269</f>
        <v>YESILYURT</v>
      </c>
      <c r="D269">
        <f>'Kullanılan gübre'!D269</f>
        <v>2005</v>
      </c>
      <c r="E269">
        <f>'Kullanılan gübre'!E269*'Gübre oranlar'!H$2</f>
        <v>0</v>
      </c>
      <c r="F269">
        <f>'Kullanılan gübre'!F269*'Gübre oranlar'!I$2</f>
        <v>105.547</v>
      </c>
      <c r="G269">
        <f>'Kullanılan gübre'!G269*'Gübre oranlar'!J$2</f>
        <v>52.932000000000002</v>
      </c>
      <c r="H269">
        <f>'Kullanılan gübre'!H269*'Gübre oranlar'!K$2</f>
        <v>79.58</v>
      </c>
      <c r="I269">
        <f>'Kullanılan gübre'!I269*'Gübre oranlar'!L$2</f>
        <v>0</v>
      </c>
      <c r="J269">
        <f>'Kullanılan gübre'!J269*'Gübre oranlar'!M$2</f>
        <v>61.721999999999994</v>
      </c>
      <c r="K269">
        <f>'Kullanılan gübre'!K269*'Gübre oranlar'!N$2</f>
        <v>28.080000000000002</v>
      </c>
      <c r="L269">
        <f>'Kullanılan gübre'!L269*'Gübre oranlar'!O$2</f>
        <v>17.010000000000002</v>
      </c>
      <c r="M269">
        <f>'Kullanılan gübre'!M269*'Gübre oranlar'!P$2</f>
        <v>0</v>
      </c>
      <c r="N269">
        <f>'Kullanılan gübre'!N269*'Gübre oranlar'!Q$2</f>
        <v>0.89249999999999996</v>
      </c>
      <c r="O269">
        <f>'Kullanılan gübre'!O269*'Gübre oranlar'!R$2</f>
        <v>0</v>
      </c>
      <c r="P269">
        <f>'Kullanılan gübre'!P269*'Gübre oranlar'!S$2</f>
        <v>0</v>
      </c>
      <c r="Q269">
        <f>'Kullanılan gübre'!Q269*'Gübre oranlar'!T$2</f>
        <v>18.84</v>
      </c>
      <c r="R269">
        <f>'Kullanılan gübre'!R269*'Gübre oranlar'!U$2</f>
        <v>0</v>
      </c>
      <c r="S269">
        <f>'Kullanılan gübre'!S269*'Gübre oranlar'!V$2</f>
        <v>0</v>
      </c>
      <c r="T269">
        <f>'Kullanılan gübre'!T269*'Gübre oranlar'!W$2</f>
        <v>0</v>
      </c>
      <c r="U269">
        <f>'Kullanılan gübre'!U269*'Gübre oranlar'!X$2</f>
        <v>0</v>
      </c>
      <c r="V269">
        <f>'Kullanılan gübre'!V269*'Gübre oranlar'!Y$2</f>
        <v>0</v>
      </c>
      <c r="W269">
        <f>'Kullanılan gübre'!W269*'Gübre oranlar'!Z$2</f>
        <v>0</v>
      </c>
      <c r="X269">
        <f>'Kullanılan gübre'!X269*'Gübre oranlar'!AA$2</f>
        <v>0</v>
      </c>
      <c r="Y269">
        <f>'Kullanılan gübre'!Y269*'Gübre oranlar'!AB$2</f>
        <v>0</v>
      </c>
      <c r="Z269">
        <f>'Kullanılan gübre'!Z269*'Gübre oranlar'!AC$2</f>
        <v>0</v>
      </c>
      <c r="AA269">
        <f>'Kullanılan gübre'!AA269*'Gübre oranlar'!AD$2</f>
        <v>0</v>
      </c>
      <c r="AB269">
        <f>'Kullanılan gübre'!AB269*'Gübre oranlar'!AE$2</f>
        <v>0</v>
      </c>
      <c r="AC269">
        <f>'Kullanılan gübre'!AC269*'Gübre oranlar'!AF$2</f>
        <v>0</v>
      </c>
      <c r="AD269">
        <f>'Kullanılan gübre'!AD269*'Gübre oranlar'!AG$2</f>
        <v>0</v>
      </c>
      <c r="AE269">
        <f>'Kullanılan gübre'!AE269*'Gübre oranlar'!AH$2</f>
        <v>0</v>
      </c>
      <c r="AF269">
        <f>'Kullanılan gübre'!AF269*'Gübre oranlar'!AI$2</f>
        <v>0</v>
      </c>
      <c r="AG269">
        <f>'Kullanılan gübre'!AG269*'Gübre oranlar'!AJ$2</f>
        <v>0</v>
      </c>
      <c r="AH269">
        <f>'Kullanılan gübre'!AH269*'Gübre oranlar'!AK$2</f>
        <v>0</v>
      </c>
      <c r="AI269">
        <f>'Kullanılan gübre'!AI269*'Gübre oranlar'!AL$2</f>
        <v>0</v>
      </c>
      <c r="AJ269">
        <f>'Kullanılan gübre'!AJ269*'Gübre oranlar'!AM$2</f>
        <v>0</v>
      </c>
      <c r="AK269">
        <f>'Kullanılan gübre'!AK269*'Gübre oranlar'!AN$2</f>
        <v>0</v>
      </c>
      <c r="AL269">
        <f>'Kullanılan gübre'!AL269*'Gübre oranlar'!AO$2</f>
        <v>0</v>
      </c>
      <c r="AM269">
        <f>'Kullanılan gübre'!AM269*'Gübre oranlar'!AP$2</f>
        <v>0</v>
      </c>
      <c r="AN269">
        <f>'Kullanılan gübre'!AN269*'Gübre oranlar'!AQ$2</f>
        <v>0</v>
      </c>
      <c r="AO269">
        <f>'Kullanılan gübre'!AO269*'Gübre oranlar'!AR$2</f>
        <v>0</v>
      </c>
      <c r="AP269">
        <f>'Kullanılan gübre'!AP269*'Gübre oranlar'!AS$2</f>
        <v>0</v>
      </c>
      <c r="AQ269">
        <f>'Kullanılan gübre'!AQ269*'Gübre oranlar'!AT$2</f>
        <v>0</v>
      </c>
      <c r="AR269">
        <f>'Kullanılan gübre'!AR269*'Gübre oranlar'!AU$2</f>
        <v>0</v>
      </c>
      <c r="AS269">
        <f>'Kullanılan gübre'!AS269*'Gübre oranlar'!AV$2</f>
        <v>0</v>
      </c>
      <c r="AT269">
        <f>'Kullanılan gübre'!AT269*'Gübre oranlar'!AW$2</f>
        <v>0</v>
      </c>
      <c r="AU269">
        <f>'Kullanılan gübre'!AU269*'Gübre oranlar'!AX$2</f>
        <v>0</v>
      </c>
      <c r="AV269">
        <f>'Kullanılan gübre'!AV269*'Gübre oranlar'!AY$2</f>
        <v>0</v>
      </c>
      <c r="AW269">
        <f t="shared" si="4"/>
        <v>364.60349999999988</v>
      </c>
    </row>
    <row r="270" spans="1:49" hidden="1" x14ac:dyDescent="0.25">
      <c r="A270" t="str">
        <f>'Kullanılan gübre'!A270</f>
        <v>YI</v>
      </c>
      <c r="B270" t="str">
        <f>'Kullanılan gübre'!B270</f>
        <v>TOKAT</v>
      </c>
      <c r="C270" t="str">
        <f>'Kullanılan gübre'!C270</f>
        <v>ZILE</v>
      </c>
      <c r="D270">
        <f>'Kullanılan gübre'!D270</f>
        <v>2005</v>
      </c>
      <c r="E270">
        <f>'Kullanılan gübre'!E270*'Gübre oranlar'!H$2</f>
        <v>18.837</v>
      </c>
      <c r="F270">
        <f>'Kullanılan gübre'!F270*'Gübre oranlar'!I$2</f>
        <v>1065.6100000000001</v>
      </c>
      <c r="G270">
        <f>'Kullanılan gübre'!G270*'Gübre oranlar'!J$2</f>
        <v>1232.616</v>
      </c>
      <c r="H270">
        <f>'Kullanılan gübre'!H270*'Gübre oranlar'!K$2</f>
        <v>1062.462</v>
      </c>
      <c r="I270">
        <f>'Kullanılan gübre'!I270*'Gübre oranlar'!L$2</f>
        <v>0</v>
      </c>
      <c r="J270">
        <f>'Kullanılan gübre'!J270*'Gübre oranlar'!M$2</f>
        <v>417.00599999999997</v>
      </c>
      <c r="K270">
        <f>'Kullanılan gübre'!K270*'Gübre oranlar'!N$2</f>
        <v>654.41000000000008</v>
      </c>
      <c r="L270">
        <f>'Kullanılan gübre'!L270*'Gübre oranlar'!O$2</f>
        <v>367.95000000000005</v>
      </c>
      <c r="M270">
        <f>'Kullanılan gübre'!M270*'Gübre oranlar'!P$2</f>
        <v>7.5</v>
      </c>
      <c r="N270">
        <f>'Kullanılan gübre'!N270*'Gübre oranlar'!Q$2</f>
        <v>0</v>
      </c>
      <c r="O270">
        <f>'Kullanılan gübre'!O270*'Gübre oranlar'!R$2</f>
        <v>0</v>
      </c>
      <c r="P270">
        <f>'Kullanılan gübre'!P270*'Gübre oranlar'!S$2</f>
        <v>0</v>
      </c>
      <c r="Q270">
        <f>'Kullanılan gübre'!Q270*'Gübre oranlar'!T$2</f>
        <v>0</v>
      </c>
      <c r="R270">
        <f>'Kullanılan gübre'!R270*'Gübre oranlar'!U$2</f>
        <v>0</v>
      </c>
      <c r="S270">
        <f>'Kullanılan gübre'!S270*'Gübre oranlar'!V$2</f>
        <v>0</v>
      </c>
      <c r="T270">
        <f>'Kullanılan gübre'!T270*'Gübre oranlar'!W$2</f>
        <v>0</v>
      </c>
      <c r="U270">
        <f>'Kullanılan gübre'!U270*'Gübre oranlar'!X$2</f>
        <v>0</v>
      </c>
      <c r="V270">
        <f>'Kullanılan gübre'!V270*'Gübre oranlar'!Y$2</f>
        <v>0</v>
      </c>
      <c r="W270">
        <f>'Kullanılan gübre'!W270*'Gübre oranlar'!Z$2</f>
        <v>0</v>
      </c>
      <c r="X270">
        <f>'Kullanılan gübre'!X270*'Gübre oranlar'!AA$2</f>
        <v>0</v>
      </c>
      <c r="Y270">
        <f>'Kullanılan gübre'!Y270*'Gübre oranlar'!AB$2</f>
        <v>0</v>
      </c>
      <c r="Z270">
        <f>'Kullanılan gübre'!Z270*'Gübre oranlar'!AC$2</f>
        <v>0</v>
      </c>
      <c r="AA270">
        <f>'Kullanılan gübre'!AA270*'Gübre oranlar'!AD$2</f>
        <v>0</v>
      </c>
      <c r="AB270">
        <f>'Kullanılan gübre'!AB270*'Gübre oranlar'!AE$2</f>
        <v>0</v>
      </c>
      <c r="AC270">
        <f>'Kullanılan gübre'!AC270*'Gübre oranlar'!AF$2</f>
        <v>0</v>
      </c>
      <c r="AD270">
        <f>'Kullanılan gübre'!AD270*'Gübre oranlar'!AG$2</f>
        <v>0</v>
      </c>
      <c r="AE270">
        <f>'Kullanılan gübre'!AE270*'Gübre oranlar'!AH$2</f>
        <v>0</v>
      </c>
      <c r="AF270">
        <f>'Kullanılan gübre'!AF270*'Gübre oranlar'!AI$2</f>
        <v>0</v>
      </c>
      <c r="AG270">
        <f>'Kullanılan gübre'!AG270*'Gübre oranlar'!AJ$2</f>
        <v>0</v>
      </c>
      <c r="AH270">
        <f>'Kullanılan gübre'!AH270*'Gübre oranlar'!AK$2</f>
        <v>0</v>
      </c>
      <c r="AI270">
        <f>'Kullanılan gübre'!AI270*'Gübre oranlar'!AL$2</f>
        <v>0</v>
      </c>
      <c r="AJ270">
        <f>'Kullanılan gübre'!AJ270*'Gübre oranlar'!AM$2</f>
        <v>0</v>
      </c>
      <c r="AK270">
        <f>'Kullanılan gübre'!AK270*'Gübre oranlar'!AN$2</f>
        <v>0</v>
      </c>
      <c r="AL270">
        <f>'Kullanılan gübre'!AL270*'Gübre oranlar'!AO$2</f>
        <v>0</v>
      </c>
      <c r="AM270">
        <f>'Kullanılan gübre'!AM270*'Gübre oranlar'!AP$2</f>
        <v>0</v>
      </c>
      <c r="AN270">
        <f>'Kullanılan gübre'!AN270*'Gübre oranlar'!AQ$2</f>
        <v>0</v>
      </c>
      <c r="AO270">
        <f>'Kullanılan gübre'!AO270*'Gübre oranlar'!AR$2</f>
        <v>0</v>
      </c>
      <c r="AP270">
        <f>'Kullanılan gübre'!AP270*'Gübre oranlar'!AS$2</f>
        <v>0</v>
      </c>
      <c r="AQ270">
        <f>'Kullanılan gübre'!AQ270*'Gübre oranlar'!AT$2</f>
        <v>0</v>
      </c>
      <c r="AR270">
        <f>'Kullanılan gübre'!AR270*'Gübre oranlar'!AU$2</f>
        <v>0</v>
      </c>
      <c r="AS270">
        <f>'Kullanılan gübre'!AS270*'Gübre oranlar'!AV$2</f>
        <v>0</v>
      </c>
      <c r="AT270">
        <f>'Kullanılan gübre'!AT270*'Gübre oranlar'!AW$2</f>
        <v>0</v>
      </c>
      <c r="AU270">
        <f>'Kullanılan gübre'!AU270*'Gübre oranlar'!AX$2</f>
        <v>0</v>
      </c>
      <c r="AV270">
        <f>'Kullanılan gübre'!AV270*'Gübre oranlar'!AY$2</f>
        <v>0</v>
      </c>
      <c r="AW270">
        <f t="shared" si="4"/>
        <v>4826.3909999999996</v>
      </c>
    </row>
    <row r="271" spans="1:49" hidden="1" x14ac:dyDescent="0.25">
      <c r="A271" t="str">
        <f>'Kullanılan gübre'!A271</f>
        <v>YI</v>
      </c>
      <c r="B271" t="str">
        <f>'Kullanılan gübre'!B271</f>
        <v>TOKAT</v>
      </c>
      <c r="C271" t="str">
        <f>'Kullanılan gübre'!C271</f>
        <v>MERKEZ</v>
      </c>
      <c r="D271">
        <f>'Kullanılan gübre'!D271</f>
        <v>2006</v>
      </c>
      <c r="E271">
        <f>'Kullanılan gübre'!E271*'Gübre oranlar'!H$2</f>
        <v>68.8065</v>
      </c>
      <c r="F271">
        <f>'Kullanılan gübre'!F271*'Gübre oranlar'!I$2</f>
        <v>442.20800000000003</v>
      </c>
      <c r="G271">
        <f>'Kullanılan gübre'!G271*'Gübre oranlar'!J$2</f>
        <v>763.10849999999994</v>
      </c>
      <c r="H271">
        <f>'Kullanılan gübre'!H271*'Gübre oranlar'!K$2</f>
        <v>1168.952</v>
      </c>
      <c r="I271">
        <f>'Kullanılan gübre'!I271*'Gübre oranlar'!L$2</f>
        <v>0</v>
      </c>
      <c r="J271">
        <f>'Kullanılan gübre'!J271*'Gübre oranlar'!M$2</f>
        <v>329.67</v>
      </c>
      <c r="K271">
        <f>'Kullanılan gübre'!K271*'Gübre oranlar'!N$2</f>
        <v>76.58</v>
      </c>
      <c r="L271">
        <f>'Kullanılan gübre'!L271*'Gübre oranlar'!O$2</f>
        <v>67.158000000000001</v>
      </c>
      <c r="M271">
        <f>'Kullanılan gübre'!M271*'Gübre oranlar'!P$2</f>
        <v>25.62</v>
      </c>
      <c r="N271">
        <f>'Kullanılan gübre'!N271*'Gübre oranlar'!Q$2</f>
        <v>42.140999999999998</v>
      </c>
      <c r="O271">
        <f>'Kullanılan gübre'!O271*'Gübre oranlar'!R$2</f>
        <v>0</v>
      </c>
      <c r="P271">
        <f>'Kullanılan gübre'!P271*'Gübre oranlar'!S$2</f>
        <v>0</v>
      </c>
      <c r="Q271">
        <f>'Kullanılan gübre'!Q271*'Gübre oranlar'!T$2</f>
        <v>45.222000000000001</v>
      </c>
      <c r="R271">
        <f>'Kullanılan gübre'!R271*'Gübre oranlar'!U$2</f>
        <v>0</v>
      </c>
      <c r="S271">
        <f>'Kullanılan gübre'!S271*'Gübre oranlar'!V$2</f>
        <v>0</v>
      </c>
      <c r="T271">
        <f>'Kullanılan gübre'!T271*'Gübre oranlar'!W$2</f>
        <v>0</v>
      </c>
      <c r="U271">
        <f>'Kullanılan gübre'!U271*'Gübre oranlar'!X$2</f>
        <v>0</v>
      </c>
      <c r="V271">
        <f>'Kullanılan gübre'!V271*'Gübre oranlar'!Y$2</f>
        <v>0</v>
      </c>
      <c r="W271">
        <f>'Kullanılan gübre'!W271*'Gübre oranlar'!Z$2</f>
        <v>0</v>
      </c>
      <c r="X271">
        <f>'Kullanılan gübre'!X271*'Gübre oranlar'!AA$2</f>
        <v>0</v>
      </c>
      <c r="Y271">
        <f>'Kullanılan gübre'!Y271*'Gübre oranlar'!AB$2</f>
        <v>0</v>
      </c>
      <c r="Z271">
        <f>'Kullanılan gübre'!Z271*'Gübre oranlar'!AC$2</f>
        <v>0</v>
      </c>
      <c r="AA271">
        <f>'Kullanılan gübre'!AA271*'Gübre oranlar'!AD$2</f>
        <v>0</v>
      </c>
      <c r="AB271">
        <f>'Kullanılan gübre'!AB271*'Gübre oranlar'!AE$2</f>
        <v>0</v>
      </c>
      <c r="AC271">
        <f>'Kullanılan gübre'!AC271*'Gübre oranlar'!AF$2</f>
        <v>0</v>
      </c>
      <c r="AD271">
        <f>'Kullanılan gübre'!AD271*'Gübre oranlar'!AG$2</f>
        <v>0</v>
      </c>
      <c r="AE271">
        <f>'Kullanılan gübre'!AE271*'Gübre oranlar'!AH$2</f>
        <v>0</v>
      </c>
      <c r="AF271">
        <f>'Kullanılan gübre'!AF271*'Gübre oranlar'!AI$2</f>
        <v>0</v>
      </c>
      <c r="AG271">
        <f>'Kullanılan gübre'!AG271*'Gübre oranlar'!AJ$2</f>
        <v>0</v>
      </c>
      <c r="AH271">
        <f>'Kullanılan gübre'!AH271*'Gübre oranlar'!AK$2</f>
        <v>0</v>
      </c>
      <c r="AI271">
        <f>'Kullanılan gübre'!AI271*'Gübre oranlar'!AL$2</f>
        <v>0</v>
      </c>
      <c r="AJ271">
        <f>'Kullanılan gübre'!AJ271*'Gübre oranlar'!AM$2</f>
        <v>0</v>
      </c>
      <c r="AK271">
        <f>'Kullanılan gübre'!AK271*'Gübre oranlar'!AN$2</f>
        <v>0</v>
      </c>
      <c r="AL271">
        <f>'Kullanılan gübre'!AL271*'Gübre oranlar'!AO$2</f>
        <v>0</v>
      </c>
      <c r="AM271">
        <f>'Kullanılan gübre'!AM271*'Gübre oranlar'!AP$2</f>
        <v>0</v>
      </c>
      <c r="AN271">
        <f>'Kullanılan gübre'!AN271*'Gübre oranlar'!AQ$2</f>
        <v>0</v>
      </c>
      <c r="AO271">
        <f>'Kullanılan gübre'!AO271*'Gübre oranlar'!AR$2</f>
        <v>0</v>
      </c>
      <c r="AP271">
        <f>'Kullanılan gübre'!AP271*'Gübre oranlar'!AS$2</f>
        <v>0</v>
      </c>
      <c r="AQ271">
        <f>'Kullanılan gübre'!AQ271*'Gübre oranlar'!AT$2</f>
        <v>0</v>
      </c>
      <c r="AR271">
        <f>'Kullanılan gübre'!AR271*'Gübre oranlar'!AU$2</f>
        <v>0</v>
      </c>
      <c r="AS271">
        <f>'Kullanılan gübre'!AS271*'Gübre oranlar'!AV$2</f>
        <v>0</v>
      </c>
      <c r="AT271">
        <f>'Kullanılan gübre'!AT271*'Gübre oranlar'!AW$2</f>
        <v>0</v>
      </c>
      <c r="AU271">
        <f>'Kullanılan gübre'!AU271*'Gübre oranlar'!AX$2</f>
        <v>0</v>
      </c>
      <c r="AV271">
        <f>'Kullanılan gübre'!AV271*'Gübre oranlar'!AY$2</f>
        <v>0</v>
      </c>
      <c r="AW271">
        <f t="shared" si="4"/>
        <v>3029.4659999999999</v>
      </c>
    </row>
    <row r="272" spans="1:49" hidden="1" x14ac:dyDescent="0.25">
      <c r="A272" t="str">
        <f>'Kullanılan gübre'!A272</f>
        <v>YI</v>
      </c>
      <c r="B272" t="str">
        <f>'Kullanılan gübre'!B272</f>
        <v>TOKAT</v>
      </c>
      <c r="C272" t="str">
        <f>'Kullanılan gübre'!C272</f>
        <v>ALMUS</v>
      </c>
      <c r="D272">
        <f>'Kullanılan gübre'!D272</f>
        <v>2006</v>
      </c>
      <c r="E272">
        <f>'Kullanılan gübre'!E272*'Gübre oranlar'!H$2</f>
        <v>0</v>
      </c>
      <c r="F272">
        <f>'Kullanılan gübre'!F272*'Gübre oranlar'!I$2</f>
        <v>17.329000000000001</v>
      </c>
      <c r="G272">
        <f>'Kullanılan gübre'!G272*'Gübre oranlar'!J$2</f>
        <v>87.235500000000016</v>
      </c>
      <c r="H272">
        <f>'Kullanılan gübre'!H272*'Gübre oranlar'!K$2</f>
        <v>67.251999999999995</v>
      </c>
      <c r="I272">
        <f>'Kullanılan gübre'!I272*'Gübre oranlar'!L$2</f>
        <v>0</v>
      </c>
      <c r="J272">
        <f>'Kullanılan gübre'!J272*'Gübre oranlar'!M$2</f>
        <v>25.344000000000001</v>
      </c>
      <c r="K272">
        <f>'Kullanılan gübre'!K272*'Gübre oranlar'!N$2</f>
        <v>0</v>
      </c>
      <c r="L272">
        <f>'Kullanılan gübre'!L272*'Gübre oranlar'!O$2</f>
        <v>0</v>
      </c>
      <c r="M272">
        <f>'Kullanılan gübre'!M272*'Gübre oranlar'!P$2</f>
        <v>0</v>
      </c>
      <c r="N272">
        <f>'Kullanılan gübre'!N272*'Gübre oranlar'!Q$2</f>
        <v>0</v>
      </c>
      <c r="O272">
        <f>'Kullanılan gübre'!O272*'Gübre oranlar'!R$2</f>
        <v>0</v>
      </c>
      <c r="P272">
        <f>'Kullanılan gübre'!P272*'Gübre oranlar'!S$2</f>
        <v>0</v>
      </c>
      <c r="Q272">
        <f>'Kullanılan gübre'!Q272*'Gübre oranlar'!T$2</f>
        <v>0</v>
      </c>
      <c r="R272">
        <f>'Kullanılan gübre'!R272*'Gübre oranlar'!U$2</f>
        <v>0</v>
      </c>
      <c r="S272">
        <f>'Kullanılan gübre'!S272*'Gübre oranlar'!V$2</f>
        <v>0</v>
      </c>
      <c r="T272">
        <f>'Kullanılan gübre'!T272*'Gübre oranlar'!W$2</f>
        <v>0</v>
      </c>
      <c r="U272">
        <f>'Kullanılan gübre'!U272*'Gübre oranlar'!X$2</f>
        <v>0</v>
      </c>
      <c r="V272">
        <f>'Kullanılan gübre'!V272*'Gübre oranlar'!Y$2</f>
        <v>0</v>
      </c>
      <c r="W272">
        <f>'Kullanılan gübre'!W272*'Gübre oranlar'!Z$2</f>
        <v>0</v>
      </c>
      <c r="X272">
        <f>'Kullanılan gübre'!X272*'Gübre oranlar'!AA$2</f>
        <v>0</v>
      </c>
      <c r="Y272">
        <f>'Kullanılan gübre'!Y272*'Gübre oranlar'!AB$2</f>
        <v>0</v>
      </c>
      <c r="Z272">
        <f>'Kullanılan gübre'!Z272*'Gübre oranlar'!AC$2</f>
        <v>0</v>
      </c>
      <c r="AA272">
        <f>'Kullanılan gübre'!AA272*'Gübre oranlar'!AD$2</f>
        <v>0</v>
      </c>
      <c r="AB272">
        <f>'Kullanılan gübre'!AB272*'Gübre oranlar'!AE$2</f>
        <v>0</v>
      </c>
      <c r="AC272">
        <f>'Kullanılan gübre'!AC272*'Gübre oranlar'!AF$2</f>
        <v>0</v>
      </c>
      <c r="AD272">
        <f>'Kullanılan gübre'!AD272*'Gübre oranlar'!AG$2</f>
        <v>0</v>
      </c>
      <c r="AE272">
        <f>'Kullanılan gübre'!AE272*'Gübre oranlar'!AH$2</f>
        <v>0</v>
      </c>
      <c r="AF272">
        <f>'Kullanılan gübre'!AF272*'Gübre oranlar'!AI$2</f>
        <v>0</v>
      </c>
      <c r="AG272">
        <f>'Kullanılan gübre'!AG272*'Gübre oranlar'!AJ$2</f>
        <v>0</v>
      </c>
      <c r="AH272">
        <f>'Kullanılan gübre'!AH272*'Gübre oranlar'!AK$2</f>
        <v>0</v>
      </c>
      <c r="AI272">
        <f>'Kullanılan gübre'!AI272*'Gübre oranlar'!AL$2</f>
        <v>0</v>
      </c>
      <c r="AJ272">
        <f>'Kullanılan gübre'!AJ272*'Gübre oranlar'!AM$2</f>
        <v>0</v>
      </c>
      <c r="AK272">
        <f>'Kullanılan gübre'!AK272*'Gübre oranlar'!AN$2</f>
        <v>0</v>
      </c>
      <c r="AL272">
        <f>'Kullanılan gübre'!AL272*'Gübre oranlar'!AO$2</f>
        <v>0</v>
      </c>
      <c r="AM272">
        <f>'Kullanılan gübre'!AM272*'Gübre oranlar'!AP$2</f>
        <v>0</v>
      </c>
      <c r="AN272">
        <f>'Kullanılan gübre'!AN272*'Gübre oranlar'!AQ$2</f>
        <v>0</v>
      </c>
      <c r="AO272">
        <f>'Kullanılan gübre'!AO272*'Gübre oranlar'!AR$2</f>
        <v>0</v>
      </c>
      <c r="AP272">
        <f>'Kullanılan gübre'!AP272*'Gübre oranlar'!AS$2</f>
        <v>0</v>
      </c>
      <c r="AQ272">
        <f>'Kullanılan gübre'!AQ272*'Gübre oranlar'!AT$2</f>
        <v>0</v>
      </c>
      <c r="AR272">
        <f>'Kullanılan gübre'!AR272*'Gübre oranlar'!AU$2</f>
        <v>0</v>
      </c>
      <c r="AS272">
        <f>'Kullanılan gübre'!AS272*'Gübre oranlar'!AV$2</f>
        <v>0</v>
      </c>
      <c r="AT272">
        <f>'Kullanılan gübre'!AT272*'Gübre oranlar'!AW$2</f>
        <v>0</v>
      </c>
      <c r="AU272">
        <f>'Kullanılan gübre'!AU272*'Gübre oranlar'!AX$2</f>
        <v>0</v>
      </c>
      <c r="AV272">
        <f>'Kullanılan gübre'!AV272*'Gübre oranlar'!AY$2</f>
        <v>0</v>
      </c>
      <c r="AW272">
        <f t="shared" si="4"/>
        <v>197.16050000000001</v>
      </c>
    </row>
    <row r="273" spans="1:49" hidden="1" x14ac:dyDescent="0.25">
      <c r="A273" t="str">
        <f>'Kullanılan gübre'!A273</f>
        <v>YI</v>
      </c>
      <c r="B273" t="str">
        <f>'Kullanılan gübre'!B273</f>
        <v>TOKAT</v>
      </c>
      <c r="C273" t="str">
        <f>'Kullanılan gübre'!C273</f>
        <v>ARTOVA</v>
      </c>
      <c r="D273">
        <f>'Kullanılan gübre'!D273</f>
        <v>2006</v>
      </c>
      <c r="E273">
        <f>'Kullanılan gübre'!E273*'Gübre oranlar'!H$2</f>
        <v>94.478999999999985</v>
      </c>
      <c r="F273">
        <f>'Kullanılan gübre'!F273*'Gübre oranlar'!I$2</f>
        <v>21.32</v>
      </c>
      <c r="G273">
        <f>'Kullanılan gübre'!G273*'Gübre oranlar'!J$2</f>
        <v>204.87390000000002</v>
      </c>
      <c r="H273">
        <f>'Kullanılan gübre'!H273*'Gübre oranlar'!K$2</f>
        <v>126.86800000000001</v>
      </c>
      <c r="I273">
        <f>'Kullanılan gübre'!I273*'Gübre oranlar'!L$2</f>
        <v>0</v>
      </c>
      <c r="J273">
        <f>'Kullanılan gübre'!J273*'Gübre oranlar'!M$2</f>
        <v>31.157999999999998</v>
      </c>
      <c r="K273">
        <f>'Kullanılan gübre'!K273*'Gübre oranlar'!N$2</f>
        <v>27.110000000000003</v>
      </c>
      <c r="L273">
        <f>'Kullanılan gübre'!L273*'Gübre oranlar'!O$2</f>
        <v>3.69</v>
      </c>
      <c r="M273">
        <f>'Kullanılan gübre'!M273*'Gübre oranlar'!P$2</f>
        <v>0</v>
      </c>
      <c r="N273">
        <f>'Kullanılan gübre'!N273*'Gübre oranlar'!Q$2</f>
        <v>0</v>
      </c>
      <c r="O273">
        <f>'Kullanılan gübre'!O273*'Gübre oranlar'!R$2</f>
        <v>0</v>
      </c>
      <c r="P273">
        <f>'Kullanılan gübre'!P273*'Gübre oranlar'!S$2</f>
        <v>0</v>
      </c>
      <c r="Q273">
        <f>'Kullanılan gübre'!Q273*'Gübre oranlar'!T$2</f>
        <v>0</v>
      </c>
      <c r="R273">
        <f>'Kullanılan gübre'!R273*'Gübre oranlar'!U$2</f>
        <v>0</v>
      </c>
      <c r="S273">
        <f>'Kullanılan gübre'!S273*'Gübre oranlar'!V$2</f>
        <v>0</v>
      </c>
      <c r="T273">
        <f>'Kullanılan gübre'!T273*'Gübre oranlar'!W$2</f>
        <v>0</v>
      </c>
      <c r="U273">
        <f>'Kullanılan gübre'!U273*'Gübre oranlar'!X$2</f>
        <v>0</v>
      </c>
      <c r="V273">
        <f>'Kullanılan gübre'!V273*'Gübre oranlar'!Y$2</f>
        <v>0</v>
      </c>
      <c r="W273">
        <f>'Kullanılan gübre'!W273*'Gübre oranlar'!Z$2</f>
        <v>0</v>
      </c>
      <c r="X273">
        <f>'Kullanılan gübre'!X273*'Gübre oranlar'!AA$2</f>
        <v>0</v>
      </c>
      <c r="Y273">
        <f>'Kullanılan gübre'!Y273*'Gübre oranlar'!AB$2</f>
        <v>0</v>
      </c>
      <c r="Z273">
        <f>'Kullanılan gübre'!Z273*'Gübre oranlar'!AC$2</f>
        <v>0</v>
      </c>
      <c r="AA273">
        <f>'Kullanılan gübre'!AA273*'Gübre oranlar'!AD$2</f>
        <v>0</v>
      </c>
      <c r="AB273">
        <f>'Kullanılan gübre'!AB273*'Gübre oranlar'!AE$2</f>
        <v>0</v>
      </c>
      <c r="AC273">
        <f>'Kullanılan gübre'!AC273*'Gübre oranlar'!AF$2</f>
        <v>0</v>
      </c>
      <c r="AD273">
        <f>'Kullanılan gübre'!AD273*'Gübre oranlar'!AG$2</f>
        <v>0</v>
      </c>
      <c r="AE273">
        <f>'Kullanılan gübre'!AE273*'Gübre oranlar'!AH$2</f>
        <v>0</v>
      </c>
      <c r="AF273">
        <f>'Kullanılan gübre'!AF273*'Gübre oranlar'!AI$2</f>
        <v>0</v>
      </c>
      <c r="AG273">
        <f>'Kullanılan gübre'!AG273*'Gübre oranlar'!AJ$2</f>
        <v>0</v>
      </c>
      <c r="AH273">
        <f>'Kullanılan gübre'!AH273*'Gübre oranlar'!AK$2</f>
        <v>0</v>
      </c>
      <c r="AI273">
        <f>'Kullanılan gübre'!AI273*'Gübre oranlar'!AL$2</f>
        <v>0</v>
      </c>
      <c r="AJ273">
        <f>'Kullanılan gübre'!AJ273*'Gübre oranlar'!AM$2</f>
        <v>0</v>
      </c>
      <c r="AK273">
        <f>'Kullanılan gübre'!AK273*'Gübre oranlar'!AN$2</f>
        <v>0</v>
      </c>
      <c r="AL273">
        <f>'Kullanılan gübre'!AL273*'Gübre oranlar'!AO$2</f>
        <v>0</v>
      </c>
      <c r="AM273">
        <f>'Kullanılan gübre'!AM273*'Gübre oranlar'!AP$2</f>
        <v>0</v>
      </c>
      <c r="AN273">
        <f>'Kullanılan gübre'!AN273*'Gübre oranlar'!AQ$2</f>
        <v>0</v>
      </c>
      <c r="AO273">
        <f>'Kullanılan gübre'!AO273*'Gübre oranlar'!AR$2</f>
        <v>0</v>
      </c>
      <c r="AP273">
        <f>'Kullanılan gübre'!AP273*'Gübre oranlar'!AS$2</f>
        <v>0</v>
      </c>
      <c r="AQ273">
        <f>'Kullanılan gübre'!AQ273*'Gübre oranlar'!AT$2</f>
        <v>0</v>
      </c>
      <c r="AR273">
        <f>'Kullanılan gübre'!AR273*'Gübre oranlar'!AU$2</f>
        <v>0</v>
      </c>
      <c r="AS273">
        <f>'Kullanılan gübre'!AS273*'Gübre oranlar'!AV$2</f>
        <v>0</v>
      </c>
      <c r="AT273">
        <f>'Kullanılan gübre'!AT273*'Gübre oranlar'!AW$2</f>
        <v>0</v>
      </c>
      <c r="AU273">
        <f>'Kullanılan gübre'!AU273*'Gübre oranlar'!AX$2</f>
        <v>0</v>
      </c>
      <c r="AV273">
        <f>'Kullanılan gübre'!AV273*'Gübre oranlar'!AY$2</f>
        <v>0</v>
      </c>
      <c r="AW273">
        <f t="shared" si="4"/>
        <v>509.49890000000005</v>
      </c>
    </row>
    <row r="274" spans="1:49" hidden="1" x14ac:dyDescent="0.25">
      <c r="A274" t="str">
        <f>'Kullanılan gübre'!A274</f>
        <v>YI</v>
      </c>
      <c r="B274" t="str">
        <f>'Kullanılan gübre'!B274</f>
        <v>TOKAT</v>
      </c>
      <c r="C274" t="str">
        <f>'Kullanılan gübre'!C274</f>
        <v>BASCIFTLIK</v>
      </c>
      <c r="D274">
        <f>'Kullanılan gübre'!D274</f>
        <v>2006</v>
      </c>
      <c r="E274">
        <f>'Kullanılan gübre'!E274*'Gübre oranlar'!H$2</f>
        <v>3.9899999999999998</v>
      </c>
      <c r="F274">
        <f>'Kullanılan gübre'!F274*'Gübre oranlar'!I$2</f>
        <v>0</v>
      </c>
      <c r="G274">
        <f>'Kullanılan gübre'!G274*'Gübre oranlar'!J$2</f>
        <v>6.5010000000000003</v>
      </c>
      <c r="H274">
        <f>'Kullanılan gübre'!H274*'Gübre oranlar'!K$2</f>
        <v>0.23</v>
      </c>
      <c r="I274">
        <f>'Kullanılan gübre'!I274*'Gübre oranlar'!L$2</f>
        <v>0</v>
      </c>
      <c r="J274">
        <f>'Kullanılan gübre'!J274*'Gübre oranlar'!M$2</f>
        <v>1.3320000000000001</v>
      </c>
      <c r="K274">
        <f>'Kullanılan gübre'!K274*'Gübre oranlar'!N$2</f>
        <v>0</v>
      </c>
      <c r="L274">
        <f>'Kullanılan gübre'!L274*'Gübre oranlar'!O$2</f>
        <v>0</v>
      </c>
      <c r="M274">
        <f>'Kullanılan gübre'!M274*'Gübre oranlar'!P$2</f>
        <v>0</v>
      </c>
      <c r="N274">
        <f>'Kullanılan gübre'!N274*'Gübre oranlar'!Q$2</f>
        <v>0</v>
      </c>
      <c r="O274">
        <f>'Kullanılan gübre'!O274*'Gübre oranlar'!R$2</f>
        <v>0</v>
      </c>
      <c r="P274">
        <f>'Kullanılan gübre'!P274*'Gübre oranlar'!S$2</f>
        <v>0</v>
      </c>
      <c r="Q274">
        <f>'Kullanılan gübre'!Q274*'Gübre oranlar'!T$2</f>
        <v>0</v>
      </c>
      <c r="R274">
        <f>'Kullanılan gübre'!R274*'Gübre oranlar'!U$2</f>
        <v>0</v>
      </c>
      <c r="S274">
        <f>'Kullanılan gübre'!S274*'Gübre oranlar'!V$2</f>
        <v>0</v>
      </c>
      <c r="T274">
        <f>'Kullanılan gübre'!T274*'Gübre oranlar'!W$2</f>
        <v>0</v>
      </c>
      <c r="U274">
        <f>'Kullanılan gübre'!U274*'Gübre oranlar'!X$2</f>
        <v>0</v>
      </c>
      <c r="V274">
        <f>'Kullanılan gübre'!V274*'Gübre oranlar'!Y$2</f>
        <v>0</v>
      </c>
      <c r="W274">
        <f>'Kullanılan gübre'!W274*'Gübre oranlar'!Z$2</f>
        <v>0</v>
      </c>
      <c r="X274">
        <f>'Kullanılan gübre'!X274*'Gübre oranlar'!AA$2</f>
        <v>0</v>
      </c>
      <c r="Y274">
        <f>'Kullanılan gübre'!Y274*'Gübre oranlar'!AB$2</f>
        <v>0</v>
      </c>
      <c r="Z274">
        <f>'Kullanılan gübre'!Z274*'Gübre oranlar'!AC$2</f>
        <v>0</v>
      </c>
      <c r="AA274">
        <f>'Kullanılan gübre'!AA274*'Gübre oranlar'!AD$2</f>
        <v>0</v>
      </c>
      <c r="AB274">
        <f>'Kullanılan gübre'!AB274*'Gübre oranlar'!AE$2</f>
        <v>0</v>
      </c>
      <c r="AC274">
        <f>'Kullanılan gübre'!AC274*'Gübre oranlar'!AF$2</f>
        <v>0</v>
      </c>
      <c r="AD274">
        <f>'Kullanılan gübre'!AD274*'Gübre oranlar'!AG$2</f>
        <v>0</v>
      </c>
      <c r="AE274">
        <f>'Kullanılan gübre'!AE274*'Gübre oranlar'!AH$2</f>
        <v>0</v>
      </c>
      <c r="AF274">
        <f>'Kullanılan gübre'!AF274*'Gübre oranlar'!AI$2</f>
        <v>0</v>
      </c>
      <c r="AG274">
        <f>'Kullanılan gübre'!AG274*'Gübre oranlar'!AJ$2</f>
        <v>0</v>
      </c>
      <c r="AH274">
        <f>'Kullanılan gübre'!AH274*'Gübre oranlar'!AK$2</f>
        <v>0</v>
      </c>
      <c r="AI274">
        <f>'Kullanılan gübre'!AI274*'Gübre oranlar'!AL$2</f>
        <v>0</v>
      </c>
      <c r="AJ274">
        <f>'Kullanılan gübre'!AJ274*'Gübre oranlar'!AM$2</f>
        <v>0</v>
      </c>
      <c r="AK274">
        <f>'Kullanılan gübre'!AK274*'Gübre oranlar'!AN$2</f>
        <v>0</v>
      </c>
      <c r="AL274">
        <f>'Kullanılan gübre'!AL274*'Gübre oranlar'!AO$2</f>
        <v>0</v>
      </c>
      <c r="AM274">
        <f>'Kullanılan gübre'!AM274*'Gübre oranlar'!AP$2</f>
        <v>0</v>
      </c>
      <c r="AN274">
        <f>'Kullanılan gübre'!AN274*'Gübre oranlar'!AQ$2</f>
        <v>0</v>
      </c>
      <c r="AO274">
        <f>'Kullanılan gübre'!AO274*'Gübre oranlar'!AR$2</f>
        <v>0</v>
      </c>
      <c r="AP274">
        <f>'Kullanılan gübre'!AP274*'Gübre oranlar'!AS$2</f>
        <v>0</v>
      </c>
      <c r="AQ274">
        <f>'Kullanılan gübre'!AQ274*'Gübre oranlar'!AT$2</f>
        <v>0</v>
      </c>
      <c r="AR274">
        <f>'Kullanılan gübre'!AR274*'Gübre oranlar'!AU$2</f>
        <v>0</v>
      </c>
      <c r="AS274">
        <f>'Kullanılan gübre'!AS274*'Gübre oranlar'!AV$2</f>
        <v>0</v>
      </c>
      <c r="AT274">
        <f>'Kullanılan gübre'!AT274*'Gübre oranlar'!AW$2</f>
        <v>0</v>
      </c>
      <c r="AU274">
        <f>'Kullanılan gübre'!AU274*'Gübre oranlar'!AX$2</f>
        <v>0</v>
      </c>
      <c r="AV274">
        <f>'Kullanılan gübre'!AV274*'Gübre oranlar'!AY$2</f>
        <v>0</v>
      </c>
      <c r="AW274">
        <f t="shared" si="4"/>
        <v>12.053000000000001</v>
      </c>
    </row>
    <row r="275" spans="1:49" hidden="1" x14ac:dyDescent="0.25">
      <c r="A275" t="str">
        <f>'Kullanılan gübre'!A275</f>
        <v>YI</v>
      </c>
      <c r="B275" t="str">
        <f>'Kullanılan gübre'!B275</f>
        <v>TOKAT</v>
      </c>
      <c r="C275" t="str">
        <f>'Kullanılan gübre'!C275</f>
        <v>ERBAA</v>
      </c>
      <c r="D275">
        <f>'Kullanılan gübre'!D275</f>
        <v>2006</v>
      </c>
      <c r="E275">
        <f>'Kullanılan gübre'!E275*'Gübre oranlar'!H$2</f>
        <v>17.009999999999998</v>
      </c>
      <c r="F275">
        <f>'Kullanılan gübre'!F275*'Gübre oranlar'!I$2</f>
        <v>410.37099999999998</v>
      </c>
      <c r="G275">
        <f>'Kullanılan gübre'!G275*'Gübre oranlar'!J$2</f>
        <v>1189.4684999999999</v>
      </c>
      <c r="H275">
        <f>'Kullanılan gübre'!H275*'Gübre oranlar'!K$2</f>
        <v>1040.29</v>
      </c>
      <c r="I275">
        <f>'Kullanılan gübre'!I275*'Gübre oranlar'!L$2</f>
        <v>0</v>
      </c>
      <c r="J275">
        <f>'Kullanılan gübre'!J275*'Gübre oranlar'!M$2</f>
        <v>165.078</v>
      </c>
      <c r="K275">
        <f>'Kullanılan gübre'!K275*'Gübre oranlar'!N$2</f>
        <v>196.89000000000001</v>
      </c>
      <c r="L275">
        <f>'Kullanılan gübre'!L275*'Gübre oranlar'!O$2</f>
        <v>0</v>
      </c>
      <c r="M275">
        <f>'Kullanılan gübre'!M275*'Gübre oranlar'!P$2</f>
        <v>190.11750000000001</v>
      </c>
      <c r="N275">
        <f>'Kullanılan gübre'!N275*'Gübre oranlar'!Q$2</f>
        <v>0</v>
      </c>
      <c r="O275">
        <f>'Kullanılan gübre'!O275*'Gübre oranlar'!R$2</f>
        <v>0</v>
      </c>
      <c r="P275">
        <f>'Kullanılan gübre'!P275*'Gübre oranlar'!S$2</f>
        <v>0</v>
      </c>
      <c r="Q275">
        <f>'Kullanılan gübre'!Q275*'Gübre oranlar'!T$2</f>
        <v>0</v>
      </c>
      <c r="R275">
        <f>'Kullanılan gübre'!R275*'Gübre oranlar'!U$2</f>
        <v>0</v>
      </c>
      <c r="S275">
        <f>'Kullanılan gübre'!S275*'Gübre oranlar'!V$2</f>
        <v>0</v>
      </c>
      <c r="T275">
        <f>'Kullanılan gübre'!T275*'Gübre oranlar'!W$2</f>
        <v>0</v>
      </c>
      <c r="U275">
        <f>'Kullanılan gübre'!U275*'Gübre oranlar'!X$2</f>
        <v>0</v>
      </c>
      <c r="V275">
        <f>'Kullanılan gübre'!V275*'Gübre oranlar'!Y$2</f>
        <v>0</v>
      </c>
      <c r="W275">
        <f>'Kullanılan gübre'!W275*'Gübre oranlar'!Z$2</f>
        <v>0</v>
      </c>
      <c r="X275">
        <f>'Kullanılan gübre'!X275*'Gübre oranlar'!AA$2</f>
        <v>0</v>
      </c>
      <c r="Y275">
        <f>'Kullanılan gübre'!Y275*'Gübre oranlar'!AB$2</f>
        <v>0</v>
      </c>
      <c r="Z275">
        <f>'Kullanılan gübre'!Z275*'Gübre oranlar'!AC$2</f>
        <v>0</v>
      </c>
      <c r="AA275">
        <f>'Kullanılan gübre'!AA275*'Gübre oranlar'!AD$2</f>
        <v>0</v>
      </c>
      <c r="AB275">
        <f>'Kullanılan gübre'!AB275*'Gübre oranlar'!AE$2</f>
        <v>0</v>
      </c>
      <c r="AC275">
        <f>'Kullanılan gübre'!AC275*'Gübre oranlar'!AF$2</f>
        <v>0</v>
      </c>
      <c r="AD275">
        <f>'Kullanılan gübre'!AD275*'Gübre oranlar'!AG$2</f>
        <v>0</v>
      </c>
      <c r="AE275">
        <f>'Kullanılan gübre'!AE275*'Gübre oranlar'!AH$2</f>
        <v>0</v>
      </c>
      <c r="AF275">
        <f>'Kullanılan gübre'!AF275*'Gübre oranlar'!AI$2</f>
        <v>0</v>
      </c>
      <c r="AG275">
        <f>'Kullanılan gübre'!AG275*'Gübre oranlar'!AJ$2</f>
        <v>0</v>
      </c>
      <c r="AH275">
        <f>'Kullanılan gübre'!AH275*'Gübre oranlar'!AK$2</f>
        <v>0</v>
      </c>
      <c r="AI275">
        <f>'Kullanılan gübre'!AI275*'Gübre oranlar'!AL$2</f>
        <v>0</v>
      </c>
      <c r="AJ275">
        <f>'Kullanılan gübre'!AJ275*'Gübre oranlar'!AM$2</f>
        <v>0</v>
      </c>
      <c r="AK275">
        <f>'Kullanılan gübre'!AK275*'Gübre oranlar'!AN$2</f>
        <v>0</v>
      </c>
      <c r="AL275">
        <f>'Kullanılan gübre'!AL275*'Gübre oranlar'!AO$2</f>
        <v>0</v>
      </c>
      <c r="AM275">
        <f>'Kullanılan gübre'!AM275*'Gübre oranlar'!AP$2</f>
        <v>0</v>
      </c>
      <c r="AN275">
        <f>'Kullanılan gübre'!AN275*'Gübre oranlar'!AQ$2</f>
        <v>0</v>
      </c>
      <c r="AO275">
        <f>'Kullanılan gübre'!AO275*'Gübre oranlar'!AR$2</f>
        <v>0</v>
      </c>
      <c r="AP275">
        <f>'Kullanılan gübre'!AP275*'Gübre oranlar'!AS$2</f>
        <v>0</v>
      </c>
      <c r="AQ275">
        <f>'Kullanılan gübre'!AQ275*'Gübre oranlar'!AT$2</f>
        <v>0</v>
      </c>
      <c r="AR275">
        <f>'Kullanılan gübre'!AR275*'Gübre oranlar'!AU$2</f>
        <v>0</v>
      </c>
      <c r="AS275">
        <f>'Kullanılan gübre'!AS275*'Gübre oranlar'!AV$2</f>
        <v>0</v>
      </c>
      <c r="AT275">
        <f>'Kullanılan gübre'!AT275*'Gübre oranlar'!AW$2</f>
        <v>0</v>
      </c>
      <c r="AU275">
        <f>'Kullanılan gübre'!AU275*'Gübre oranlar'!AX$2</f>
        <v>0</v>
      </c>
      <c r="AV275">
        <f>'Kullanılan gübre'!AV275*'Gübre oranlar'!AY$2</f>
        <v>0</v>
      </c>
      <c r="AW275">
        <f t="shared" si="4"/>
        <v>3209.2249999999995</v>
      </c>
    </row>
    <row r="276" spans="1:49" hidden="1" x14ac:dyDescent="0.25">
      <c r="A276" t="str">
        <f>'Kullanılan gübre'!A276</f>
        <v>YI</v>
      </c>
      <c r="B276" t="str">
        <f>'Kullanılan gübre'!B276</f>
        <v>TOKAT</v>
      </c>
      <c r="C276" t="str">
        <f>'Kullanılan gübre'!C276</f>
        <v>NIKSAR</v>
      </c>
      <c r="D276">
        <f>'Kullanılan gübre'!D276</f>
        <v>2006</v>
      </c>
      <c r="E276">
        <f>'Kullanılan gübre'!E276*'Gübre oranlar'!H$2</f>
        <v>5.7960000000000003</v>
      </c>
      <c r="F276">
        <f>'Kullanılan gübre'!F276*'Gübre oranlar'!I$2</f>
        <v>40.027000000000001</v>
      </c>
      <c r="G276">
        <f>'Kullanılan gübre'!G276*'Gübre oranlar'!J$2</f>
        <v>222.17250000000001</v>
      </c>
      <c r="H276">
        <f>'Kullanılan gübre'!H276*'Gübre oranlar'!K$2</f>
        <v>180.48100000000002</v>
      </c>
      <c r="I276">
        <f>'Kullanılan gübre'!I276*'Gübre oranlar'!L$2</f>
        <v>0</v>
      </c>
      <c r="J276">
        <f>'Kullanılan gübre'!J276*'Gübre oranlar'!M$2</f>
        <v>103.64399999999999</v>
      </c>
      <c r="K276">
        <f>'Kullanılan gübre'!K276*'Gübre oranlar'!N$2</f>
        <v>94.740000000000009</v>
      </c>
      <c r="L276">
        <f>'Kullanılan gübre'!L276*'Gübre oranlar'!O$2</f>
        <v>0</v>
      </c>
      <c r="M276">
        <f>'Kullanılan gübre'!M276*'Gübre oranlar'!P$2</f>
        <v>36.772500000000001</v>
      </c>
      <c r="N276">
        <f>'Kullanılan gübre'!N276*'Gübre oranlar'!Q$2</f>
        <v>0</v>
      </c>
      <c r="O276">
        <f>'Kullanılan gübre'!O276*'Gübre oranlar'!R$2</f>
        <v>0</v>
      </c>
      <c r="P276">
        <f>'Kullanılan gübre'!P276*'Gübre oranlar'!S$2</f>
        <v>0</v>
      </c>
      <c r="Q276">
        <f>'Kullanılan gübre'!Q276*'Gübre oranlar'!T$2</f>
        <v>0</v>
      </c>
      <c r="R276">
        <f>'Kullanılan gübre'!R276*'Gübre oranlar'!U$2</f>
        <v>0</v>
      </c>
      <c r="S276">
        <f>'Kullanılan gübre'!S276*'Gübre oranlar'!V$2</f>
        <v>0</v>
      </c>
      <c r="T276">
        <f>'Kullanılan gübre'!T276*'Gübre oranlar'!W$2</f>
        <v>0</v>
      </c>
      <c r="U276">
        <f>'Kullanılan gübre'!U276*'Gübre oranlar'!X$2</f>
        <v>0</v>
      </c>
      <c r="V276">
        <f>'Kullanılan gübre'!V276*'Gübre oranlar'!Y$2</f>
        <v>0</v>
      </c>
      <c r="W276">
        <f>'Kullanılan gübre'!W276*'Gübre oranlar'!Z$2</f>
        <v>0</v>
      </c>
      <c r="X276">
        <f>'Kullanılan gübre'!X276*'Gübre oranlar'!AA$2</f>
        <v>0</v>
      </c>
      <c r="Y276">
        <f>'Kullanılan gübre'!Y276*'Gübre oranlar'!AB$2</f>
        <v>0</v>
      </c>
      <c r="Z276">
        <f>'Kullanılan gübre'!Z276*'Gübre oranlar'!AC$2</f>
        <v>0</v>
      </c>
      <c r="AA276">
        <f>'Kullanılan gübre'!AA276*'Gübre oranlar'!AD$2</f>
        <v>0</v>
      </c>
      <c r="AB276">
        <f>'Kullanılan gübre'!AB276*'Gübre oranlar'!AE$2</f>
        <v>0</v>
      </c>
      <c r="AC276">
        <f>'Kullanılan gübre'!AC276*'Gübre oranlar'!AF$2</f>
        <v>0</v>
      </c>
      <c r="AD276">
        <f>'Kullanılan gübre'!AD276*'Gübre oranlar'!AG$2</f>
        <v>0</v>
      </c>
      <c r="AE276">
        <f>'Kullanılan gübre'!AE276*'Gübre oranlar'!AH$2</f>
        <v>0</v>
      </c>
      <c r="AF276">
        <f>'Kullanılan gübre'!AF276*'Gübre oranlar'!AI$2</f>
        <v>0</v>
      </c>
      <c r="AG276">
        <f>'Kullanılan gübre'!AG276*'Gübre oranlar'!AJ$2</f>
        <v>0</v>
      </c>
      <c r="AH276">
        <f>'Kullanılan gübre'!AH276*'Gübre oranlar'!AK$2</f>
        <v>0</v>
      </c>
      <c r="AI276">
        <f>'Kullanılan gübre'!AI276*'Gübre oranlar'!AL$2</f>
        <v>0</v>
      </c>
      <c r="AJ276">
        <f>'Kullanılan gübre'!AJ276*'Gübre oranlar'!AM$2</f>
        <v>0</v>
      </c>
      <c r="AK276">
        <f>'Kullanılan gübre'!AK276*'Gübre oranlar'!AN$2</f>
        <v>0</v>
      </c>
      <c r="AL276">
        <f>'Kullanılan gübre'!AL276*'Gübre oranlar'!AO$2</f>
        <v>0</v>
      </c>
      <c r="AM276">
        <f>'Kullanılan gübre'!AM276*'Gübre oranlar'!AP$2</f>
        <v>0</v>
      </c>
      <c r="AN276">
        <f>'Kullanılan gübre'!AN276*'Gübre oranlar'!AQ$2</f>
        <v>0</v>
      </c>
      <c r="AO276">
        <f>'Kullanılan gübre'!AO276*'Gübre oranlar'!AR$2</f>
        <v>0</v>
      </c>
      <c r="AP276">
        <f>'Kullanılan gübre'!AP276*'Gübre oranlar'!AS$2</f>
        <v>0</v>
      </c>
      <c r="AQ276">
        <f>'Kullanılan gübre'!AQ276*'Gübre oranlar'!AT$2</f>
        <v>0</v>
      </c>
      <c r="AR276">
        <f>'Kullanılan gübre'!AR276*'Gübre oranlar'!AU$2</f>
        <v>0</v>
      </c>
      <c r="AS276">
        <f>'Kullanılan gübre'!AS276*'Gübre oranlar'!AV$2</f>
        <v>0</v>
      </c>
      <c r="AT276">
        <f>'Kullanılan gübre'!AT276*'Gübre oranlar'!AW$2</f>
        <v>0</v>
      </c>
      <c r="AU276">
        <f>'Kullanılan gübre'!AU276*'Gübre oranlar'!AX$2</f>
        <v>0</v>
      </c>
      <c r="AV276">
        <f>'Kullanılan gübre'!AV276*'Gübre oranlar'!AY$2</f>
        <v>0</v>
      </c>
      <c r="AW276">
        <f t="shared" si="4"/>
        <v>683.63300000000004</v>
      </c>
    </row>
    <row r="277" spans="1:49" hidden="1" x14ac:dyDescent="0.25">
      <c r="A277" t="str">
        <f>'Kullanılan gübre'!A277</f>
        <v>YI</v>
      </c>
      <c r="B277" t="str">
        <f>'Kullanılan gübre'!B277</f>
        <v>TOKAT</v>
      </c>
      <c r="C277" t="str">
        <f>'Kullanılan gübre'!C277</f>
        <v>PAZAR</v>
      </c>
      <c r="D277">
        <f>'Kullanılan gübre'!D277</f>
        <v>2006</v>
      </c>
      <c r="E277">
        <f>'Kullanılan gübre'!E277*'Gübre oranlar'!H$2</f>
        <v>3.6225000000000001</v>
      </c>
      <c r="F277">
        <f>'Kullanılan gübre'!F277*'Gübre oranlar'!I$2</f>
        <v>7.9690000000000003</v>
      </c>
      <c r="G277">
        <f>'Kullanılan gübre'!G277*'Gübre oranlar'!J$2</f>
        <v>99.561000000000007</v>
      </c>
      <c r="H277">
        <f>'Kullanılan gübre'!H277*'Gübre oranlar'!K$2</f>
        <v>268.64</v>
      </c>
      <c r="I277">
        <f>'Kullanılan gübre'!I277*'Gübre oranlar'!L$2</f>
        <v>0</v>
      </c>
      <c r="J277">
        <f>'Kullanılan gübre'!J277*'Gübre oranlar'!M$2</f>
        <v>44.675999999999995</v>
      </c>
      <c r="K277">
        <f>'Kullanılan gübre'!K277*'Gübre oranlar'!N$2</f>
        <v>10.840000000000002</v>
      </c>
      <c r="L277">
        <f>'Kullanılan gübre'!L277*'Gübre oranlar'!O$2</f>
        <v>2.37</v>
      </c>
      <c r="M277">
        <f>'Kullanılan gübre'!M277*'Gübre oranlar'!P$2</f>
        <v>3.1875</v>
      </c>
      <c r="N277">
        <f>'Kullanılan gübre'!N277*'Gübre oranlar'!Q$2</f>
        <v>15.705</v>
      </c>
      <c r="O277">
        <f>'Kullanılan gübre'!O277*'Gübre oranlar'!R$2</f>
        <v>0</v>
      </c>
      <c r="P277">
        <f>'Kullanılan gübre'!P277*'Gübre oranlar'!S$2</f>
        <v>0</v>
      </c>
      <c r="Q277">
        <f>'Kullanılan gübre'!Q277*'Gübre oranlar'!T$2</f>
        <v>57.953999999999994</v>
      </c>
      <c r="R277">
        <f>'Kullanılan gübre'!R277*'Gübre oranlar'!U$2</f>
        <v>0</v>
      </c>
      <c r="S277">
        <f>'Kullanılan gübre'!S277*'Gübre oranlar'!V$2</f>
        <v>0</v>
      </c>
      <c r="T277">
        <f>'Kullanılan gübre'!T277*'Gübre oranlar'!W$2</f>
        <v>0</v>
      </c>
      <c r="U277">
        <f>'Kullanılan gübre'!U277*'Gübre oranlar'!X$2</f>
        <v>0</v>
      </c>
      <c r="V277">
        <f>'Kullanılan gübre'!V277*'Gübre oranlar'!Y$2</f>
        <v>0</v>
      </c>
      <c r="W277">
        <f>'Kullanılan gübre'!W277*'Gübre oranlar'!Z$2</f>
        <v>0</v>
      </c>
      <c r="X277">
        <f>'Kullanılan gübre'!X277*'Gübre oranlar'!AA$2</f>
        <v>0</v>
      </c>
      <c r="Y277">
        <f>'Kullanılan gübre'!Y277*'Gübre oranlar'!AB$2</f>
        <v>0</v>
      </c>
      <c r="Z277">
        <f>'Kullanılan gübre'!Z277*'Gübre oranlar'!AC$2</f>
        <v>0</v>
      </c>
      <c r="AA277">
        <f>'Kullanılan gübre'!AA277*'Gübre oranlar'!AD$2</f>
        <v>0</v>
      </c>
      <c r="AB277">
        <f>'Kullanılan gübre'!AB277*'Gübre oranlar'!AE$2</f>
        <v>0</v>
      </c>
      <c r="AC277">
        <f>'Kullanılan gübre'!AC277*'Gübre oranlar'!AF$2</f>
        <v>0</v>
      </c>
      <c r="AD277">
        <f>'Kullanılan gübre'!AD277*'Gübre oranlar'!AG$2</f>
        <v>0</v>
      </c>
      <c r="AE277">
        <f>'Kullanılan gübre'!AE277*'Gübre oranlar'!AH$2</f>
        <v>0</v>
      </c>
      <c r="AF277">
        <f>'Kullanılan gübre'!AF277*'Gübre oranlar'!AI$2</f>
        <v>0</v>
      </c>
      <c r="AG277">
        <f>'Kullanılan gübre'!AG277*'Gübre oranlar'!AJ$2</f>
        <v>0</v>
      </c>
      <c r="AH277">
        <f>'Kullanılan gübre'!AH277*'Gübre oranlar'!AK$2</f>
        <v>0</v>
      </c>
      <c r="AI277">
        <f>'Kullanılan gübre'!AI277*'Gübre oranlar'!AL$2</f>
        <v>0</v>
      </c>
      <c r="AJ277">
        <f>'Kullanılan gübre'!AJ277*'Gübre oranlar'!AM$2</f>
        <v>0</v>
      </c>
      <c r="AK277">
        <f>'Kullanılan gübre'!AK277*'Gübre oranlar'!AN$2</f>
        <v>0</v>
      </c>
      <c r="AL277">
        <f>'Kullanılan gübre'!AL277*'Gübre oranlar'!AO$2</f>
        <v>0</v>
      </c>
      <c r="AM277">
        <f>'Kullanılan gübre'!AM277*'Gübre oranlar'!AP$2</f>
        <v>0</v>
      </c>
      <c r="AN277">
        <f>'Kullanılan gübre'!AN277*'Gübre oranlar'!AQ$2</f>
        <v>0</v>
      </c>
      <c r="AO277">
        <f>'Kullanılan gübre'!AO277*'Gübre oranlar'!AR$2</f>
        <v>0</v>
      </c>
      <c r="AP277">
        <f>'Kullanılan gübre'!AP277*'Gübre oranlar'!AS$2</f>
        <v>0</v>
      </c>
      <c r="AQ277">
        <f>'Kullanılan gübre'!AQ277*'Gübre oranlar'!AT$2</f>
        <v>0</v>
      </c>
      <c r="AR277">
        <f>'Kullanılan gübre'!AR277*'Gübre oranlar'!AU$2</f>
        <v>0</v>
      </c>
      <c r="AS277">
        <f>'Kullanılan gübre'!AS277*'Gübre oranlar'!AV$2</f>
        <v>0</v>
      </c>
      <c r="AT277">
        <f>'Kullanılan gübre'!AT277*'Gübre oranlar'!AW$2</f>
        <v>0</v>
      </c>
      <c r="AU277">
        <f>'Kullanılan gübre'!AU277*'Gübre oranlar'!AX$2</f>
        <v>0</v>
      </c>
      <c r="AV277">
        <f>'Kullanılan gübre'!AV277*'Gübre oranlar'!AY$2</f>
        <v>0</v>
      </c>
      <c r="AW277">
        <f t="shared" si="4"/>
        <v>514.52499999999998</v>
      </c>
    </row>
    <row r="278" spans="1:49" hidden="1" x14ac:dyDescent="0.25">
      <c r="A278" t="str">
        <f>'Kullanılan gübre'!A278</f>
        <v>YI</v>
      </c>
      <c r="B278" t="str">
        <f>'Kullanılan gübre'!B278</f>
        <v>TOKAT</v>
      </c>
      <c r="C278" t="str">
        <f>'Kullanılan gübre'!C278</f>
        <v>RESADIYE</v>
      </c>
      <c r="D278">
        <f>'Kullanılan gübre'!D278</f>
        <v>2006</v>
      </c>
      <c r="E278">
        <f>'Kullanılan gübre'!E278*'Gübre oranlar'!H$2</f>
        <v>0</v>
      </c>
      <c r="F278">
        <f>'Kullanılan gübre'!F278*'Gübre oranlar'!I$2</f>
        <v>37.140999999999998</v>
      </c>
      <c r="G278">
        <f>'Kullanılan gübre'!G278*'Gübre oranlar'!J$2</f>
        <v>68.540999999999997</v>
      </c>
      <c r="H278">
        <f>'Kullanılan gübre'!H278*'Gübre oranlar'!K$2</f>
        <v>64.331000000000003</v>
      </c>
      <c r="I278">
        <f>'Kullanılan gübre'!I278*'Gübre oranlar'!L$2</f>
        <v>0</v>
      </c>
      <c r="J278">
        <f>'Kullanılan gübre'!J278*'Gübre oranlar'!M$2</f>
        <v>25.685999999999996</v>
      </c>
      <c r="K278">
        <f>'Kullanılan gübre'!K278*'Gübre oranlar'!N$2</f>
        <v>0</v>
      </c>
      <c r="L278">
        <f>'Kullanılan gübre'!L278*'Gübre oranlar'!O$2</f>
        <v>0</v>
      </c>
      <c r="M278">
        <f>'Kullanılan gübre'!M278*'Gübre oranlar'!P$2</f>
        <v>0</v>
      </c>
      <c r="N278">
        <f>'Kullanılan gübre'!N278*'Gübre oranlar'!Q$2</f>
        <v>0</v>
      </c>
      <c r="O278">
        <f>'Kullanılan gübre'!O278*'Gübre oranlar'!R$2</f>
        <v>0</v>
      </c>
      <c r="P278">
        <f>'Kullanılan gübre'!P278*'Gübre oranlar'!S$2</f>
        <v>0</v>
      </c>
      <c r="Q278">
        <f>'Kullanılan gübre'!Q278*'Gübre oranlar'!T$2</f>
        <v>0</v>
      </c>
      <c r="R278">
        <f>'Kullanılan gübre'!R278*'Gübre oranlar'!U$2</f>
        <v>0</v>
      </c>
      <c r="S278">
        <f>'Kullanılan gübre'!S278*'Gübre oranlar'!V$2</f>
        <v>0</v>
      </c>
      <c r="T278">
        <f>'Kullanılan gübre'!T278*'Gübre oranlar'!W$2</f>
        <v>0</v>
      </c>
      <c r="U278">
        <f>'Kullanılan gübre'!U278*'Gübre oranlar'!X$2</f>
        <v>0</v>
      </c>
      <c r="V278">
        <f>'Kullanılan gübre'!V278*'Gübre oranlar'!Y$2</f>
        <v>0</v>
      </c>
      <c r="W278">
        <f>'Kullanılan gübre'!W278*'Gübre oranlar'!Z$2</f>
        <v>0</v>
      </c>
      <c r="X278">
        <f>'Kullanılan gübre'!X278*'Gübre oranlar'!AA$2</f>
        <v>0</v>
      </c>
      <c r="Y278">
        <f>'Kullanılan gübre'!Y278*'Gübre oranlar'!AB$2</f>
        <v>0</v>
      </c>
      <c r="Z278">
        <f>'Kullanılan gübre'!Z278*'Gübre oranlar'!AC$2</f>
        <v>0</v>
      </c>
      <c r="AA278">
        <f>'Kullanılan gübre'!AA278*'Gübre oranlar'!AD$2</f>
        <v>0</v>
      </c>
      <c r="AB278">
        <f>'Kullanılan gübre'!AB278*'Gübre oranlar'!AE$2</f>
        <v>0</v>
      </c>
      <c r="AC278">
        <f>'Kullanılan gübre'!AC278*'Gübre oranlar'!AF$2</f>
        <v>0</v>
      </c>
      <c r="AD278">
        <f>'Kullanılan gübre'!AD278*'Gübre oranlar'!AG$2</f>
        <v>0</v>
      </c>
      <c r="AE278">
        <f>'Kullanılan gübre'!AE278*'Gübre oranlar'!AH$2</f>
        <v>0</v>
      </c>
      <c r="AF278">
        <f>'Kullanılan gübre'!AF278*'Gübre oranlar'!AI$2</f>
        <v>0</v>
      </c>
      <c r="AG278">
        <f>'Kullanılan gübre'!AG278*'Gübre oranlar'!AJ$2</f>
        <v>0</v>
      </c>
      <c r="AH278">
        <f>'Kullanılan gübre'!AH278*'Gübre oranlar'!AK$2</f>
        <v>0</v>
      </c>
      <c r="AI278">
        <f>'Kullanılan gübre'!AI278*'Gübre oranlar'!AL$2</f>
        <v>0</v>
      </c>
      <c r="AJ278">
        <f>'Kullanılan gübre'!AJ278*'Gübre oranlar'!AM$2</f>
        <v>0</v>
      </c>
      <c r="AK278">
        <f>'Kullanılan gübre'!AK278*'Gübre oranlar'!AN$2</f>
        <v>0</v>
      </c>
      <c r="AL278">
        <f>'Kullanılan gübre'!AL278*'Gübre oranlar'!AO$2</f>
        <v>0</v>
      </c>
      <c r="AM278">
        <f>'Kullanılan gübre'!AM278*'Gübre oranlar'!AP$2</f>
        <v>0</v>
      </c>
      <c r="AN278">
        <f>'Kullanılan gübre'!AN278*'Gübre oranlar'!AQ$2</f>
        <v>0</v>
      </c>
      <c r="AO278">
        <f>'Kullanılan gübre'!AO278*'Gübre oranlar'!AR$2</f>
        <v>0</v>
      </c>
      <c r="AP278">
        <f>'Kullanılan gübre'!AP278*'Gübre oranlar'!AS$2</f>
        <v>0</v>
      </c>
      <c r="AQ278">
        <f>'Kullanılan gübre'!AQ278*'Gübre oranlar'!AT$2</f>
        <v>0</v>
      </c>
      <c r="AR278">
        <f>'Kullanılan gübre'!AR278*'Gübre oranlar'!AU$2</f>
        <v>0</v>
      </c>
      <c r="AS278">
        <f>'Kullanılan gübre'!AS278*'Gübre oranlar'!AV$2</f>
        <v>0</v>
      </c>
      <c r="AT278">
        <f>'Kullanılan gübre'!AT278*'Gübre oranlar'!AW$2</f>
        <v>0</v>
      </c>
      <c r="AU278">
        <f>'Kullanılan gübre'!AU278*'Gübre oranlar'!AX$2</f>
        <v>0</v>
      </c>
      <c r="AV278">
        <f>'Kullanılan gübre'!AV278*'Gübre oranlar'!AY$2</f>
        <v>0</v>
      </c>
      <c r="AW278">
        <f t="shared" si="4"/>
        <v>195.69899999999998</v>
      </c>
    </row>
    <row r="279" spans="1:49" hidden="1" x14ac:dyDescent="0.25">
      <c r="A279" t="str">
        <f>'Kullanılan gübre'!A279</f>
        <v>YI</v>
      </c>
      <c r="B279" t="str">
        <f>'Kullanılan gübre'!B279</f>
        <v>TOKAT</v>
      </c>
      <c r="C279" t="str">
        <f>'Kullanılan gübre'!C279</f>
        <v>SULUSARAY</v>
      </c>
      <c r="D279">
        <f>'Kullanılan gübre'!D279</f>
        <v>2006</v>
      </c>
      <c r="E279">
        <f>'Kullanılan gübre'!E279*'Gübre oranlar'!H$2</f>
        <v>0</v>
      </c>
      <c r="F279">
        <f>'Kullanılan gübre'!F279*'Gübre oranlar'!I$2</f>
        <v>145.6</v>
      </c>
      <c r="G279">
        <f>'Kullanılan gübre'!G279*'Gübre oranlar'!J$2</f>
        <v>92.73</v>
      </c>
      <c r="H279">
        <f>'Kullanılan gübre'!H279*'Gübre oranlar'!K$2</f>
        <v>30.59</v>
      </c>
      <c r="I279">
        <f>'Kullanılan gübre'!I279*'Gübre oranlar'!L$2</f>
        <v>0</v>
      </c>
      <c r="J279">
        <f>'Kullanılan gübre'!J279*'Gübre oranlar'!M$2</f>
        <v>214.23599999999999</v>
      </c>
      <c r="K279">
        <f>'Kullanılan gübre'!K279*'Gübre oranlar'!N$2</f>
        <v>204</v>
      </c>
      <c r="L279">
        <f>'Kullanılan gübre'!L279*'Gübre oranlar'!O$2</f>
        <v>27</v>
      </c>
      <c r="M279">
        <f>'Kullanılan gübre'!M279*'Gübre oranlar'!P$2</f>
        <v>0</v>
      </c>
      <c r="N279">
        <f>'Kullanılan gübre'!N279*'Gübre oranlar'!Q$2</f>
        <v>0</v>
      </c>
      <c r="O279">
        <f>'Kullanılan gübre'!O279*'Gübre oranlar'!R$2</f>
        <v>0</v>
      </c>
      <c r="P279">
        <f>'Kullanılan gübre'!P279*'Gübre oranlar'!S$2</f>
        <v>0</v>
      </c>
      <c r="Q279">
        <f>'Kullanılan gübre'!Q279*'Gübre oranlar'!T$2</f>
        <v>0</v>
      </c>
      <c r="R279">
        <f>'Kullanılan gübre'!R279*'Gübre oranlar'!U$2</f>
        <v>0</v>
      </c>
      <c r="S279">
        <f>'Kullanılan gübre'!S279*'Gübre oranlar'!V$2</f>
        <v>0</v>
      </c>
      <c r="T279">
        <f>'Kullanılan gübre'!T279*'Gübre oranlar'!W$2</f>
        <v>0</v>
      </c>
      <c r="U279">
        <f>'Kullanılan gübre'!U279*'Gübre oranlar'!X$2</f>
        <v>0</v>
      </c>
      <c r="V279">
        <f>'Kullanılan gübre'!V279*'Gübre oranlar'!Y$2</f>
        <v>0</v>
      </c>
      <c r="W279">
        <f>'Kullanılan gübre'!W279*'Gübre oranlar'!Z$2</f>
        <v>0</v>
      </c>
      <c r="X279">
        <f>'Kullanılan gübre'!X279*'Gübre oranlar'!AA$2</f>
        <v>0</v>
      </c>
      <c r="Y279">
        <f>'Kullanılan gübre'!Y279*'Gübre oranlar'!AB$2</f>
        <v>0</v>
      </c>
      <c r="Z279">
        <f>'Kullanılan gübre'!Z279*'Gübre oranlar'!AC$2</f>
        <v>0</v>
      </c>
      <c r="AA279">
        <f>'Kullanılan gübre'!AA279*'Gübre oranlar'!AD$2</f>
        <v>0</v>
      </c>
      <c r="AB279">
        <f>'Kullanılan gübre'!AB279*'Gübre oranlar'!AE$2</f>
        <v>0</v>
      </c>
      <c r="AC279">
        <f>'Kullanılan gübre'!AC279*'Gübre oranlar'!AF$2</f>
        <v>0</v>
      </c>
      <c r="AD279">
        <f>'Kullanılan gübre'!AD279*'Gübre oranlar'!AG$2</f>
        <v>0</v>
      </c>
      <c r="AE279">
        <f>'Kullanılan gübre'!AE279*'Gübre oranlar'!AH$2</f>
        <v>0</v>
      </c>
      <c r="AF279">
        <f>'Kullanılan gübre'!AF279*'Gübre oranlar'!AI$2</f>
        <v>0</v>
      </c>
      <c r="AG279">
        <f>'Kullanılan gübre'!AG279*'Gübre oranlar'!AJ$2</f>
        <v>0</v>
      </c>
      <c r="AH279">
        <f>'Kullanılan gübre'!AH279*'Gübre oranlar'!AK$2</f>
        <v>0</v>
      </c>
      <c r="AI279">
        <f>'Kullanılan gübre'!AI279*'Gübre oranlar'!AL$2</f>
        <v>0</v>
      </c>
      <c r="AJ279">
        <f>'Kullanılan gübre'!AJ279*'Gübre oranlar'!AM$2</f>
        <v>0</v>
      </c>
      <c r="AK279">
        <f>'Kullanılan gübre'!AK279*'Gübre oranlar'!AN$2</f>
        <v>0</v>
      </c>
      <c r="AL279">
        <f>'Kullanılan gübre'!AL279*'Gübre oranlar'!AO$2</f>
        <v>0</v>
      </c>
      <c r="AM279">
        <f>'Kullanılan gübre'!AM279*'Gübre oranlar'!AP$2</f>
        <v>0</v>
      </c>
      <c r="AN279">
        <f>'Kullanılan gübre'!AN279*'Gübre oranlar'!AQ$2</f>
        <v>0</v>
      </c>
      <c r="AO279">
        <f>'Kullanılan gübre'!AO279*'Gübre oranlar'!AR$2</f>
        <v>0</v>
      </c>
      <c r="AP279">
        <f>'Kullanılan gübre'!AP279*'Gübre oranlar'!AS$2</f>
        <v>0</v>
      </c>
      <c r="AQ279">
        <f>'Kullanılan gübre'!AQ279*'Gübre oranlar'!AT$2</f>
        <v>0</v>
      </c>
      <c r="AR279">
        <f>'Kullanılan gübre'!AR279*'Gübre oranlar'!AU$2</f>
        <v>0</v>
      </c>
      <c r="AS279">
        <f>'Kullanılan gübre'!AS279*'Gübre oranlar'!AV$2</f>
        <v>0</v>
      </c>
      <c r="AT279">
        <f>'Kullanılan gübre'!AT279*'Gübre oranlar'!AW$2</f>
        <v>0</v>
      </c>
      <c r="AU279">
        <f>'Kullanılan gübre'!AU279*'Gübre oranlar'!AX$2</f>
        <v>0</v>
      </c>
      <c r="AV279">
        <f>'Kullanılan gübre'!AV279*'Gübre oranlar'!AY$2</f>
        <v>0</v>
      </c>
      <c r="AW279">
        <f t="shared" si="4"/>
        <v>714.15599999999995</v>
      </c>
    </row>
    <row r="280" spans="1:49" hidden="1" x14ac:dyDescent="0.25">
      <c r="A280" t="str">
        <f>'Kullanılan gübre'!A280</f>
        <v>YI</v>
      </c>
      <c r="B280" t="str">
        <f>'Kullanılan gübre'!B280</f>
        <v>TOKAT</v>
      </c>
      <c r="C280" t="str">
        <f>'Kullanılan gübre'!C280</f>
        <v>TURHAL</v>
      </c>
      <c r="D280">
        <f>'Kullanılan gübre'!D280</f>
        <v>2006</v>
      </c>
      <c r="E280">
        <f>'Kullanılan gübre'!E280*'Gübre oranlar'!H$2</f>
        <v>0</v>
      </c>
      <c r="F280">
        <f>'Kullanılan gübre'!F280*'Gübre oranlar'!I$2</f>
        <v>151.37200000000001</v>
      </c>
      <c r="G280">
        <f>'Kullanılan gübre'!G280*'Gübre oranlar'!J$2</f>
        <v>226.215</v>
      </c>
      <c r="H280">
        <f>'Kullanılan gübre'!H280*'Gübre oranlar'!K$2</f>
        <v>423.89000000000004</v>
      </c>
      <c r="I280">
        <f>'Kullanılan gübre'!I280*'Gübre oranlar'!L$2</f>
        <v>0</v>
      </c>
      <c r="J280">
        <f>'Kullanılan gübre'!J280*'Gübre oranlar'!M$2</f>
        <v>120.40199999999999</v>
      </c>
      <c r="K280">
        <f>'Kullanılan gübre'!K280*'Gübre oranlar'!N$2</f>
        <v>24.26</v>
      </c>
      <c r="L280">
        <f>'Kullanılan gübre'!L280*'Gübre oranlar'!O$2</f>
        <v>79.960000000000008</v>
      </c>
      <c r="M280">
        <f>'Kullanılan gübre'!M280*'Gübre oranlar'!P$2</f>
        <v>1.3125</v>
      </c>
      <c r="N280">
        <f>'Kullanılan gübre'!N280*'Gübre oranlar'!Q$2</f>
        <v>6.1499999999999995</v>
      </c>
      <c r="O280">
        <f>'Kullanılan gübre'!O280*'Gübre oranlar'!R$2</f>
        <v>0</v>
      </c>
      <c r="P280">
        <f>'Kullanılan gübre'!P280*'Gübre oranlar'!S$2</f>
        <v>0.77350000000000008</v>
      </c>
      <c r="Q280">
        <f>'Kullanılan gübre'!Q280*'Gübre oranlar'!T$2</f>
        <v>80.615999999999985</v>
      </c>
      <c r="R280">
        <f>'Kullanılan gübre'!R280*'Gübre oranlar'!U$2</f>
        <v>0</v>
      </c>
      <c r="S280">
        <f>'Kullanılan gübre'!S280*'Gübre oranlar'!V$2</f>
        <v>0</v>
      </c>
      <c r="T280">
        <f>'Kullanılan gübre'!T280*'Gübre oranlar'!W$2</f>
        <v>0</v>
      </c>
      <c r="U280">
        <f>'Kullanılan gübre'!U280*'Gübre oranlar'!X$2</f>
        <v>0</v>
      </c>
      <c r="V280">
        <f>'Kullanılan gübre'!V280*'Gübre oranlar'!Y$2</f>
        <v>0</v>
      </c>
      <c r="W280">
        <f>'Kullanılan gübre'!W280*'Gübre oranlar'!Z$2</f>
        <v>0</v>
      </c>
      <c r="X280">
        <f>'Kullanılan gübre'!X280*'Gübre oranlar'!AA$2</f>
        <v>0</v>
      </c>
      <c r="Y280">
        <f>'Kullanılan gübre'!Y280*'Gübre oranlar'!AB$2</f>
        <v>0</v>
      </c>
      <c r="Z280">
        <f>'Kullanılan gübre'!Z280*'Gübre oranlar'!AC$2</f>
        <v>0</v>
      </c>
      <c r="AA280">
        <f>'Kullanılan gübre'!AA280*'Gübre oranlar'!AD$2</f>
        <v>0</v>
      </c>
      <c r="AB280">
        <f>'Kullanılan gübre'!AB280*'Gübre oranlar'!AE$2</f>
        <v>0</v>
      </c>
      <c r="AC280">
        <f>'Kullanılan gübre'!AC280*'Gübre oranlar'!AF$2</f>
        <v>0</v>
      </c>
      <c r="AD280">
        <f>'Kullanılan gübre'!AD280*'Gübre oranlar'!AG$2</f>
        <v>0</v>
      </c>
      <c r="AE280">
        <f>'Kullanılan gübre'!AE280*'Gübre oranlar'!AH$2</f>
        <v>0</v>
      </c>
      <c r="AF280">
        <f>'Kullanılan gübre'!AF280*'Gübre oranlar'!AI$2</f>
        <v>0</v>
      </c>
      <c r="AG280">
        <f>'Kullanılan gübre'!AG280*'Gübre oranlar'!AJ$2</f>
        <v>0</v>
      </c>
      <c r="AH280">
        <f>'Kullanılan gübre'!AH280*'Gübre oranlar'!AK$2</f>
        <v>0</v>
      </c>
      <c r="AI280">
        <f>'Kullanılan gübre'!AI280*'Gübre oranlar'!AL$2</f>
        <v>0</v>
      </c>
      <c r="AJ280">
        <f>'Kullanılan gübre'!AJ280*'Gübre oranlar'!AM$2</f>
        <v>0</v>
      </c>
      <c r="AK280">
        <f>'Kullanılan gübre'!AK280*'Gübre oranlar'!AN$2</f>
        <v>0</v>
      </c>
      <c r="AL280">
        <f>'Kullanılan gübre'!AL280*'Gübre oranlar'!AO$2</f>
        <v>0</v>
      </c>
      <c r="AM280">
        <f>'Kullanılan gübre'!AM280*'Gübre oranlar'!AP$2</f>
        <v>0</v>
      </c>
      <c r="AN280">
        <f>'Kullanılan gübre'!AN280*'Gübre oranlar'!AQ$2</f>
        <v>0</v>
      </c>
      <c r="AO280">
        <f>'Kullanılan gübre'!AO280*'Gübre oranlar'!AR$2</f>
        <v>0</v>
      </c>
      <c r="AP280">
        <f>'Kullanılan gübre'!AP280*'Gübre oranlar'!AS$2</f>
        <v>0</v>
      </c>
      <c r="AQ280">
        <f>'Kullanılan gübre'!AQ280*'Gübre oranlar'!AT$2</f>
        <v>0</v>
      </c>
      <c r="AR280">
        <f>'Kullanılan gübre'!AR280*'Gübre oranlar'!AU$2</f>
        <v>0</v>
      </c>
      <c r="AS280">
        <f>'Kullanılan gübre'!AS280*'Gübre oranlar'!AV$2</f>
        <v>0</v>
      </c>
      <c r="AT280">
        <f>'Kullanılan gübre'!AT280*'Gübre oranlar'!AW$2</f>
        <v>0</v>
      </c>
      <c r="AU280">
        <f>'Kullanılan gübre'!AU280*'Gübre oranlar'!AX$2</f>
        <v>0</v>
      </c>
      <c r="AV280">
        <f>'Kullanılan gübre'!AV280*'Gübre oranlar'!AY$2</f>
        <v>0</v>
      </c>
      <c r="AW280">
        <f t="shared" si="4"/>
        <v>1114.9510000000002</v>
      </c>
    </row>
    <row r="281" spans="1:49" hidden="1" x14ac:dyDescent="0.25">
      <c r="A281" t="str">
        <f>'Kullanılan gübre'!A281</f>
        <v>YI</v>
      </c>
      <c r="B281" t="str">
        <f>'Kullanılan gübre'!B281</f>
        <v>TOKAT</v>
      </c>
      <c r="C281" t="str">
        <f>'Kullanılan gübre'!C281</f>
        <v>YESILYURT</v>
      </c>
      <c r="D281">
        <f>'Kullanılan gübre'!D281</f>
        <v>2006</v>
      </c>
      <c r="E281">
        <f>'Kullanılan gübre'!E281*'Gübre oranlar'!H$2</f>
        <v>0</v>
      </c>
      <c r="F281">
        <f>'Kullanılan gübre'!F281*'Gübre oranlar'!I$2</f>
        <v>118.3</v>
      </c>
      <c r="G281">
        <f>'Kullanılan gübre'!G281*'Gübre oranlar'!J$2</f>
        <v>47.734500000000004</v>
      </c>
      <c r="H281">
        <f>'Kullanılan gübre'!H281*'Gübre oranlar'!K$2</f>
        <v>1.2420000000000002</v>
      </c>
      <c r="I281">
        <f>'Kullanılan gübre'!I281*'Gübre oranlar'!L$2</f>
        <v>0</v>
      </c>
      <c r="J281">
        <f>'Kullanılan gübre'!J281*'Gübre oranlar'!M$2</f>
        <v>52.019999999999996</v>
      </c>
      <c r="K281">
        <f>'Kullanılan gübre'!K281*'Gübre oranlar'!N$2</f>
        <v>45.610000000000007</v>
      </c>
      <c r="L281">
        <f>'Kullanılan gübre'!L281*'Gübre oranlar'!O$2</f>
        <v>15.190000000000001</v>
      </c>
      <c r="M281">
        <f>'Kullanılan gübre'!M281*'Gübre oranlar'!P$2</f>
        <v>0</v>
      </c>
      <c r="N281">
        <f>'Kullanılan gübre'!N281*'Gübre oranlar'!Q$2</f>
        <v>4.9574999999999996</v>
      </c>
      <c r="O281">
        <f>'Kullanılan gübre'!O281*'Gübre oranlar'!R$2</f>
        <v>0</v>
      </c>
      <c r="P281">
        <f>'Kullanılan gübre'!P281*'Gübre oranlar'!S$2</f>
        <v>0</v>
      </c>
      <c r="Q281">
        <f>'Kullanılan gübre'!Q281*'Gübre oranlar'!T$2</f>
        <v>0</v>
      </c>
      <c r="R281">
        <f>'Kullanılan gübre'!R281*'Gübre oranlar'!U$2</f>
        <v>0</v>
      </c>
      <c r="S281">
        <f>'Kullanılan gübre'!S281*'Gübre oranlar'!V$2</f>
        <v>0</v>
      </c>
      <c r="T281">
        <f>'Kullanılan gübre'!T281*'Gübre oranlar'!W$2</f>
        <v>0</v>
      </c>
      <c r="U281">
        <f>'Kullanılan gübre'!U281*'Gübre oranlar'!X$2</f>
        <v>0</v>
      </c>
      <c r="V281">
        <f>'Kullanılan gübre'!V281*'Gübre oranlar'!Y$2</f>
        <v>0</v>
      </c>
      <c r="W281">
        <f>'Kullanılan gübre'!W281*'Gübre oranlar'!Z$2</f>
        <v>0</v>
      </c>
      <c r="X281">
        <f>'Kullanılan gübre'!X281*'Gübre oranlar'!AA$2</f>
        <v>0</v>
      </c>
      <c r="Y281">
        <f>'Kullanılan gübre'!Y281*'Gübre oranlar'!AB$2</f>
        <v>0</v>
      </c>
      <c r="Z281">
        <f>'Kullanılan gübre'!Z281*'Gübre oranlar'!AC$2</f>
        <v>0</v>
      </c>
      <c r="AA281">
        <f>'Kullanılan gübre'!AA281*'Gübre oranlar'!AD$2</f>
        <v>0</v>
      </c>
      <c r="AB281">
        <f>'Kullanılan gübre'!AB281*'Gübre oranlar'!AE$2</f>
        <v>0</v>
      </c>
      <c r="AC281">
        <f>'Kullanılan gübre'!AC281*'Gübre oranlar'!AF$2</f>
        <v>0</v>
      </c>
      <c r="AD281">
        <f>'Kullanılan gübre'!AD281*'Gübre oranlar'!AG$2</f>
        <v>0</v>
      </c>
      <c r="AE281">
        <f>'Kullanılan gübre'!AE281*'Gübre oranlar'!AH$2</f>
        <v>0</v>
      </c>
      <c r="AF281">
        <f>'Kullanılan gübre'!AF281*'Gübre oranlar'!AI$2</f>
        <v>0</v>
      </c>
      <c r="AG281">
        <f>'Kullanılan gübre'!AG281*'Gübre oranlar'!AJ$2</f>
        <v>0</v>
      </c>
      <c r="AH281">
        <f>'Kullanılan gübre'!AH281*'Gübre oranlar'!AK$2</f>
        <v>0</v>
      </c>
      <c r="AI281">
        <f>'Kullanılan gübre'!AI281*'Gübre oranlar'!AL$2</f>
        <v>0</v>
      </c>
      <c r="AJ281">
        <f>'Kullanılan gübre'!AJ281*'Gübre oranlar'!AM$2</f>
        <v>0</v>
      </c>
      <c r="AK281">
        <f>'Kullanılan gübre'!AK281*'Gübre oranlar'!AN$2</f>
        <v>0</v>
      </c>
      <c r="AL281">
        <f>'Kullanılan gübre'!AL281*'Gübre oranlar'!AO$2</f>
        <v>0</v>
      </c>
      <c r="AM281">
        <f>'Kullanılan gübre'!AM281*'Gübre oranlar'!AP$2</f>
        <v>0</v>
      </c>
      <c r="AN281">
        <f>'Kullanılan gübre'!AN281*'Gübre oranlar'!AQ$2</f>
        <v>0</v>
      </c>
      <c r="AO281">
        <f>'Kullanılan gübre'!AO281*'Gübre oranlar'!AR$2</f>
        <v>0</v>
      </c>
      <c r="AP281">
        <f>'Kullanılan gübre'!AP281*'Gübre oranlar'!AS$2</f>
        <v>0</v>
      </c>
      <c r="AQ281">
        <f>'Kullanılan gübre'!AQ281*'Gübre oranlar'!AT$2</f>
        <v>0</v>
      </c>
      <c r="AR281">
        <f>'Kullanılan gübre'!AR281*'Gübre oranlar'!AU$2</f>
        <v>0</v>
      </c>
      <c r="AS281">
        <f>'Kullanılan gübre'!AS281*'Gübre oranlar'!AV$2</f>
        <v>0</v>
      </c>
      <c r="AT281">
        <f>'Kullanılan gübre'!AT281*'Gübre oranlar'!AW$2</f>
        <v>0</v>
      </c>
      <c r="AU281">
        <f>'Kullanılan gübre'!AU281*'Gübre oranlar'!AX$2</f>
        <v>0</v>
      </c>
      <c r="AV281">
        <f>'Kullanılan gübre'!AV281*'Gübre oranlar'!AY$2</f>
        <v>0</v>
      </c>
      <c r="AW281">
        <f t="shared" si="4"/>
        <v>285.05399999999997</v>
      </c>
    </row>
    <row r="282" spans="1:49" hidden="1" x14ac:dyDescent="0.25">
      <c r="A282" t="str">
        <f>'Kullanılan gübre'!A282</f>
        <v>YI</v>
      </c>
      <c r="B282" t="str">
        <f>'Kullanılan gübre'!B282</f>
        <v>TOKAT</v>
      </c>
      <c r="C282" t="str">
        <f>'Kullanılan gübre'!C282</f>
        <v>ZILE</v>
      </c>
      <c r="D282">
        <f>'Kullanılan gübre'!D282</f>
        <v>2006</v>
      </c>
      <c r="E282">
        <f>'Kullanılan gübre'!E282*'Gübre oranlar'!H$2</f>
        <v>26.943000000000001</v>
      </c>
      <c r="F282">
        <f>'Kullanılan gübre'!F282*'Gübre oranlar'!I$2</f>
        <v>1274.819</v>
      </c>
      <c r="G282">
        <f>'Kullanılan gübre'!G282*'Gübre oranlar'!J$2</f>
        <v>929.80799999999999</v>
      </c>
      <c r="H282">
        <f>'Kullanılan gübre'!H282*'Gübre oranlar'!K$2</f>
        <v>476.53700000000003</v>
      </c>
      <c r="I282">
        <f>'Kullanılan gübre'!I282*'Gübre oranlar'!L$2</f>
        <v>0</v>
      </c>
      <c r="J282">
        <f>'Kullanılan gübre'!J282*'Gübre oranlar'!M$2</f>
        <v>431.20799999999997</v>
      </c>
      <c r="K282">
        <f>'Kullanılan gübre'!K282*'Gübre oranlar'!N$2</f>
        <v>783.48</v>
      </c>
      <c r="L282">
        <f>'Kullanılan gübre'!L282*'Gübre oranlar'!O$2</f>
        <v>345.43000000000006</v>
      </c>
      <c r="M282">
        <f>'Kullanılan gübre'!M282*'Gübre oranlar'!P$2</f>
        <v>9.6</v>
      </c>
      <c r="N282">
        <f>'Kullanılan gübre'!N282*'Gübre oranlar'!Q$2</f>
        <v>0</v>
      </c>
      <c r="O282">
        <f>'Kullanılan gübre'!O282*'Gübre oranlar'!R$2</f>
        <v>0</v>
      </c>
      <c r="P282">
        <f>'Kullanılan gübre'!P282*'Gübre oranlar'!S$2</f>
        <v>0</v>
      </c>
      <c r="Q282">
        <f>'Kullanılan gübre'!Q282*'Gübre oranlar'!T$2</f>
        <v>0</v>
      </c>
      <c r="R282">
        <f>'Kullanılan gübre'!R282*'Gübre oranlar'!U$2</f>
        <v>0</v>
      </c>
      <c r="S282">
        <f>'Kullanılan gübre'!S282*'Gübre oranlar'!V$2</f>
        <v>0</v>
      </c>
      <c r="T282">
        <f>'Kullanılan gübre'!T282*'Gübre oranlar'!W$2</f>
        <v>0</v>
      </c>
      <c r="U282">
        <f>'Kullanılan gübre'!U282*'Gübre oranlar'!X$2</f>
        <v>0</v>
      </c>
      <c r="V282">
        <f>'Kullanılan gübre'!V282*'Gübre oranlar'!Y$2</f>
        <v>0</v>
      </c>
      <c r="W282">
        <f>'Kullanılan gübre'!W282*'Gübre oranlar'!Z$2</f>
        <v>0</v>
      </c>
      <c r="X282">
        <f>'Kullanılan gübre'!X282*'Gübre oranlar'!AA$2</f>
        <v>0</v>
      </c>
      <c r="Y282">
        <f>'Kullanılan gübre'!Y282*'Gübre oranlar'!AB$2</f>
        <v>0</v>
      </c>
      <c r="Z282">
        <f>'Kullanılan gübre'!Z282*'Gübre oranlar'!AC$2</f>
        <v>0</v>
      </c>
      <c r="AA282">
        <f>'Kullanılan gübre'!AA282*'Gübre oranlar'!AD$2</f>
        <v>0</v>
      </c>
      <c r="AB282">
        <f>'Kullanılan gübre'!AB282*'Gübre oranlar'!AE$2</f>
        <v>0</v>
      </c>
      <c r="AC282">
        <f>'Kullanılan gübre'!AC282*'Gübre oranlar'!AF$2</f>
        <v>0</v>
      </c>
      <c r="AD282">
        <f>'Kullanılan gübre'!AD282*'Gübre oranlar'!AG$2</f>
        <v>0</v>
      </c>
      <c r="AE282">
        <f>'Kullanılan gübre'!AE282*'Gübre oranlar'!AH$2</f>
        <v>0</v>
      </c>
      <c r="AF282">
        <f>'Kullanılan gübre'!AF282*'Gübre oranlar'!AI$2</f>
        <v>0</v>
      </c>
      <c r="AG282">
        <f>'Kullanılan gübre'!AG282*'Gübre oranlar'!AJ$2</f>
        <v>0</v>
      </c>
      <c r="AH282">
        <f>'Kullanılan gübre'!AH282*'Gübre oranlar'!AK$2</f>
        <v>0</v>
      </c>
      <c r="AI282">
        <f>'Kullanılan gübre'!AI282*'Gübre oranlar'!AL$2</f>
        <v>0</v>
      </c>
      <c r="AJ282">
        <f>'Kullanılan gübre'!AJ282*'Gübre oranlar'!AM$2</f>
        <v>0</v>
      </c>
      <c r="AK282">
        <f>'Kullanılan gübre'!AK282*'Gübre oranlar'!AN$2</f>
        <v>0</v>
      </c>
      <c r="AL282">
        <f>'Kullanılan gübre'!AL282*'Gübre oranlar'!AO$2</f>
        <v>0</v>
      </c>
      <c r="AM282">
        <f>'Kullanılan gübre'!AM282*'Gübre oranlar'!AP$2</f>
        <v>0</v>
      </c>
      <c r="AN282">
        <f>'Kullanılan gübre'!AN282*'Gübre oranlar'!AQ$2</f>
        <v>0</v>
      </c>
      <c r="AO282">
        <f>'Kullanılan gübre'!AO282*'Gübre oranlar'!AR$2</f>
        <v>0</v>
      </c>
      <c r="AP282">
        <f>'Kullanılan gübre'!AP282*'Gübre oranlar'!AS$2</f>
        <v>0</v>
      </c>
      <c r="AQ282">
        <f>'Kullanılan gübre'!AQ282*'Gübre oranlar'!AT$2</f>
        <v>0</v>
      </c>
      <c r="AR282">
        <f>'Kullanılan gübre'!AR282*'Gübre oranlar'!AU$2</f>
        <v>0</v>
      </c>
      <c r="AS282">
        <f>'Kullanılan gübre'!AS282*'Gübre oranlar'!AV$2</f>
        <v>0</v>
      </c>
      <c r="AT282">
        <f>'Kullanılan gübre'!AT282*'Gübre oranlar'!AW$2</f>
        <v>0</v>
      </c>
      <c r="AU282">
        <f>'Kullanılan gübre'!AU282*'Gübre oranlar'!AX$2</f>
        <v>0</v>
      </c>
      <c r="AV282">
        <f>'Kullanılan gübre'!AV282*'Gübre oranlar'!AY$2</f>
        <v>0</v>
      </c>
      <c r="AW282">
        <f t="shared" si="4"/>
        <v>4277.8250000000007</v>
      </c>
    </row>
    <row r="283" spans="1:49" hidden="1" x14ac:dyDescent="0.25">
      <c r="A283" t="str">
        <f>'Kullanılan gübre'!A283</f>
        <v>YI</v>
      </c>
      <c r="B283" t="str">
        <f>'Kullanılan gübre'!B283</f>
        <v>TOKAT</v>
      </c>
      <c r="C283" t="str">
        <f>'Kullanılan gübre'!C283</f>
        <v>MERKEZ</v>
      </c>
      <c r="D283">
        <f>'Kullanılan gübre'!D283</f>
        <v>2007</v>
      </c>
      <c r="E283">
        <f>'Kullanılan gübre'!E283*'Gübre oranlar'!H$2</f>
        <v>56.343000000000004</v>
      </c>
      <c r="F283">
        <f>'Kullanılan gübre'!F283*'Gübre oranlar'!I$2</f>
        <v>436.28000000000003</v>
      </c>
      <c r="G283">
        <f>'Kullanılan gübre'!G283*'Gübre oranlar'!J$2</f>
        <v>697.76850000000002</v>
      </c>
      <c r="H283">
        <f>'Kullanılan gübre'!H283*'Gübre oranlar'!K$2</f>
        <v>433.57299999999998</v>
      </c>
      <c r="I283">
        <f>'Kullanılan gübre'!I283*'Gübre oranlar'!L$2</f>
        <v>0</v>
      </c>
      <c r="J283">
        <f>'Kullanılan gübre'!J283*'Gübre oranlar'!M$2</f>
        <v>231.27299999999997</v>
      </c>
      <c r="K283">
        <f>'Kullanılan gübre'!K283*'Gübre oranlar'!N$2</f>
        <v>102.72000000000001</v>
      </c>
      <c r="L283">
        <f>'Kullanılan gübre'!L283*'Gübre oranlar'!O$2</f>
        <v>41.94</v>
      </c>
      <c r="M283">
        <f>'Kullanılan gübre'!M283*'Gübre oranlar'!P$2</f>
        <v>32.954999999999998</v>
      </c>
      <c r="N283">
        <f>'Kullanılan gübre'!N283*'Gübre oranlar'!Q$2</f>
        <v>31.927499999999998</v>
      </c>
      <c r="O283">
        <f>'Kullanılan gübre'!O283*'Gübre oranlar'!R$2</f>
        <v>0</v>
      </c>
      <c r="P283">
        <f>'Kullanılan gübre'!P283*'Gübre oranlar'!S$2</f>
        <v>0.18590000000000001</v>
      </c>
      <c r="Q283">
        <f>'Kullanılan gübre'!Q283*'Gübre oranlar'!T$2</f>
        <v>47.742000000000004</v>
      </c>
      <c r="R283">
        <f>'Kullanılan gübre'!R283*'Gübre oranlar'!U$2</f>
        <v>0</v>
      </c>
      <c r="S283">
        <f>'Kullanılan gübre'!S283*'Gübre oranlar'!V$2</f>
        <v>0</v>
      </c>
      <c r="T283">
        <f>'Kullanılan gübre'!T283*'Gübre oranlar'!W$2</f>
        <v>0</v>
      </c>
      <c r="U283">
        <f>'Kullanılan gübre'!U283*'Gübre oranlar'!X$2</f>
        <v>0</v>
      </c>
      <c r="V283">
        <f>'Kullanılan gübre'!V283*'Gübre oranlar'!Y$2</f>
        <v>0</v>
      </c>
      <c r="W283">
        <f>'Kullanılan gübre'!W283*'Gübre oranlar'!Z$2</f>
        <v>0</v>
      </c>
      <c r="X283">
        <f>'Kullanılan gübre'!X283*'Gübre oranlar'!AA$2</f>
        <v>0</v>
      </c>
      <c r="Y283">
        <f>'Kullanılan gübre'!Y283*'Gübre oranlar'!AB$2</f>
        <v>0</v>
      </c>
      <c r="Z283">
        <f>'Kullanılan gübre'!Z283*'Gübre oranlar'!AC$2</f>
        <v>0</v>
      </c>
      <c r="AA283">
        <f>'Kullanılan gübre'!AA283*'Gübre oranlar'!AD$2</f>
        <v>0</v>
      </c>
      <c r="AB283">
        <f>'Kullanılan gübre'!AB283*'Gübre oranlar'!AE$2</f>
        <v>0</v>
      </c>
      <c r="AC283">
        <f>'Kullanılan gübre'!AC283*'Gübre oranlar'!AF$2</f>
        <v>0</v>
      </c>
      <c r="AD283">
        <f>'Kullanılan gübre'!AD283*'Gübre oranlar'!AG$2</f>
        <v>0</v>
      </c>
      <c r="AE283">
        <f>'Kullanılan gübre'!AE283*'Gübre oranlar'!AH$2</f>
        <v>0</v>
      </c>
      <c r="AF283">
        <f>'Kullanılan gübre'!AF283*'Gübre oranlar'!AI$2</f>
        <v>0</v>
      </c>
      <c r="AG283">
        <f>'Kullanılan gübre'!AG283*'Gübre oranlar'!AJ$2</f>
        <v>0</v>
      </c>
      <c r="AH283">
        <f>'Kullanılan gübre'!AH283*'Gübre oranlar'!AK$2</f>
        <v>0</v>
      </c>
      <c r="AI283">
        <f>'Kullanılan gübre'!AI283*'Gübre oranlar'!AL$2</f>
        <v>0</v>
      </c>
      <c r="AJ283">
        <f>'Kullanılan gübre'!AJ283*'Gübre oranlar'!AM$2</f>
        <v>0</v>
      </c>
      <c r="AK283">
        <f>'Kullanılan gübre'!AK283*'Gübre oranlar'!AN$2</f>
        <v>0</v>
      </c>
      <c r="AL283">
        <f>'Kullanılan gübre'!AL283*'Gübre oranlar'!AO$2</f>
        <v>0</v>
      </c>
      <c r="AM283">
        <f>'Kullanılan gübre'!AM283*'Gübre oranlar'!AP$2</f>
        <v>0</v>
      </c>
      <c r="AN283">
        <f>'Kullanılan gübre'!AN283*'Gübre oranlar'!AQ$2</f>
        <v>0</v>
      </c>
      <c r="AO283">
        <f>'Kullanılan gübre'!AO283*'Gübre oranlar'!AR$2</f>
        <v>0</v>
      </c>
      <c r="AP283">
        <f>'Kullanılan gübre'!AP283*'Gübre oranlar'!AS$2</f>
        <v>0</v>
      </c>
      <c r="AQ283">
        <f>'Kullanılan gübre'!AQ283*'Gübre oranlar'!AT$2</f>
        <v>0</v>
      </c>
      <c r="AR283">
        <f>'Kullanılan gübre'!AR283*'Gübre oranlar'!AU$2</f>
        <v>0</v>
      </c>
      <c r="AS283">
        <f>'Kullanılan gübre'!AS283*'Gübre oranlar'!AV$2</f>
        <v>0</v>
      </c>
      <c r="AT283">
        <f>'Kullanılan gübre'!AT283*'Gübre oranlar'!AW$2</f>
        <v>0</v>
      </c>
      <c r="AU283">
        <f>'Kullanılan gübre'!AU283*'Gübre oranlar'!AX$2</f>
        <v>0</v>
      </c>
      <c r="AV283">
        <f>'Kullanılan gübre'!AV283*'Gübre oranlar'!AY$2</f>
        <v>0</v>
      </c>
      <c r="AW283">
        <f t="shared" si="4"/>
        <v>2112.7078999999999</v>
      </c>
    </row>
    <row r="284" spans="1:49" hidden="1" x14ac:dyDescent="0.25">
      <c r="A284" t="str">
        <f>'Kullanılan gübre'!A284</f>
        <v>YI</v>
      </c>
      <c r="B284" t="str">
        <f>'Kullanılan gübre'!B284</f>
        <v>TOKAT</v>
      </c>
      <c r="C284" t="str">
        <f>'Kullanılan gübre'!C284</f>
        <v>ALMUS</v>
      </c>
      <c r="D284">
        <f>'Kullanılan gübre'!D284</f>
        <v>2007</v>
      </c>
      <c r="E284">
        <f>'Kullanılan gübre'!E284*'Gübre oranlar'!H$2</f>
        <v>0</v>
      </c>
      <c r="F284">
        <f>'Kullanılan gübre'!F284*'Gübre oranlar'!I$2</f>
        <v>6.5910000000000002</v>
      </c>
      <c r="G284">
        <f>'Kullanılan gübre'!G284*'Gübre oranlar'!J$2</f>
        <v>66.379500000000007</v>
      </c>
      <c r="H284">
        <f>'Kullanılan gübre'!H284*'Gübre oranlar'!K$2</f>
        <v>48.667999999999999</v>
      </c>
      <c r="I284">
        <f>'Kullanılan gübre'!I284*'Gübre oranlar'!L$2</f>
        <v>0</v>
      </c>
      <c r="J284">
        <f>'Kullanılan gübre'!J284*'Gübre oranlar'!M$2</f>
        <v>4.7610000000000001</v>
      </c>
      <c r="K284">
        <f>'Kullanılan gübre'!K284*'Gübre oranlar'!N$2</f>
        <v>0</v>
      </c>
      <c r="L284">
        <f>'Kullanılan gübre'!L284*'Gübre oranlar'!O$2</f>
        <v>0</v>
      </c>
      <c r="M284">
        <f>'Kullanılan gübre'!M284*'Gübre oranlar'!P$2</f>
        <v>0</v>
      </c>
      <c r="N284">
        <f>'Kullanılan gübre'!N284*'Gübre oranlar'!Q$2</f>
        <v>0</v>
      </c>
      <c r="O284">
        <f>'Kullanılan gübre'!O284*'Gübre oranlar'!R$2</f>
        <v>0</v>
      </c>
      <c r="P284">
        <f>'Kullanılan gübre'!P284*'Gübre oranlar'!S$2</f>
        <v>0</v>
      </c>
      <c r="Q284">
        <f>'Kullanılan gübre'!Q284*'Gübre oranlar'!T$2</f>
        <v>0</v>
      </c>
      <c r="R284">
        <f>'Kullanılan gübre'!R284*'Gübre oranlar'!U$2</f>
        <v>0</v>
      </c>
      <c r="S284">
        <f>'Kullanılan gübre'!S284*'Gübre oranlar'!V$2</f>
        <v>0</v>
      </c>
      <c r="T284">
        <f>'Kullanılan gübre'!T284*'Gübre oranlar'!W$2</f>
        <v>0</v>
      </c>
      <c r="U284">
        <f>'Kullanılan gübre'!U284*'Gübre oranlar'!X$2</f>
        <v>0</v>
      </c>
      <c r="V284">
        <f>'Kullanılan gübre'!V284*'Gübre oranlar'!Y$2</f>
        <v>0</v>
      </c>
      <c r="W284">
        <f>'Kullanılan gübre'!W284*'Gübre oranlar'!Z$2</f>
        <v>0</v>
      </c>
      <c r="X284">
        <f>'Kullanılan gübre'!X284*'Gübre oranlar'!AA$2</f>
        <v>0</v>
      </c>
      <c r="Y284">
        <f>'Kullanılan gübre'!Y284*'Gübre oranlar'!AB$2</f>
        <v>0</v>
      </c>
      <c r="Z284">
        <f>'Kullanılan gübre'!Z284*'Gübre oranlar'!AC$2</f>
        <v>0</v>
      </c>
      <c r="AA284">
        <f>'Kullanılan gübre'!AA284*'Gübre oranlar'!AD$2</f>
        <v>0</v>
      </c>
      <c r="AB284">
        <f>'Kullanılan gübre'!AB284*'Gübre oranlar'!AE$2</f>
        <v>0</v>
      </c>
      <c r="AC284">
        <f>'Kullanılan gübre'!AC284*'Gübre oranlar'!AF$2</f>
        <v>0</v>
      </c>
      <c r="AD284">
        <f>'Kullanılan gübre'!AD284*'Gübre oranlar'!AG$2</f>
        <v>0</v>
      </c>
      <c r="AE284">
        <f>'Kullanılan gübre'!AE284*'Gübre oranlar'!AH$2</f>
        <v>0</v>
      </c>
      <c r="AF284">
        <f>'Kullanılan gübre'!AF284*'Gübre oranlar'!AI$2</f>
        <v>0</v>
      </c>
      <c r="AG284">
        <f>'Kullanılan gübre'!AG284*'Gübre oranlar'!AJ$2</f>
        <v>0</v>
      </c>
      <c r="AH284">
        <f>'Kullanılan gübre'!AH284*'Gübre oranlar'!AK$2</f>
        <v>0</v>
      </c>
      <c r="AI284">
        <f>'Kullanılan gübre'!AI284*'Gübre oranlar'!AL$2</f>
        <v>0</v>
      </c>
      <c r="AJ284">
        <f>'Kullanılan gübre'!AJ284*'Gübre oranlar'!AM$2</f>
        <v>0</v>
      </c>
      <c r="AK284">
        <f>'Kullanılan gübre'!AK284*'Gübre oranlar'!AN$2</f>
        <v>0</v>
      </c>
      <c r="AL284">
        <f>'Kullanılan gübre'!AL284*'Gübre oranlar'!AO$2</f>
        <v>0</v>
      </c>
      <c r="AM284">
        <f>'Kullanılan gübre'!AM284*'Gübre oranlar'!AP$2</f>
        <v>0</v>
      </c>
      <c r="AN284">
        <f>'Kullanılan gübre'!AN284*'Gübre oranlar'!AQ$2</f>
        <v>0</v>
      </c>
      <c r="AO284">
        <f>'Kullanılan gübre'!AO284*'Gübre oranlar'!AR$2</f>
        <v>0</v>
      </c>
      <c r="AP284">
        <f>'Kullanılan gübre'!AP284*'Gübre oranlar'!AS$2</f>
        <v>0</v>
      </c>
      <c r="AQ284">
        <f>'Kullanılan gübre'!AQ284*'Gübre oranlar'!AT$2</f>
        <v>0</v>
      </c>
      <c r="AR284">
        <f>'Kullanılan gübre'!AR284*'Gübre oranlar'!AU$2</f>
        <v>0</v>
      </c>
      <c r="AS284">
        <f>'Kullanılan gübre'!AS284*'Gübre oranlar'!AV$2</f>
        <v>0</v>
      </c>
      <c r="AT284">
        <f>'Kullanılan gübre'!AT284*'Gübre oranlar'!AW$2</f>
        <v>0</v>
      </c>
      <c r="AU284">
        <f>'Kullanılan gübre'!AU284*'Gübre oranlar'!AX$2</f>
        <v>0</v>
      </c>
      <c r="AV284">
        <f>'Kullanılan gübre'!AV284*'Gübre oranlar'!AY$2</f>
        <v>0</v>
      </c>
      <c r="AW284">
        <f t="shared" si="4"/>
        <v>126.39949999999999</v>
      </c>
    </row>
    <row r="285" spans="1:49" hidden="1" x14ac:dyDescent="0.25">
      <c r="A285" t="str">
        <f>'Kullanılan gübre'!A285</f>
        <v>YI</v>
      </c>
      <c r="B285" t="str">
        <f>'Kullanılan gübre'!B285</f>
        <v>TOKAT</v>
      </c>
      <c r="C285" t="str">
        <f>'Kullanılan gübre'!C285</f>
        <v>ARTOVA</v>
      </c>
      <c r="D285">
        <f>'Kullanılan gübre'!D285</f>
        <v>2007</v>
      </c>
      <c r="E285">
        <f>'Kullanılan gübre'!E285*'Gübre oranlar'!H$2</f>
        <v>0</v>
      </c>
      <c r="F285">
        <f>'Kullanılan gübre'!F285*'Gübre oranlar'!I$2</f>
        <v>86.632000000000005</v>
      </c>
      <c r="G285">
        <f>'Kullanılan gübre'!G285*'Gübre oranlar'!J$2</f>
        <v>23.842500000000001</v>
      </c>
      <c r="H285">
        <f>'Kullanılan gübre'!H285*'Gübre oranlar'!K$2</f>
        <v>96.784000000000006</v>
      </c>
      <c r="I285">
        <f>'Kullanılan gübre'!I285*'Gübre oranlar'!L$2</f>
        <v>0</v>
      </c>
      <c r="J285">
        <f>'Kullanılan gübre'!J285*'Gübre oranlar'!M$2</f>
        <v>42.264000000000003</v>
      </c>
      <c r="K285">
        <f>'Kullanılan gübre'!K285*'Gübre oranlar'!N$2</f>
        <v>11.32</v>
      </c>
      <c r="L285">
        <f>'Kullanılan gübre'!L285*'Gübre oranlar'!O$2</f>
        <v>10.63</v>
      </c>
      <c r="M285">
        <f>'Kullanılan gübre'!M285*'Gübre oranlar'!P$2</f>
        <v>0</v>
      </c>
      <c r="N285">
        <f>'Kullanılan gübre'!N285*'Gübre oranlar'!Q$2</f>
        <v>0.22499999999999998</v>
      </c>
      <c r="O285">
        <f>'Kullanılan gübre'!O285*'Gübre oranlar'!R$2</f>
        <v>0</v>
      </c>
      <c r="P285">
        <f>'Kullanılan gübre'!P285*'Gübre oranlar'!S$2</f>
        <v>0</v>
      </c>
      <c r="Q285">
        <f>'Kullanılan gübre'!Q285*'Gübre oranlar'!T$2</f>
        <v>28.56</v>
      </c>
      <c r="R285">
        <f>'Kullanılan gübre'!R285*'Gübre oranlar'!U$2</f>
        <v>0</v>
      </c>
      <c r="S285">
        <f>'Kullanılan gübre'!S285*'Gübre oranlar'!V$2</f>
        <v>0</v>
      </c>
      <c r="T285">
        <f>'Kullanılan gübre'!T285*'Gübre oranlar'!W$2</f>
        <v>0</v>
      </c>
      <c r="U285">
        <f>'Kullanılan gübre'!U285*'Gübre oranlar'!X$2</f>
        <v>0</v>
      </c>
      <c r="V285">
        <f>'Kullanılan gübre'!V285*'Gübre oranlar'!Y$2</f>
        <v>0</v>
      </c>
      <c r="W285">
        <f>'Kullanılan gübre'!W285*'Gübre oranlar'!Z$2</f>
        <v>0</v>
      </c>
      <c r="X285">
        <f>'Kullanılan gübre'!X285*'Gübre oranlar'!AA$2</f>
        <v>0</v>
      </c>
      <c r="Y285">
        <f>'Kullanılan gübre'!Y285*'Gübre oranlar'!AB$2</f>
        <v>0</v>
      </c>
      <c r="Z285">
        <f>'Kullanılan gübre'!Z285*'Gübre oranlar'!AC$2</f>
        <v>0</v>
      </c>
      <c r="AA285">
        <f>'Kullanılan gübre'!AA285*'Gübre oranlar'!AD$2</f>
        <v>0</v>
      </c>
      <c r="AB285">
        <f>'Kullanılan gübre'!AB285*'Gübre oranlar'!AE$2</f>
        <v>0</v>
      </c>
      <c r="AC285">
        <f>'Kullanılan gübre'!AC285*'Gübre oranlar'!AF$2</f>
        <v>0</v>
      </c>
      <c r="AD285">
        <f>'Kullanılan gübre'!AD285*'Gübre oranlar'!AG$2</f>
        <v>0</v>
      </c>
      <c r="AE285">
        <f>'Kullanılan gübre'!AE285*'Gübre oranlar'!AH$2</f>
        <v>0</v>
      </c>
      <c r="AF285">
        <f>'Kullanılan gübre'!AF285*'Gübre oranlar'!AI$2</f>
        <v>0</v>
      </c>
      <c r="AG285">
        <f>'Kullanılan gübre'!AG285*'Gübre oranlar'!AJ$2</f>
        <v>0</v>
      </c>
      <c r="AH285">
        <f>'Kullanılan gübre'!AH285*'Gübre oranlar'!AK$2</f>
        <v>0</v>
      </c>
      <c r="AI285">
        <f>'Kullanılan gübre'!AI285*'Gübre oranlar'!AL$2</f>
        <v>0</v>
      </c>
      <c r="AJ285">
        <f>'Kullanılan gübre'!AJ285*'Gübre oranlar'!AM$2</f>
        <v>0</v>
      </c>
      <c r="AK285">
        <f>'Kullanılan gübre'!AK285*'Gübre oranlar'!AN$2</f>
        <v>0</v>
      </c>
      <c r="AL285">
        <f>'Kullanılan gübre'!AL285*'Gübre oranlar'!AO$2</f>
        <v>0</v>
      </c>
      <c r="AM285">
        <f>'Kullanılan gübre'!AM285*'Gübre oranlar'!AP$2</f>
        <v>0</v>
      </c>
      <c r="AN285">
        <f>'Kullanılan gübre'!AN285*'Gübre oranlar'!AQ$2</f>
        <v>0</v>
      </c>
      <c r="AO285">
        <f>'Kullanılan gübre'!AO285*'Gübre oranlar'!AR$2</f>
        <v>0</v>
      </c>
      <c r="AP285">
        <f>'Kullanılan gübre'!AP285*'Gübre oranlar'!AS$2</f>
        <v>0</v>
      </c>
      <c r="AQ285">
        <f>'Kullanılan gübre'!AQ285*'Gübre oranlar'!AT$2</f>
        <v>0</v>
      </c>
      <c r="AR285">
        <f>'Kullanılan gübre'!AR285*'Gübre oranlar'!AU$2</f>
        <v>0</v>
      </c>
      <c r="AS285">
        <f>'Kullanılan gübre'!AS285*'Gübre oranlar'!AV$2</f>
        <v>0</v>
      </c>
      <c r="AT285">
        <f>'Kullanılan gübre'!AT285*'Gübre oranlar'!AW$2</f>
        <v>0</v>
      </c>
      <c r="AU285">
        <f>'Kullanılan gübre'!AU285*'Gübre oranlar'!AX$2</f>
        <v>0</v>
      </c>
      <c r="AV285">
        <f>'Kullanılan gübre'!AV285*'Gübre oranlar'!AY$2</f>
        <v>0</v>
      </c>
      <c r="AW285">
        <f t="shared" si="4"/>
        <v>300.25750000000005</v>
      </c>
    </row>
    <row r="286" spans="1:49" hidden="1" x14ac:dyDescent="0.25">
      <c r="A286" t="str">
        <f>'Kullanılan gübre'!A286</f>
        <v>YI</v>
      </c>
      <c r="B286" t="str">
        <f>'Kullanılan gübre'!B286</f>
        <v>TOKAT</v>
      </c>
      <c r="C286" t="str">
        <f>'Kullanılan gübre'!C286</f>
        <v>BASCIFTLIK</v>
      </c>
      <c r="D286">
        <f>'Kullanılan gübre'!D286</f>
        <v>2007</v>
      </c>
      <c r="E286">
        <f>'Kullanılan gübre'!E286*'Gübre oranlar'!H$2</f>
        <v>0</v>
      </c>
      <c r="F286">
        <f>'Kullanılan gübre'!F286*'Gübre oranlar'!I$2</f>
        <v>0</v>
      </c>
      <c r="G286">
        <f>'Kullanılan gübre'!G286*'Gübre oranlar'!J$2</f>
        <v>0</v>
      </c>
      <c r="H286">
        <f>'Kullanılan gübre'!H286*'Gübre oranlar'!K$2</f>
        <v>0</v>
      </c>
      <c r="I286">
        <f>'Kullanılan gübre'!I286*'Gübre oranlar'!L$2</f>
        <v>0</v>
      </c>
      <c r="J286">
        <f>'Kullanılan gübre'!J286*'Gübre oranlar'!M$2</f>
        <v>0</v>
      </c>
      <c r="K286">
        <f>'Kullanılan gübre'!K286*'Gübre oranlar'!N$2</f>
        <v>0</v>
      </c>
      <c r="L286">
        <f>'Kullanılan gübre'!L286*'Gübre oranlar'!O$2</f>
        <v>0</v>
      </c>
      <c r="M286">
        <f>'Kullanılan gübre'!M286*'Gübre oranlar'!P$2</f>
        <v>0</v>
      </c>
      <c r="N286">
        <f>'Kullanılan gübre'!N286*'Gübre oranlar'!Q$2</f>
        <v>0</v>
      </c>
      <c r="O286">
        <f>'Kullanılan gübre'!O286*'Gübre oranlar'!R$2</f>
        <v>0</v>
      </c>
      <c r="P286">
        <f>'Kullanılan gübre'!P286*'Gübre oranlar'!S$2</f>
        <v>0</v>
      </c>
      <c r="Q286">
        <f>'Kullanılan gübre'!Q286*'Gübre oranlar'!T$2</f>
        <v>0</v>
      </c>
      <c r="R286">
        <f>'Kullanılan gübre'!R286*'Gübre oranlar'!U$2</f>
        <v>0</v>
      </c>
      <c r="S286">
        <f>'Kullanılan gübre'!S286*'Gübre oranlar'!V$2</f>
        <v>0</v>
      </c>
      <c r="T286">
        <f>'Kullanılan gübre'!T286*'Gübre oranlar'!W$2</f>
        <v>0</v>
      </c>
      <c r="U286">
        <f>'Kullanılan gübre'!U286*'Gübre oranlar'!X$2</f>
        <v>0</v>
      </c>
      <c r="V286">
        <f>'Kullanılan gübre'!V286*'Gübre oranlar'!Y$2</f>
        <v>0</v>
      </c>
      <c r="W286">
        <f>'Kullanılan gübre'!W286*'Gübre oranlar'!Z$2</f>
        <v>0</v>
      </c>
      <c r="X286">
        <f>'Kullanılan gübre'!X286*'Gübre oranlar'!AA$2</f>
        <v>0</v>
      </c>
      <c r="Y286">
        <f>'Kullanılan gübre'!Y286*'Gübre oranlar'!AB$2</f>
        <v>0</v>
      </c>
      <c r="Z286">
        <f>'Kullanılan gübre'!Z286*'Gübre oranlar'!AC$2</f>
        <v>0</v>
      </c>
      <c r="AA286">
        <f>'Kullanılan gübre'!AA286*'Gübre oranlar'!AD$2</f>
        <v>0</v>
      </c>
      <c r="AB286">
        <f>'Kullanılan gübre'!AB286*'Gübre oranlar'!AE$2</f>
        <v>0</v>
      </c>
      <c r="AC286">
        <f>'Kullanılan gübre'!AC286*'Gübre oranlar'!AF$2</f>
        <v>0</v>
      </c>
      <c r="AD286">
        <f>'Kullanılan gübre'!AD286*'Gübre oranlar'!AG$2</f>
        <v>0</v>
      </c>
      <c r="AE286">
        <f>'Kullanılan gübre'!AE286*'Gübre oranlar'!AH$2</f>
        <v>0</v>
      </c>
      <c r="AF286">
        <f>'Kullanılan gübre'!AF286*'Gübre oranlar'!AI$2</f>
        <v>0</v>
      </c>
      <c r="AG286">
        <f>'Kullanılan gübre'!AG286*'Gübre oranlar'!AJ$2</f>
        <v>0</v>
      </c>
      <c r="AH286">
        <f>'Kullanılan gübre'!AH286*'Gübre oranlar'!AK$2</f>
        <v>0</v>
      </c>
      <c r="AI286">
        <f>'Kullanılan gübre'!AI286*'Gübre oranlar'!AL$2</f>
        <v>0</v>
      </c>
      <c r="AJ286">
        <f>'Kullanılan gübre'!AJ286*'Gübre oranlar'!AM$2</f>
        <v>0</v>
      </c>
      <c r="AK286">
        <f>'Kullanılan gübre'!AK286*'Gübre oranlar'!AN$2</f>
        <v>0</v>
      </c>
      <c r="AL286">
        <f>'Kullanılan gübre'!AL286*'Gübre oranlar'!AO$2</f>
        <v>0</v>
      </c>
      <c r="AM286">
        <f>'Kullanılan gübre'!AM286*'Gübre oranlar'!AP$2</f>
        <v>0</v>
      </c>
      <c r="AN286">
        <f>'Kullanılan gübre'!AN286*'Gübre oranlar'!AQ$2</f>
        <v>0</v>
      </c>
      <c r="AO286">
        <f>'Kullanılan gübre'!AO286*'Gübre oranlar'!AR$2</f>
        <v>0</v>
      </c>
      <c r="AP286">
        <f>'Kullanılan gübre'!AP286*'Gübre oranlar'!AS$2</f>
        <v>0</v>
      </c>
      <c r="AQ286">
        <f>'Kullanılan gübre'!AQ286*'Gübre oranlar'!AT$2</f>
        <v>0</v>
      </c>
      <c r="AR286">
        <f>'Kullanılan gübre'!AR286*'Gübre oranlar'!AU$2</f>
        <v>0</v>
      </c>
      <c r="AS286">
        <f>'Kullanılan gübre'!AS286*'Gübre oranlar'!AV$2</f>
        <v>0</v>
      </c>
      <c r="AT286">
        <f>'Kullanılan gübre'!AT286*'Gübre oranlar'!AW$2</f>
        <v>0</v>
      </c>
      <c r="AU286">
        <f>'Kullanılan gübre'!AU286*'Gübre oranlar'!AX$2</f>
        <v>0</v>
      </c>
      <c r="AV286">
        <f>'Kullanılan gübre'!AV286*'Gübre oranlar'!AY$2</f>
        <v>0</v>
      </c>
      <c r="AW286">
        <f t="shared" si="4"/>
        <v>0</v>
      </c>
    </row>
    <row r="287" spans="1:49" hidden="1" x14ac:dyDescent="0.25">
      <c r="A287" t="str">
        <f>'Kullanılan gübre'!A287</f>
        <v>YI</v>
      </c>
      <c r="B287" t="str">
        <f>'Kullanılan gübre'!B287</f>
        <v>TOKAT</v>
      </c>
      <c r="C287" t="str">
        <f>'Kullanılan gübre'!C287</f>
        <v>ERBAA</v>
      </c>
      <c r="D287">
        <f>'Kullanılan gübre'!D287</f>
        <v>2007</v>
      </c>
      <c r="E287">
        <f>'Kullanılan gübre'!E287*'Gübre oranlar'!H$2</f>
        <v>0</v>
      </c>
      <c r="F287">
        <f>'Kullanılan gübre'!F287*'Gübre oranlar'!I$2</f>
        <v>320.35900000000004</v>
      </c>
      <c r="G287">
        <f>'Kullanılan gübre'!G287*'Gübre oranlar'!J$2</f>
        <v>675.64200000000005</v>
      </c>
      <c r="H287">
        <f>'Kullanılan gübre'!H287*'Gübre oranlar'!K$2</f>
        <v>288.834</v>
      </c>
      <c r="I287">
        <f>'Kullanılan gübre'!I287*'Gübre oranlar'!L$2</f>
        <v>0</v>
      </c>
      <c r="J287">
        <f>'Kullanılan gübre'!J287*'Gübre oranlar'!M$2</f>
        <v>214.79399999999998</v>
      </c>
      <c r="K287">
        <f>'Kullanılan gübre'!K287*'Gübre oranlar'!N$2</f>
        <v>302.08000000000004</v>
      </c>
      <c r="L287">
        <f>'Kullanılan gübre'!L287*'Gübre oranlar'!O$2</f>
        <v>0</v>
      </c>
      <c r="M287">
        <f>'Kullanılan gübre'!M287*'Gübre oranlar'!P$2</f>
        <v>304.3725</v>
      </c>
      <c r="N287">
        <f>'Kullanılan gübre'!N287*'Gübre oranlar'!Q$2</f>
        <v>0</v>
      </c>
      <c r="O287">
        <f>'Kullanılan gübre'!O287*'Gübre oranlar'!R$2</f>
        <v>0</v>
      </c>
      <c r="P287">
        <f>'Kullanılan gübre'!P287*'Gübre oranlar'!S$2</f>
        <v>0</v>
      </c>
      <c r="Q287">
        <f>'Kullanılan gübre'!Q287*'Gübre oranlar'!T$2</f>
        <v>0</v>
      </c>
      <c r="R287">
        <f>'Kullanılan gübre'!R287*'Gübre oranlar'!U$2</f>
        <v>0</v>
      </c>
      <c r="S287">
        <f>'Kullanılan gübre'!S287*'Gübre oranlar'!V$2</f>
        <v>0</v>
      </c>
      <c r="T287">
        <f>'Kullanılan gübre'!T287*'Gübre oranlar'!W$2</f>
        <v>0</v>
      </c>
      <c r="U287">
        <f>'Kullanılan gübre'!U287*'Gübre oranlar'!X$2</f>
        <v>0</v>
      </c>
      <c r="V287">
        <f>'Kullanılan gübre'!V287*'Gübre oranlar'!Y$2</f>
        <v>0</v>
      </c>
      <c r="W287">
        <f>'Kullanılan gübre'!W287*'Gübre oranlar'!Z$2</f>
        <v>0</v>
      </c>
      <c r="X287">
        <f>'Kullanılan gübre'!X287*'Gübre oranlar'!AA$2</f>
        <v>0</v>
      </c>
      <c r="Y287">
        <f>'Kullanılan gübre'!Y287*'Gübre oranlar'!AB$2</f>
        <v>0</v>
      </c>
      <c r="Z287">
        <f>'Kullanılan gübre'!Z287*'Gübre oranlar'!AC$2</f>
        <v>0</v>
      </c>
      <c r="AA287">
        <f>'Kullanılan gübre'!AA287*'Gübre oranlar'!AD$2</f>
        <v>0</v>
      </c>
      <c r="AB287">
        <f>'Kullanılan gübre'!AB287*'Gübre oranlar'!AE$2</f>
        <v>0</v>
      </c>
      <c r="AC287">
        <f>'Kullanılan gübre'!AC287*'Gübre oranlar'!AF$2</f>
        <v>0</v>
      </c>
      <c r="AD287">
        <f>'Kullanılan gübre'!AD287*'Gübre oranlar'!AG$2</f>
        <v>0</v>
      </c>
      <c r="AE287">
        <f>'Kullanılan gübre'!AE287*'Gübre oranlar'!AH$2</f>
        <v>0</v>
      </c>
      <c r="AF287">
        <f>'Kullanılan gübre'!AF287*'Gübre oranlar'!AI$2</f>
        <v>0</v>
      </c>
      <c r="AG287">
        <f>'Kullanılan gübre'!AG287*'Gübre oranlar'!AJ$2</f>
        <v>0</v>
      </c>
      <c r="AH287">
        <f>'Kullanılan gübre'!AH287*'Gübre oranlar'!AK$2</f>
        <v>0</v>
      </c>
      <c r="AI287">
        <f>'Kullanılan gübre'!AI287*'Gübre oranlar'!AL$2</f>
        <v>0</v>
      </c>
      <c r="AJ287">
        <f>'Kullanılan gübre'!AJ287*'Gübre oranlar'!AM$2</f>
        <v>0</v>
      </c>
      <c r="AK287">
        <f>'Kullanılan gübre'!AK287*'Gübre oranlar'!AN$2</f>
        <v>0</v>
      </c>
      <c r="AL287">
        <f>'Kullanılan gübre'!AL287*'Gübre oranlar'!AO$2</f>
        <v>0</v>
      </c>
      <c r="AM287">
        <f>'Kullanılan gübre'!AM287*'Gübre oranlar'!AP$2</f>
        <v>0</v>
      </c>
      <c r="AN287">
        <f>'Kullanılan gübre'!AN287*'Gübre oranlar'!AQ$2</f>
        <v>0</v>
      </c>
      <c r="AO287">
        <f>'Kullanılan gübre'!AO287*'Gübre oranlar'!AR$2</f>
        <v>0</v>
      </c>
      <c r="AP287">
        <f>'Kullanılan gübre'!AP287*'Gübre oranlar'!AS$2</f>
        <v>0</v>
      </c>
      <c r="AQ287">
        <f>'Kullanılan gübre'!AQ287*'Gübre oranlar'!AT$2</f>
        <v>0</v>
      </c>
      <c r="AR287">
        <f>'Kullanılan gübre'!AR287*'Gübre oranlar'!AU$2</f>
        <v>0</v>
      </c>
      <c r="AS287">
        <f>'Kullanılan gübre'!AS287*'Gübre oranlar'!AV$2</f>
        <v>0</v>
      </c>
      <c r="AT287">
        <f>'Kullanılan gübre'!AT287*'Gübre oranlar'!AW$2</f>
        <v>0</v>
      </c>
      <c r="AU287">
        <f>'Kullanılan gübre'!AU287*'Gübre oranlar'!AX$2</f>
        <v>0</v>
      </c>
      <c r="AV287">
        <f>'Kullanılan gübre'!AV287*'Gübre oranlar'!AY$2</f>
        <v>0</v>
      </c>
      <c r="AW287">
        <f t="shared" si="4"/>
        <v>2106.0814999999998</v>
      </c>
    </row>
    <row r="288" spans="1:49" hidden="1" x14ac:dyDescent="0.25">
      <c r="A288" t="str">
        <f>'Kullanılan gübre'!A288</f>
        <v>YI</v>
      </c>
      <c r="B288" t="str">
        <f>'Kullanılan gübre'!B288</f>
        <v>TOKAT</v>
      </c>
      <c r="C288" t="str">
        <f>'Kullanılan gübre'!C288</f>
        <v>NIKSAR</v>
      </c>
      <c r="D288">
        <f>'Kullanılan gübre'!D288</f>
        <v>2007</v>
      </c>
      <c r="E288">
        <f>'Kullanılan gübre'!E288*'Gübre oranlar'!H$2</f>
        <v>18.669</v>
      </c>
      <c r="F288">
        <f>'Kullanılan gübre'!F288*'Gübre oranlar'!I$2</f>
        <v>60.853000000000002</v>
      </c>
      <c r="G288">
        <f>'Kullanılan gübre'!G288*'Gübre oranlar'!J$2</f>
        <v>113.355</v>
      </c>
      <c r="H288">
        <f>'Kullanılan gübre'!H288*'Gübre oranlar'!K$2</f>
        <v>114.79300000000001</v>
      </c>
      <c r="I288">
        <f>'Kullanılan gübre'!I288*'Gübre oranlar'!L$2</f>
        <v>0</v>
      </c>
      <c r="J288">
        <f>'Kullanılan gübre'!J288*'Gübre oranlar'!M$2</f>
        <v>42.597000000000001</v>
      </c>
      <c r="K288">
        <f>'Kullanılan gübre'!K288*'Gübre oranlar'!N$2</f>
        <v>24.26</v>
      </c>
      <c r="L288">
        <f>'Kullanılan gübre'!L288*'Gübre oranlar'!O$2</f>
        <v>0</v>
      </c>
      <c r="M288">
        <f>'Kullanılan gübre'!M288*'Gübre oranlar'!P$2</f>
        <v>20.835000000000001</v>
      </c>
      <c r="N288">
        <f>'Kullanılan gübre'!N288*'Gübre oranlar'!Q$2</f>
        <v>0</v>
      </c>
      <c r="O288">
        <f>'Kullanılan gübre'!O288*'Gübre oranlar'!R$2</f>
        <v>0</v>
      </c>
      <c r="P288">
        <f>'Kullanılan gübre'!P288*'Gübre oranlar'!S$2</f>
        <v>0</v>
      </c>
      <c r="Q288">
        <f>'Kullanılan gübre'!Q288*'Gübre oranlar'!T$2</f>
        <v>0</v>
      </c>
      <c r="R288">
        <f>'Kullanılan gübre'!R288*'Gübre oranlar'!U$2</f>
        <v>0</v>
      </c>
      <c r="S288">
        <f>'Kullanılan gübre'!S288*'Gübre oranlar'!V$2</f>
        <v>0</v>
      </c>
      <c r="T288">
        <f>'Kullanılan gübre'!T288*'Gübre oranlar'!W$2</f>
        <v>0</v>
      </c>
      <c r="U288">
        <f>'Kullanılan gübre'!U288*'Gübre oranlar'!X$2</f>
        <v>0</v>
      </c>
      <c r="V288">
        <f>'Kullanılan gübre'!V288*'Gübre oranlar'!Y$2</f>
        <v>0</v>
      </c>
      <c r="W288">
        <f>'Kullanılan gübre'!W288*'Gübre oranlar'!Z$2</f>
        <v>0</v>
      </c>
      <c r="X288">
        <f>'Kullanılan gübre'!X288*'Gübre oranlar'!AA$2</f>
        <v>0</v>
      </c>
      <c r="Y288">
        <f>'Kullanılan gübre'!Y288*'Gübre oranlar'!AB$2</f>
        <v>0</v>
      </c>
      <c r="Z288">
        <f>'Kullanılan gübre'!Z288*'Gübre oranlar'!AC$2</f>
        <v>0</v>
      </c>
      <c r="AA288">
        <f>'Kullanılan gübre'!AA288*'Gübre oranlar'!AD$2</f>
        <v>0</v>
      </c>
      <c r="AB288">
        <f>'Kullanılan gübre'!AB288*'Gübre oranlar'!AE$2</f>
        <v>0</v>
      </c>
      <c r="AC288">
        <f>'Kullanılan gübre'!AC288*'Gübre oranlar'!AF$2</f>
        <v>0</v>
      </c>
      <c r="AD288">
        <f>'Kullanılan gübre'!AD288*'Gübre oranlar'!AG$2</f>
        <v>0</v>
      </c>
      <c r="AE288">
        <f>'Kullanılan gübre'!AE288*'Gübre oranlar'!AH$2</f>
        <v>0</v>
      </c>
      <c r="AF288">
        <f>'Kullanılan gübre'!AF288*'Gübre oranlar'!AI$2</f>
        <v>0</v>
      </c>
      <c r="AG288">
        <f>'Kullanılan gübre'!AG288*'Gübre oranlar'!AJ$2</f>
        <v>0</v>
      </c>
      <c r="AH288">
        <f>'Kullanılan gübre'!AH288*'Gübre oranlar'!AK$2</f>
        <v>0</v>
      </c>
      <c r="AI288">
        <f>'Kullanılan gübre'!AI288*'Gübre oranlar'!AL$2</f>
        <v>0</v>
      </c>
      <c r="AJ288">
        <f>'Kullanılan gübre'!AJ288*'Gübre oranlar'!AM$2</f>
        <v>0</v>
      </c>
      <c r="AK288">
        <f>'Kullanılan gübre'!AK288*'Gübre oranlar'!AN$2</f>
        <v>0</v>
      </c>
      <c r="AL288">
        <f>'Kullanılan gübre'!AL288*'Gübre oranlar'!AO$2</f>
        <v>0</v>
      </c>
      <c r="AM288">
        <f>'Kullanılan gübre'!AM288*'Gübre oranlar'!AP$2</f>
        <v>0</v>
      </c>
      <c r="AN288">
        <f>'Kullanılan gübre'!AN288*'Gübre oranlar'!AQ$2</f>
        <v>0</v>
      </c>
      <c r="AO288">
        <f>'Kullanılan gübre'!AO288*'Gübre oranlar'!AR$2</f>
        <v>0</v>
      </c>
      <c r="AP288">
        <f>'Kullanılan gübre'!AP288*'Gübre oranlar'!AS$2</f>
        <v>0</v>
      </c>
      <c r="AQ288">
        <f>'Kullanılan gübre'!AQ288*'Gübre oranlar'!AT$2</f>
        <v>0</v>
      </c>
      <c r="AR288">
        <f>'Kullanılan gübre'!AR288*'Gübre oranlar'!AU$2</f>
        <v>0</v>
      </c>
      <c r="AS288">
        <f>'Kullanılan gübre'!AS288*'Gübre oranlar'!AV$2</f>
        <v>0</v>
      </c>
      <c r="AT288">
        <f>'Kullanılan gübre'!AT288*'Gübre oranlar'!AW$2</f>
        <v>0</v>
      </c>
      <c r="AU288">
        <f>'Kullanılan gübre'!AU288*'Gübre oranlar'!AX$2</f>
        <v>0</v>
      </c>
      <c r="AV288">
        <f>'Kullanılan gübre'!AV288*'Gübre oranlar'!AY$2</f>
        <v>0</v>
      </c>
      <c r="AW288">
        <f t="shared" si="4"/>
        <v>395.36199999999997</v>
      </c>
    </row>
    <row r="289" spans="1:49" hidden="1" x14ac:dyDescent="0.25">
      <c r="A289" t="str">
        <f>'Kullanılan gübre'!A289</f>
        <v>YI</v>
      </c>
      <c r="B289" t="str">
        <f>'Kullanılan gübre'!B289</f>
        <v>TOKAT</v>
      </c>
      <c r="C289" t="str">
        <f>'Kullanılan gübre'!C289</f>
        <v>PAZAR</v>
      </c>
      <c r="D289">
        <f>'Kullanılan gübre'!D289</f>
        <v>2007</v>
      </c>
      <c r="E289">
        <f>'Kullanılan gübre'!E289*'Gübre oranlar'!H$2</f>
        <v>6.7725</v>
      </c>
      <c r="F289">
        <f>'Kullanılan gübre'!F289*'Gübre oranlar'!I$2</f>
        <v>19.942</v>
      </c>
      <c r="G289">
        <f>'Kullanılan gübre'!G289*'Gübre oranlar'!J$2</f>
        <v>60.769500000000008</v>
      </c>
      <c r="H289">
        <f>'Kullanılan gübre'!H289*'Gübre oranlar'!K$2</f>
        <v>271.99799999999999</v>
      </c>
      <c r="I289">
        <f>'Kullanılan gübre'!I289*'Gübre oranlar'!L$2</f>
        <v>0</v>
      </c>
      <c r="J289">
        <f>'Kullanılan gübre'!J289*'Gübre oranlar'!M$2</f>
        <v>30.212999999999997</v>
      </c>
      <c r="K289">
        <f>'Kullanılan gübre'!K289*'Gübre oranlar'!N$2</f>
        <v>3.9299999999999997</v>
      </c>
      <c r="L289">
        <f>'Kullanılan gübre'!L289*'Gübre oranlar'!O$2</f>
        <v>9.120000000000001</v>
      </c>
      <c r="M289">
        <f>'Kullanılan gübre'!M289*'Gübre oranlar'!P$2</f>
        <v>6.8474999999999993</v>
      </c>
      <c r="N289">
        <f>'Kullanılan gübre'!N289*'Gübre oranlar'!Q$2</f>
        <v>10.35</v>
      </c>
      <c r="O289">
        <f>'Kullanılan gübre'!O289*'Gübre oranlar'!R$2</f>
        <v>0</v>
      </c>
      <c r="P289">
        <f>'Kullanılan gübre'!P289*'Gübre oranlar'!S$2</f>
        <v>39</v>
      </c>
      <c r="Q289">
        <f>'Kullanılan gübre'!Q289*'Gübre oranlar'!T$2</f>
        <v>55.332000000000001</v>
      </c>
      <c r="R289">
        <f>'Kullanılan gübre'!R289*'Gübre oranlar'!U$2</f>
        <v>0</v>
      </c>
      <c r="S289">
        <f>'Kullanılan gübre'!S289*'Gübre oranlar'!V$2</f>
        <v>0</v>
      </c>
      <c r="T289">
        <f>'Kullanılan gübre'!T289*'Gübre oranlar'!W$2</f>
        <v>0</v>
      </c>
      <c r="U289">
        <f>'Kullanılan gübre'!U289*'Gübre oranlar'!X$2</f>
        <v>0</v>
      </c>
      <c r="V289">
        <f>'Kullanılan gübre'!V289*'Gübre oranlar'!Y$2</f>
        <v>0</v>
      </c>
      <c r="W289">
        <f>'Kullanılan gübre'!W289*'Gübre oranlar'!Z$2</f>
        <v>0</v>
      </c>
      <c r="X289">
        <f>'Kullanılan gübre'!X289*'Gübre oranlar'!AA$2</f>
        <v>0</v>
      </c>
      <c r="Y289">
        <f>'Kullanılan gübre'!Y289*'Gübre oranlar'!AB$2</f>
        <v>0</v>
      </c>
      <c r="Z289">
        <f>'Kullanılan gübre'!Z289*'Gübre oranlar'!AC$2</f>
        <v>0</v>
      </c>
      <c r="AA289">
        <f>'Kullanılan gübre'!AA289*'Gübre oranlar'!AD$2</f>
        <v>0</v>
      </c>
      <c r="AB289">
        <f>'Kullanılan gübre'!AB289*'Gübre oranlar'!AE$2</f>
        <v>0</v>
      </c>
      <c r="AC289">
        <f>'Kullanılan gübre'!AC289*'Gübre oranlar'!AF$2</f>
        <v>0</v>
      </c>
      <c r="AD289">
        <f>'Kullanılan gübre'!AD289*'Gübre oranlar'!AG$2</f>
        <v>0</v>
      </c>
      <c r="AE289">
        <f>'Kullanılan gübre'!AE289*'Gübre oranlar'!AH$2</f>
        <v>0</v>
      </c>
      <c r="AF289">
        <f>'Kullanılan gübre'!AF289*'Gübre oranlar'!AI$2</f>
        <v>0</v>
      </c>
      <c r="AG289">
        <f>'Kullanılan gübre'!AG289*'Gübre oranlar'!AJ$2</f>
        <v>0</v>
      </c>
      <c r="AH289">
        <f>'Kullanılan gübre'!AH289*'Gübre oranlar'!AK$2</f>
        <v>0</v>
      </c>
      <c r="AI289">
        <f>'Kullanılan gübre'!AI289*'Gübre oranlar'!AL$2</f>
        <v>0</v>
      </c>
      <c r="AJ289">
        <f>'Kullanılan gübre'!AJ289*'Gübre oranlar'!AM$2</f>
        <v>0</v>
      </c>
      <c r="AK289">
        <f>'Kullanılan gübre'!AK289*'Gübre oranlar'!AN$2</f>
        <v>0</v>
      </c>
      <c r="AL289">
        <f>'Kullanılan gübre'!AL289*'Gübre oranlar'!AO$2</f>
        <v>0</v>
      </c>
      <c r="AM289">
        <f>'Kullanılan gübre'!AM289*'Gübre oranlar'!AP$2</f>
        <v>0</v>
      </c>
      <c r="AN289">
        <f>'Kullanılan gübre'!AN289*'Gübre oranlar'!AQ$2</f>
        <v>0</v>
      </c>
      <c r="AO289">
        <f>'Kullanılan gübre'!AO289*'Gübre oranlar'!AR$2</f>
        <v>0</v>
      </c>
      <c r="AP289">
        <f>'Kullanılan gübre'!AP289*'Gübre oranlar'!AS$2</f>
        <v>0</v>
      </c>
      <c r="AQ289">
        <f>'Kullanılan gübre'!AQ289*'Gübre oranlar'!AT$2</f>
        <v>0</v>
      </c>
      <c r="AR289">
        <f>'Kullanılan gübre'!AR289*'Gübre oranlar'!AU$2</f>
        <v>0</v>
      </c>
      <c r="AS289">
        <f>'Kullanılan gübre'!AS289*'Gübre oranlar'!AV$2</f>
        <v>0</v>
      </c>
      <c r="AT289">
        <f>'Kullanılan gübre'!AT289*'Gübre oranlar'!AW$2</f>
        <v>0</v>
      </c>
      <c r="AU289">
        <f>'Kullanılan gübre'!AU289*'Gübre oranlar'!AX$2</f>
        <v>0</v>
      </c>
      <c r="AV289">
        <f>'Kullanılan gübre'!AV289*'Gübre oranlar'!AY$2</f>
        <v>0</v>
      </c>
      <c r="AW289">
        <f t="shared" si="4"/>
        <v>514.2745000000001</v>
      </c>
    </row>
    <row r="290" spans="1:49" hidden="1" x14ac:dyDescent="0.25">
      <c r="A290" t="str">
        <f>'Kullanılan gübre'!A290</f>
        <v>YI</v>
      </c>
      <c r="B290" t="str">
        <f>'Kullanılan gübre'!B290</f>
        <v>TOKAT</v>
      </c>
      <c r="C290" t="str">
        <f>'Kullanılan gübre'!C290</f>
        <v>RESADIYE</v>
      </c>
      <c r="D290">
        <f>'Kullanılan gübre'!D290</f>
        <v>2007</v>
      </c>
      <c r="E290">
        <f>'Kullanılan gübre'!E290*'Gübre oranlar'!H$2</f>
        <v>0</v>
      </c>
      <c r="F290">
        <f>'Kullanılan gübre'!F290*'Gübre oranlar'!I$2</f>
        <v>27.82</v>
      </c>
      <c r="G290">
        <f>'Kullanılan gübre'!G290*'Gübre oranlar'!J$2</f>
        <v>29.7165</v>
      </c>
      <c r="H290">
        <f>'Kullanılan gübre'!H290*'Gübre oranlar'!K$2</f>
        <v>27.876000000000001</v>
      </c>
      <c r="I290">
        <f>'Kullanılan gübre'!I290*'Gübre oranlar'!L$2</f>
        <v>0</v>
      </c>
      <c r="J290">
        <f>'Kullanılan gübre'!J290*'Gübre oranlar'!M$2</f>
        <v>20.114999999999998</v>
      </c>
      <c r="K290">
        <f>'Kullanılan gübre'!K290*'Gübre oranlar'!N$2</f>
        <v>0</v>
      </c>
      <c r="L290">
        <f>'Kullanılan gübre'!L290*'Gübre oranlar'!O$2</f>
        <v>0</v>
      </c>
      <c r="M290">
        <f>'Kullanılan gübre'!M290*'Gübre oranlar'!P$2</f>
        <v>0</v>
      </c>
      <c r="N290">
        <f>'Kullanılan gübre'!N290*'Gübre oranlar'!Q$2</f>
        <v>0</v>
      </c>
      <c r="O290">
        <f>'Kullanılan gübre'!O290*'Gübre oranlar'!R$2</f>
        <v>0</v>
      </c>
      <c r="P290">
        <f>'Kullanılan gübre'!P290*'Gübre oranlar'!S$2</f>
        <v>0</v>
      </c>
      <c r="Q290">
        <f>'Kullanılan gübre'!Q290*'Gübre oranlar'!T$2</f>
        <v>0</v>
      </c>
      <c r="R290">
        <f>'Kullanılan gübre'!R290*'Gübre oranlar'!U$2</f>
        <v>0</v>
      </c>
      <c r="S290">
        <f>'Kullanılan gübre'!S290*'Gübre oranlar'!V$2</f>
        <v>0</v>
      </c>
      <c r="T290">
        <f>'Kullanılan gübre'!T290*'Gübre oranlar'!W$2</f>
        <v>0</v>
      </c>
      <c r="U290">
        <f>'Kullanılan gübre'!U290*'Gübre oranlar'!X$2</f>
        <v>0</v>
      </c>
      <c r="V290">
        <f>'Kullanılan gübre'!V290*'Gübre oranlar'!Y$2</f>
        <v>0</v>
      </c>
      <c r="W290">
        <f>'Kullanılan gübre'!W290*'Gübre oranlar'!Z$2</f>
        <v>0</v>
      </c>
      <c r="X290">
        <f>'Kullanılan gübre'!X290*'Gübre oranlar'!AA$2</f>
        <v>0</v>
      </c>
      <c r="Y290">
        <f>'Kullanılan gübre'!Y290*'Gübre oranlar'!AB$2</f>
        <v>0</v>
      </c>
      <c r="Z290">
        <f>'Kullanılan gübre'!Z290*'Gübre oranlar'!AC$2</f>
        <v>0</v>
      </c>
      <c r="AA290">
        <f>'Kullanılan gübre'!AA290*'Gübre oranlar'!AD$2</f>
        <v>0</v>
      </c>
      <c r="AB290">
        <f>'Kullanılan gübre'!AB290*'Gübre oranlar'!AE$2</f>
        <v>0</v>
      </c>
      <c r="AC290">
        <f>'Kullanılan gübre'!AC290*'Gübre oranlar'!AF$2</f>
        <v>0</v>
      </c>
      <c r="AD290">
        <f>'Kullanılan gübre'!AD290*'Gübre oranlar'!AG$2</f>
        <v>0</v>
      </c>
      <c r="AE290">
        <f>'Kullanılan gübre'!AE290*'Gübre oranlar'!AH$2</f>
        <v>0</v>
      </c>
      <c r="AF290">
        <f>'Kullanılan gübre'!AF290*'Gübre oranlar'!AI$2</f>
        <v>0</v>
      </c>
      <c r="AG290">
        <f>'Kullanılan gübre'!AG290*'Gübre oranlar'!AJ$2</f>
        <v>0</v>
      </c>
      <c r="AH290">
        <f>'Kullanılan gübre'!AH290*'Gübre oranlar'!AK$2</f>
        <v>0</v>
      </c>
      <c r="AI290">
        <f>'Kullanılan gübre'!AI290*'Gübre oranlar'!AL$2</f>
        <v>0</v>
      </c>
      <c r="AJ290">
        <f>'Kullanılan gübre'!AJ290*'Gübre oranlar'!AM$2</f>
        <v>0</v>
      </c>
      <c r="AK290">
        <f>'Kullanılan gübre'!AK290*'Gübre oranlar'!AN$2</f>
        <v>0</v>
      </c>
      <c r="AL290">
        <f>'Kullanılan gübre'!AL290*'Gübre oranlar'!AO$2</f>
        <v>0</v>
      </c>
      <c r="AM290">
        <f>'Kullanılan gübre'!AM290*'Gübre oranlar'!AP$2</f>
        <v>0</v>
      </c>
      <c r="AN290">
        <f>'Kullanılan gübre'!AN290*'Gübre oranlar'!AQ$2</f>
        <v>0</v>
      </c>
      <c r="AO290">
        <f>'Kullanılan gübre'!AO290*'Gübre oranlar'!AR$2</f>
        <v>0</v>
      </c>
      <c r="AP290">
        <f>'Kullanılan gübre'!AP290*'Gübre oranlar'!AS$2</f>
        <v>0</v>
      </c>
      <c r="AQ290">
        <f>'Kullanılan gübre'!AQ290*'Gübre oranlar'!AT$2</f>
        <v>0</v>
      </c>
      <c r="AR290">
        <f>'Kullanılan gübre'!AR290*'Gübre oranlar'!AU$2</f>
        <v>0</v>
      </c>
      <c r="AS290">
        <f>'Kullanılan gübre'!AS290*'Gübre oranlar'!AV$2</f>
        <v>0</v>
      </c>
      <c r="AT290">
        <f>'Kullanılan gübre'!AT290*'Gübre oranlar'!AW$2</f>
        <v>0</v>
      </c>
      <c r="AU290">
        <f>'Kullanılan gübre'!AU290*'Gübre oranlar'!AX$2</f>
        <v>0</v>
      </c>
      <c r="AV290">
        <f>'Kullanılan gübre'!AV290*'Gübre oranlar'!AY$2</f>
        <v>0</v>
      </c>
      <c r="AW290">
        <f t="shared" si="4"/>
        <v>105.5275</v>
      </c>
    </row>
    <row r="291" spans="1:49" hidden="1" x14ac:dyDescent="0.25">
      <c r="A291" t="str">
        <f>'Kullanılan gübre'!A291</f>
        <v>YI</v>
      </c>
      <c r="B291" t="str">
        <f>'Kullanılan gübre'!B291</f>
        <v>TOKAT</v>
      </c>
      <c r="C291" t="str">
        <f>'Kullanılan gübre'!C291</f>
        <v>SULUSARAY</v>
      </c>
      <c r="D291">
        <f>'Kullanılan gübre'!D291</f>
        <v>2007</v>
      </c>
      <c r="E291">
        <f>'Kullanılan gübre'!E291*'Gübre oranlar'!H$2</f>
        <v>0</v>
      </c>
      <c r="F291">
        <f>'Kullanılan gübre'!F291*'Gübre oranlar'!I$2</f>
        <v>74.061000000000007</v>
      </c>
      <c r="G291">
        <f>'Kullanılan gübre'!G291*'Gübre oranlar'!J$2</f>
        <v>101.31</v>
      </c>
      <c r="H291">
        <f>'Kullanılan gübre'!H291*'Gübre oranlar'!K$2</f>
        <v>35.097999999999999</v>
      </c>
      <c r="I291">
        <f>'Kullanılan gübre'!I291*'Gübre oranlar'!L$2</f>
        <v>0</v>
      </c>
      <c r="J291">
        <f>'Kullanılan gübre'!J291*'Gübre oranlar'!M$2</f>
        <v>38.600999999999999</v>
      </c>
      <c r="K291">
        <f>'Kullanılan gübre'!K291*'Gübre oranlar'!N$2</f>
        <v>34.510000000000005</v>
      </c>
      <c r="L291">
        <f>'Kullanılan gübre'!L291*'Gübre oranlar'!O$2</f>
        <v>44.980000000000004</v>
      </c>
      <c r="M291">
        <f>'Kullanılan gübre'!M291*'Gübre oranlar'!P$2</f>
        <v>0</v>
      </c>
      <c r="N291">
        <f>'Kullanılan gübre'!N291*'Gübre oranlar'!Q$2</f>
        <v>0</v>
      </c>
      <c r="O291">
        <f>'Kullanılan gübre'!O291*'Gübre oranlar'!R$2</f>
        <v>0</v>
      </c>
      <c r="P291">
        <f>'Kullanılan gübre'!P291*'Gübre oranlar'!S$2</f>
        <v>0</v>
      </c>
      <c r="Q291">
        <f>'Kullanılan gübre'!Q291*'Gübre oranlar'!T$2</f>
        <v>0</v>
      </c>
      <c r="R291">
        <f>'Kullanılan gübre'!R291*'Gübre oranlar'!U$2</f>
        <v>0</v>
      </c>
      <c r="S291">
        <f>'Kullanılan gübre'!S291*'Gübre oranlar'!V$2</f>
        <v>0</v>
      </c>
      <c r="T291">
        <f>'Kullanılan gübre'!T291*'Gübre oranlar'!W$2</f>
        <v>0</v>
      </c>
      <c r="U291">
        <f>'Kullanılan gübre'!U291*'Gübre oranlar'!X$2</f>
        <v>0</v>
      </c>
      <c r="V291">
        <f>'Kullanılan gübre'!V291*'Gübre oranlar'!Y$2</f>
        <v>0</v>
      </c>
      <c r="W291">
        <f>'Kullanılan gübre'!W291*'Gübre oranlar'!Z$2</f>
        <v>0</v>
      </c>
      <c r="X291">
        <f>'Kullanılan gübre'!X291*'Gübre oranlar'!AA$2</f>
        <v>0</v>
      </c>
      <c r="Y291">
        <f>'Kullanılan gübre'!Y291*'Gübre oranlar'!AB$2</f>
        <v>0</v>
      </c>
      <c r="Z291">
        <f>'Kullanılan gübre'!Z291*'Gübre oranlar'!AC$2</f>
        <v>0</v>
      </c>
      <c r="AA291">
        <f>'Kullanılan gübre'!AA291*'Gübre oranlar'!AD$2</f>
        <v>0</v>
      </c>
      <c r="AB291">
        <f>'Kullanılan gübre'!AB291*'Gübre oranlar'!AE$2</f>
        <v>0</v>
      </c>
      <c r="AC291">
        <f>'Kullanılan gübre'!AC291*'Gübre oranlar'!AF$2</f>
        <v>0</v>
      </c>
      <c r="AD291">
        <f>'Kullanılan gübre'!AD291*'Gübre oranlar'!AG$2</f>
        <v>0</v>
      </c>
      <c r="AE291">
        <f>'Kullanılan gübre'!AE291*'Gübre oranlar'!AH$2</f>
        <v>0</v>
      </c>
      <c r="AF291">
        <f>'Kullanılan gübre'!AF291*'Gübre oranlar'!AI$2</f>
        <v>0</v>
      </c>
      <c r="AG291">
        <f>'Kullanılan gübre'!AG291*'Gübre oranlar'!AJ$2</f>
        <v>0</v>
      </c>
      <c r="AH291">
        <f>'Kullanılan gübre'!AH291*'Gübre oranlar'!AK$2</f>
        <v>0</v>
      </c>
      <c r="AI291">
        <f>'Kullanılan gübre'!AI291*'Gübre oranlar'!AL$2</f>
        <v>0</v>
      </c>
      <c r="AJ291">
        <f>'Kullanılan gübre'!AJ291*'Gübre oranlar'!AM$2</f>
        <v>0</v>
      </c>
      <c r="AK291">
        <f>'Kullanılan gübre'!AK291*'Gübre oranlar'!AN$2</f>
        <v>0</v>
      </c>
      <c r="AL291">
        <f>'Kullanılan gübre'!AL291*'Gübre oranlar'!AO$2</f>
        <v>0</v>
      </c>
      <c r="AM291">
        <f>'Kullanılan gübre'!AM291*'Gübre oranlar'!AP$2</f>
        <v>0</v>
      </c>
      <c r="AN291">
        <f>'Kullanılan gübre'!AN291*'Gübre oranlar'!AQ$2</f>
        <v>0</v>
      </c>
      <c r="AO291">
        <f>'Kullanılan gübre'!AO291*'Gübre oranlar'!AR$2</f>
        <v>0</v>
      </c>
      <c r="AP291">
        <f>'Kullanılan gübre'!AP291*'Gübre oranlar'!AS$2</f>
        <v>0</v>
      </c>
      <c r="AQ291">
        <f>'Kullanılan gübre'!AQ291*'Gübre oranlar'!AT$2</f>
        <v>0</v>
      </c>
      <c r="AR291">
        <f>'Kullanılan gübre'!AR291*'Gübre oranlar'!AU$2</f>
        <v>0</v>
      </c>
      <c r="AS291">
        <f>'Kullanılan gübre'!AS291*'Gübre oranlar'!AV$2</f>
        <v>0</v>
      </c>
      <c r="AT291">
        <f>'Kullanılan gübre'!AT291*'Gübre oranlar'!AW$2</f>
        <v>0</v>
      </c>
      <c r="AU291">
        <f>'Kullanılan gübre'!AU291*'Gübre oranlar'!AX$2</f>
        <v>0</v>
      </c>
      <c r="AV291">
        <f>'Kullanılan gübre'!AV291*'Gübre oranlar'!AY$2</f>
        <v>0</v>
      </c>
      <c r="AW291">
        <f t="shared" si="4"/>
        <v>328.56</v>
      </c>
    </row>
    <row r="292" spans="1:49" hidden="1" x14ac:dyDescent="0.25">
      <c r="A292" t="str">
        <f>'Kullanılan gübre'!A292</f>
        <v>YI</v>
      </c>
      <c r="B292" t="str">
        <f>'Kullanılan gübre'!B292</f>
        <v>TOKAT</v>
      </c>
      <c r="C292" t="str">
        <f>'Kullanılan gübre'!C292</f>
        <v>TURHAL</v>
      </c>
      <c r="D292">
        <f>'Kullanılan gübre'!D292</f>
        <v>2007</v>
      </c>
      <c r="E292">
        <f>'Kullanılan gübre'!E292*'Gübre oranlar'!H$2</f>
        <v>1.47</v>
      </c>
      <c r="F292">
        <f>'Kullanılan gübre'!F292*'Gübre oranlar'!I$2</f>
        <v>175.09700000000001</v>
      </c>
      <c r="G292">
        <f>'Kullanılan gübre'!G292*'Gübre oranlar'!J$2</f>
        <v>315.87600000000003</v>
      </c>
      <c r="H292">
        <f>'Kullanılan gübre'!H292*'Gübre oranlar'!K$2</f>
        <v>430.19200000000006</v>
      </c>
      <c r="I292">
        <f>'Kullanılan gübre'!I292*'Gübre oranlar'!L$2</f>
        <v>0</v>
      </c>
      <c r="J292">
        <f>'Kullanılan gübre'!J292*'Gübre oranlar'!M$2</f>
        <v>126.756</v>
      </c>
      <c r="K292">
        <f>'Kullanılan gübre'!K292*'Gübre oranlar'!N$2</f>
        <v>44.6</v>
      </c>
      <c r="L292">
        <f>'Kullanılan gübre'!L292*'Gübre oranlar'!O$2</f>
        <v>90.18</v>
      </c>
      <c r="M292">
        <f>'Kullanılan gübre'!M292*'Gübre oranlar'!P$2</f>
        <v>0.3</v>
      </c>
      <c r="N292">
        <f>'Kullanılan gübre'!N292*'Gübre oranlar'!Q$2</f>
        <v>0</v>
      </c>
      <c r="O292">
        <f>'Kullanılan gübre'!O292*'Gübre oranlar'!R$2</f>
        <v>0</v>
      </c>
      <c r="P292">
        <f>'Kullanılan gübre'!P292*'Gübre oranlar'!S$2</f>
        <v>2.99</v>
      </c>
      <c r="Q292">
        <f>'Kullanılan gübre'!Q292*'Gübre oranlar'!T$2</f>
        <v>103.56</v>
      </c>
      <c r="R292">
        <f>'Kullanılan gübre'!R292*'Gübre oranlar'!U$2</f>
        <v>0</v>
      </c>
      <c r="S292">
        <f>'Kullanılan gübre'!S292*'Gübre oranlar'!V$2</f>
        <v>0</v>
      </c>
      <c r="T292">
        <f>'Kullanılan gübre'!T292*'Gübre oranlar'!W$2</f>
        <v>0</v>
      </c>
      <c r="U292">
        <f>'Kullanılan gübre'!U292*'Gübre oranlar'!X$2</f>
        <v>0</v>
      </c>
      <c r="V292">
        <f>'Kullanılan gübre'!V292*'Gübre oranlar'!Y$2</f>
        <v>0</v>
      </c>
      <c r="W292">
        <f>'Kullanılan gübre'!W292*'Gübre oranlar'!Z$2</f>
        <v>0</v>
      </c>
      <c r="X292">
        <f>'Kullanılan gübre'!X292*'Gübre oranlar'!AA$2</f>
        <v>0</v>
      </c>
      <c r="Y292">
        <f>'Kullanılan gübre'!Y292*'Gübre oranlar'!AB$2</f>
        <v>0</v>
      </c>
      <c r="Z292">
        <f>'Kullanılan gübre'!Z292*'Gübre oranlar'!AC$2</f>
        <v>0</v>
      </c>
      <c r="AA292">
        <f>'Kullanılan gübre'!AA292*'Gübre oranlar'!AD$2</f>
        <v>0</v>
      </c>
      <c r="AB292">
        <f>'Kullanılan gübre'!AB292*'Gübre oranlar'!AE$2</f>
        <v>0</v>
      </c>
      <c r="AC292">
        <f>'Kullanılan gübre'!AC292*'Gübre oranlar'!AF$2</f>
        <v>0</v>
      </c>
      <c r="AD292">
        <f>'Kullanılan gübre'!AD292*'Gübre oranlar'!AG$2</f>
        <v>0</v>
      </c>
      <c r="AE292">
        <f>'Kullanılan gübre'!AE292*'Gübre oranlar'!AH$2</f>
        <v>0</v>
      </c>
      <c r="AF292">
        <f>'Kullanılan gübre'!AF292*'Gübre oranlar'!AI$2</f>
        <v>0</v>
      </c>
      <c r="AG292">
        <f>'Kullanılan gübre'!AG292*'Gübre oranlar'!AJ$2</f>
        <v>0</v>
      </c>
      <c r="AH292">
        <f>'Kullanılan gübre'!AH292*'Gübre oranlar'!AK$2</f>
        <v>0</v>
      </c>
      <c r="AI292">
        <f>'Kullanılan gübre'!AI292*'Gübre oranlar'!AL$2</f>
        <v>0</v>
      </c>
      <c r="AJ292">
        <f>'Kullanılan gübre'!AJ292*'Gübre oranlar'!AM$2</f>
        <v>0</v>
      </c>
      <c r="AK292">
        <f>'Kullanılan gübre'!AK292*'Gübre oranlar'!AN$2</f>
        <v>0</v>
      </c>
      <c r="AL292">
        <f>'Kullanılan gübre'!AL292*'Gübre oranlar'!AO$2</f>
        <v>0</v>
      </c>
      <c r="AM292">
        <f>'Kullanılan gübre'!AM292*'Gübre oranlar'!AP$2</f>
        <v>0</v>
      </c>
      <c r="AN292">
        <f>'Kullanılan gübre'!AN292*'Gübre oranlar'!AQ$2</f>
        <v>0</v>
      </c>
      <c r="AO292">
        <f>'Kullanılan gübre'!AO292*'Gübre oranlar'!AR$2</f>
        <v>0</v>
      </c>
      <c r="AP292">
        <f>'Kullanılan gübre'!AP292*'Gübre oranlar'!AS$2</f>
        <v>0</v>
      </c>
      <c r="AQ292">
        <f>'Kullanılan gübre'!AQ292*'Gübre oranlar'!AT$2</f>
        <v>0</v>
      </c>
      <c r="AR292">
        <f>'Kullanılan gübre'!AR292*'Gübre oranlar'!AU$2</f>
        <v>0</v>
      </c>
      <c r="AS292">
        <f>'Kullanılan gübre'!AS292*'Gübre oranlar'!AV$2</f>
        <v>0</v>
      </c>
      <c r="AT292">
        <f>'Kullanılan gübre'!AT292*'Gübre oranlar'!AW$2</f>
        <v>0</v>
      </c>
      <c r="AU292">
        <f>'Kullanılan gübre'!AU292*'Gübre oranlar'!AX$2</f>
        <v>0</v>
      </c>
      <c r="AV292">
        <f>'Kullanılan gübre'!AV292*'Gübre oranlar'!AY$2</f>
        <v>0</v>
      </c>
      <c r="AW292">
        <f t="shared" si="4"/>
        <v>1291.021</v>
      </c>
    </row>
    <row r="293" spans="1:49" hidden="1" x14ac:dyDescent="0.25">
      <c r="A293" t="str">
        <f>'Kullanılan gübre'!A293</f>
        <v>YI</v>
      </c>
      <c r="B293" t="str">
        <f>'Kullanılan gübre'!B293</f>
        <v>TOKAT</v>
      </c>
      <c r="C293" t="str">
        <f>'Kullanılan gübre'!C293</f>
        <v>YESILYURT</v>
      </c>
      <c r="D293">
        <f>'Kullanılan gübre'!D293</f>
        <v>2007</v>
      </c>
      <c r="E293">
        <f>'Kullanılan gübre'!E293*'Gübre oranlar'!H$2</f>
        <v>0</v>
      </c>
      <c r="F293">
        <f>'Kullanılan gübre'!F293*'Gübre oranlar'!I$2</f>
        <v>123.94200000000001</v>
      </c>
      <c r="G293">
        <f>'Kullanılan gübre'!G293*'Gübre oranlar'!J$2</f>
        <v>62.634000000000007</v>
      </c>
      <c r="H293">
        <f>'Kullanılan gübre'!H293*'Gübre oranlar'!K$2</f>
        <v>143.77300000000002</v>
      </c>
      <c r="I293">
        <f>'Kullanılan gübre'!I293*'Gübre oranlar'!L$2</f>
        <v>0</v>
      </c>
      <c r="J293">
        <f>'Kullanılan gübre'!J293*'Gübre oranlar'!M$2</f>
        <v>37.808999999999997</v>
      </c>
      <c r="K293">
        <f>'Kullanılan gübre'!K293*'Gübre oranlar'!N$2</f>
        <v>41.6</v>
      </c>
      <c r="L293">
        <f>'Kullanılan gübre'!L293*'Gübre oranlar'!O$2</f>
        <v>15</v>
      </c>
      <c r="M293">
        <f>'Kullanılan gübre'!M293*'Gübre oranlar'!P$2</f>
        <v>1.5</v>
      </c>
      <c r="N293">
        <f>'Kullanılan gübre'!N293*'Gübre oranlar'!Q$2</f>
        <v>3.3</v>
      </c>
      <c r="O293">
        <f>'Kullanılan gübre'!O293*'Gübre oranlar'!R$2</f>
        <v>0</v>
      </c>
      <c r="P293">
        <f>'Kullanılan gübre'!P293*'Gübre oranlar'!S$2</f>
        <v>0</v>
      </c>
      <c r="Q293">
        <f>'Kullanılan gübre'!Q293*'Gübre oranlar'!T$2</f>
        <v>0</v>
      </c>
      <c r="R293">
        <f>'Kullanılan gübre'!R293*'Gübre oranlar'!U$2</f>
        <v>0</v>
      </c>
      <c r="S293">
        <f>'Kullanılan gübre'!S293*'Gübre oranlar'!V$2</f>
        <v>0</v>
      </c>
      <c r="T293">
        <f>'Kullanılan gübre'!T293*'Gübre oranlar'!W$2</f>
        <v>0</v>
      </c>
      <c r="U293">
        <f>'Kullanılan gübre'!U293*'Gübre oranlar'!X$2</f>
        <v>0</v>
      </c>
      <c r="V293">
        <f>'Kullanılan gübre'!V293*'Gübre oranlar'!Y$2</f>
        <v>0</v>
      </c>
      <c r="W293">
        <f>'Kullanılan gübre'!W293*'Gübre oranlar'!Z$2</f>
        <v>0</v>
      </c>
      <c r="X293">
        <f>'Kullanılan gübre'!X293*'Gübre oranlar'!AA$2</f>
        <v>0</v>
      </c>
      <c r="Y293">
        <f>'Kullanılan gübre'!Y293*'Gübre oranlar'!AB$2</f>
        <v>0</v>
      </c>
      <c r="Z293">
        <f>'Kullanılan gübre'!Z293*'Gübre oranlar'!AC$2</f>
        <v>0</v>
      </c>
      <c r="AA293">
        <f>'Kullanılan gübre'!AA293*'Gübre oranlar'!AD$2</f>
        <v>0</v>
      </c>
      <c r="AB293">
        <f>'Kullanılan gübre'!AB293*'Gübre oranlar'!AE$2</f>
        <v>0</v>
      </c>
      <c r="AC293">
        <f>'Kullanılan gübre'!AC293*'Gübre oranlar'!AF$2</f>
        <v>0</v>
      </c>
      <c r="AD293">
        <f>'Kullanılan gübre'!AD293*'Gübre oranlar'!AG$2</f>
        <v>0</v>
      </c>
      <c r="AE293">
        <f>'Kullanılan gübre'!AE293*'Gübre oranlar'!AH$2</f>
        <v>0</v>
      </c>
      <c r="AF293">
        <f>'Kullanılan gübre'!AF293*'Gübre oranlar'!AI$2</f>
        <v>0</v>
      </c>
      <c r="AG293">
        <f>'Kullanılan gübre'!AG293*'Gübre oranlar'!AJ$2</f>
        <v>0</v>
      </c>
      <c r="AH293">
        <f>'Kullanılan gübre'!AH293*'Gübre oranlar'!AK$2</f>
        <v>0</v>
      </c>
      <c r="AI293">
        <f>'Kullanılan gübre'!AI293*'Gübre oranlar'!AL$2</f>
        <v>0</v>
      </c>
      <c r="AJ293">
        <f>'Kullanılan gübre'!AJ293*'Gübre oranlar'!AM$2</f>
        <v>0</v>
      </c>
      <c r="AK293">
        <f>'Kullanılan gübre'!AK293*'Gübre oranlar'!AN$2</f>
        <v>0</v>
      </c>
      <c r="AL293">
        <f>'Kullanılan gübre'!AL293*'Gübre oranlar'!AO$2</f>
        <v>0</v>
      </c>
      <c r="AM293">
        <f>'Kullanılan gübre'!AM293*'Gübre oranlar'!AP$2</f>
        <v>0</v>
      </c>
      <c r="AN293">
        <f>'Kullanılan gübre'!AN293*'Gübre oranlar'!AQ$2</f>
        <v>0</v>
      </c>
      <c r="AO293">
        <f>'Kullanılan gübre'!AO293*'Gübre oranlar'!AR$2</f>
        <v>0</v>
      </c>
      <c r="AP293">
        <f>'Kullanılan gübre'!AP293*'Gübre oranlar'!AS$2</f>
        <v>0</v>
      </c>
      <c r="AQ293">
        <f>'Kullanılan gübre'!AQ293*'Gübre oranlar'!AT$2</f>
        <v>0</v>
      </c>
      <c r="AR293">
        <f>'Kullanılan gübre'!AR293*'Gübre oranlar'!AU$2</f>
        <v>0</v>
      </c>
      <c r="AS293">
        <f>'Kullanılan gübre'!AS293*'Gübre oranlar'!AV$2</f>
        <v>0</v>
      </c>
      <c r="AT293">
        <f>'Kullanılan gübre'!AT293*'Gübre oranlar'!AW$2</f>
        <v>0</v>
      </c>
      <c r="AU293">
        <f>'Kullanılan gübre'!AU293*'Gübre oranlar'!AX$2</f>
        <v>0</v>
      </c>
      <c r="AV293">
        <f>'Kullanılan gübre'!AV293*'Gübre oranlar'!AY$2</f>
        <v>0</v>
      </c>
      <c r="AW293">
        <f t="shared" si="4"/>
        <v>429.55800000000005</v>
      </c>
    </row>
    <row r="294" spans="1:49" hidden="1" x14ac:dyDescent="0.25">
      <c r="A294" t="str">
        <f>'Kullanılan gübre'!A294</f>
        <v>YI</v>
      </c>
      <c r="B294" t="str">
        <f>'Kullanılan gübre'!B294</f>
        <v>TOKAT</v>
      </c>
      <c r="C294" t="str">
        <f>'Kullanılan gübre'!C294</f>
        <v>ZILE</v>
      </c>
      <c r="D294">
        <f>'Kullanılan gübre'!D294</f>
        <v>2007</v>
      </c>
      <c r="E294">
        <f>'Kullanılan gübre'!E294*'Gübre oranlar'!H$2</f>
        <v>37.338000000000001</v>
      </c>
      <c r="F294">
        <f>'Kullanılan gübre'!F294*'Gübre oranlar'!I$2</f>
        <v>1350.8300000000002</v>
      </c>
      <c r="G294">
        <f>'Kullanılan gübre'!G294*'Gübre oranlar'!J$2</f>
        <v>394.35</v>
      </c>
      <c r="H294">
        <f>'Kullanılan gübre'!H294*'Gübre oranlar'!K$2</f>
        <v>350.81900000000002</v>
      </c>
      <c r="I294">
        <f>'Kullanılan gübre'!I294*'Gübre oranlar'!L$2</f>
        <v>0</v>
      </c>
      <c r="J294">
        <f>'Kullanılan gübre'!J294*'Gübre oranlar'!M$2</f>
        <v>94.328999999999994</v>
      </c>
      <c r="K294">
        <f>'Kullanılan gübre'!K294*'Gübre oranlar'!N$2</f>
        <v>277.34000000000003</v>
      </c>
      <c r="L294">
        <f>'Kullanılan gübre'!L294*'Gübre oranlar'!O$2</f>
        <v>54.470000000000006</v>
      </c>
      <c r="M294">
        <f>'Kullanılan gübre'!M294*'Gübre oranlar'!P$2</f>
        <v>12</v>
      </c>
      <c r="N294">
        <f>'Kullanılan gübre'!N294*'Gübre oranlar'!Q$2</f>
        <v>0</v>
      </c>
      <c r="O294">
        <f>'Kullanılan gübre'!O294*'Gübre oranlar'!R$2</f>
        <v>0</v>
      </c>
      <c r="P294">
        <f>'Kullanılan gübre'!P294*'Gübre oranlar'!S$2</f>
        <v>0</v>
      </c>
      <c r="Q294">
        <f>'Kullanılan gübre'!Q294*'Gübre oranlar'!T$2</f>
        <v>27.683999999999997</v>
      </c>
      <c r="R294">
        <f>'Kullanılan gübre'!R294*'Gübre oranlar'!U$2</f>
        <v>0</v>
      </c>
      <c r="S294">
        <f>'Kullanılan gübre'!S294*'Gübre oranlar'!V$2</f>
        <v>0</v>
      </c>
      <c r="T294">
        <f>'Kullanılan gübre'!T294*'Gübre oranlar'!W$2</f>
        <v>0</v>
      </c>
      <c r="U294">
        <f>'Kullanılan gübre'!U294*'Gübre oranlar'!X$2</f>
        <v>0</v>
      </c>
      <c r="V294">
        <f>'Kullanılan gübre'!V294*'Gübre oranlar'!Y$2</f>
        <v>0</v>
      </c>
      <c r="W294">
        <f>'Kullanılan gübre'!W294*'Gübre oranlar'!Z$2</f>
        <v>0</v>
      </c>
      <c r="X294">
        <f>'Kullanılan gübre'!X294*'Gübre oranlar'!AA$2</f>
        <v>0</v>
      </c>
      <c r="Y294">
        <f>'Kullanılan gübre'!Y294*'Gübre oranlar'!AB$2</f>
        <v>0</v>
      </c>
      <c r="Z294">
        <f>'Kullanılan gübre'!Z294*'Gübre oranlar'!AC$2</f>
        <v>0</v>
      </c>
      <c r="AA294">
        <f>'Kullanılan gübre'!AA294*'Gübre oranlar'!AD$2</f>
        <v>0</v>
      </c>
      <c r="AB294">
        <f>'Kullanılan gübre'!AB294*'Gübre oranlar'!AE$2</f>
        <v>0</v>
      </c>
      <c r="AC294">
        <f>'Kullanılan gübre'!AC294*'Gübre oranlar'!AF$2</f>
        <v>0</v>
      </c>
      <c r="AD294">
        <f>'Kullanılan gübre'!AD294*'Gübre oranlar'!AG$2</f>
        <v>0</v>
      </c>
      <c r="AE294">
        <f>'Kullanılan gübre'!AE294*'Gübre oranlar'!AH$2</f>
        <v>0</v>
      </c>
      <c r="AF294">
        <f>'Kullanılan gübre'!AF294*'Gübre oranlar'!AI$2</f>
        <v>0</v>
      </c>
      <c r="AG294">
        <f>'Kullanılan gübre'!AG294*'Gübre oranlar'!AJ$2</f>
        <v>0</v>
      </c>
      <c r="AH294">
        <f>'Kullanılan gübre'!AH294*'Gübre oranlar'!AK$2</f>
        <v>0</v>
      </c>
      <c r="AI294">
        <f>'Kullanılan gübre'!AI294*'Gübre oranlar'!AL$2</f>
        <v>0</v>
      </c>
      <c r="AJ294">
        <f>'Kullanılan gübre'!AJ294*'Gübre oranlar'!AM$2</f>
        <v>0</v>
      </c>
      <c r="AK294">
        <f>'Kullanılan gübre'!AK294*'Gübre oranlar'!AN$2</f>
        <v>0</v>
      </c>
      <c r="AL294">
        <f>'Kullanılan gübre'!AL294*'Gübre oranlar'!AO$2</f>
        <v>0</v>
      </c>
      <c r="AM294">
        <f>'Kullanılan gübre'!AM294*'Gübre oranlar'!AP$2</f>
        <v>0</v>
      </c>
      <c r="AN294">
        <f>'Kullanılan gübre'!AN294*'Gübre oranlar'!AQ$2</f>
        <v>0</v>
      </c>
      <c r="AO294">
        <f>'Kullanılan gübre'!AO294*'Gübre oranlar'!AR$2</f>
        <v>0</v>
      </c>
      <c r="AP294">
        <f>'Kullanılan gübre'!AP294*'Gübre oranlar'!AS$2</f>
        <v>0</v>
      </c>
      <c r="AQ294">
        <f>'Kullanılan gübre'!AQ294*'Gübre oranlar'!AT$2</f>
        <v>0</v>
      </c>
      <c r="AR294">
        <f>'Kullanılan gübre'!AR294*'Gübre oranlar'!AU$2</f>
        <v>0</v>
      </c>
      <c r="AS294">
        <f>'Kullanılan gübre'!AS294*'Gübre oranlar'!AV$2</f>
        <v>0</v>
      </c>
      <c r="AT294">
        <f>'Kullanılan gübre'!AT294*'Gübre oranlar'!AW$2</f>
        <v>0</v>
      </c>
      <c r="AU294">
        <f>'Kullanılan gübre'!AU294*'Gübre oranlar'!AX$2</f>
        <v>0</v>
      </c>
      <c r="AV294">
        <f>'Kullanılan gübre'!AV294*'Gübre oranlar'!AY$2</f>
        <v>0</v>
      </c>
      <c r="AW294">
        <f t="shared" si="4"/>
        <v>2599.1600000000003</v>
      </c>
    </row>
    <row r="295" spans="1:49" hidden="1" x14ac:dyDescent="0.25">
      <c r="A295" t="str">
        <f>'Kullanılan gübre'!A295</f>
        <v>YI</v>
      </c>
      <c r="B295" t="str">
        <f>'Kullanılan gübre'!B295</f>
        <v>TOKAT</v>
      </c>
      <c r="C295" t="str">
        <f>'Kullanılan gübre'!C295</f>
        <v>MERKEZ</v>
      </c>
      <c r="D295">
        <f>'Kullanılan gübre'!D295</f>
        <v>2008</v>
      </c>
      <c r="E295">
        <f>'Kullanılan gübre'!E295*'Gübre oranlar'!H$2</f>
        <v>24.811499999999999</v>
      </c>
      <c r="F295">
        <f>'Kullanılan gübre'!F295*'Gübre oranlar'!I$2</f>
        <v>335.98499999999996</v>
      </c>
      <c r="G295">
        <f>'Kullanılan gübre'!G295*'Gübre oranlar'!J$2</f>
        <v>629.54100000000017</v>
      </c>
      <c r="H295">
        <f>'Kullanılan gübre'!H295*'Gübre oranlar'!K$2</f>
        <v>273.58500000000004</v>
      </c>
      <c r="I295">
        <f>'Kullanılan gübre'!I295*'Gübre oranlar'!L$2</f>
        <v>0</v>
      </c>
      <c r="J295">
        <f>'Kullanılan gübre'!J295*'Gübre oranlar'!M$2</f>
        <v>57.96</v>
      </c>
      <c r="K295">
        <f>'Kullanılan gübre'!K295*'Gübre oranlar'!N$2</f>
        <v>76.430000000000007</v>
      </c>
      <c r="L295">
        <f>'Kullanılan gübre'!L295*'Gübre oranlar'!O$2</f>
        <v>26.170000000000005</v>
      </c>
      <c r="M295">
        <f>'Kullanılan gübre'!M295*'Gübre oranlar'!P$2</f>
        <v>30.832500000000003</v>
      </c>
      <c r="N295">
        <f>'Kullanılan gübre'!N295*'Gübre oranlar'!Q$2</f>
        <v>24.24</v>
      </c>
      <c r="O295">
        <f>'Kullanılan gübre'!O295*'Gübre oranlar'!R$2</f>
        <v>0</v>
      </c>
      <c r="P295">
        <f>'Kullanılan gübre'!P295*'Gübre oranlar'!S$2</f>
        <v>1.7095</v>
      </c>
      <c r="Q295">
        <f>'Kullanılan gübre'!Q295*'Gübre oranlar'!T$2</f>
        <v>0.24</v>
      </c>
      <c r="R295">
        <f>'Kullanılan gübre'!R295*'Gübre oranlar'!U$2</f>
        <v>0</v>
      </c>
      <c r="S295">
        <f>'Kullanılan gübre'!S295*'Gübre oranlar'!V$2</f>
        <v>0</v>
      </c>
      <c r="T295">
        <f>'Kullanılan gübre'!T295*'Gübre oranlar'!W$2</f>
        <v>0</v>
      </c>
      <c r="U295">
        <f>'Kullanılan gübre'!U295*'Gübre oranlar'!X$2</f>
        <v>0</v>
      </c>
      <c r="V295">
        <f>'Kullanılan gübre'!V295*'Gübre oranlar'!Y$2</f>
        <v>0</v>
      </c>
      <c r="W295">
        <f>'Kullanılan gübre'!W295*'Gübre oranlar'!Z$2</f>
        <v>0</v>
      </c>
      <c r="X295">
        <f>'Kullanılan gübre'!X295*'Gübre oranlar'!AA$2</f>
        <v>0</v>
      </c>
      <c r="Y295">
        <f>'Kullanılan gübre'!Y295*'Gübre oranlar'!AB$2</f>
        <v>0</v>
      </c>
      <c r="Z295">
        <f>'Kullanılan gübre'!Z295*'Gübre oranlar'!AC$2</f>
        <v>0</v>
      </c>
      <c r="AA295">
        <f>'Kullanılan gübre'!AA295*'Gübre oranlar'!AD$2</f>
        <v>0</v>
      </c>
      <c r="AB295">
        <f>'Kullanılan gübre'!AB295*'Gübre oranlar'!AE$2</f>
        <v>0</v>
      </c>
      <c r="AC295">
        <f>'Kullanılan gübre'!AC295*'Gübre oranlar'!AF$2</f>
        <v>0</v>
      </c>
      <c r="AD295">
        <f>'Kullanılan gübre'!AD295*'Gübre oranlar'!AG$2</f>
        <v>0</v>
      </c>
      <c r="AE295">
        <f>'Kullanılan gübre'!AE295*'Gübre oranlar'!AH$2</f>
        <v>0</v>
      </c>
      <c r="AF295">
        <f>'Kullanılan gübre'!AF295*'Gübre oranlar'!AI$2</f>
        <v>0</v>
      </c>
      <c r="AG295">
        <f>'Kullanılan gübre'!AG295*'Gübre oranlar'!AJ$2</f>
        <v>0</v>
      </c>
      <c r="AH295">
        <f>'Kullanılan gübre'!AH295*'Gübre oranlar'!AK$2</f>
        <v>0</v>
      </c>
      <c r="AI295">
        <f>'Kullanılan gübre'!AI295*'Gübre oranlar'!AL$2</f>
        <v>0</v>
      </c>
      <c r="AJ295">
        <f>'Kullanılan gübre'!AJ295*'Gübre oranlar'!AM$2</f>
        <v>0</v>
      </c>
      <c r="AK295">
        <f>'Kullanılan gübre'!AK295*'Gübre oranlar'!AN$2</f>
        <v>0</v>
      </c>
      <c r="AL295">
        <f>'Kullanılan gübre'!AL295*'Gübre oranlar'!AO$2</f>
        <v>0</v>
      </c>
      <c r="AM295">
        <f>'Kullanılan gübre'!AM295*'Gübre oranlar'!AP$2</f>
        <v>0</v>
      </c>
      <c r="AN295">
        <f>'Kullanılan gübre'!AN295*'Gübre oranlar'!AQ$2</f>
        <v>0</v>
      </c>
      <c r="AO295">
        <f>'Kullanılan gübre'!AO295*'Gübre oranlar'!AR$2</f>
        <v>0</v>
      </c>
      <c r="AP295">
        <f>'Kullanılan gübre'!AP295*'Gübre oranlar'!AS$2</f>
        <v>0</v>
      </c>
      <c r="AQ295">
        <f>'Kullanılan gübre'!AQ295*'Gübre oranlar'!AT$2</f>
        <v>0</v>
      </c>
      <c r="AR295">
        <f>'Kullanılan gübre'!AR295*'Gübre oranlar'!AU$2</f>
        <v>0</v>
      </c>
      <c r="AS295">
        <f>'Kullanılan gübre'!AS295*'Gübre oranlar'!AV$2</f>
        <v>0</v>
      </c>
      <c r="AT295">
        <f>'Kullanılan gübre'!AT295*'Gübre oranlar'!AW$2</f>
        <v>0</v>
      </c>
      <c r="AU295">
        <f>'Kullanılan gübre'!AU295*'Gübre oranlar'!AX$2</f>
        <v>0</v>
      </c>
      <c r="AV295">
        <f>'Kullanılan gübre'!AV295*'Gübre oranlar'!AY$2</f>
        <v>0</v>
      </c>
      <c r="AW295">
        <f t="shared" si="4"/>
        <v>1481.5045000000002</v>
      </c>
    </row>
    <row r="296" spans="1:49" hidden="1" x14ac:dyDescent="0.25">
      <c r="A296" t="str">
        <f>'Kullanılan gübre'!A296</f>
        <v>YI</v>
      </c>
      <c r="B296" t="str">
        <f>'Kullanılan gübre'!B296</f>
        <v>TOKAT</v>
      </c>
      <c r="C296" t="str">
        <f>'Kullanılan gübre'!C296</f>
        <v>ALMUS</v>
      </c>
      <c r="D296">
        <f>'Kullanılan gübre'!D296</f>
        <v>2008</v>
      </c>
      <c r="E296">
        <f>'Kullanılan gübre'!E296*'Gübre oranlar'!H$2</f>
        <v>0</v>
      </c>
      <c r="F296">
        <f>'Kullanılan gübre'!F296*'Gübre oranlar'!I$2</f>
        <v>11.440000000000001</v>
      </c>
      <c r="G296">
        <f>'Kullanılan gübre'!G296*'Gübre oranlar'!J$2</f>
        <v>31.201500000000006</v>
      </c>
      <c r="H296">
        <f>'Kullanılan gübre'!H296*'Gübre oranlar'!K$2</f>
        <v>47.195999999999998</v>
      </c>
      <c r="I296">
        <f>'Kullanılan gübre'!I296*'Gübre oranlar'!L$2</f>
        <v>0</v>
      </c>
      <c r="J296">
        <f>'Kullanılan gübre'!J296*'Gübre oranlar'!M$2</f>
        <v>0</v>
      </c>
      <c r="K296">
        <f>'Kullanılan gübre'!K296*'Gübre oranlar'!N$2</f>
        <v>0</v>
      </c>
      <c r="L296">
        <f>'Kullanılan gübre'!L296*'Gübre oranlar'!O$2</f>
        <v>0</v>
      </c>
      <c r="M296">
        <f>'Kullanılan gübre'!M296*'Gübre oranlar'!P$2</f>
        <v>0</v>
      </c>
      <c r="N296">
        <f>'Kullanılan gübre'!N296*'Gübre oranlar'!Q$2</f>
        <v>0</v>
      </c>
      <c r="O296">
        <f>'Kullanılan gübre'!O296*'Gübre oranlar'!R$2</f>
        <v>0</v>
      </c>
      <c r="P296">
        <f>'Kullanılan gübre'!P296*'Gübre oranlar'!S$2</f>
        <v>0</v>
      </c>
      <c r="Q296">
        <f>'Kullanılan gübre'!Q296*'Gübre oranlar'!T$2</f>
        <v>0</v>
      </c>
      <c r="R296">
        <f>'Kullanılan gübre'!R296*'Gübre oranlar'!U$2</f>
        <v>0</v>
      </c>
      <c r="S296">
        <f>'Kullanılan gübre'!S296*'Gübre oranlar'!V$2</f>
        <v>0</v>
      </c>
      <c r="T296">
        <f>'Kullanılan gübre'!T296*'Gübre oranlar'!W$2</f>
        <v>0</v>
      </c>
      <c r="U296">
        <f>'Kullanılan gübre'!U296*'Gübre oranlar'!X$2</f>
        <v>0</v>
      </c>
      <c r="V296">
        <f>'Kullanılan gübre'!V296*'Gübre oranlar'!Y$2</f>
        <v>0</v>
      </c>
      <c r="W296">
        <f>'Kullanılan gübre'!W296*'Gübre oranlar'!Z$2</f>
        <v>0</v>
      </c>
      <c r="X296">
        <f>'Kullanılan gübre'!X296*'Gübre oranlar'!AA$2</f>
        <v>0</v>
      </c>
      <c r="Y296">
        <f>'Kullanılan gübre'!Y296*'Gübre oranlar'!AB$2</f>
        <v>0</v>
      </c>
      <c r="Z296">
        <f>'Kullanılan gübre'!Z296*'Gübre oranlar'!AC$2</f>
        <v>0</v>
      </c>
      <c r="AA296">
        <f>'Kullanılan gübre'!AA296*'Gübre oranlar'!AD$2</f>
        <v>0</v>
      </c>
      <c r="AB296">
        <f>'Kullanılan gübre'!AB296*'Gübre oranlar'!AE$2</f>
        <v>0</v>
      </c>
      <c r="AC296">
        <f>'Kullanılan gübre'!AC296*'Gübre oranlar'!AF$2</f>
        <v>0</v>
      </c>
      <c r="AD296">
        <f>'Kullanılan gübre'!AD296*'Gübre oranlar'!AG$2</f>
        <v>0</v>
      </c>
      <c r="AE296">
        <f>'Kullanılan gübre'!AE296*'Gübre oranlar'!AH$2</f>
        <v>0</v>
      </c>
      <c r="AF296">
        <f>'Kullanılan gübre'!AF296*'Gübre oranlar'!AI$2</f>
        <v>0</v>
      </c>
      <c r="AG296">
        <f>'Kullanılan gübre'!AG296*'Gübre oranlar'!AJ$2</f>
        <v>0</v>
      </c>
      <c r="AH296">
        <f>'Kullanılan gübre'!AH296*'Gübre oranlar'!AK$2</f>
        <v>0</v>
      </c>
      <c r="AI296">
        <f>'Kullanılan gübre'!AI296*'Gübre oranlar'!AL$2</f>
        <v>0</v>
      </c>
      <c r="AJ296">
        <f>'Kullanılan gübre'!AJ296*'Gübre oranlar'!AM$2</f>
        <v>0</v>
      </c>
      <c r="AK296">
        <f>'Kullanılan gübre'!AK296*'Gübre oranlar'!AN$2</f>
        <v>0</v>
      </c>
      <c r="AL296">
        <f>'Kullanılan gübre'!AL296*'Gübre oranlar'!AO$2</f>
        <v>0</v>
      </c>
      <c r="AM296">
        <f>'Kullanılan gübre'!AM296*'Gübre oranlar'!AP$2</f>
        <v>0</v>
      </c>
      <c r="AN296">
        <f>'Kullanılan gübre'!AN296*'Gübre oranlar'!AQ$2</f>
        <v>0</v>
      </c>
      <c r="AO296">
        <f>'Kullanılan gübre'!AO296*'Gübre oranlar'!AR$2</f>
        <v>0</v>
      </c>
      <c r="AP296">
        <f>'Kullanılan gübre'!AP296*'Gübre oranlar'!AS$2</f>
        <v>0</v>
      </c>
      <c r="AQ296">
        <f>'Kullanılan gübre'!AQ296*'Gübre oranlar'!AT$2</f>
        <v>0</v>
      </c>
      <c r="AR296">
        <f>'Kullanılan gübre'!AR296*'Gübre oranlar'!AU$2</f>
        <v>0</v>
      </c>
      <c r="AS296">
        <f>'Kullanılan gübre'!AS296*'Gübre oranlar'!AV$2</f>
        <v>0</v>
      </c>
      <c r="AT296">
        <f>'Kullanılan gübre'!AT296*'Gübre oranlar'!AW$2</f>
        <v>0</v>
      </c>
      <c r="AU296">
        <f>'Kullanılan gübre'!AU296*'Gübre oranlar'!AX$2</f>
        <v>0</v>
      </c>
      <c r="AV296">
        <f>'Kullanılan gübre'!AV296*'Gübre oranlar'!AY$2</f>
        <v>0</v>
      </c>
      <c r="AW296">
        <f t="shared" si="4"/>
        <v>89.837500000000006</v>
      </c>
    </row>
    <row r="297" spans="1:49" hidden="1" x14ac:dyDescent="0.25">
      <c r="A297" t="str">
        <f>'Kullanılan gübre'!A297</f>
        <v>YI</v>
      </c>
      <c r="B297" t="str">
        <f>'Kullanılan gübre'!B297</f>
        <v>TOKAT</v>
      </c>
      <c r="C297" t="str">
        <f>'Kullanılan gübre'!C297</f>
        <v>ARTOVA</v>
      </c>
      <c r="D297">
        <f>'Kullanılan gübre'!D297</f>
        <v>2008</v>
      </c>
      <c r="E297">
        <f>'Kullanılan gübre'!E297*'Gübre oranlar'!H$2</f>
        <v>12.641999999999999</v>
      </c>
      <c r="F297">
        <f>'Kullanılan gübre'!F297*'Gübre oranlar'!I$2</f>
        <v>47.359000000000002</v>
      </c>
      <c r="G297">
        <f>'Kullanılan gübre'!G297*'Gübre oranlar'!J$2</f>
        <v>12.903</v>
      </c>
      <c r="H297">
        <f>'Kullanılan gübre'!H297*'Gübre oranlar'!K$2</f>
        <v>10.396000000000001</v>
      </c>
      <c r="I297">
        <f>'Kullanılan gübre'!I297*'Gübre oranlar'!L$2</f>
        <v>0</v>
      </c>
      <c r="J297">
        <f>'Kullanılan gübre'!J297*'Gübre oranlar'!M$2</f>
        <v>23.184000000000001</v>
      </c>
      <c r="K297">
        <f>'Kullanılan gübre'!K297*'Gübre oranlar'!N$2</f>
        <v>13.4</v>
      </c>
      <c r="L297">
        <f>'Kullanılan gübre'!L297*'Gübre oranlar'!O$2</f>
        <v>26.510000000000005</v>
      </c>
      <c r="M297">
        <f>'Kullanılan gübre'!M297*'Gübre oranlar'!P$2</f>
        <v>2.2499999999999999E-2</v>
      </c>
      <c r="N297">
        <f>'Kullanılan gübre'!N297*'Gübre oranlar'!Q$2</f>
        <v>1.5</v>
      </c>
      <c r="O297">
        <f>'Kullanılan gübre'!O297*'Gübre oranlar'!R$2</f>
        <v>0</v>
      </c>
      <c r="P297">
        <f>'Kullanılan gübre'!P297*'Gübre oranlar'!S$2</f>
        <v>0</v>
      </c>
      <c r="Q297">
        <f>'Kullanılan gübre'!Q297*'Gübre oranlar'!T$2</f>
        <v>0</v>
      </c>
      <c r="R297">
        <f>'Kullanılan gübre'!R297*'Gübre oranlar'!U$2</f>
        <v>0</v>
      </c>
      <c r="S297">
        <f>'Kullanılan gübre'!S297*'Gübre oranlar'!V$2</f>
        <v>0</v>
      </c>
      <c r="T297">
        <f>'Kullanılan gübre'!T297*'Gübre oranlar'!W$2</f>
        <v>0</v>
      </c>
      <c r="U297">
        <f>'Kullanılan gübre'!U297*'Gübre oranlar'!X$2</f>
        <v>0</v>
      </c>
      <c r="V297">
        <f>'Kullanılan gübre'!V297*'Gübre oranlar'!Y$2</f>
        <v>0</v>
      </c>
      <c r="W297">
        <f>'Kullanılan gübre'!W297*'Gübre oranlar'!Z$2</f>
        <v>0</v>
      </c>
      <c r="X297">
        <f>'Kullanılan gübre'!X297*'Gübre oranlar'!AA$2</f>
        <v>0</v>
      </c>
      <c r="Y297">
        <f>'Kullanılan gübre'!Y297*'Gübre oranlar'!AB$2</f>
        <v>0</v>
      </c>
      <c r="Z297">
        <f>'Kullanılan gübre'!Z297*'Gübre oranlar'!AC$2</f>
        <v>0</v>
      </c>
      <c r="AA297">
        <f>'Kullanılan gübre'!AA297*'Gübre oranlar'!AD$2</f>
        <v>0</v>
      </c>
      <c r="AB297">
        <f>'Kullanılan gübre'!AB297*'Gübre oranlar'!AE$2</f>
        <v>0</v>
      </c>
      <c r="AC297">
        <f>'Kullanılan gübre'!AC297*'Gübre oranlar'!AF$2</f>
        <v>0</v>
      </c>
      <c r="AD297">
        <f>'Kullanılan gübre'!AD297*'Gübre oranlar'!AG$2</f>
        <v>0</v>
      </c>
      <c r="AE297">
        <f>'Kullanılan gübre'!AE297*'Gübre oranlar'!AH$2</f>
        <v>0</v>
      </c>
      <c r="AF297">
        <f>'Kullanılan gübre'!AF297*'Gübre oranlar'!AI$2</f>
        <v>0</v>
      </c>
      <c r="AG297">
        <f>'Kullanılan gübre'!AG297*'Gübre oranlar'!AJ$2</f>
        <v>0</v>
      </c>
      <c r="AH297">
        <f>'Kullanılan gübre'!AH297*'Gübre oranlar'!AK$2</f>
        <v>0</v>
      </c>
      <c r="AI297">
        <f>'Kullanılan gübre'!AI297*'Gübre oranlar'!AL$2</f>
        <v>0</v>
      </c>
      <c r="AJ297">
        <f>'Kullanılan gübre'!AJ297*'Gübre oranlar'!AM$2</f>
        <v>0</v>
      </c>
      <c r="AK297">
        <f>'Kullanılan gübre'!AK297*'Gübre oranlar'!AN$2</f>
        <v>0</v>
      </c>
      <c r="AL297">
        <f>'Kullanılan gübre'!AL297*'Gübre oranlar'!AO$2</f>
        <v>0</v>
      </c>
      <c r="AM297">
        <f>'Kullanılan gübre'!AM297*'Gübre oranlar'!AP$2</f>
        <v>0</v>
      </c>
      <c r="AN297">
        <f>'Kullanılan gübre'!AN297*'Gübre oranlar'!AQ$2</f>
        <v>0</v>
      </c>
      <c r="AO297">
        <f>'Kullanılan gübre'!AO297*'Gübre oranlar'!AR$2</f>
        <v>0</v>
      </c>
      <c r="AP297">
        <f>'Kullanılan gübre'!AP297*'Gübre oranlar'!AS$2</f>
        <v>0</v>
      </c>
      <c r="AQ297">
        <f>'Kullanılan gübre'!AQ297*'Gübre oranlar'!AT$2</f>
        <v>0</v>
      </c>
      <c r="AR297">
        <f>'Kullanılan gübre'!AR297*'Gübre oranlar'!AU$2</f>
        <v>0</v>
      </c>
      <c r="AS297">
        <f>'Kullanılan gübre'!AS297*'Gübre oranlar'!AV$2</f>
        <v>0</v>
      </c>
      <c r="AT297">
        <f>'Kullanılan gübre'!AT297*'Gübre oranlar'!AW$2</f>
        <v>0</v>
      </c>
      <c r="AU297">
        <f>'Kullanılan gübre'!AU297*'Gübre oranlar'!AX$2</f>
        <v>0</v>
      </c>
      <c r="AV297">
        <f>'Kullanılan gübre'!AV297*'Gübre oranlar'!AY$2</f>
        <v>0</v>
      </c>
      <c r="AW297">
        <f t="shared" si="4"/>
        <v>147.91650000000001</v>
      </c>
    </row>
    <row r="298" spans="1:49" hidden="1" x14ac:dyDescent="0.25">
      <c r="A298" t="str">
        <f>'Kullanılan gübre'!A298</f>
        <v>YI</v>
      </c>
      <c r="B298" t="str">
        <f>'Kullanılan gübre'!B298</f>
        <v>TOKAT</v>
      </c>
      <c r="C298" t="str">
        <f>'Kullanılan gübre'!C298</f>
        <v>BASCIFTLIK</v>
      </c>
      <c r="D298">
        <f>'Kullanılan gübre'!D298</f>
        <v>2008</v>
      </c>
      <c r="E298">
        <f>'Kullanılan gübre'!E298*'Gübre oranlar'!H$2</f>
        <v>0</v>
      </c>
      <c r="F298">
        <f>'Kullanılan gübre'!F298*'Gübre oranlar'!I$2</f>
        <v>0</v>
      </c>
      <c r="G298">
        <f>'Kullanılan gübre'!G298*'Gübre oranlar'!J$2</f>
        <v>0</v>
      </c>
      <c r="H298">
        <f>'Kullanılan gübre'!H298*'Gübre oranlar'!K$2</f>
        <v>0</v>
      </c>
      <c r="I298">
        <f>'Kullanılan gübre'!I298*'Gübre oranlar'!L$2</f>
        <v>0</v>
      </c>
      <c r="J298">
        <f>'Kullanılan gübre'!J298*'Gübre oranlar'!M$2</f>
        <v>0</v>
      </c>
      <c r="K298">
        <f>'Kullanılan gübre'!K298*'Gübre oranlar'!N$2</f>
        <v>0</v>
      </c>
      <c r="L298">
        <f>'Kullanılan gübre'!L298*'Gübre oranlar'!O$2</f>
        <v>0</v>
      </c>
      <c r="M298">
        <f>'Kullanılan gübre'!M298*'Gübre oranlar'!P$2</f>
        <v>0</v>
      </c>
      <c r="N298">
        <f>'Kullanılan gübre'!N298*'Gübre oranlar'!Q$2</f>
        <v>0</v>
      </c>
      <c r="O298">
        <f>'Kullanılan gübre'!O298*'Gübre oranlar'!R$2</f>
        <v>0</v>
      </c>
      <c r="P298">
        <f>'Kullanılan gübre'!P298*'Gübre oranlar'!S$2</f>
        <v>0</v>
      </c>
      <c r="Q298">
        <f>'Kullanılan gübre'!Q298*'Gübre oranlar'!T$2</f>
        <v>0</v>
      </c>
      <c r="R298">
        <f>'Kullanılan gübre'!R298*'Gübre oranlar'!U$2</f>
        <v>0</v>
      </c>
      <c r="S298">
        <f>'Kullanılan gübre'!S298*'Gübre oranlar'!V$2</f>
        <v>0</v>
      </c>
      <c r="T298">
        <f>'Kullanılan gübre'!T298*'Gübre oranlar'!W$2</f>
        <v>0</v>
      </c>
      <c r="U298">
        <f>'Kullanılan gübre'!U298*'Gübre oranlar'!X$2</f>
        <v>0</v>
      </c>
      <c r="V298">
        <f>'Kullanılan gübre'!V298*'Gübre oranlar'!Y$2</f>
        <v>0</v>
      </c>
      <c r="W298">
        <f>'Kullanılan gübre'!W298*'Gübre oranlar'!Z$2</f>
        <v>0</v>
      </c>
      <c r="X298">
        <f>'Kullanılan gübre'!X298*'Gübre oranlar'!AA$2</f>
        <v>0</v>
      </c>
      <c r="Y298">
        <f>'Kullanılan gübre'!Y298*'Gübre oranlar'!AB$2</f>
        <v>0</v>
      </c>
      <c r="Z298">
        <f>'Kullanılan gübre'!Z298*'Gübre oranlar'!AC$2</f>
        <v>0</v>
      </c>
      <c r="AA298">
        <f>'Kullanılan gübre'!AA298*'Gübre oranlar'!AD$2</f>
        <v>0</v>
      </c>
      <c r="AB298">
        <f>'Kullanılan gübre'!AB298*'Gübre oranlar'!AE$2</f>
        <v>0</v>
      </c>
      <c r="AC298">
        <f>'Kullanılan gübre'!AC298*'Gübre oranlar'!AF$2</f>
        <v>0</v>
      </c>
      <c r="AD298">
        <f>'Kullanılan gübre'!AD298*'Gübre oranlar'!AG$2</f>
        <v>0</v>
      </c>
      <c r="AE298">
        <f>'Kullanılan gübre'!AE298*'Gübre oranlar'!AH$2</f>
        <v>0</v>
      </c>
      <c r="AF298">
        <f>'Kullanılan gübre'!AF298*'Gübre oranlar'!AI$2</f>
        <v>0</v>
      </c>
      <c r="AG298">
        <f>'Kullanılan gübre'!AG298*'Gübre oranlar'!AJ$2</f>
        <v>0</v>
      </c>
      <c r="AH298">
        <f>'Kullanılan gübre'!AH298*'Gübre oranlar'!AK$2</f>
        <v>0</v>
      </c>
      <c r="AI298">
        <f>'Kullanılan gübre'!AI298*'Gübre oranlar'!AL$2</f>
        <v>0</v>
      </c>
      <c r="AJ298">
        <f>'Kullanılan gübre'!AJ298*'Gübre oranlar'!AM$2</f>
        <v>0</v>
      </c>
      <c r="AK298">
        <f>'Kullanılan gübre'!AK298*'Gübre oranlar'!AN$2</f>
        <v>0</v>
      </c>
      <c r="AL298">
        <f>'Kullanılan gübre'!AL298*'Gübre oranlar'!AO$2</f>
        <v>0</v>
      </c>
      <c r="AM298">
        <f>'Kullanılan gübre'!AM298*'Gübre oranlar'!AP$2</f>
        <v>0</v>
      </c>
      <c r="AN298">
        <f>'Kullanılan gübre'!AN298*'Gübre oranlar'!AQ$2</f>
        <v>0</v>
      </c>
      <c r="AO298">
        <f>'Kullanılan gübre'!AO298*'Gübre oranlar'!AR$2</f>
        <v>0</v>
      </c>
      <c r="AP298">
        <f>'Kullanılan gübre'!AP298*'Gübre oranlar'!AS$2</f>
        <v>0</v>
      </c>
      <c r="AQ298">
        <f>'Kullanılan gübre'!AQ298*'Gübre oranlar'!AT$2</f>
        <v>0</v>
      </c>
      <c r="AR298">
        <f>'Kullanılan gübre'!AR298*'Gübre oranlar'!AU$2</f>
        <v>0</v>
      </c>
      <c r="AS298">
        <f>'Kullanılan gübre'!AS298*'Gübre oranlar'!AV$2</f>
        <v>0</v>
      </c>
      <c r="AT298">
        <f>'Kullanılan gübre'!AT298*'Gübre oranlar'!AW$2</f>
        <v>0</v>
      </c>
      <c r="AU298">
        <f>'Kullanılan gübre'!AU298*'Gübre oranlar'!AX$2</f>
        <v>0</v>
      </c>
      <c r="AV298">
        <f>'Kullanılan gübre'!AV298*'Gübre oranlar'!AY$2</f>
        <v>0</v>
      </c>
      <c r="AW298">
        <f t="shared" si="4"/>
        <v>0</v>
      </c>
    </row>
    <row r="299" spans="1:49" hidden="1" x14ac:dyDescent="0.25">
      <c r="A299" t="str">
        <f>'Kullanılan gübre'!A299</f>
        <v>YI</v>
      </c>
      <c r="B299" t="str">
        <f>'Kullanılan gübre'!B299</f>
        <v>TOKAT</v>
      </c>
      <c r="C299" t="str">
        <f>'Kullanılan gübre'!C299</f>
        <v>ERBAA</v>
      </c>
      <c r="D299">
        <f>'Kullanılan gübre'!D299</f>
        <v>2008</v>
      </c>
      <c r="E299">
        <f>'Kullanılan gübre'!E299*'Gübre oranlar'!H$2</f>
        <v>0</v>
      </c>
      <c r="F299">
        <f>'Kullanılan gübre'!F299*'Gübre oranlar'!I$2</f>
        <v>256.32100000000003</v>
      </c>
      <c r="G299">
        <f>'Kullanılan gübre'!G299*'Gübre oranlar'!J$2</f>
        <v>633.35250000000008</v>
      </c>
      <c r="H299">
        <f>'Kullanılan gübre'!H299*'Gübre oranlar'!K$2</f>
        <v>264.63799999999998</v>
      </c>
      <c r="I299">
        <f>'Kullanılan gübre'!I299*'Gübre oranlar'!L$2</f>
        <v>0</v>
      </c>
      <c r="J299">
        <f>'Kullanılan gübre'!J299*'Gübre oranlar'!M$2</f>
        <v>191.85299999999998</v>
      </c>
      <c r="K299">
        <f>'Kullanılan gübre'!K299*'Gübre oranlar'!N$2</f>
        <v>156.22000000000003</v>
      </c>
      <c r="L299">
        <f>'Kullanılan gübre'!L299*'Gübre oranlar'!O$2</f>
        <v>0</v>
      </c>
      <c r="M299">
        <f>'Kullanılan gübre'!M299*'Gübre oranlar'!P$2</f>
        <v>246.66749999999999</v>
      </c>
      <c r="N299">
        <f>'Kullanılan gübre'!N299*'Gübre oranlar'!Q$2</f>
        <v>0</v>
      </c>
      <c r="O299">
        <f>'Kullanılan gübre'!O299*'Gübre oranlar'!R$2</f>
        <v>0</v>
      </c>
      <c r="P299">
        <f>'Kullanılan gübre'!P299*'Gübre oranlar'!S$2</f>
        <v>0</v>
      </c>
      <c r="Q299">
        <f>'Kullanılan gübre'!Q299*'Gübre oranlar'!T$2</f>
        <v>0</v>
      </c>
      <c r="R299">
        <f>'Kullanılan gübre'!R299*'Gübre oranlar'!U$2</f>
        <v>0</v>
      </c>
      <c r="S299">
        <f>'Kullanılan gübre'!S299*'Gübre oranlar'!V$2</f>
        <v>0</v>
      </c>
      <c r="T299">
        <f>'Kullanılan gübre'!T299*'Gübre oranlar'!W$2</f>
        <v>0</v>
      </c>
      <c r="U299">
        <f>'Kullanılan gübre'!U299*'Gübre oranlar'!X$2</f>
        <v>0</v>
      </c>
      <c r="V299">
        <f>'Kullanılan gübre'!V299*'Gübre oranlar'!Y$2</f>
        <v>0</v>
      </c>
      <c r="W299">
        <f>'Kullanılan gübre'!W299*'Gübre oranlar'!Z$2</f>
        <v>0</v>
      </c>
      <c r="X299">
        <f>'Kullanılan gübre'!X299*'Gübre oranlar'!AA$2</f>
        <v>0</v>
      </c>
      <c r="Y299">
        <f>'Kullanılan gübre'!Y299*'Gübre oranlar'!AB$2</f>
        <v>0</v>
      </c>
      <c r="Z299">
        <f>'Kullanılan gübre'!Z299*'Gübre oranlar'!AC$2</f>
        <v>0</v>
      </c>
      <c r="AA299">
        <f>'Kullanılan gübre'!AA299*'Gübre oranlar'!AD$2</f>
        <v>0</v>
      </c>
      <c r="AB299">
        <f>'Kullanılan gübre'!AB299*'Gübre oranlar'!AE$2</f>
        <v>0</v>
      </c>
      <c r="AC299">
        <f>'Kullanılan gübre'!AC299*'Gübre oranlar'!AF$2</f>
        <v>0</v>
      </c>
      <c r="AD299">
        <f>'Kullanılan gübre'!AD299*'Gübre oranlar'!AG$2</f>
        <v>0</v>
      </c>
      <c r="AE299">
        <f>'Kullanılan gübre'!AE299*'Gübre oranlar'!AH$2</f>
        <v>0</v>
      </c>
      <c r="AF299">
        <f>'Kullanılan gübre'!AF299*'Gübre oranlar'!AI$2</f>
        <v>0</v>
      </c>
      <c r="AG299">
        <f>'Kullanılan gübre'!AG299*'Gübre oranlar'!AJ$2</f>
        <v>0</v>
      </c>
      <c r="AH299">
        <f>'Kullanılan gübre'!AH299*'Gübre oranlar'!AK$2</f>
        <v>0</v>
      </c>
      <c r="AI299">
        <f>'Kullanılan gübre'!AI299*'Gübre oranlar'!AL$2</f>
        <v>0</v>
      </c>
      <c r="AJ299">
        <f>'Kullanılan gübre'!AJ299*'Gübre oranlar'!AM$2</f>
        <v>0</v>
      </c>
      <c r="AK299">
        <f>'Kullanılan gübre'!AK299*'Gübre oranlar'!AN$2</f>
        <v>0</v>
      </c>
      <c r="AL299">
        <f>'Kullanılan gübre'!AL299*'Gübre oranlar'!AO$2</f>
        <v>0</v>
      </c>
      <c r="AM299">
        <f>'Kullanılan gübre'!AM299*'Gübre oranlar'!AP$2</f>
        <v>0</v>
      </c>
      <c r="AN299">
        <f>'Kullanılan gübre'!AN299*'Gübre oranlar'!AQ$2</f>
        <v>0</v>
      </c>
      <c r="AO299">
        <f>'Kullanılan gübre'!AO299*'Gübre oranlar'!AR$2</f>
        <v>0</v>
      </c>
      <c r="AP299">
        <f>'Kullanılan gübre'!AP299*'Gübre oranlar'!AS$2</f>
        <v>0</v>
      </c>
      <c r="AQ299">
        <f>'Kullanılan gübre'!AQ299*'Gübre oranlar'!AT$2</f>
        <v>0</v>
      </c>
      <c r="AR299">
        <f>'Kullanılan gübre'!AR299*'Gübre oranlar'!AU$2</f>
        <v>0</v>
      </c>
      <c r="AS299">
        <f>'Kullanılan gübre'!AS299*'Gübre oranlar'!AV$2</f>
        <v>0</v>
      </c>
      <c r="AT299">
        <f>'Kullanılan gübre'!AT299*'Gübre oranlar'!AW$2</f>
        <v>0</v>
      </c>
      <c r="AU299">
        <f>'Kullanılan gübre'!AU299*'Gübre oranlar'!AX$2</f>
        <v>0</v>
      </c>
      <c r="AV299">
        <f>'Kullanılan gübre'!AV299*'Gübre oranlar'!AY$2</f>
        <v>0</v>
      </c>
      <c r="AW299">
        <f t="shared" si="4"/>
        <v>1749.0520000000001</v>
      </c>
    </row>
    <row r="300" spans="1:49" hidden="1" x14ac:dyDescent="0.25">
      <c r="A300" t="str">
        <f>'Kullanılan gübre'!A300</f>
        <v>YI</v>
      </c>
      <c r="B300" t="str">
        <f>'Kullanılan gübre'!B300</f>
        <v>TOKAT</v>
      </c>
      <c r="C300" t="str">
        <f>'Kullanılan gübre'!C300</f>
        <v>NIKSAR</v>
      </c>
      <c r="D300">
        <f>'Kullanılan gübre'!D300</f>
        <v>2008</v>
      </c>
      <c r="E300">
        <f>'Kullanılan gübre'!E300*'Gübre oranlar'!H$2</f>
        <v>67.59899999999999</v>
      </c>
      <c r="F300">
        <f>'Kullanılan gübre'!F300*'Gübre oranlar'!I$2</f>
        <v>94.198000000000008</v>
      </c>
      <c r="G300">
        <f>'Kullanılan gübre'!G300*'Gübre oranlar'!J$2</f>
        <v>372.50400000000002</v>
      </c>
      <c r="H300">
        <f>'Kullanılan gübre'!H300*'Gübre oranlar'!K$2</f>
        <v>291.709</v>
      </c>
      <c r="I300">
        <f>'Kullanılan gübre'!I300*'Gübre oranlar'!L$2</f>
        <v>0</v>
      </c>
      <c r="J300">
        <f>'Kullanılan gübre'!J300*'Gübre oranlar'!M$2</f>
        <v>120.10499999999999</v>
      </c>
      <c r="K300">
        <f>'Kullanılan gübre'!K300*'Gübre oranlar'!N$2</f>
        <v>2.92</v>
      </c>
      <c r="L300">
        <f>'Kullanılan gübre'!L300*'Gübre oranlar'!O$2</f>
        <v>49.2</v>
      </c>
      <c r="M300">
        <f>'Kullanılan gübre'!M300*'Gübre oranlar'!P$2</f>
        <v>3.2775000000000003</v>
      </c>
      <c r="N300">
        <f>'Kullanılan gübre'!N300*'Gübre oranlar'!Q$2</f>
        <v>105.84</v>
      </c>
      <c r="O300">
        <f>'Kullanılan gübre'!O300*'Gübre oranlar'!R$2</f>
        <v>0</v>
      </c>
      <c r="P300">
        <f>'Kullanılan gübre'!P300*'Gübre oranlar'!S$2</f>
        <v>0</v>
      </c>
      <c r="Q300">
        <f>'Kullanılan gübre'!Q300*'Gübre oranlar'!T$2</f>
        <v>0</v>
      </c>
      <c r="R300">
        <f>'Kullanılan gübre'!R300*'Gübre oranlar'!U$2</f>
        <v>0</v>
      </c>
      <c r="S300">
        <f>'Kullanılan gübre'!S300*'Gübre oranlar'!V$2</f>
        <v>0</v>
      </c>
      <c r="T300">
        <f>'Kullanılan gübre'!T300*'Gübre oranlar'!W$2</f>
        <v>0</v>
      </c>
      <c r="U300">
        <f>'Kullanılan gübre'!U300*'Gübre oranlar'!X$2</f>
        <v>0</v>
      </c>
      <c r="V300">
        <f>'Kullanılan gübre'!V300*'Gübre oranlar'!Y$2</f>
        <v>0</v>
      </c>
      <c r="W300">
        <f>'Kullanılan gübre'!W300*'Gübre oranlar'!Z$2</f>
        <v>0</v>
      </c>
      <c r="X300">
        <f>'Kullanılan gübre'!X300*'Gübre oranlar'!AA$2</f>
        <v>0</v>
      </c>
      <c r="Y300">
        <f>'Kullanılan gübre'!Y300*'Gübre oranlar'!AB$2</f>
        <v>0</v>
      </c>
      <c r="Z300">
        <f>'Kullanılan gübre'!Z300*'Gübre oranlar'!AC$2</f>
        <v>0</v>
      </c>
      <c r="AA300">
        <f>'Kullanılan gübre'!AA300*'Gübre oranlar'!AD$2</f>
        <v>0</v>
      </c>
      <c r="AB300">
        <f>'Kullanılan gübre'!AB300*'Gübre oranlar'!AE$2</f>
        <v>0</v>
      </c>
      <c r="AC300">
        <f>'Kullanılan gübre'!AC300*'Gübre oranlar'!AF$2</f>
        <v>0</v>
      </c>
      <c r="AD300">
        <f>'Kullanılan gübre'!AD300*'Gübre oranlar'!AG$2</f>
        <v>0</v>
      </c>
      <c r="AE300">
        <f>'Kullanılan gübre'!AE300*'Gübre oranlar'!AH$2</f>
        <v>0</v>
      </c>
      <c r="AF300">
        <f>'Kullanılan gübre'!AF300*'Gübre oranlar'!AI$2</f>
        <v>0</v>
      </c>
      <c r="AG300">
        <f>'Kullanılan gübre'!AG300*'Gübre oranlar'!AJ$2</f>
        <v>0</v>
      </c>
      <c r="AH300">
        <f>'Kullanılan gübre'!AH300*'Gübre oranlar'!AK$2</f>
        <v>0</v>
      </c>
      <c r="AI300">
        <f>'Kullanılan gübre'!AI300*'Gübre oranlar'!AL$2</f>
        <v>0</v>
      </c>
      <c r="AJ300">
        <f>'Kullanılan gübre'!AJ300*'Gübre oranlar'!AM$2</f>
        <v>0</v>
      </c>
      <c r="AK300">
        <f>'Kullanılan gübre'!AK300*'Gübre oranlar'!AN$2</f>
        <v>0</v>
      </c>
      <c r="AL300">
        <f>'Kullanılan gübre'!AL300*'Gübre oranlar'!AO$2</f>
        <v>0</v>
      </c>
      <c r="AM300">
        <f>'Kullanılan gübre'!AM300*'Gübre oranlar'!AP$2</f>
        <v>0</v>
      </c>
      <c r="AN300">
        <f>'Kullanılan gübre'!AN300*'Gübre oranlar'!AQ$2</f>
        <v>0</v>
      </c>
      <c r="AO300">
        <f>'Kullanılan gübre'!AO300*'Gübre oranlar'!AR$2</f>
        <v>0</v>
      </c>
      <c r="AP300">
        <f>'Kullanılan gübre'!AP300*'Gübre oranlar'!AS$2</f>
        <v>0</v>
      </c>
      <c r="AQ300">
        <f>'Kullanılan gübre'!AQ300*'Gübre oranlar'!AT$2</f>
        <v>0</v>
      </c>
      <c r="AR300">
        <f>'Kullanılan gübre'!AR300*'Gübre oranlar'!AU$2</f>
        <v>0</v>
      </c>
      <c r="AS300">
        <f>'Kullanılan gübre'!AS300*'Gübre oranlar'!AV$2</f>
        <v>0</v>
      </c>
      <c r="AT300">
        <f>'Kullanılan gübre'!AT300*'Gübre oranlar'!AW$2</f>
        <v>0</v>
      </c>
      <c r="AU300">
        <f>'Kullanılan gübre'!AU300*'Gübre oranlar'!AX$2</f>
        <v>0</v>
      </c>
      <c r="AV300">
        <f>'Kullanılan gübre'!AV300*'Gübre oranlar'!AY$2</f>
        <v>0</v>
      </c>
      <c r="AW300">
        <f t="shared" si="4"/>
        <v>1107.3525</v>
      </c>
    </row>
    <row r="301" spans="1:49" hidden="1" x14ac:dyDescent="0.25">
      <c r="A301" t="str">
        <f>'Kullanılan gübre'!A301</f>
        <v>YI</v>
      </c>
      <c r="B301" t="str">
        <f>'Kullanılan gübre'!B301</f>
        <v>TOKAT</v>
      </c>
      <c r="C301" t="str">
        <f>'Kullanılan gübre'!C301</f>
        <v>PAZAR</v>
      </c>
      <c r="D301">
        <f>'Kullanılan gübre'!D301</f>
        <v>2008</v>
      </c>
      <c r="E301">
        <f>'Kullanılan gübre'!E301*'Gübre oranlar'!H$2</f>
        <v>2.3835000000000002</v>
      </c>
      <c r="F301">
        <f>'Kullanılan gübre'!F301*'Gübre oranlar'!I$2</f>
        <v>5.0050000000000008</v>
      </c>
      <c r="G301">
        <f>'Kullanılan gübre'!G301*'Gübre oranlar'!J$2</f>
        <v>53.624999999999993</v>
      </c>
      <c r="H301">
        <f>'Kullanılan gübre'!H301*'Gübre oranlar'!K$2</f>
        <v>273.67699999999996</v>
      </c>
      <c r="I301">
        <f>'Kullanılan gübre'!I301*'Gübre oranlar'!L$2</f>
        <v>0</v>
      </c>
      <c r="J301">
        <f>'Kullanılan gübre'!J301*'Gübre oranlar'!M$2</f>
        <v>21.941999999999997</v>
      </c>
      <c r="K301">
        <f>'Kullanılan gübre'!K301*'Gübre oranlar'!N$2</f>
        <v>4.4400000000000004</v>
      </c>
      <c r="L301">
        <f>'Kullanılan gübre'!L301*'Gübre oranlar'!O$2</f>
        <v>3.6</v>
      </c>
      <c r="M301">
        <f>'Kullanılan gübre'!M301*'Gübre oranlar'!P$2</f>
        <v>8.6100000000000012</v>
      </c>
      <c r="N301">
        <f>'Kullanılan gübre'!N301*'Gübre oranlar'!Q$2</f>
        <v>44.482499999999995</v>
      </c>
      <c r="O301">
        <f>'Kullanılan gübre'!O301*'Gübre oranlar'!R$2</f>
        <v>0</v>
      </c>
      <c r="P301">
        <f>'Kullanılan gübre'!P301*'Gübre oranlar'!S$2</f>
        <v>0.28534999999999999</v>
      </c>
      <c r="Q301">
        <f>'Kullanılan gübre'!Q301*'Gübre oranlar'!T$2</f>
        <v>65.975999999999999</v>
      </c>
      <c r="R301">
        <f>'Kullanılan gübre'!R301*'Gübre oranlar'!U$2</f>
        <v>0</v>
      </c>
      <c r="S301">
        <f>'Kullanılan gübre'!S301*'Gübre oranlar'!V$2</f>
        <v>0</v>
      </c>
      <c r="T301">
        <f>'Kullanılan gübre'!T301*'Gübre oranlar'!W$2</f>
        <v>0</v>
      </c>
      <c r="U301">
        <f>'Kullanılan gübre'!U301*'Gübre oranlar'!X$2</f>
        <v>0</v>
      </c>
      <c r="V301">
        <f>'Kullanılan gübre'!V301*'Gübre oranlar'!Y$2</f>
        <v>0</v>
      </c>
      <c r="W301">
        <f>'Kullanılan gübre'!W301*'Gübre oranlar'!Z$2</f>
        <v>0</v>
      </c>
      <c r="X301">
        <f>'Kullanılan gübre'!X301*'Gübre oranlar'!AA$2</f>
        <v>0</v>
      </c>
      <c r="Y301">
        <f>'Kullanılan gübre'!Y301*'Gübre oranlar'!AB$2</f>
        <v>0</v>
      </c>
      <c r="Z301">
        <f>'Kullanılan gübre'!Z301*'Gübre oranlar'!AC$2</f>
        <v>0</v>
      </c>
      <c r="AA301">
        <f>'Kullanılan gübre'!AA301*'Gübre oranlar'!AD$2</f>
        <v>0</v>
      </c>
      <c r="AB301">
        <f>'Kullanılan gübre'!AB301*'Gübre oranlar'!AE$2</f>
        <v>0</v>
      </c>
      <c r="AC301">
        <f>'Kullanılan gübre'!AC301*'Gübre oranlar'!AF$2</f>
        <v>0</v>
      </c>
      <c r="AD301">
        <f>'Kullanılan gübre'!AD301*'Gübre oranlar'!AG$2</f>
        <v>0</v>
      </c>
      <c r="AE301">
        <f>'Kullanılan gübre'!AE301*'Gübre oranlar'!AH$2</f>
        <v>0</v>
      </c>
      <c r="AF301">
        <f>'Kullanılan gübre'!AF301*'Gübre oranlar'!AI$2</f>
        <v>0</v>
      </c>
      <c r="AG301">
        <f>'Kullanılan gübre'!AG301*'Gübre oranlar'!AJ$2</f>
        <v>0</v>
      </c>
      <c r="AH301">
        <f>'Kullanılan gübre'!AH301*'Gübre oranlar'!AK$2</f>
        <v>0</v>
      </c>
      <c r="AI301">
        <f>'Kullanılan gübre'!AI301*'Gübre oranlar'!AL$2</f>
        <v>0</v>
      </c>
      <c r="AJ301">
        <f>'Kullanılan gübre'!AJ301*'Gübre oranlar'!AM$2</f>
        <v>0</v>
      </c>
      <c r="AK301">
        <f>'Kullanılan gübre'!AK301*'Gübre oranlar'!AN$2</f>
        <v>0</v>
      </c>
      <c r="AL301">
        <f>'Kullanılan gübre'!AL301*'Gübre oranlar'!AO$2</f>
        <v>0</v>
      </c>
      <c r="AM301">
        <f>'Kullanılan gübre'!AM301*'Gübre oranlar'!AP$2</f>
        <v>0</v>
      </c>
      <c r="AN301">
        <f>'Kullanılan gübre'!AN301*'Gübre oranlar'!AQ$2</f>
        <v>0</v>
      </c>
      <c r="AO301">
        <f>'Kullanılan gübre'!AO301*'Gübre oranlar'!AR$2</f>
        <v>0</v>
      </c>
      <c r="AP301">
        <f>'Kullanılan gübre'!AP301*'Gübre oranlar'!AS$2</f>
        <v>0</v>
      </c>
      <c r="AQ301">
        <f>'Kullanılan gübre'!AQ301*'Gübre oranlar'!AT$2</f>
        <v>0</v>
      </c>
      <c r="AR301">
        <f>'Kullanılan gübre'!AR301*'Gübre oranlar'!AU$2</f>
        <v>0</v>
      </c>
      <c r="AS301">
        <f>'Kullanılan gübre'!AS301*'Gübre oranlar'!AV$2</f>
        <v>0</v>
      </c>
      <c r="AT301">
        <f>'Kullanılan gübre'!AT301*'Gübre oranlar'!AW$2</f>
        <v>0</v>
      </c>
      <c r="AU301">
        <f>'Kullanılan gübre'!AU301*'Gübre oranlar'!AX$2</f>
        <v>0</v>
      </c>
      <c r="AV301">
        <f>'Kullanılan gübre'!AV301*'Gübre oranlar'!AY$2</f>
        <v>0</v>
      </c>
      <c r="AW301">
        <f t="shared" si="4"/>
        <v>484.02634999999998</v>
      </c>
    </row>
    <row r="302" spans="1:49" hidden="1" x14ac:dyDescent="0.25">
      <c r="A302" t="str">
        <f>'Kullanılan gübre'!A302</f>
        <v>YI</v>
      </c>
      <c r="B302" t="str">
        <f>'Kullanılan gübre'!B302</f>
        <v>TOKAT</v>
      </c>
      <c r="C302" t="str">
        <f>'Kullanılan gübre'!C302</f>
        <v>RESADIYE</v>
      </c>
      <c r="D302">
        <f>'Kullanılan gübre'!D302</f>
        <v>2008</v>
      </c>
      <c r="E302">
        <f>'Kullanılan gübre'!E302*'Gübre oranlar'!H$2</f>
        <v>0</v>
      </c>
      <c r="F302">
        <f>'Kullanılan gübre'!F302*'Gübre oranlar'!I$2</f>
        <v>23.92</v>
      </c>
      <c r="G302">
        <f>'Kullanılan gübre'!G302*'Gübre oranlar'!J$2</f>
        <v>35.788499999999999</v>
      </c>
      <c r="H302">
        <f>'Kullanılan gübre'!H302*'Gübre oranlar'!K$2</f>
        <v>43.585000000000001</v>
      </c>
      <c r="I302">
        <f>'Kullanılan gübre'!I302*'Gübre oranlar'!L$2</f>
        <v>0</v>
      </c>
      <c r="J302">
        <f>'Kullanılan gübre'!J302*'Gübre oranlar'!M$2</f>
        <v>4.6530000000000005</v>
      </c>
      <c r="K302">
        <f>'Kullanılan gübre'!K302*'Gübre oranlar'!N$2</f>
        <v>0</v>
      </c>
      <c r="L302">
        <f>'Kullanılan gübre'!L302*'Gübre oranlar'!O$2</f>
        <v>0</v>
      </c>
      <c r="M302">
        <f>'Kullanılan gübre'!M302*'Gübre oranlar'!P$2</f>
        <v>0</v>
      </c>
      <c r="N302">
        <f>'Kullanılan gübre'!N302*'Gübre oranlar'!Q$2</f>
        <v>0</v>
      </c>
      <c r="O302">
        <f>'Kullanılan gübre'!O302*'Gübre oranlar'!R$2</f>
        <v>0</v>
      </c>
      <c r="P302">
        <f>'Kullanılan gübre'!P302*'Gübre oranlar'!S$2</f>
        <v>0</v>
      </c>
      <c r="Q302">
        <f>'Kullanılan gübre'!Q302*'Gübre oranlar'!T$2</f>
        <v>0</v>
      </c>
      <c r="R302">
        <f>'Kullanılan gübre'!R302*'Gübre oranlar'!U$2</f>
        <v>0</v>
      </c>
      <c r="S302">
        <f>'Kullanılan gübre'!S302*'Gübre oranlar'!V$2</f>
        <v>0</v>
      </c>
      <c r="T302">
        <f>'Kullanılan gübre'!T302*'Gübre oranlar'!W$2</f>
        <v>0</v>
      </c>
      <c r="U302">
        <f>'Kullanılan gübre'!U302*'Gübre oranlar'!X$2</f>
        <v>0</v>
      </c>
      <c r="V302">
        <f>'Kullanılan gübre'!V302*'Gübre oranlar'!Y$2</f>
        <v>0</v>
      </c>
      <c r="W302">
        <f>'Kullanılan gübre'!W302*'Gübre oranlar'!Z$2</f>
        <v>0</v>
      </c>
      <c r="X302">
        <f>'Kullanılan gübre'!X302*'Gübre oranlar'!AA$2</f>
        <v>0</v>
      </c>
      <c r="Y302">
        <f>'Kullanılan gübre'!Y302*'Gübre oranlar'!AB$2</f>
        <v>0</v>
      </c>
      <c r="Z302">
        <f>'Kullanılan gübre'!Z302*'Gübre oranlar'!AC$2</f>
        <v>0</v>
      </c>
      <c r="AA302">
        <f>'Kullanılan gübre'!AA302*'Gübre oranlar'!AD$2</f>
        <v>0</v>
      </c>
      <c r="AB302">
        <f>'Kullanılan gübre'!AB302*'Gübre oranlar'!AE$2</f>
        <v>0</v>
      </c>
      <c r="AC302">
        <f>'Kullanılan gübre'!AC302*'Gübre oranlar'!AF$2</f>
        <v>0</v>
      </c>
      <c r="AD302">
        <f>'Kullanılan gübre'!AD302*'Gübre oranlar'!AG$2</f>
        <v>0</v>
      </c>
      <c r="AE302">
        <f>'Kullanılan gübre'!AE302*'Gübre oranlar'!AH$2</f>
        <v>0</v>
      </c>
      <c r="AF302">
        <f>'Kullanılan gübre'!AF302*'Gübre oranlar'!AI$2</f>
        <v>0</v>
      </c>
      <c r="AG302">
        <f>'Kullanılan gübre'!AG302*'Gübre oranlar'!AJ$2</f>
        <v>0</v>
      </c>
      <c r="AH302">
        <f>'Kullanılan gübre'!AH302*'Gübre oranlar'!AK$2</f>
        <v>0</v>
      </c>
      <c r="AI302">
        <f>'Kullanılan gübre'!AI302*'Gübre oranlar'!AL$2</f>
        <v>0</v>
      </c>
      <c r="AJ302">
        <f>'Kullanılan gübre'!AJ302*'Gübre oranlar'!AM$2</f>
        <v>0</v>
      </c>
      <c r="AK302">
        <f>'Kullanılan gübre'!AK302*'Gübre oranlar'!AN$2</f>
        <v>0</v>
      </c>
      <c r="AL302">
        <f>'Kullanılan gübre'!AL302*'Gübre oranlar'!AO$2</f>
        <v>0</v>
      </c>
      <c r="AM302">
        <f>'Kullanılan gübre'!AM302*'Gübre oranlar'!AP$2</f>
        <v>0</v>
      </c>
      <c r="AN302">
        <f>'Kullanılan gübre'!AN302*'Gübre oranlar'!AQ$2</f>
        <v>0</v>
      </c>
      <c r="AO302">
        <f>'Kullanılan gübre'!AO302*'Gübre oranlar'!AR$2</f>
        <v>0</v>
      </c>
      <c r="AP302">
        <f>'Kullanılan gübre'!AP302*'Gübre oranlar'!AS$2</f>
        <v>0</v>
      </c>
      <c r="AQ302">
        <f>'Kullanılan gübre'!AQ302*'Gübre oranlar'!AT$2</f>
        <v>0</v>
      </c>
      <c r="AR302">
        <f>'Kullanılan gübre'!AR302*'Gübre oranlar'!AU$2</f>
        <v>0</v>
      </c>
      <c r="AS302">
        <f>'Kullanılan gübre'!AS302*'Gübre oranlar'!AV$2</f>
        <v>0</v>
      </c>
      <c r="AT302">
        <f>'Kullanılan gübre'!AT302*'Gübre oranlar'!AW$2</f>
        <v>0</v>
      </c>
      <c r="AU302">
        <f>'Kullanılan gübre'!AU302*'Gübre oranlar'!AX$2</f>
        <v>0</v>
      </c>
      <c r="AV302">
        <f>'Kullanılan gübre'!AV302*'Gübre oranlar'!AY$2</f>
        <v>0</v>
      </c>
      <c r="AW302">
        <f t="shared" si="4"/>
        <v>107.9465</v>
      </c>
    </row>
    <row r="303" spans="1:49" hidden="1" x14ac:dyDescent="0.25">
      <c r="A303" t="str">
        <f>'Kullanılan gübre'!A303</f>
        <v>YI</v>
      </c>
      <c r="B303" t="str">
        <f>'Kullanılan gübre'!B303</f>
        <v>TOKAT</v>
      </c>
      <c r="C303" t="str">
        <f>'Kullanılan gübre'!C303</f>
        <v>SULUSARAY</v>
      </c>
      <c r="D303">
        <f>'Kullanılan gübre'!D303</f>
        <v>2008</v>
      </c>
      <c r="E303">
        <f>'Kullanılan gübre'!E303*'Gübre oranlar'!H$2</f>
        <v>0</v>
      </c>
      <c r="F303">
        <f>'Kullanılan gübre'!F303*'Gübre oranlar'!I$2</f>
        <v>0</v>
      </c>
      <c r="G303">
        <f>'Kullanılan gübre'!G303*'Gübre oranlar'!J$2</f>
        <v>0</v>
      </c>
      <c r="H303">
        <f>'Kullanılan gübre'!H303*'Gübre oranlar'!K$2</f>
        <v>2.7600000000000002</v>
      </c>
      <c r="I303">
        <f>'Kullanılan gübre'!I303*'Gübre oranlar'!L$2</f>
        <v>0</v>
      </c>
      <c r="J303">
        <f>'Kullanılan gübre'!J303*'Gübre oranlar'!M$2</f>
        <v>32.22</v>
      </c>
      <c r="K303">
        <f>'Kullanılan gübre'!K303*'Gübre oranlar'!N$2</f>
        <v>0.26</v>
      </c>
      <c r="L303">
        <f>'Kullanılan gübre'!L303*'Gübre oranlar'!O$2</f>
        <v>0</v>
      </c>
      <c r="M303">
        <f>'Kullanılan gübre'!M303*'Gübre oranlar'!P$2</f>
        <v>0</v>
      </c>
      <c r="N303">
        <f>'Kullanılan gübre'!N303*'Gübre oranlar'!Q$2</f>
        <v>0</v>
      </c>
      <c r="O303">
        <f>'Kullanılan gübre'!O303*'Gübre oranlar'!R$2</f>
        <v>0</v>
      </c>
      <c r="P303">
        <f>'Kullanılan gübre'!P303*'Gübre oranlar'!S$2</f>
        <v>0</v>
      </c>
      <c r="Q303">
        <f>'Kullanılan gübre'!Q303*'Gübre oranlar'!T$2</f>
        <v>0</v>
      </c>
      <c r="R303">
        <f>'Kullanılan gübre'!R303*'Gübre oranlar'!U$2</f>
        <v>0</v>
      </c>
      <c r="S303">
        <f>'Kullanılan gübre'!S303*'Gübre oranlar'!V$2</f>
        <v>0</v>
      </c>
      <c r="T303">
        <f>'Kullanılan gübre'!T303*'Gübre oranlar'!W$2</f>
        <v>0</v>
      </c>
      <c r="U303">
        <f>'Kullanılan gübre'!U303*'Gübre oranlar'!X$2</f>
        <v>0</v>
      </c>
      <c r="V303">
        <f>'Kullanılan gübre'!V303*'Gübre oranlar'!Y$2</f>
        <v>0</v>
      </c>
      <c r="W303">
        <f>'Kullanılan gübre'!W303*'Gübre oranlar'!Z$2</f>
        <v>0</v>
      </c>
      <c r="X303">
        <f>'Kullanılan gübre'!X303*'Gübre oranlar'!AA$2</f>
        <v>0</v>
      </c>
      <c r="Y303">
        <f>'Kullanılan gübre'!Y303*'Gübre oranlar'!AB$2</f>
        <v>0</v>
      </c>
      <c r="Z303">
        <f>'Kullanılan gübre'!Z303*'Gübre oranlar'!AC$2</f>
        <v>0</v>
      </c>
      <c r="AA303">
        <f>'Kullanılan gübre'!AA303*'Gübre oranlar'!AD$2</f>
        <v>0</v>
      </c>
      <c r="AB303">
        <f>'Kullanılan gübre'!AB303*'Gübre oranlar'!AE$2</f>
        <v>0</v>
      </c>
      <c r="AC303">
        <f>'Kullanılan gübre'!AC303*'Gübre oranlar'!AF$2</f>
        <v>0</v>
      </c>
      <c r="AD303">
        <f>'Kullanılan gübre'!AD303*'Gübre oranlar'!AG$2</f>
        <v>0</v>
      </c>
      <c r="AE303">
        <f>'Kullanılan gübre'!AE303*'Gübre oranlar'!AH$2</f>
        <v>0</v>
      </c>
      <c r="AF303">
        <f>'Kullanılan gübre'!AF303*'Gübre oranlar'!AI$2</f>
        <v>0</v>
      </c>
      <c r="AG303">
        <f>'Kullanılan gübre'!AG303*'Gübre oranlar'!AJ$2</f>
        <v>0</v>
      </c>
      <c r="AH303">
        <f>'Kullanılan gübre'!AH303*'Gübre oranlar'!AK$2</f>
        <v>0</v>
      </c>
      <c r="AI303">
        <f>'Kullanılan gübre'!AI303*'Gübre oranlar'!AL$2</f>
        <v>0</v>
      </c>
      <c r="AJ303">
        <f>'Kullanılan gübre'!AJ303*'Gübre oranlar'!AM$2</f>
        <v>0</v>
      </c>
      <c r="AK303">
        <f>'Kullanılan gübre'!AK303*'Gübre oranlar'!AN$2</f>
        <v>0</v>
      </c>
      <c r="AL303">
        <f>'Kullanılan gübre'!AL303*'Gübre oranlar'!AO$2</f>
        <v>0</v>
      </c>
      <c r="AM303">
        <f>'Kullanılan gübre'!AM303*'Gübre oranlar'!AP$2</f>
        <v>0</v>
      </c>
      <c r="AN303">
        <f>'Kullanılan gübre'!AN303*'Gübre oranlar'!AQ$2</f>
        <v>0</v>
      </c>
      <c r="AO303">
        <f>'Kullanılan gübre'!AO303*'Gübre oranlar'!AR$2</f>
        <v>0</v>
      </c>
      <c r="AP303">
        <f>'Kullanılan gübre'!AP303*'Gübre oranlar'!AS$2</f>
        <v>0</v>
      </c>
      <c r="AQ303">
        <f>'Kullanılan gübre'!AQ303*'Gübre oranlar'!AT$2</f>
        <v>0</v>
      </c>
      <c r="AR303">
        <f>'Kullanılan gübre'!AR303*'Gübre oranlar'!AU$2</f>
        <v>0</v>
      </c>
      <c r="AS303">
        <f>'Kullanılan gübre'!AS303*'Gübre oranlar'!AV$2</f>
        <v>0</v>
      </c>
      <c r="AT303">
        <f>'Kullanılan gübre'!AT303*'Gübre oranlar'!AW$2</f>
        <v>0</v>
      </c>
      <c r="AU303">
        <f>'Kullanılan gübre'!AU303*'Gübre oranlar'!AX$2</f>
        <v>0</v>
      </c>
      <c r="AV303">
        <f>'Kullanılan gübre'!AV303*'Gübre oranlar'!AY$2</f>
        <v>0</v>
      </c>
      <c r="AW303">
        <f t="shared" si="4"/>
        <v>35.239999999999995</v>
      </c>
    </row>
    <row r="304" spans="1:49" hidden="1" x14ac:dyDescent="0.25">
      <c r="A304" t="str">
        <f>'Kullanılan gübre'!A304</f>
        <v>YI</v>
      </c>
      <c r="B304" t="str">
        <f>'Kullanılan gübre'!B304</f>
        <v>TOKAT</v>
      </c>
      <c r="C304" t="str">
        <f>'Kullanılan gübre'!C304</f>
        <v>TURHAL</v>
      </c>
      <c r="D304">
        <f>'Kullanılan gübre'!D304</f>
        <v>2008</v>
      </c>
      <c r="E304">
        <f>'Kullanılan gübre'!E304*'Gübre oranlar'!H$2</f>
        <v>3.8325</v>
      </c>
      <c r="F304">
        <f>'Kullanılan gübre'!F304*'Gübre oranlar'!I$2</f>
        <v>190.08600000000001</v>
      </c>
      <c r="G304">
        <f>'Kullanılan gübre'!G304*'Gübre oranlar'!J$2</f>
        <v>329.35650000000004</v>
      </c>
      <c r="H304">
        <f>'Kullanılan gübre'!H304*'Gübre oranlar'!K$2</f>
        <v>354.03899999999999</v>
      </c>
      <c r="I304">
        <f>'Kullanılan gübre'!I304*'Gübre oranlar'!L$2</f>
        <v>0</v>
      </c>
      <c r="J304">
        <f>'Kullanılan gübre'!J304*'Gübre oranlar'!M$2</f>
        <v>14.327999999999998</v>
      </c>
      <c r="K304">
        <f>'Kullanılan gübre'!K304*'Gübre oranlar'!N$2</f>
        <v>38.03</v>
      </c>
      <c r="L304">
        <f>'Kullanılan gübre'!L304*'Gübre oranlar'!O$2</f>
        <v>32.54</v>
      </c>
      <c r="M304">
        <f>'Kullanılan gübre'!M304*'Gübre oranlar'!P$2</f>
        <v>3.9</v>
      </c>
      <c r="N304">
        <f>'Kullanılan gübre'!N304*'Gübre oranlar'!Q$2</f>
        <v>1.425</v>
      </c>
      <c r="O304">
        <f>'Kullanılan gübre'!O304*'Gübre oranlar'!R$2</f>
        <v>0</v>
      </c>
      <c r="P304">
        <f>'Kullanılan gübre'!P304*'Gübre oranlar'!S$2</f>
        <v>3.2109999999999999</v>
      </c>
      <c r="Q304">
        <f>'Kullanılan gübre'!Q304*'Gübre oranlar'!T$2</f>
        <v>84.24</v>
      </c>
      <c r="R304">
        <f>'Kullanılan gübre'!R304*'Gübre oranlar'!U$2</f>
        <v>0</v>
      </c>
      <c r="S304">
        <f>'Kullanılan gübre'!S304*'Gübre oranlar'!V$2</f>
        <v>0</v>
      </c>
      <c r="T304">
        <f>'Kullanılan gübre'!T304*'Gübre oranlar'!W$2</f>
        <v>0</v>
      </c>
      <c r="U304">
        <f>'Kullanılan gübre'!U304*'Gübre oranlar'!X$2</f>
        <v>0</v>
      </c>
      <c r="V304">
        <f>'Kullanılan gübre'!V304*'Gübre oranlar'!Y$2</f>
        <v>0</v>
      </c>
      <c r="W304">
        <f>'Kullanılan gübre'!W304*'Gübre oranlar'!Z$2</f>
        <v>0</v>
      </c>
      <c r="X304">
        <f>'Kullanılan gübre'!X304*'Gübre oranlar'!AA$2</f>
        <v>0</v>
      </c>
      <c r="Y304">
        <f>'Kullanılan gübre'!Y304*'Gübre oranlar'!AB$2</f>
        <v>0</v>
      </c>
      <c r="Z304">
        <f>'Kullanılan gübre'!Z304*'Gübre oranlar'!AC$2</f>
        <v>0</v>
      </c>
      <c r="AA304">
        <f>'Kullanılan gübre'!AA304*'Gübre oranlar'!AD$2</f>
        <v>0</v>
      </c>
      <c r="AB304">
        <f>'Kullanılan gübre'!AB304*'Gübre oranlar'!AE$2</f>
        <v>0</v>
      </c>
      <c r="AC304">
        <f>'Kullanılan gübre'!AC304*'Gübre oranlar'!AF$2</f>
        <v>0</v>
      </c>
      <c r="AD304">
        <f>'Kullanılan gübre'!AD304*'Gübre oranlar'!AG$2</f>
        <v>0</v>
      </c>
      <c r="AE304">
        <f>'Kullanılan gübre'!AE304*'Gübre oranlar'!AH$2</f>
        <v>0</v>
      </c>
      <c r="AF304">
        <f>'Kullanılan gübre'!AF304*'Gübre oranlar'!AI$2</f>
        <v>0</v>
      </c>
      <c r="AG304">
        <f>'Kullanılan gübre'!AG304*'Gübre oranlar'!AJ$2</f>
        <v>0</v>
      </c>
      <c r="AH304">
        <f>'Kullanılan gübre'!AH304*'Gübre oranlar'!AK$2</f>
        <v>0</v>
      </c>
      <c r="AI304">
        <f>'Kullanılan gübre'!AI304*'Gübre oranlar'!AL$2</f>
        <v>0</v>
      </c>
      <c r="AJ304">
        <f>'Kullanılan gübre'!AJ304*'Gübre oranlar'!AM$2</f>
        <v>0</v>
      </c>
      <c r="AK304">
        <f>'Kullanılan gübre'!AK304*'Gübre oranlar'!AN$2</f>
        <v>0</v>
      </c>
      <c r="AL304">
        <f>'Kullanılan gübre'!AL304*'Gübre oranlar'!AO$2</f>
        <v>0</v>
      </c>
      <c r="AM304">
        <f>'Kullanılan gübre'!AM304*'Gübre oranlar'!AP$2</f>
        <v>0</v>
      </c>
      <c r="AN304">
        <f>'Kullanılan gübre'!AN304*'Gübre oranlar'!AQ$2</f>
        <v>0</v>
      </c>
      <c r="AO304">
        <f>'Kullanılan gübre'!AO304*'Gübre oranlar'!AR$2</f>
        <v>0</v>
      </c>
      <c r="AP304">
        <f>'Kullanılan gübre'!AP304*'Gübre oranlar'!AS$2</f>
        <v>0</v>
      </c>
      <c r="AQ304">
        <f>'Kullanılan gübre'!AQ304*'Gübre oranlar'!AT$2</f>
        <v>0</v>
      </c>
      <c r="AR304">
        <f>'Kullanılan gübre'!AR304*'Gübre oranlar'!AU$2</f>
        <v>0</v>
      </c>
      <c r="AS304">
        <f>'Kullanılan gübre'!AS304*'Gübre oranlar'!AV$2</f>
        <v>0</v>
      </c>
      <c r="AT304">
        <f>'Kullanılan gübre'!AT304*'Gübre oranlar'!AW$2</f>
        <v>0</v>
      </c>
      <c r="AU304">
        <f>'Kullanılan gübre'!AU304*'Gübre oranlar'!AX$2</f>
        <v>0</v>
      </c>
      <c r="AV304">
        <f>'Kullanılan gübre'!AV304*'Gübre oranlar'!AY$2</f>
        <v>0</v>
      </c>
      <c r="AW304">
        <f t="shared" si="4"/>
        <v>1054.9879999999998</v>
      </c>
    </row>
    <row r="305" spans="1:49" hidden="1" x14ac:dyDescent="0.25">
      <c r="A305" t="str">
        <f>'Kullanılan gübre'!A305</f>
        <v>YI</v>
      </c>
      <c r="B305" t="str">
        <f>'Kullanılan gübre'!B305</f>
        <v>TOKAT</v>
      </c>
      <c r="C305" t="str">
        <f>'Kullanılan gübre'!C305</f>
        <v>YESILYURT</v>
      </c>
      <c r="D305">
        <f>'Kullanılan gübre'!D305</f>
        <v>2008</v>
      </c>
      <c r="E305">
        <f>'Kullanılan gübre'!E305*'Gübre oranlar'!H$2</f>
        <v>5.25</v>
      </c>
      <c r="F305">
        <f>'Kullanılan gübre'!F305*'Gübre oranlar'!I$2</f>
        <v>86.45</v>
      </c>
      <c r="G305">
        <f>'Kullanılan gübre'!G305*'Gübre oranlar'!J$2</f>
        <v>39.435000000000002</v>
      </c>
      <c r="H305">
        <f>'Kullanılan gübre'!H305*'Gübre oranlar'!K$2</f>
        <v>14.72</v>
      </c>
      <c r="I305">
        <f>'Kullanılan gübre'!I305*'Gübre oranlar'!L$2</f>
        <v>0</v>
      </c>
      <c r="J305">
        <f>'Kullanılan gübre'!J305*'Gübre oranlar'!M$2</f>
        <v>18.458999999999996</v>
      </c>
      <c r="K305">
        <f>'Kullanılan gübre'!K305*'Gübre oranlar'!N$2</f>
        <v>32.200000000000003</v>
      </c>
      <c r="L305">
        <f>'Kullanılan gübre'!L305*'Gübre oranlar'!O$2</f>
        <v>33.71</v>
      </c>
      <c r="M305">
        <f>'Kullanılan gübre'!M305*'Gübre oranlar'!P$2</f>
        <v>0</v>
      </c>
      <c r="N305">
        <f>'Kullanılan gübre'!N305*'Gübre oranlar'!Q$2</f>
        <v>6.1499999999999995</v>
      </c>
      <c r="O305">
        <f>'Kullanılan gübre'!O305*'Gübre oranlar'!R$2</f>
        <v>0</v>
      </c>
      <c r="P305">
        <f>'Kullanılan gübre'!P305*'Gübre oranlar'!S$2</f>
        <v>0</v>
      </c>
      <c r="Q305">
        <f>'Kullanılan gübre'!Q305*'Gübre oranlar'!T$2</f>
        <v>0</v>
      </c>
      <c r="R305">
        <f>'Kullanılan gübre'!R305*'Gübre oranlar'!U$2</f>
        <v>0</v>
      </c>
      <c r="S305">
        <f>'Kullanılan gübre'!S305*'Gübre oranlar'!V$2</f>
        <v>0</v>
      </c>
      <c r="T305">
        <f>'Kullanılan gübre'!T305*'Gübre oranlar'!W$2</f>
        <v>0</v>
      </c>
      <c r="U305">
        <f>'Kullanılan gübre'!U305*'Gübre oranlar'!X$2</f>
        <v>0</v>
      </c>
      <c r="V305">
        <f>'Kullanılan gübre'!V305*'Gübre oranlar'!Y$2</f>
        <v>0</v>
      </c>
      <c r="W305">
        <f>'Kullanılan gübre'!W305*'Gübre oranlar'!Z$2</f>
        <v>0</v>
      </c>
      <c r="X305">
        <f>'Kullanılan gübre'!X305*'Gübre oranlar'!AA$2</f>
        <v>0</v>
      </c>
      <c r="Y305">
        <f>'Kullanılan gübre'!Y305*'Gübre oranlar'!AB$2</f>
        <v>0</v>
      </c>
      <c r="Z305">
        <f>'Kullanılan gübre'!Z305*'Gübre oranlar'!AC$2</f>
        <v>0</v>
      </c>
      <c r="AA305">
        <f>'Kullanılan gübre'!AA305*'Gübre oranlar'!AD$2</f>
        <v>0</v>
      </c>
      <c r="AB305">
        <f>'Kullanılan gübre'!AB305*'Gübre oranlar'!AE$2</f>
        <v>0</v>
      </c>
      <c r="AC305">
        <f>'Kullanılan gübre'!AC305*'Gübre oranlar'!AF$2</f>
        <v>0</v>
      </c>
      <c r="AD305">
        <f>'Kullanılan gübre'!AD305*'Gübre oranlar'!AG$2</f>
        <v>0</v>
      </c>
      <c r="AE305">
        <f>'Kullanılan gübre'!AE305*'Gübre oranlar'!AH$2</f>
        <v>0</v>
      </c>
      <c r="AF305">
        <f>'Kullanılan gübre'!AF305*'Gübre oranlar'!AI$2</f>
        <v>0</v>
      </c>
      <c r="AG305">
        <f>'Kullanılan gübre'!AG305*'Gübre oranlar'!AJ$2</f>
        <v>0</v>
      </c>
      <c r="AH305">
        <f>'Kullanılan gübre'!AH305*'Gübre oranlar'!AK$2</f>
        <v>0</v>
      </c>
      <c r="AI305">
        <f>'Kullanılan gübre'!AI305*'Gübre oranlar'!AL$2</f>
        <v>0</v>
      </c>
      <c r="AJ305">
        <f>'Kullanılan gübre'!AJ305*'Gübre oranlar'!AM$2</f>
        <v>0</v>
      </c>
      <c r="AK305">
        <f>'Kullanılan gübre'!AK305*'Gübre oranlar'!AN$2</f>
        <v>0</v>
      </c>
      <c r="AL305">
        <f>'Kullanılan gübre'!AL305*'Gübre oranlar'!AO$2</f>
        <v>0</v>
      </c>
      <c r="AM305">
        <f>'Kullanılan gübre'!AM305*'Gübre oranlar'!AP$2</f>
        <v>0</v>
      </c>
      <c r="AN305">
        <f>'Kullanılan gübre'!AN305*'Gübre oranlar'!AQ$2</f>
        <v>0</v>
      </c>
      <c r="AO305">
        <f>'Kullanılan gübre'!AO305*'Gübre oranlar'!AR$2</f>
        <v>0</v>
      </c>
      <c r="AP305">
        <f>'Kullanılan gübre'!AP305*'Gübre oranlar'!AS$2</f>
        <v>0</v>
      </c>
      <c r="AQ305">
        <f>'Kullanılan gübre'!AQ305*'Gübre oranlar'!AT$2</f>
        <v>0</v>
      </c>
      <c r="AR305">
        <f>'Kullanılan gübre'!AR305*'Gübre oranlar'!AU$2</f>
        <v>0</v>
      </c>
      <c r="AS305">
        <f>'Kullanılan gübre'!AS305*'Gübre oranlar'!AV$2</f>
        <v>0</v>
      </c>
      <c r="AT305">
        <f>'Kullanılan gübre'!AT305*'Gübre oranlar'!AW$2</f>
        <v>0</v>
      </c>
      <c r="AU305">
        <f>'Kullanılan gübre'!AU305*'Gübre oranlar'!AX$2</f>
        <v>0</v>
      </c>
      <c r="AV305">
        <f>'Kullanılan gübre'!AV305*'Gübre oranlar'!AY$2</f>
        <v>0</v>
      </c>
      <c r="AW305">
        <f t="shared" si="4"/>
        <v>236.37400000000002</v>
      </c>
    </row>
    <row r="306" spans="1:49" hidden="1" x14ac:dyDescent="0.25">
      <c r="A306" t="str">
        <f>'Kullanılan gübre'!A306</f>
        <v>YI</v>
      </c>
      <c r="B306" t="str">
        <f>'Kullanılan gübre'!B306</f>
        <v>TOKAT</v>
      </c>
      <c r="C306" t="str">
        <f>'Kullanılan gübre'!C306</f>
        <v>ZILE</v>
      </c>
      <c r="D306">
        <f>'Kullanılan gübre'!D306</f>
        <v>2008</v>
      </c>
      <c r="E306">
        <f>'Kullanılan gübre'!E306*'Gübre oranlar'!H$2</f>
        <v>26.207999999999998</v>
      </c>
      <c r="F306">
        <f>'Kullanılan gübre'!F306*'Gübre oranlar'!I$2</f>
        <v>723.54100000000005</v>
      </c>
      <c r="G306">
        <f>'Kullanılan gübre'!G306*'Gübre oranlar'!J$2</f>
        <v>334.93349999999998</v>
      </c>
      <c r="H306">
        <f>'Kullanılan gübre'!H306*'Gübre oranlar'!K$2</f>
        <v>187.84100000000001</v>
      </c>
      <c r="I306">
        <f>'Kullanılan gübre'!I306*'Gübre oranlar'!L$2</f>
        <v>0</v>
      </c>
      <c r="J306">
        <f>'Kullanılan gübre'!J306*'Gübre oranlar'!M$2</f>
        <v>94.316400000000002</v>
      </c>
      <c r="K306">
        <f>'Kullanılan gübre'!K306*'Gübre oranlar'!N$2</f>
        <v>594.80000000000007</v>
      </c>
      <c r="L306">
        <f>'Kullanılan gübre'!L306*'Gübre oranlar'!O$2</f>
        <v>217.34000000000003</v>
      </c>
      <c r="M306">
        <f>'Kullanılan gübre'!M306*'Gübre oranlar'!P$2</f>
        <v>9.9</v>
      </c>
      <c r="N306">
        <f>'Kullanılan gübre'!N306*'Gübre oranlar'!Q$2</f>
        <v>3.3974999999999995</v>
      </c>
      <c r="O306">
        <f>'Kullanılan gübre'!O306*'Gübre oranlar'!R$2</f>
        <v>0</v>
      </c>
      <c r="P306">
        <f>'Kullanılan gübre'!P306*'Gübre oranlar'!S$2</f>
        <v>0</v>
      </c>
      <c r="Q306">
        <f>'Kullanılan gübre'!Q306*'Gübre oranlar'!T$2</f>
        <v>0</v>
      </c>
      <c r="R306">
        <f>'Kullanılan gübre'!R306*'Gübre oranlar'!U$2</f>
        <v>0</v>
      </c>
      <c r="S306">
        <f>'Kullanılan gübre'!S306*'Gübre oranlar'!V$2</f>
        <v>0</v>
      </c>
      <c r="T306">
        <f>'Kullanılan gübre'!T306*'Gübre oranlar'!W$2</f>
        <v>0</v>
      </c>
      <c r="U306">
        <f>'Kullanılan gübre'!U306*'Gübre oranlar'!X$2</f>
        <v>0</v>
      </c>
      <c r="V306">
        <f>'Kullanılan gübre'!V306*'Gübre oranlar'!Y$2</f>
        <v>0</v>
      </c>
      <c r="W306">
        <f>'Kullanılan gübre'!W306*'Gübre oranlar'!Z$2</f>
        <v>0</v>
      </c>
      <c r="X306">
        <f>'Kullanılan gübre'!X306*'Gübre oranlar'!AA$2</f>
        <v>0</v>
      </c>
      <c r="Y306">
        <f>'Kullanılan gübre'!Y306*'Gübre oranlar'!AB$2</f>
        <v>0</v>
      </c>
      <c r="Z306">
        <f>'Kullanılan gübre'!Z306*'Gübre oranlar'!AC$2</f>
        <v>0</v>
      </c>
      <c r="AA306">
        <f>'Kullanılan gübre'!AA306*'Gübre oranlar'!AD$2</f>
        <v>0</v>
      </c>
      <c r="AB306">
        <f>'Kullanılan gübre'!AB306*'Gübre oranlar'!AE$2</f>
        <v>0</v>
      </c>
      <c r="AC306">
        <f>'Kullanılan gübre'!AC306*'Gübre oranlar'!AF$2</f>
        <v>0</v>
      </c>
      <c r="AD306">
        <f>'Kullanılan gübre'!AD306*'Gübre oranlar'!AG$2</f>
        <v>0</v>
      </c>
      <c r="AE306">
        <f>'Kullanılan gübre'!AE306*'Gübre oranlar'!AH$2</f>
        <v>0</v>
      </c>
      <c r="AF306">
        <f>'Kullanılan gübre'!AF306*'Gübre oranlar'!AI$2</f>
        <v>0</v>
      </c>
      <c r="AG306">
        <f>'Kullanılan gübre'!AG306*'Gübre oranlar'!AJ$2</f>
        <v>0</v>
      </c>
      <c r="AH306">
        <f>'Kullanılan gübre'!AH306*'Gübre oranlar'!AK$2</f>
        <v>0</v>
      </c>
      <c r="AI306">
        <f>'Kullanılan gübre'!AI306*'Gübre oranlar'!AL$2</f>
        <v>0</v>
      </c>
      <c r="AJ306">
        <f>'Kullanılan gübre'!AJ306*'Gübre oranlar'!AM$2</f>
        <v>0</v>
      </c>
      <c r="AK306">
        <f>'Kullanılan gübre'!AK306*'Gübre oranlar'!AN$2</f>
        <v>0</v>
      </c>
      <c r="AL306">
        <f>'Kullanılan gübre'!AL306*'Gübre oranlar'!AO$2</f>
        <v>0</v>
      </c>
      <c r="AM306">
        <f>'Kullanılan gübre'!AM306*'Gübre oranlar'!AP$2</f>
        <v>0</v>
      </c>
      <c r="AN306">
        <f>'Kullanılan gübre'!AN306*'Gübre oranlar'!AQ$2</f>
        <v>0</v>
      </c>
      <c r="AO306">
        <f>'Kullanılan gübre'!AO306*'Gübre oranlar'!AR$2</f>
        <v>0</v>
      </c>
      <c r="AP306">
        <f>'Kullanılan gübre'!AP306*'Gübre oranlar'!AS$2</f>
        <v>0</v>
      </c>
      <c r="AQ306">
        <f>'Kullanılan gübre'!AQ306*'Gübre oranlar'!AT$2</f>
        <v>0</v>
      </c>
      <c r="AR306">
        <f>'Kullanılan gübre'!AR306*'Gübre oranlar'!AU$2</f>
        <v>0</v>
      </c>
      <c r="AS306">
        <f>'Kullanılan gübre'!AS306*'Gübre oranlar'!AV$2</f>
        <v>0</v>
      </c>
      <c r="AT306">
        <f>'Kullanılan gübre'!AT306*'Gübre oranlar'!AW$2</f>
        <v>0</v>
      </c>
      <c r="AU306">
        <f>'Kullanılan gübre'!AU306*'Gübre oranlar'!AX$2</f>
        <v>0</v>
      </c>
      <c r="AV306">
        <f>'Kullanılan gübre'!AV306*'Gübre oranlar'!AY$2</f>
        <v>0</v>
      </c>
      <c r="AW306">
        <f t="shared" si="4"/>
        <v>2192.2773999999999</v>
      </c>
    </row>
    <row r="307" spans="1:49" hidden="1" x14ac:dyDescent="0.25">
      <c r="A307" t="str">
        <f>'Kullanılan gübre'!A307</f>
        <v>YI</v>
      </c>
      <c r="B307" t="str">
        <f>'Kullanılan gübre'!B307</f>
        <v>TOKAT</v>
      </c>
      <c r="C307" t="str">
        <f>'Kullanılan gübre'!C307</f>
        <v>MERKEZ</v>
      </c>
      <c r="D307">
        <f>'Kullanılan gübre'!D307</f>
        <v>2009</v>
      </c>
      <c r="E307">
        <f>'Kullanılan gübre'!E307*'Gübre oranlar'!H$2</f>
        <v>10.7415</v>
      </c>
      <c r="F307">
        <f>'Kullanılan gübre'!F307*'Gübre oranlar'!I$2</f>
        <v>242.554</v>
      </c>
      <c r="G307">
        <f>'Kullanılan gübre'!G307*'Gübre oranlar'!J$2</f>
        <v>398.29350000000005</v>
      </c>
      <c r="H307">
        <f>'Kullanılan gübre'!H307*'Gübre oranlar'!K$2</f>
        <v>169.92400000000001</v>
      </c>
      <c r="I307">
        <f>'Kullanılan gübre'!I307*'Gübre oranlar'!L$2</f>
        <v>0</v>
      </c>
      <c r="J307">
        <f>'Kullanılan gübre'!J307*'Gübre oranlar'!M$2</f>
        <v>44.855999999999995</v>
      </c>
      <c r="K307">
        <f>'Kullanılan gübre'!K307*'Gübre oranlar'!N$2</f>
        <v>22.450000000000003</v>
      </c>
      <c r="L307">
        <f>'Kullanılan gübre'!L307*'Gübre oranlar'!O$2</f>
        <v>15.02</v>
      </c>
      <c r="M307">
        <f>'Kullanılan gübre'!M307*'Gübre oranlar'!P$2</f>
        <v>16.365000000000002</v>
      </c>
      <c r="N307">
        <f>'Kullanılan gübre'!N307*'Gübre oranlar'!Q$2</f>
        <v>13.897500000000001</v>
      </c>
      <c r="O307">
        <f>'Kullanılan gübre'!O307*'Gübre oranlar'!R$2</f>
        <v>0</v>
      </c>
      <c r="P307">
        <f>'Kullanılan gübre'!P307*'Gübre oranlar'!S$2</f>
        <v>0</v>
      </c>
      <c r="Q307">
        <f>'Kullanılan gübre'!Q307*'Gübre oranlar'!T$2</f>
        <v>0</v>
      </c>
      <c r="R307">
        <f>'Kullanılan gübre'!R307*'Gübre oranlar'!U$2</f>
        <v>0</v>
      </c>
      <c r="S307">
        <f>'Kullanılan gübre'!S307*'Gübre oranlar'!V$2</f>
        <v>0</v>
      </c>
      <c r="T307">
        <f>'Kullanılan gübre'!T307*'Gübre oranlar'!W$2</f>
        <v>0</v>
      </c>
      <c r="U307">
        <f>'Kullanılan gübre'!U307*'Gübre oranlar'!X$2</f>
        <v>0</v>
      </c>
      <c r="V307">
        <f>'Kullanılan gübre'!V307*'Gübre oranlar'!Y$2</f>
        <v>0</v>
      </c>
      <c r="W307">
        <f>'Kullanılan gübre'!W307*'Gübre oranlar'!Z$2</f>
        <v>0</v>
      </c>
      <c r="X307">
        <f>'Kullanılan gübre'!X307*'Gübre oranlar'!AA$2</f>
        <v>0</v>
      </c>
      <c r="Y307">
        <f>'Kullanılan gübre'!Y307*'Gübre oranlar'!AB$2</f>
        <v>0</v>
      </c>
      <c r="Z307">
        <f>'Kullanılan gübre'!Z307*'Gübre oranlar'!AC$2</f>
        <v>0</v>
      </c>
      <c r="AA307">
        <f>'Kullanılan gübre'!AA307*'Gübre oranlar'!AD$2</f>
        <v>0</v>
      </c>
      <c r="AB307">
        <f>'Kullanılan gübre'!AB307*'Gübre oranlar'!AE$2</f>
        <v>0</v>
      </c>
      <c r="AC307">
        <f>'Kullanılan gübre'!AC307*'Gübre oranlar'!AF$2</f>
        <v>0</v>
      </c>
      <c r="AD307">
        <f>'Kullanılan gübre'!AD307*'Gübre oranlar'!AG$2</f>
        <v>0</v>
      </c>
      <c r="AE307">
        <f>'Kullanılan gübre'!AE307*'Gübre oranlar'!AH$2</f>
        <v>0</v>
      </c>
      <c r="AF307">
        <f>'Kullanılan gübre'!AF307*'Gübre oranlar'!AI$2</f>
        <v>0</v>
      </c>
      <c r="AG307">
        <f>'Kullanılan gübre'!AG307*'Gübre oranlar'!AJ$2</f>
        <v>0</v>
      </c>
      <c r="AH307">
        <f>'Kullanılan gübre'!AH307*'Gübre oranlar'!AK$2</f>
        <v>0</v>
      </c>
      <c r="AI307">
        <f>'Kullanılan gübre'!AI307*'Gübre oranlar'!AL$2</f>
        <v>0</v>
      </c>
      <c r="AJ307">
        <f>'Kullanılan gübre'!AJ307*'Gübre oranlar'!AM$2</f>
        <v>0</v>
      </c>
      <c r="AK307">
        <f>'Kullanılan gübre'!AK307*'Gübre oranlar'!AN$2</f>
        <v>0</v>
      </c>
      <c r="AL307">
        <f>'Kullanılan gübre'!AL307*'Gübre oranlar'!AO$2</f>
        <v>0</v>
      </c>
      <c r="AM307">
        <f>'Kullanılan gübre'!AM307*'Gübre oranlar'!AP$2</f>
        <v>0</v>
      </c>
      <c r="AN307">
        <f>'Kullanılan gübre'!AN307*'Gübre oranlar'!AQ$2</f>
        <v>0</v>
      </c>
      <c r="AO307">
        <f>'Kullanılan gübre'!AO307*'Gübre oranlar'!AR$2</f>
        <v>0</v>
      </c>
      <c r="AP307">
        <f>'Kullanılan gübre'!AP307*'Gübre oranlar'!AS$2</f>
        <v>0</v>
      </c>
      <c r="AQ307">
        <f>'Kullanılan gübre'!AQ307*'Gübre oranlar'!AT$2</f>
        <v>0</v>
      </c>
      <c r="AR307">
        <f>'Kullanılan gübre'!AR307*'Gübre oranlar'!AU$2</f>
        <v>0</v>
      </c>
      <c r="AS307">
        <f>'Kullanılan gübre'!AS307*'Gübre oranlar'!AV$2</f>
        <v>0</v>
      </c>
      <c r="AT307">
        <f>'Kullanılan gübre'!AT307*'Gübre oranlar'!AW$2</f>
        <v>0</v>
      </c>
      <c r="AU307">
        <f>'Kullanılan gübre'!AU307*'Gübre oranlar'!AX$2</f>
        <v>0</v>
      </c>
      <c r="AV307">
        <f>'Kullanılan gübre'!AV307*'Gübre oranlar'!AY$2</f>
        <v>0</v>
      </c>
      <c r="AW307">
        <f t="shared" si="4"/>
        <v>934.1015000000001</v>
      </c>
    </row>
    <row r="308" spans="1:49" hidden="1" x14ac:dyDescent="0.25">
      <c r="A308" t="str">
        <f>'Kullanılan gübre'!A308</f>
        <v>YI</v>
      </c>
      <c r="B308" t="str">
        <f>'Kullanılan gübre'!B308</f>
        <v>TOKAT</v>
      </c>
      <c r="C308" t="str">
        <f>'Kullanılan gübre'!C308</f>
        <v>ALMUS</v>
      </c>
      <c r="D308">
        <f>'Kullanılan gübre'!D308</f>
        <v>2009</v>
      </c>
      <c r="E308">
        <f>'Kullanılan gübre'!E308*'Gübre oranlar'!H$2</f>
        <v>0</v>
      </c>
      <c r="F308">
        <f>'Kullanılan gübre'!F308*'Gübre oranlar'!I$2</f>
        <v>0</v>
      </c>
      <c r="G308">
        <f>'Kullanılan gübre'!G308*'Gübre oranlar'!J$2</f>
        <v>17.473500000000001</v>
      </c>
      <c r="H308">
        <f>'Kullanılan gübre'!H308*'Gübre oranlar'!K$2</f>
        <v>18.239000000000001</v>
      </c>
      <c r="I308">
        <f>'Kullanılan gübre'!I308*'Gübre oranlar'!L$2</f>
        <v>0</v>
      </c>
      <c r="J308">
        <f>'Kullanılan gübre'!J308*'Gübre oranlar'!M$2</f>
        <v>0.126</v>
      </c>
      <c r="K308">
        <f>'Kullanılan gübre'!K308*'Gübre oranlar'!N$2</f>
        <v>0</v>
      </c>
      <c r="L308">
        <f>'Kullanılan gübre'!L308*'Gübre oranlar'!O$2</f>
        <v>0</v>
      </c>
      <c r="M308">
        <f>'Kullanılan gübre'!M308*'Gübre oranlar'!P$2</f>
        <v>0</v>
      </c>
      <c r="N308">
        <f>'Kullanılan gübre'!N308*'Gübre oranlar'!Q$2</f>
        <v>0</v>
      </c>
      <c r="O308">
        <f>'Kullanılan gübre'!O308*'Gübre oranlar'!R$2</f>
        <v>0</v>
      </c>
      <c r="P308">
        <f>'Kullanılan gübre'!P308*'Gübre oranlar'!S$2</f>
        <v>0</v>
      </c>
      <c r="Q308">
        <f>'Kullanılan gübre'!Q308*'Gübre oranlar'!T$2</f>
        <v>0</v>
      </c>
      <c r="R308">
        <f>'Kullanılan gübre'!R308*'Gübre oranlar'!U$2</f>
        <v>0</v>
      </c>
      <c r="S308">
        <f>'Kullanılan gübre'!S308*'Gübre oranlar'!V$2</f>
        <v>0</v>
      </c>
      <c r="T308">
        <f>'Kullanılan gübre'!T308*'Gübre oranlar'!W$2</f>
        <v>0</v>
      </c>
      <c r="U308">
        <f>'Kullanılan gübre'!U308*'Gübre oranlar'!X$2</f>
        <v>0</v>
      </c>
      <c r="V308">
        <f>'Kullanılan gübre'!V308*'Gübre oranlar'!Y$2</f>
        <v>0</v>
      </c>
      <c r="W308">
        <f>'Kullanılan gübre'!W308*'Gübre oranlar'!Z$2</f>
        <v>0</v>
      </c>
      <c r="X308">
        <f>'Kullanılan gübre'!X308*'Gübre oranlar'!AA$2</f>
        <v>0</v>
      </c>
      <c r="Y308">
        <f>'Kullanılan gübre'!Y308*'Gübre oranlar'!AB$2</f>
        <v>0</v>
      </c>
      <c r="Z308">
        <f>'Kullanılan gübre'!Z308*'Gübre oranlar'!AC$2</f>
        <v>0</v>
      </c>
      <c r="AA308">
        <f>'Kullanılan gübre'!AA308*'Gübre oranlar'!AD$2</f>
        <v>0</v>
      </c>
      <c r="AB308">
        <f>'Kullanılan gübre'!AB308*'Gübre oranlar'!AE$2</f>
        <v>0</v>
      </c>
      <c r="AC308">
        <f>'Kullanılan gübre'!AC308*'Gübre oranlar'!AF$2</f>
        <v>0</v>
      </c>
      <c r="AD308">
        <f>'Kullanılan gübre'!AD308*'Gübre oranlar'!AG$2</f>
        <v>0</v>
      </c>
      <c r="AE308">
        <f>'Kullanılan gübre'!AE308*'Gübre oranlar'!AH$2</f>
        <v>0</v>
      </c>
      <c r="AF308">
        <f>'Kullanılan gübre'!AF308*'Gübre oranlar'!AI$2</f>
        <v>0</v>
      </c>
      <c r="AG308">
        <f>'Kullanılan gübre'!AG308*'Gübre oranlar'!AJ$2</f>
        <v>0</v>
      </c>
      <c r="AH308">
        <f>'Kullanılan gübre'!AH308*'Gübre oranlar'!AK$2</f>
        <v>0</v>
      </c>
      <c r="AI308">
        <f>'Kullanılan gübre'!AI308*'Gübre oranlar'!AL$2</f>
        <v>0</v>
      </c>
      <c r="AJ308">
        <f>'Kullanılan gübre'!AJ308*'Gübre oranlar'!AM$2</f>
        <v>0</v>
      </c>
      <c r="AK308">
        <f>'Kullanılan gübre'!AK308*'Gübre oranlar'!AN$2</f>
        <v>0</v>
      </c>
      <c r="AL308">
        <f>'Kullanılan gübre'!AL308*'Gübre oranlar'!AO$2</f>
        <v>0</v>
      </c>
      <c r="AM308">
        <f>'Kullanılan gübre'!AM308*'Gübre oranlar'!AP$2</f>
        <v>0</v>
      </c>
      <c r="AN308">
        <f>'Kullanılan gübre'!AN308*'Gübre oranlar'!AQ$2</f>
        <v>0</v>
      </c>
      <c r="AO308">
        <f>'Kullanılan gübre'!AO308*'Gübre oranlar'!AR$2</f>
        <v>0</v>
      </c>
      <c r="AP308">
        <f>'Kullanılan gübre'!AP308*'Gübre oranlar'!AS$2</f>
        <v>0</v>
      </c>
      <c r="AQ308">
        <f>'Kullanılan gübre'!AQ308*'Gübre oranlar'!AT$2</f>
        <v>0</v>
      </c>
      <c r="AR308">
        <f>'Kullanılan gübre'!AR308*'Gübre oranlar'!AU$2</f>
        <v>0</v>
      </c>
      <c r="AS308">
        <f>'Kullanılan gübre'!AS308*'Gübre oranlar'!AV$2</f>
        <v>0</v>
      </c>
      <c r="AT308">
        <f>'Kullanılan gübre'!AT308*'Gübre oranlar'!AW$2</f>
        <v>0</v>
      </c>
      <c r="AU308">
        <f>'Kullanılan gübre'!AU308*'Gübre oranlar'!AX$2</f>
        <v>0</v>
      </c>
      <c r="AV308">
        <f>'Kullanılan gübre'!AV308*'Gübre oranlar'!AY$2</f>
        <v>0</v>
      </c>
      <c r="AW308">
        <f t="shared" si="4"/>
        <v>35.838500000000003</v>
      </c>
    </row>
    <row r="309" spans="1:49" hidden="1" x14ac:dyDescent="0.25">
      <c r="A309" t="str">
        <f>'Kullanılan gübre'!A309</f>
        <v>YI</v>
      </c>
      <c r="B309" t="str">
        <f>'Kullanılan gübre'!B309</f>
        <v>TOKAT</v>
      </c>
      <c r="C309" t="str">
        <f>'Kullanılan gübre'!C309</f>
        <v>ARTOVA</v>
      </c>
      <c r="D309">
        <f>'Kullanılan gübre'!D309</f>
        <v>2009</v>
      </c>
      <c r="E309">
        <f>'Kullanılan gübre'!E309*'Gübre oranlar'!H$2</f>
        <v>0</v>
      </c>
      <c r="F309">
        <f>'Kullanılan gübre'!F309*'Gübre oranlar'!I$2</f>
        <v>79.98899999999999</v>
      </c>
      <c r="G309">
        <f>'Kullanılan gübre'!G309*'Gübre oranlar'!J$2</f>
        <v>29.327100000000002</v>
      </c>
      <c r="H309">
        <f>'Kullanılan gübre'!H309*'Gübre oranlar'!K$2</f>
        <v>0</v>
      </c>
      <c r="I309">
        <f>'Kullanılan gübre'!I309*'Gübre oranlar'!L$2</f>
        <v>0</v>
      </c>
      <c r="J309">
        <f>'Kullanılan gübre'!J309*'Gübre oranlar'!M$2</f>
        <v>0.20699999999999999</v>
      </c>
      <c r="K309">
        <f>'Kullanılan gübre'!K309*'Gübre oranlar'!N$2</f>
        <v>0</v>
      </c>
      <c r="L309">
        <f>'Kullanılan gübre'!L309*'Gübre oranlar'!O$2</f>
        <v>1.97</v>
      </c>
      <c r="M309">
        <f>'Kullanılan gübre'!M309*'Gübre oranlar'!P$2</f>
        <v>0</v>
      </c>
      <c r="N309">
        <f>'Kullanılan gübre'!N309*'Gübre oranlar'!Q$2</f>
        <v>0</v>
      </c>
      <c r="O309">
        <f>'Kullanılan gübre'!O309*'Gübre oranlar'!R$2</f>
        <v>0</v>
      </c>
      <c r="P309">
        <f>'Kullanılan gübre'!P309*'Gübre oranlar'!S$2</f>
        <v>0</v>
      </c>
      <c r="Q309">
        <f>'Kullanılan gübre'!Q309*'Gübre oranlar'!T$2</f>
        <v>0</v>
      </c>
      <c r="R309">
        <f>'Kullanılan gübre'!R309*'Gübre oranlar'!U$2</f>
        <v>0</v>
      </c>
      <c r="S309">
        <f>'Kullanılan gübre'!S309*'Gübre oranlar'!V$2</f>
        <v>0</v>
      </c>
      <c r="T309">
        <f>'Kullanılan gübre'!T309*'Gübre oranlar'!W$2</f>
        <v>0</v>
      </c>
      <c r="U309">
        <f>'Kullanılan gübre'!U309*'Gübre oranlar'!X$2</f>
        <v>0</v>
      </c>
      <c r="V309">
        <f>'Kullanılan gübre'!V309*'Gübre oranlar'!Y$2</f>
        <v>0</v>
      </c>
      <c r="W309">
        <f>'Kullanılan gübre'!W309*'Gübre oranlar'!Z$2</f>
        <v>0</v>
      </c>
      <c r="X309">
        <f>'Kullanılan gübre'!X309*'Gübre oranlar'!AA$2</f>
        <v>0</v>
      </c>
      <c r="Y309">
        <f>'Kullanılan gübre'!Y309*'Gübre oranlar'!AB$2</f>
        <v>0</v>
      </c>
      <c r="Z309">
        <f>'Kullanılan gübre'!Z309*'Gübre oranlar'!AC$2</f>
        <v>0</v>
      </c>
      <c r="AA309">
        <f>'Kullanılan gübre'!AA309*'Gübre oranlar'!AD$2</f>
        <v>0</v>
      </c>
      <c r="AB309">
        <f>'Kullanılan gübre'!AB309*'Gübre oranlar'!AE$2</f>
        <v>0</v>
      </c>
      <c r="AC309">
        <f>'Kullanılan gübre'!AC309*'Gübre oranlar'!AF$2</f>
        <v>0</v>
      </c>
      <c r="AD309">
        <f>'Kullanılan gübre'!AD309*'Gübre oranlar'!AG$2</f>
        <v>0</v>
      </c>
      <c r="AE309">
        <f>'Kullanılan gübre'!AE309*'Gübre oranlar'!AH$2</f>
        <v>0</v>
      </c>
      <c r="AF309">
        <f>'Kullanılan gübre'!AF309*'Gübre oranlar'!AI$2</f>
        <v>0</v>
      </c>
      <c r="AG309">
        <f>'Kullanılan gübre'!AG309*'Gübre oranlar'!AJ$2</f>
        <v>0</v>
      </c>
      <c r="AH309">
        <f>'Kullanılan gübre'!AH309*'Gübre oranlar'!AK$2</f>
        <v>0</v>
      </c>
      <c r="AI309">
        <f>'Kullanılan gübre'!AI309*'Gübre oranlar'!AL$2</f>
        <v>0</v>
      </c>
      <c r="AJ309">
        <f>'Kullanılan gübre'!AJ309*'Gübre oranlar'!AM$2</f>
        <v>0</v>
      </c>
      <c r="AK309">
        <f>'Kullanılan gübre'!AK309*'Gübre oranlar'!AN$2</f>
        <v>0</v>
      </c>
      <c r="AL309">
        <f>'Kullanılan gübre'!AL309*'Gübre oranlar'!AO$2</f>
        <v>0</v>
      </c>
      <c r="AM309">
        <f>'Kullanılan gübre'!AM309*'Gübre oranlar'!AP$2</f>
        <v>0</v>
      </c>
      <c r="AN309">
        <f>'Kullanılan gübre'!AN309*'Gübre oranlar'!AQ$2</f>
        <v>0</v>
      </c>
      <c r="AO309">
        <f>'Kullanılan gübre'!AO309*'Gübre oranlar'!AR$2</f>
        <v>0</v>
      </c>
      <c r="AP309">
        <f>'Kullanılan gübre'!AP309*'Gübre oranlar'!AS$2</f>
        <v>0</v>
      </c>
      <c r="AQ309">
        <f>'Kullanılan gübre'!AQ309*'Gübre oranlar'!AT$2</f>
        <v>0</v>
      </c>
      <c r="AR309">
        <f>'Kullanılan gübre'!AR309*'Gübre oranlar'!AU$2</f>
        <v>0</v>
      </c>
      <c r="AS309">
        <f>'Kullanılan gübre'!AS309*'Gübre oranlar'!AV$2</f>
        <v>0</v>
      </c>
      <c r="AT309">
        <f>'Kullanılan gübre'!AT309*'Gübre oranlar'!AW$2</f>
        <v>0</v>
      </c>
      <c r="AU309">
        <f>'Kullanılan gübre'!AU309*'Gübre oranlar'!AX$2</f>
        <v>0</v>
      </c>
      <c r="AV309">
        <f>'Kullanılan gübre'!AV309*'Gübre oranlar'!AY$2</f>
        <v>0</v>
      </c>
      <c r="AW309">
        <f t="shared" si="4"/>
        <v>111.49309999999998</v>
      </c>
    </row>
    <row r="310" spans="1:49" hidden="1" x14ac:dyDescent="0.25">
      <c r="A310" t="str">
        <f>'Kullanılan gübre'!A310</f>
        <v>YI</v>
      </c>
      <c r="B310" t="str">
        <f>'Kullanılan gübre'!B310</f>
        <v>TOKAT</v>
      </c>
      <c r="C310" t="str">
        <f>'Kullanılan gübre'!C310</f>
        <v>BASCIFTLIK</v>
      </c>
      <c r="D310">
        <f>'Kullanılan gübre'!D310</f>
        <v>2009</v>
      </c>
      <c r="E310">
        <f>'Kullanılan gübre'!E310*'Gübre oranlar'!H$2</f>
        <v>0</v>
      </c>
      <c r="F310">
        <f>'Kullanılan gübre'!F310*'Gübre oranlar'!I$2</f>
        <v>0</v>
      </c>
      <c r="G310">
        <f>'Kullanılan gübre'!G310*'Gübre oranlar'!J$2</f>
        <v>0</v>
      </c>
      <c r="H310">
        <f>'Kullanılan gübre'!H310*'Gübre oranlar'!K$2</f>
        <v>0</v>
      </c>
      <c r="I310">
        <f>'Kullanılan gübre'!I310*'Gübre oranlar'!L$2</f>
        <v>0</v>
      </c>
      <c r="J310">
        <f>'Kullanılan gübre'!J310*'Gübre oranlar'!M$2</f>
        <v>0</v>
      </c>
      <c r="K310">
        <f>'Kullanılan gübre'!K310*'Gübre oranlar'!N$2</f>
        <v>0</v>
      </c>
      <c r="L310">
        <f>'Kullanılan gübre'!L310*'Gübre oranlar'!O$2</f>
        <v>0</v>
      </c>
      <c r="M310">
        <f>'Kullanılan gübre'!M310*'Gübre oranlar'!P$2</f>
        <v>0</v>
      </c>
      <c r="N310">
        <f>'Kullanılan gübre'!N310*'Gübre oranlar'!Q$2</f>
        <v>0</v>
      </c>
      <c r="O310">
        <f>'Kullanılan gübre'!O310*'Gübre oranlar'!R$2</f>
        <v>0</v>
      </c>
      <c r="P310">
        <f>'Kullanılan gübre'!P310*'Gübre oranlar'!S$2</f>
        <v>0</v>
      </c>
      <c r="Q310">
        <f>'Kullanılan gübre'!Q310*'Gübre oranlar'!T$2</f>
        <v>0</v>
      </c>
      <c r="R310">
        <f>'Kullanılan gübre'!R310*'Gübre oranlar'!U$2</f>
        <v>0</v>
      </c>
      <c r="S310">
        <f>'Kullanılan gübre'!S310*'Gübre oranlar'!V$2</f>
        <v>0</v>
      </c>
      <c r="T310">
        <f>'Kullanılan gübre'!T310*'Gübre oranlar'!W$2</f>
        <v>0</v>
      </c>
      <c r="U310">
        <f>'Kullanılan gübre'!U310*'Gübre oranlar'!X$2</f>
        <v>0</v>
      </c>
      <c r="V310">
        <f>'Kullanılan gübre'!V310*'Gübre oranlar'!Y$2</f>
        <v>0</v>
      </c>
      <c r="W310">
        <f>'Kullanılan gübre'!W310*'Gübre oranlar'!Z$2</f>
        <v>0</v>
      </c>
      <c r="X310">
        <f>'Kullanılan gübre'!X310*'Gübre oranlar'!AA$2</f>
        <v>0</v>
      </c>
      <c r="Y310">
        <f>'Kullanılan gübre'!Y310*'Gübre oranlar'!AB$2</f>
        <v>0</v>
      </c>
      <c r="Z310">
        <f>'Kullanılan gübre'!Z310*'Gübre oranlar'!AC$2</f>
        <v>0</v>
      </c>
      <c r="AA310">
        <f>'Kullanılan gübre'!AA310*'Gübre oranlar'!AD$2</f>
        <v>0</v>
      </c>
      <c r="AB310">
        <f>'Kullanılan gübre'!AB310*'Gübre oranlar'!AE$2</f>
        <v>0</v>
      </c>
      <c r="AC310">
        <f>'Kullanılan gübre'!AC310*'Gübre oranlar'!AF$2</f>
        <v>0</v>
      </c>
      <c r="AD310">
        <f>'Kullanılan gübre'!AD310*'Gübre oranlar'!AG$2</f>
        <v>0</v>
      </c>
      <c r="AE310">
        <f>'Kullanılan gübre'!AE310*'Gübre oranlar'!AH$2</f>
        <v>0</v>
      </c>
      <c r="AF310">
        <f>'Kullanılan gübre'!AF310*'Gübre oranlar'!AI$2</f>
        <v>0</v>
      </c>
      <c r="AG310">
        <f>'Kullanılan gübre'!AG310*'Gübre oranlar'!AJ$2</f>
        <v>0</v>
      </c>
      <c r="AH310">
        <f>'Kullanılan gübre'!AH310*'Gübre oranlar'!AK$2</f>
        <v>0</v>
      </c>
      <c r="AI310">
        <f>'Kullanılan gübre'!AI310*'Gübre oranlar'!AL$2</f>
        <v>0</v>
      </c>
      <c r="AJ310">
        <f>'Kullanılan gübre'!AJ310*'Gübre oranlar'!AM$2</f>
        <v>0</v>
      </c>
      <c r="AK310">
        <f>'Kullanılan gübre'!AK310*'Gübre oranlar'!AN$2</f>
        <v>0</v>
      </c>
      <c r="AL310">
        <f>'Kullanılan gübre'!AL310*'Gübre oranlar'!AO$2</f>
        <v>0</v>
      </c>
      <c r="AM310">
        <f>'Kullanılan gübre'!AM310*'Gübre oranlar'!AP$2</f>
        <v>0</v>
      </c>
      <c r="AN310">
        <f>'Kullanılan gübre'!AN310*'Gübre oranlar'!AQ$2</f>
        <v>0</v>
      </c>
      <c r="AO310">
        <f>'Kullanılan gübre'!AO310*'Gübre oranlar'!AR$2</f>
        <v>0</v>
      </c>
      <c r="AP310">
        <f>'Kullanılan gübre'!AP310*'Gübre oranlar'!AS$2</f>
        <v>0</v>
      </c>
      <c r="AQ310">
        <f>'Kullanılan gübre'!AQ310*'Gübre oranlar'!AT$2</f>
        <v>0</v>
      </c>
      <c r="AR310">
        <f>'Kullanılan gübre'!AR310*'Gübre oranlar'!AU$2</f>
        <v>0</v>
      </c>
      <c r="AS310">
        <f>'Kullanılan gübre'!AS310*'Gübre oranlar'!AV$2</f>
        <v>0</v>
      </c>
      <c r="AT310">
        <f>'Kullanılan gübre'!AT310*'Gübre oranlar'!AW$2</f>
        <v>0</v>
      </c>
      <c r="AU310">
        <f>'Kullanılan gübre'!AU310*'Gübre oranlar'!AX$2</f>
        <v>0</v>
      </c>
      <c r="AV310">
        <f>'Kullanılan gübre'!AV310*'Gübre oranlar'!AY$2</f>
        <v>0</v>
      </c>
      <c r="AW310">
        <f t="shared" si="4"/>
        <v>0</v>
      </c>
    </row>
    <row r="311" spans="1:49" hidden="1" x14ac:dyDescent="0.25">
      <c r="A311" t="str">
        <f>'Kullanılan gübre'!A311</f>
        <v>YI</v>
      </c>
      <c r="B311" t="str">
        <f>'Kullanılan gübre'!B311</f>
        <v>TOKAT</v>
      </c>
      <c r="C311" t="str">
        <f>'Kullanılan gübre'!C311</f>
        <v>ERBAA</v>
      </c>
      <c r="D311">
        <f>'Kullanılan gübre'!D311</f>
        <v>2009</v>
      </c>
      <c r="E311">
        <f>'Kullanılan gübre'!E311*'Gübre oranlar'!H$2</f>
        <v>0</v>
      </c>
      <c r="F311">
        <f>'Kullanılan gübre'!F311*'Gübre oranlar'!I$2</f>
        <v>251.97900000000001</v>
      </c>
      <c r="G311">
        <f>'Kullanılan gübre'!G311*'Gübre oranlar'!J$2</f>
        <v>677.24250000000006</v>
      </c>
      <c r="H311">
        <f>'Kullanılan gübre'!H311*'Gübre oranlar'!K$2</f>
        <v>260.88899999999995</v>
      </c>
      <c r="I311">
        <f>'Kullanılan gübre'!I311*'Gübre oranlar'!L$2</f>
        <v>0</v>
      </c>
      <c r="J311">
        <f>'Kullanılan gübre'!J311*'Gübre oranlar'!M$2</f>
        <v>188.136</v>
      </c>
      <c r="K311">
        <f>'Kullanılan gübre'!K311*'Gübre oranlar'!N$2</f>
        <v>117.78</v>
      </c>
      <c r="L311">
        <f>'Kullanılan gübre'!L311*'Gübre oranlar'!O$2</f>
        <v>0</v>
      </c>
      <c r="M311">
        <f>'Kullanılan gübre'!M311*'Gübre oranlar'!P$2</f>
        <v>290.685</v>
      </c>
      <c r="N311">
        <f>'Kullanılan gübre'!N311*'Gübre oranlar'!Q$2</f>
        <v>0</v>
      </c>
      <c r="O311">
        <f>'Kullanılan gübre'!O311*'Gübre oranlar'!R$2</f>
        <v>0</v>
      </c>
      <c r="P311">
        <f>'Kullanılan gübre'!P311*'Gübre oranlar'!S$2</f>
        <v>0</v>
      </c>
      <c r="Q311">
        <f>'Kullanılan gübre'!Q311*'Gübre oranlar'!T$2</f>
        <v>0</v>
      </c>
      <c r="R311">
        <f>'Kullanılan gübre'!R311*'Gübre oranlar'!U$2</f>
        <v>0</v>
      </c>
      <c r="S311">
        <f>'Kullanılan gübre'!S311*'Gübre oranlar'!V$2</f>
        <v>0</v>
      </c>
      <c r="T311">
        <f>'Kullanılan gübre'!T311*'Gübre oranlar'!W$2</f>
        <v>0</v>
      </c>
      <c r="U311">
        <f>'Kullanılan gübre'!U311*'Gübre oranlar'!X$2</f>
        <v>0</v>
      </c>
      <c r="V311">
        <f>'Kullanılan gübre'!V311*'Gübre oranlar'!Y$2</f>
        <v>0</v>
      </c>
      <c r="W311">
        <f>'Kullanılan gübre'!W311*'Gübre oranlar'!Z$2</f>
        <v>0</v>
      </c>
      <c r="X311">
        <f>'Kullanılan gübre'!X311*'Gübre oranlar'!AA$2</f>
        <v>0</v>
      </c>
      <c r="Y311">
        <f>'Kullanılan gübre'!Y311*'Gübre oranlar'!AB$2</f>
        <v>0</v>
      </c>
      <c r="Z311">
        <f>'Kullanılan gübre'!Z311*'Gübre oranlar'!AC$2</f>
        <v>0</v>
      </c>
      <c r="AA311">
        <f>'Kullanılan gübre'!AA311*'Gübre oranlar'!AD$2</f>
        <v>0</v>
      </c>
      <c r="AB311">
        <f>'Kullanılan gübre'!AB311*'Gübre oranlar'!AE$2</f>
        <v>0</v>
      </c>
      <c r="AC311">
        <f>'Kullanılan gübre'!AC311*'Gübre oranlar'!AF$2</f>
        <v>0</v>
      </c>
      <c r="AD311">
        <f>'Kullanılan gübre'!AD311*'Gübre oranlar'!AG$2</f>
        <v>0</v>
      </c>
      <c r="AE311">
        <f>'Kullanılan gübre'!AE311*'Gübre oranlar'!AH$2</f>
        <v>0</v>
      </c>
      <c r="AF311">
        <f>'Kullanılan gübre'!AF311*'Gübre oranlar'!AI$2</f>
        <v>0</v>
      </c>
      <c r="AG311">
        <f>'Kullanılan gübre'!AG311*'Gübre oranlar'!AJ$2</f>
        <v>0</v>
      </c>
      <c r="AH311">
        <f>'Kullanılan gübre'!AH311*'Gübre oranlar'!AK$2</f>
        <v>0</v>
      </c>
      <c r="AI311">
        <f>'Kullanılan gübre'!AI311*'Gübre oranlar'!AL$2</f>
        <v>0</v>
      </c>
      <c r="AJ311">
        <f>'Kullanılan gübre'!AJ311*'Gübre oranlar'!AM$2</f>
        <v>0</v>
      </c>
      <c r="AK311">
        <f>'Kullanılan gübre'!AK311*'Gübre oranlar'!AN$2</f>
        <v>0</v>
      </c>
      <c r="AL311">
        <f>'Kullanılan gübre'!AL311*'Gübre oranlar'!AO$2</f>
        <v>0</v>
      </c>
      <c r="AM311">
        <f>'Kullanılan gübre'!AM311*'Gübre oranlar'!AP$2</f>
        <v>0</v>
      </c>
      <c r="AN311">
        <f>'Kullanılan gübre'!AN311*'Gübre oranlar'!AQ$2</f>
        <v>0</v>
      </c>
      <c r="AO311">
        <f>'Kullanılan gübre'!AO311*'Gübre oranlar'!AR$2</f>
        <v>0</v>
      </c>
      <c r="AP311">
        <f>'Kullanılan gübre'!AP311*'Gübre oranlar'!AS$2</f>
        <v>0</v>
      </c>
      <c r="AQ311">
        <f>'Kullanılan gübre'!AQ311*'Gübre oranlar'!AT$2</f>
        <v>0</v>
      </c>
      <c r="AR311">
        <f>'Kullanılan gübre'!AR311*'Gübre oranlar'!AU$2</f>
        <v>0</v>
      </c>
      <c r="AS311">
        <f>'Kullanılan gübre'!AS311*'Gübre oranlar'!AV$2</f>
        <v>0</v>
      </c>
      <c r="AT311">
        <f>'Kullanılan gübre'!AT311*'Gübre oranlar'!AW$2</f>
        <v>0</v>
      </c>
      <c r="AU311">
        <f>'Kullanılan gübre'!AU311*'Gübre oranlar'!AX$2</f>
        <v>0</v>
      </c>
      <c r="AV311">
        <f>'Kullanılan gübre'!AV311*'Gübre oranlar'!AY$2</f>
        <v>0</v>
      </c>
      <c r="AW311">
        <f t="shared" si="4"/>
        <v>1786.7114999999999</v>
      </c>
    </row>
    <row r="312" spans="1:49" hidden="1" x14ac:dyDescent="0.25">
      <c r="A312" t="str">
        <f>'Kullanılan gübre'!A312</f>
        <v>YI</v>
      </c>
      <c r="B312" t="str">
        <f>'Kullanılan gübre'!B312</f>
        <v>TOKAT</v>
      </c>
      <c r="C312" t="str">
        <f>'Kullanılan gübre'!C312</f>
        <v>NIKSAR</v>
      </c>
      <c r="D312">
        <f>'Kullanılan gübre'!D312</f>
        <v>2009</v>
      </c>
      <c r="E312">
        <f>'Kullanılan gübre'!E312*'Gübre oranlar'!H$2</f>
        <v>0</v>
      </c>
      <c r="F312">
        <f>'Kullanılan gübre'!F312*'Gübre oranlar'!I$2</f>
        <v>0</v>
      </c>
      <c r="G312">
        <f>'Kullanılan gübre'!G312*'Gübre oranlar'!J$2</f>
        <v>0</v>
      </c>
      <c r="H312">
        <f>'Kullanılan gübre'!H312*'Gübre oranlar'!K$2</f>
        <v>0</v>
      </c>
      <c r="I312">
        <f>'Kullanılan gübre'!I312*'Gübre oranlar'!L$2</f>
        <v>0</v>
      </c>
      <c r="J312">
        <f>'Kullanılan gübre'!J312*'Gübre oranlar'!M$2</f>
        <v>0</v>
      </c>
      <c r="K312">
        <f>'Kullanılan gübre'!K312*'Gübre oranlar'!N$2</f>
        <v>0</v>
      </c>
      <c r="L312">
        <f>'Kullanılan gübre'!L312*'Gübre oranlar'!O$2</f>
        <v>0</v>
      </c>
      <c r="M312">
        <f>'Kullanılan gübre'!M312*'Gübre oranlar'!P$2</f>
        <v>0</v>
      </c>
      <c r="N312">
        <f>'Kullanılan gübre'!N312*'Gübre oranlar'!Q$2</f>
        <v>0</v>
      </c>
      <c r="O312">
        <f>'Kullanılan gübre'!O312*'Gübre oranlar'!R$2</f>
        <v>0</v>
      </c>
      <c r="P312">
        <f>'Kullanılan gübre'!P312*'Gübre oranlar'!S$2</f>
        <v>0</v>
      </c>
      <c r="Q312">
        <f>'Kullanılan gübre'!Q312*'Gübre oranlar'!T$2</f>
        <v>0</v>
      </c>
      <c r="R312">
        <f>'Kullanılan gübre'!R312*'Gübre oranlar'!U$2</f>
        <v>0</v>
      </c>
      <c r="S312">
        <f>'Kullanılan gübre'!S312*'Gübre oranlar'!V$2</f>
        <v>0</v>
      </c>
      <c r="T312">
        <f>'Kullanılan gübre'!T312*'Gübre oranlar'!W$2</f>
        <v>0</v>
      </c>
      <c r="U312">
        <f>'Kullanılan gübre'!U312*'Gübre oranlar'!X$2</f>
        <v>0</v>
      </c>
      <c r="V312">
        <f>'Kullanılan gübre'!V312*'Gübre oranlar'!Y$2</f>
        <v>0</v>
      </c>
      <c r="W312">
        <f>'Kullanılan gübre'!W312*'Gübre oranlar'!Z$2</f>
        <v>0</v>
      </c>
      <c r="X312">
        <f>'Kullanılan gübre'!X312*'Gübre oranlar'!AA$2</f>
        <v>0</v>
      </c>
      <c r="Y312">
        <f>'Kullanılan gübre'!Y312*'Gübre oranlar'!AB$2</f>
        <v>0</v>
      </c>
      <c r="Z312">
        <f>'Kullanılan gübre'!Z312*'Gübre oranlar'!AC$2</f>
        <v>0</v>
      </c>
      <c r="AA312">
        <f>'Kullanılan gübre'!AA312*'Gübre oranlar'!AD$2</f>
        <v>0</v>
      </c>
      <c r="AB312">
        <f>'Kullanılan gübre'!AB312*'Gübre oranlar'!AE$2</f>
        <v>0</v>
      </c>
      <c r="AC312">
        <f>'Kullanılan gübre'!AC312*'Gübre oranlar'!AF$2</f>
        <v>0</v>
      </c>
      <c r="AD312">
        <f>'Kullanılan gübre'!AD312*'Gübre oranlar'!AG$2</f>
        <v>0</v>
      </c>
      <c r="AE312">
        <f>'Kullanılan gübre'!AE312*'Gübre oranlar'!AH$2</f>
        <v>0</v>
      </c>
      <c r="AF312">
        <f>'Kullanılan gübre'!AF312*'Gübre oranlar'!AI$2</f>
        <v>0</v>
      </c>
      <c r="AG312">
        <f>'Kullanılan gübre'!AG312*'Gübre oranlar'!AJ$2</f>
        <v>0</v>
      </c>
      <c r="AH312">
        <f>'Kullanılan gübre'!AH312*'Gübre oranlar'!AK$2</f>
        <v>0</v>
      </c>
      <c r="AI312">
        <f>'Kullanılan gübre'!AI312*'Gübre oranlar'!AL$2</f>
        <v>0</v>
      </c>
      <c r="AJ312">
        <f>'Kullanılan gübre'!AJ312*'Gübre oranlar'!AM$2</f>
        <v>0</v>
      </c>
      <c r="AK312">
        <f>'Kullanılan gübre'!AK312*'Gübre oranlar'!AN$2</f>
        <v>0</v>
      </c>
      <c r="AL312">
        <f>'Kullanılan gübre'!AL312*'Gübre oranlar'!AO$2</f>
        <v>0</v>
      </c>
      <c r="AM312">
        <f>'Kullanılan gübre'!AM312*'Gübre oranlar'!AP$2</f>
        <v>0</v>
      </c>
      <c r="AN312">
        <f>'Kullanılan gübre'!AN312*'Gübre oranlar'!AQ$2</f>
        <v>0</v>
      </c>
      <c r="AO312">
        <f>'Kullanılan gübre'!AO312*'Gübre oranlar'!AR$2</f>
        <v>0</v>
      </c>
      <c r="AP312">
        <f>'Kullanılan gübre'!AP312*'Gübre oranlar'!AS$2</f>
        <v>0</v>
      </c>
      <c r="AQ312">
        <f>'Kullanılan gübre'!AQ312*'Gübre oranlar'!AT$2</f>
        <v>0</v>
      </c>
      <c r="AR312">
        <f>'Kullanılan gübre'!AR312*'Gübre oranlar'!AU$2</f>
        <v>0</v>
      </c>
      <c r="AS312">
        <f>'Kullanılan gübre'!AS312*'Gübre oranlar'!AV$2</f>
        <v>0</v>
      </c>
      <c r="AT312">
        <f>'Kullanılan gübre'!AT312*'Gübre oranlar'!AW$2</f>
        <v>0</v>
      </c>
      <c r="AU312">
        <f>'Kullanılan gübre'!AU312*'Gübre oranlar'!AX$2</f>
        <v>0</v>
      </c>
      <c r="AV312">
        <f>'Kullanılan gübre'!AV312*'Gübre oranlar'!AY$2</f>
        <v>0</v>
      </c>
      <c r="AW312">
        <f t="shared" si="4"/>
        <v>0</v>
      </c>
    </row>
    <row r="313" spans="1:49" hidden="1" x14ac:dyDescent="0.25">
      <c r="A313" t="str">
        <f>'Kullanılan gübre'!A313</f>
        <v>YI</v>
      </c>
      <c r="B313" t="str">
        <f>'Kullanılan gübre'!B313</f>
        <v>TOKAT</v>
      </c>
      <c r="C313" t="str">
        <f>'Kullanılan gübre'!C313</f>
        <v>PAZAR</v>
      </c>
      <c r="D313">
        <f>'Kullanılan gübre'!D313</f>
        <v>2009</v>
      </c>
      <c r="E313">
        <f>'Kullanılan gübre'!E313*'Gübre oranlar'!H$2</f>
        <v>3.7064999999999997</v>
      </c>
      <c r="F313">
        <f>'Kullanılan gübre'!F313*'Gübre oranlar'!I$2</f>
        <v>5.109</v>
      </c>
      <c r="G313">
        <f>'Kullanılan gübre'!G313*'Gübre oranlar'!J$2</f>
        <v>58.541999999999994</v>
      </c>
      <c r="H313">
        <f>'Kullanılan gübre'!H313*'Gübre oranlar'!K$2</f>
        <v>249.78</v>
      </c>
      <c r="I313">
        <f>'Kullanılan gübre'!I313*'Gübre oranlar'!L$2</f>
        <v>0</v>
      </c>
      <c r="J313">
        <f>'Kullanılan gübre'!J313*'Gübre oranlar'!M$2</f>
        <v>26.576999999999995</v>
      </c>
      <c r="K313">
        <f>'Kullanılan gübre'!K313*'Gübre oranlar'!N$2</f>
        <v>0.25</v>
      </c>
      <c r="L313">
        <f>'Kullanılan gübre'!L313*'Gübre oranlar'!O$2</f>
        <v>3.9000000000000004</v>
      </c>
      <c r="M313">
        <f>'Kullanılan gübre'!M313*'Gübre oranlar'!P$2</f>
        <v>3.6749999999999998</v>
      </c>
      <c r="N313">
        <f>'Kullanılan gübre'!N313*'Gübre oranlar'!Q$2</f>
        <v>9.4275000000000002</v>
      </c>
      <c r="O313">
        <f>'Kullanılan gübre'!O313*'Gübre oranlar'!R$2</f>
        <v>0</v>
      </c>
      <c r="P313">
        <f>'Kullanılan gübre'!P313*'Gübre oranlar'!S$2</f>
        <v>0.44850000000000007</v>
      </c>
      <c r="Q313">
        <f>'Kullanılan gübre'!Q313*'Gübre oranlar'!T$2</f>
        <v>61.32</v>
      </c>
      <c r="R313">
        <f>'Kullanılan gübre'!R313*'Gübre oranlar'!U$2</f>
        <v>0</v>
      </c>
      <c r="S313">
        <f>'Kullanılan gübre'!S313*'Gübre oranlar'!V$2</f>
        <v>0</v>
      </c>
      <c r="T313">
        <f>'Kullanılan gübre'!T313*'Gübre oranlar'!W$2</f>
        <v>0</v>
      </c>
      <c r="U313">
        <f>'Kullanılan gübre'!U313*'Gübre oranlar'!X$2</f>
        <v>0</v>
      </c>
      <c r="V313">
        <f>'Kullanılan gübre'!V313*'Gübre oranlar'!Y$2</f>
        <v>0</v>
      </c>
      <c r="W313">
        <f>'Kullanılan gübre'!W313*'Gübre oranlar'!Z$2</f>
        <v>0</v>
      </c>
      <c r="X313">
        <f>'Kullanılan gübre'!X313*'Gübre oranlar'!AA$2</f>
        <v>0</v>
      </c>
      <c r="Y313">
        <f>'Kullanılan gübre'!Y313*'Gübre oranlar'!AB$2</f>
        <v>0</v>
      </c>
      <c r="Z313">
        <f>'Kullanılan gübre'!Z313*'Gübre oranlar'!AC$2</f>
        <v>0</v>
      </c>
      <c r="AA313">
        <f>'Kullanılan gübre'!AA313*'Gübre oranlar'!AD$2</f>
        <v>0</v>
      </c>
      <c r="AB313">
        <f>'Kullanılan gübre'!AB313*'Gübre oranlar'!AE$2</f>
        <v>0</v>
      </c>
      <c r="AC313">
        <f>'Kullanılan gübre'!AC313*'Gübre oranlar'!AF$2</f>
        <v>0</v>
      </c>
      <c r="AD313">
        <f>'Kullanılan gübre'!AD313*'Gübre oranlar'!AG$2</f>
        <v>0</v>
      </c>
      <c r="AE313">
        <f>'Kullanılan gübre'!AE313*'Gübre oranlar'!AH$2</f>
        <v>0</v>
      </c>
      <c r="AF313">
        <f>'Kullanılan gübre'!AF313*'Gübre oranlar'!AI$2</f>
        <v>0</v>
      </c>
      <c r="AG313">
        <f>'Kullanılan gübre'!AG313*'Gübre oranlar'!AJ$2</f>
        <v>0</v>
      </c>
      <c r="AH313">
        <f>'Kullanılan gübre'!AH313*'Gübre oranlar'!AK$2</f>
        <v>0</v>
      </c>
      <c r="AI313">
        <f>'Kullanılan gübre'!AI313*'Gübre oranlar'!AL$2</f>
        <v>0</v>
      </c>
      <c r="AJ313">
        <f>'Kullanılan gübre'!AJ313*'Gübre oranlar'!AM$2</f>
        <v>0</v>
      </c>
      <c r="AK313">
        <f>'Kullanılan gübre'!AK313*'Gübre oranlar'!AN$2</f>
        <v>0</v>
      </c>
      <c r="AL313">
        <f>'Kullanılan gübre'!AL313*'Gübre oranlar'!AO$2</f>
        <v>0</v>
      </c>
      <c r="AM313">
        <f>'Kullanılan gübre'!AM313*'Gübre oranlar'!AP$2</f>
        <v>0</v>
      </c>
      <c r="AN313">
        <f>'Kullanılan gübre'!AN313*'Gübre oranlar'!AQ$2</f>
        <v>0</v>
      </c>
      <c r="AO313">
        <f>'Kullanılan gübre'!AO313*'Gübre oranlar'!AR$2</f>
        <v>0</v>
      </c>
      <c r="AP313">
        <f>'Kullanılan gübre'!AP313*'Gübre oranlar'!AS$2</f>
        <v>0</v>
      </c>
      <c r="AQ313">
        <f>'Kullanılan gübre'!AQ313*'Gübre oranlar'!AT$2</f>
        <v>0</v>
      </c>
      <c r="AR313">
        <f>'Kullanılan gübre'!AR313*'Gübre oranlar'!AU$2</f>
        <v>0</v>
      </c>
      <c r="AS313">
        <f>'Kullanılan gübre'!AS313*'Gübre oranlar'!AV$2</f>
        <v>0</v>
      </c>
      <c r="AT313">
        <f>'Kullanılan gübre'!AT313*'Gübre oranlar'!AW$2</f>
        <v>0</v>
      </c>
      <c r="AU313">
        <f>'Kullanılan gübre'!AU313*'Gübre oranlar'!AX$2</f>
        <v>0</v>
      </c>
      <c r="AV313">
        <f>'Kullanılan gübre'!AV313*'Gübre oranlar'!AY$2</f>
        <v>0</v>
      </c>
      <c r="AW313">
        <f t="shared" si="4"/>
        <v>422.7355</v>
      </c>
    </row>
    <row r="314" spans="1:49" hidden="1" x14ac:dyDescent="0.25">
      <c r="A314" t="str">
        <f>'Kullanılan gübre'!A314</f>
        <v>YI</v>
      </c>
      <c r="B314" t="str">
        <f>'Kullanılan gübre'!B314</f>
        <v>TOKAT</v>
      </c>
      <c r="C314" t="str">
        <f>'Kullanılan gübre'!C314</f>
        <v>RESADIYE</v>
      </c>
      <c r="D314">
        <f>'Kullanılan gübre'!D314</f>
        <v>2009</v>
      </c>
      <c r="E314">
        <f>'Kullanılan gübre'!E314*'Gübre oranlar'!H$2</f>
        <v>0</v>
      </c>
      <c r="F314">
        <f>'Kullanılan gübre'!F314*'Gübre oranlar'!I$2</f>
        <v>0</v>
      </c>
      <c r="G314">
        <f>'Kullanılan gübre'!G314*'Gübre oranlar'!J$2</f>
        <v>9.6030000000000015</v>
      </c>
      <c r="H314">
        <f>'Kullanılan gübre'!H314*'Gübre oranlar'!K$2</f>
        <v>0</v>
      </c>
      <c r="I314">
        <f>'Kullanılan gübre'!I314*'Gübre oranlar'!L$2</f>
        <v>0</v>
      </c>
      <c r="J314">
        <f>'Kullanılan gübre'!J314*'Gübre oranlar'!M$2</f>
        <v>6.4709999999999992</v>
      </c>
      <c r="K314">
        <f>'Kullanılan gübre'!K314*'Gübre oranlar'!N$2</f>
        <v>0</v>
      </c>
      <c r="L314">
        <f>'Kullanılan gübre'!L314*'Gübre oranlar'!O$2</f>
        <v>0</v>
      </c>
      <c r="M314">
        <f>'Kullanılan gübre'!M314*'Gübre oranlar'!P$2</f>
        <v>0</v>
      </c>
      <c r="N314">
        <f>'Kullanılan gübre'!N314*'Gübre oranlar'!Q$2</f>
        <v>0</v>
      </c>
      <c r="O314">
        <f>'Kullanılan gübre'!O314*'Gübre oranlar'!R$2</f>
        <v>0</v>
      </c>
      <c r="P314">
        <f>'Kullanılan gübre'!P314*'Gübre oranlar'!S$2</f>
        <v>0</v>
      </c>
      <c r="Q314">
        <f>'Kullanılan gübre'!Q314*'Gübre oranlar'!T$2</f>
        <v>0</v>
      </c>
      <c r="R314">
        <f>'Kullanılan gübre'!R314*'Gübre oranlar'!U$2</f>
        <v>0</v>
      </c>
      <c r="S314">
        <f>'Kullanılan gübre'!S314*'Gübre oranlar'!V$2</f>
        <v>0</v>
      </c>
      <c r="T314">
        <f>'Kullanılan gübre'!T314*'Gübre oranlar'!W$2</f>
        <v>0</v>
      </c>
      <c r="U314">
        <f>'Kullanılan gübre'!U314*'Gübre oranlar'!X$2</f>
        <v>0</v>
      </c>
      <c r="V314">
        <f>'Kullanılan gübre'!V314*'Gübre oranlar'!Y$2</f>
        <v>0</v>
      </c>
      <c r="W314">
        <f>'Kullanılan gübre'!W314*'Gübre oranlar'!Z$2</f>
        <v>0</v>
      </c>
      <c r="X314">
        <f>'Kullanılan gübre'!X314*'Gübre oranlar'!AA$2</f>
        <v>0</v>
      </c>
      <c r="Y314">
        <f>'Kullanılan gübre'!Y314*'Gübre oranlar'!AB$2</f>
        <v>0</v>
      </c>
      <c r="Z314">
        <f>'Kullanılan gübre'!Z314*'Gübre oranlar'!AC$2</f>
        <v>0</v>
      </c>
      <c r="AA314">
        <f>'Kullanılan gübre'!AA314*'Gübre oranlar'!AD$2</f>
        <v>0</v>
      </c>
      <c r="AB314">
        <f>'Kullanılan gübre'!AB314*'Gübre oranlar'!AE$2</f>
        <v>0</v>
      </c>
      <c r="AC314">
        <f>'Kullanılan gübre'!AC314*'Gübre oranlar'!AF$2</f>
        <v>0</v>
      </c>
      <c r="AD314">
        <f>'Kullanılan gübre'!AD314*'Gübre oranlar'!AG$2</f>
        <v>0</v>
      </c>
      <c r="AE314">
        <f>'Kullanılan gübre'!AE314*'Gübre oranlar'!AH$2</f>
        <v>0</v>
      </c>
      <c r="AF314">
        <f>'Kullanılan gübre'!AF314*'Gübre oranlar'!AI$2</f>
        <v>0</v>
      </c>
      <c r="AG314">
        <f>'Kullanılan gübre'!AG314*'Gübre oranlar'!AJ$2</f>
        <v>0</v>
      </c>
      <c r="AH314">
        <f>'Kullanılan gübre'!AH314*'Gübre oranlar'!AK$2</f>
        <v>0</v>
      </c>
      <c r="AI314">
        <f>'Kullanılan gübre'!AI314*'Gübre oranlar'!AL$2</f>
        <v>0</v>
      </c>
      <c r="AJ314">
        <f>'Kullanılan gübre'!AJ314*'Gübre oranlar'!AM$2</f>
        <v>0</v>
      </c>
      <c r="AK314">
        <f>'Kullanılan gübre'!AK314*'Gübre oranlar'!AN$2</f>
        <v>0</v>
      </c>
      <c r="AL314">
        <f>'Kullanılan gübre'!AL314*'Gübre oranlar'!AO$2</f>
        <v>0</v>
      </c>
      <c r="AM314">
        <f>'Kullanılan gübre'!AM314*'Gübre oranlar'!AP$2</f>
        <v>0</v>
      </c>
      <c r="AN314">
        <f>'Kullanılan gübre'!AN314*'Gübre oranlar'!AQ$2</f>
        <v>0</v>
      </c>
      <c r="AO314">
        <f>'Kullanılan gübre'!AO314*'Gübre oranlar'!AR$2</f>
        <v>0</v>
      </c>
      <c r="AP314">
        <f>'Kullanılan gübre'!AP314*'Gübre oranlar'!AS$2</f>
        <v>0</v>
      </c>
      <c r="AQ314">
        <f>'Kullanılan gübre'!AQ314*'Gübre oranlar'!AT$2</f>
        <v>0</v>
      </c>
      <c r="AR314">
        <f>'Kullanılan gübre'!AR314*'Gübre oranlar'!AU$2</f>
        <v>0</v>
      </c>
      <c r="AS314">
        <f>'Kullanılan gübre'!AS314*'Gübre oranlar'!AV$2</f>
        <v>0</v>
      </c>
      <c r="AT314">
        <f>'Kullanılan gübre'!AT314*'Gübre oranlar'!AW$2</f>
        <v>0</v>
      </c>
      <c r="AU314">
        <f>'Kullanılan gübre'!AU314*'Gübre oranlar'!AX$2</f>
        <v>0</v>
      </c>
      <c r="AV314">
        <f>'Kullanılan gübre'!AV314*'Gübre oranlar'!AY$2</f>
        <v>0</v>
      </c>
      <c r="AW314">
        <f t="shared" si="4"/>
        <v>16.074000000000002</v>
      </c>
    </row>
    <row r="315" spans="1:49" hidden="1" x14ac:dyDescent="0.25">
      <c r="A315" t="str">
        <f>'Kullanılan gübre'!A315</f>
        <v>YI</v>
      </c>
      <c r="B315" t="str">
        <f>'Kullanılan gübre'!B315</f>
        <v>TOKAT</v>
      </c>
      <c r="C315" t="str">
        <f>'Kullanılan gübre'!C315</f>
        <v>SULUSARAY</v>
      </c>
      <c r="D315">
        <f>'Kullanılan gübre'!D315</f>
        <v>2009</v>
      </c>
      <c r="E315">
        <f>'Kullanılan gübre'!E315*'Gübre oranlar'!H$2</f>
        <v>0</v>
      </c>
      <c r="F315">
        <f>'Kullanılan gübre'!F315*'Gübre oranlar'!I$2</f>
        <v>66.143999999999991</v>
      </c>
      <c r="G315">
        <f>'Kullanılan gübre'!G315*'Gübre oranlar'!J$2</f>
        <v>31.1355</v>
      </c>
      <c r="H315">
        <f>'Kullanılan gübre'!H315*'Gübre oranlar'!K$2</f>
        <v>2.0700000000000003</v>
      </c>
      <c r="I315">
        <f>'Kullanılan gübre'!I315*'Gübre oranlar'!L$2</f>
        <v>0</v>
      </c>
      <c r="J315">
        <f>'Kullanılan gübre'!J315*'Gübre oranlar'!M$2</f>
        <v>23.526000000000003</v>
      </c>
      <c r="K315">
        <f>'Kullanılan gübre'!K315*'Gübre oranlar'!N$2</f>
        <v>16.61</v>
      </c>
      <c r="L315">
        <f>'Kullanılan gübre'!L315*'Gübre oranlar'!O$2</f>
        <v>14.37</v>
      </c>
      <c r="M315">
        <f>'Kullanılan gübre'!M315*'Gübre oranlar'!P$2</f>
        <v>0</v>
      </c>
      <c r="N315">
        <f>'Kullanılan gübre'!N315*'Gübre oranlar'!Q$2</f>
        <v>0</v>
      </c>
      <c r="O315">
        <f>'Kullanılan gübre'!O315*'Gübre oranlar'!R$2</f>
        <v>0</v>
      </c>
      <c r="P315">
        <f>'Kullanılan gübre'!P315*'Gübre oranlar'!S$2</f>
        <v>0</v>
      </c>
      <c r="Q315">
        <f>'Kullanılan gübre'!Q315*'Gübre oranlar'!T$2</f>
        <v>0</v>
      </c>
      <c r="R315">
        <f>'Kullanılan gübre'!R315*'Gübre oranlar'!U$2</f>
        <v>0</v>
      </c>
      <c r="S315">
        <f>'Kullanılan gübre'!S315*'Gübre oranlar'!V$2</f>
        <v>0</v>
      </c>
      <c r="T315">
        <f>'Kullanılan gübre'!T315*'Gübre oranlar'!W$2</f>
        <v>0</v>
      </c>
      <c r="U315">
        <f>'Kullanılan gübre'!U315*'Gübre oranlar'!X$2</f>
        <v>0</v>
      </c>
      <c r="V315">
        <f>'Kullanılan gübre'!V315*'Gübre oranlar'!Y$2</f>
        <v>0</v>
      </c>
      <c r="W315">
        <f>'Kullanılan gübre'!W315*'Gübre oranlar'!Z$2</f>
        <v>0</v>
      </c>
      <c r="X315">
        <f>'Kullanılan gübre'!X315*'Gübre oranlar'!AA$2</f>
        <v>0</v>
      </c>
      <c r="Y315">
        <f>'Kullanılan gübre'!Y315*'Gübre oranlar'!AB$2</f>
        <v>0</v>
      </c>
      <c r="Z315">
        <f>'Kullanılan gübre'!Z315*'Gübre oranlar'!AC$2</f>
        <v>0</v>
      </c>
      <c r="AA315">
        <f>'Kullanılan gübre'!AA315*'Gübre oranlar'!AD$2</f>
        <v>0</v>
      </c>
      <c r="AB315">
        <f>'Kullanılan gübre'!AB315*'Gübre oranlar'!AE$2</f>
        <v>0</v>
      </c>
      <c r="AC315">
        <f>'Kullanılan gübre'!AC315*'Gübre oranlar'!AF$2</f>
        <v>0</v>
      </c>
      <c r="AD315">
        <f>'Kullanılan gübre'!AD315*'Gübre oranlar'!AG$2</f>
        <v>0</v>
      </c>
      <c r="AE315">
        <f>'Kullanılan gübre'!AE315*'Gübre oranlar'!AH$2</f>
        <v>0</v>
      </c>
      <c r="AF315">
        <f>'Kullanılan gübre'!AF315*'Gübre oranlar'!AI$2</f>
        <v>0</v>
      </c>
      <c r="AG315">
        <f>'Kullanılan gübre'!AG315*'Gübre oranlar'!AJ$2</f>
        <v>0</v>
      </c>
      <c r="AH315">
        <f>'Kullanılan gübre'!AH315*'Gübre oranlar'!AK$2</f>
        <v>0</v>
      </c>
      <c r="AI315">
        <f>'Kullanılan gübre'!AI315*'Gübre oranlar'!AL$2</f>
        <v>0</v>
      </c>
      <c r="AJ315">
        <f>'Kullanılan gübre'!AJ315*'Gübre oranlar'!AM$2</f>
        <v>0</v>
      </c>
      <c r="AK315">
        <f>'Kullanılan gübre'!AK315*'Gübre oranlar'!AN$2</f>
        <v>0</v>
      </c>
      <c r="AL315">
        <f>'Kullanılan gübre'!AL315*'Gübre oranlar'!AO$2</f>
        <v>0</v>
      </c>
      <c r="AM315">
        <f>'Kullanılan gübre'!AM315*'Gübre oranlar'!AP$2</f>
        <v>0</v>
      </c>
      <c r="AN315">
        <f>'Kullanılan gübre'!AN315*'Gübre oranlar'!AQ$2</f>
        <v>0</v>
      </c>
      <c r="AO315">
        <f>'Kullanılan gübre'!AO315*'Gübre oranlar'!AR$2</f>
        <v>0</v>
      </c>
      <c r="AP315">
        <f>'Kullanılan gübre'!AP315*'Gübre oranlar'!AS$2</f>
        <v>0</v>
      </c>
      <c r="AQ315">
        <f>'Kullanılan gübre'!AQ315*'Gübre oranlar'!AT$2</f>
        <v>0</v>
      </c>
      <c r="AR315">
        <f>'Kullanılan gübre'!AR315*'Gübre oranlar'!AU$2</f>
        <v>0</v>
      </c>
      <c r="AS315">
        <f>'Kullanılan gübre'!AS315*'Gübre oranlar'!AV$2</f>
        <v>0</v>
      </c>
      <c r="AT315">
        <f>'Kullanılan gübre'!AT315*'Gübre oranlar'!AW$2</f>
        <v>0</v>
      </c>
      <c r="AU315">
        <f>'Kullanılan gübre'!AU315*'Gübre oranlar'!AX$2</f>
        <v>0</v>
      </c>
      <c r="AV315">
        <f>'Kullanılan gübre'!AV315*'Gübre oranlar'!AY$2</f>
        <v>0</v>
      </c>
      <c r="AW315">
        <f t="shared" si="4"/>
        <v>153.85550000000001</v>
      </c>
    </row>
    <row r="316" spans="1:49" hidden="1" x14ac:dyDescent="0.25">
      <c r="A316" t="str">
        <f>'Kullanılan gübre'!A316</f>
        <v>YI</v>
      </c>
      <c r="B316" t="str">
        <f>'Kullanılan gübre'!B316</f>
        <v>TOKAT</v>
      </c>
      <c r="C316" t="str">
        <f>'Kullanılan gübre'!C316</f>
        <v>TURHAL</v>
      </c>
      <c r="D316">
        <f>'Kullanılan gübre'!D316</f>
        <v>2009</v>
      </c>
      <c r="E316">
        <f>'Kullanılan gübre'!E316*'Gübre oranlar'!H$2</f>
        <v>2.5094999999999996</v>
      </c>
      <c r="F316">
        <f>'Kullanılan gübre'!F316*'Gübre oranlar'!I$2</f>
        <v>122.91500000000001</v>
      </c>
      <c r="G316">
        <f>'Kullanılan gübre'!G316*'Gübre oranlar'!J$2</f>
        <v>301.9665</v>
      </c>
      <c r="H316">
        <f>'Kullanılan gübre'!H316*'Gübre oranlar'!K$2</f>
        <v>321.47099999999995</v>
      </c>
      <c r="I316">
        <f>'Kullanılan gübre'!I316*'Gübre oranlar'!L$2</f>
        <v>0</v>
      </c>
      <c r="J316">
        <f>'Kullanılan gübre'!J316*'Gübre oranlar'!M$2</f>
        <v>3.6269999999999998</v>
      </c>
      <c r="K316">
        <f>'Kullanılan gübre'!K316*'Gübre oranlar'!N$2</f>
        <v>3.08</v>
      </c>
      <c r="L316">
        <f>'Kullanılan gübre'!L316*'Gübre oranlar'!O$2</f>
        <v>6.660000000000001</v>
      </c>
      <c r="M316">
        <f>'Kullanılan gübre'!M316*'Gübre oranlar'!P$2</f>
        <v>0.75</v>
      </c>
      <c r="N316">
        <f>'Kullanılan gübre'!N316*'Gübre oranlar'!Q$2</f>
        <v>3.9299999999999997</v>
      </c>
      <c r="O316">
        <f>'Kullanılan gübre'!O316*'Gübre oranlar'!R$2</f>
        <v>0</v>
      </c>
      <c r="P316">
        <f>'Kullanılan gübre'!P316*'Gübre oranlar'!S$2</f>
        <v>0.37050000000000005</v>
      </c>
      <c r="Q316">
        <f>'Kullanılan gübre'!Q316*'Gübre oranlar'!T$2</f>
        <v>78.48</v>
      </c>
      <c r="R316">
        <f>'Kullanılan gübre'!R316*'Gübre oranlar'!U$2</f>
        <v>0</v>
      </c>
      <c r="S316">
        <f>'Kullanılan gübre'!S316*'Gübre oranlar'!V$2</f>
        <v>0</v>
      </c>
      <c r="T316">
        <f>'Kullanılan gübre'!T316*'Gübre oranlar'!W$2</f>
        <v>0</v>
      </c>
      <c r="U316">
        <f>'Kullanılan gübre'!U316*'Gübre oranlar'!X$2</f>
        <v>0</v>
      </c>
      <c r="V316">
        <f>'Kullanılan gübre'!V316*'Gübre oranlar'!Y$2</f>
        <v>0</v>
      </c>
      <c r="W316">
        <f>'Kullanılan gübre'!W316*'Gübre oranlar'!Z$2</f>
        <v>0</v>
      </c>
      <c r="X316">
        <f>'Kullanılan gübre'!X316*'Gübre oranlar'!AA$2</f>
        <v>0</v>
      </c>
      <c r="Y316">
        <f>'Kullanılan gübre'!Y316*'Gübre oranlar'!AB$2</f>
        <v>0</v>
      </c>
      <c r="Z316">
        <f>'Kullanılan gübre'!Z316*'Gübre oranlar'!AC$2</f>
        <v>0</v>
      </c>
      <c r="AA316">
        <f>'Kullanılan gübre'!AA316*'Gübre oranlar'!AD$2</f>
        <v>0</v>
      </c>
      <c r="AB316">
        <f>'Kullanılan gübre'!AB316*'Gübre oranlar'!AE$2</f>
        <v>0</v>
      </c>
      <c r="AC316">
        <f>'Kullanılan gübre'!AC316*'Gübre oranlar'!AF$2</f>
        <v>0</v>
      </c>
      <c r="AD316">
        <f>'Kullanılan gübre'!AD316*'Gübre oranlar'!AG$2</f>
        <v>0</v>
      </c>
      <c r="AE316">
        <f>'Kullanılan gübre'!AE316*'Gübre oranlar'!AH$2</f>
        <v>0</v>
      </c>
      <c r="AF316">
        <f>'Kullanılan gübre'!AF316*'Gübre oranlar'!AI$2</f>
        <v>0</v>
      </c>
      <c r="AG316">
        <f>'Kullanılan gübre'!AG316*'Gübre oranlar'!AJ$2</f>
        <v>0</v>
      </c>
      <c r="AH316">
        <f>'Kullanılan gübre'!AH316*'Gübre oranlar'!AK$2</f>
        <v>0</v>
      </c>
      <c r="AI316">
        <f>'Kullanılan gübre'!AI316*'Gübre oranlar'!AL$2</f>
        <v>0</v>
      </c>
      <c r="AJ316">
        <f>'Kullanılan gübre'!AJ316*'Gübre oranlar'!AM$2</f>
        <v>0</v>
      </c>
      <c r="AK316">
        <f>'Kullanılan gübre'!AK316*'Gübre oranlar'!AN$2</f>
        <v>0</v>
      </c>
      <c r="AL316">
        <f>'Kullanılan gübre'!AL316*'Gübre oranlar'!AO$2</f>
        <v>0</v>
      </c>
      <c r="AM316">
        <f>'Kullanılan gübre'!AM316*'Gübre oranlar'!AP$2</f>
        <v>0</v>
      </c>
      <c r="AN316">
        <f>'Kullanılan gübre'!AN316*'Gübre oranlar'!AQ$2</f>
        <v>0</v>
      </c>
      <c r="AO316">
        <f>'Kullanılan gübre'!AO316*'Gübre oranlar'!AR$2</f>
        <v>0</v>
      </c>
      <c r="AP316">
        <f>'Kullanılan gübre'!AP316*'Gübre oranlar'!AS$2</f>
        <v>0</v>
      </c>
      <c r="AQ316">
        <f>'Kullanılan gübre'!AQ316*'Gübre oranlar'!AT$2</f>
        <v>0</v>
      </c>
      <c r="AR316">
        <f>'Kullanılan gübre'!AR316*'Gübre oranlar'!AU$2</f>
        <v>0</v>
      </c>
      <c r="AS316">
        <f>'Kullanılan gübre'!AS316*'Gübre oranlar'!AV$2</f>
        <v>0</v>
      </c>
      <c r="AT316">
        <f>'Kullanılan gübre'!AT316*'Gübre oranlar'!AW$2</f>
        <v>0</v>
      </c>
      <c r="AU316">
        <f>'Kullanılan gübre'!AU316*'Gübre oranlar'!AX$2</f>
        <v>0</v>
      </c>
      <c r="AV316">
        <f>'Kullanılan gübre'!AV316*'Gübre oranlar'!AY$2</f>
        <v>0</v>
      </c>
      <c r="AW316">
        <f t="shared" si="4"/>
        <v>845.75949999999989</v>
      </c>
    </row>
    <row r="317" spans="1:49" hidden="1" x14ac:dyDescent="0.25">
      <c r="A317" t="str">
        <f>'Kullanılan gübre'!A317</f>
        <v>YI</v>
      </c>
      <c r="B317" t="str">
        <f>'Kullanılan gübre'!B317</f>
        <v>TOKAT</v>
      </c>
      <c r="C317" t="str">
        <f>'Kullanılan gübre'!C317</f>
        <v>YESILYURT</v>
      </c>
      <c r="D317">
        <f>'Kullanılan gübre'!D317</f>
        <v>2009</v>
      </c>
      <c r="E317">
        <f>'Kullanılan gübre'!E317*'Gübre oranlar'!H$2</f>
        <v>0</v>
      </c>
      <c r="F317">
        <f>'Kullanılan gübre'!F317*'Gübre oranlar'!I$2</f>
        <v>67.678000000000011</v>
      </c>
      <c r="G317">
        <f>'Kullanılan gübre'!G317*'Gübre oranlar'!J$2</f>
        <v>58.063499999999998</v>
      </c>
      <c r="H317">
        <f>'Kullanılan gübre'!H317*'Gübre oranlar'!K$2</f>
        <v>18.538</v>
      </c>
      <c r="I317">
        <f>'Kullanılan gübre'!I317*'Gübre oranlar'!L$2</f>
        <v>0</v>
      </c>
      <c r="J317">
        <f>'Kullanılan gübre'!J317*'Gübre oranlar'!M$2</f>
        <v>41.534999999999997</v>
      </c>
      <c r="K317">
        <f>'Kullanılan gübre'!K317*'Gübre oranlar'!N$2</f>
        <v>12.26</v>
      </c>
      <c r="L317">
        <f>'Kullanılan gübre'!L317*'Gübre oranlar'!O$2</f>
        <v>21.85</v>
      </c>
      <c r="M317">
        <f>'Kullanılan gübre'!M317*'Gübre oranlar'!P$2</f>
        <v>0</v>
      </c>
      <c r="N317">
        <f>'Kullanılan gübre'!N317*'Gübre oranlar'!Q$2</f>
        <v>12.4125</v>
      </c>
      <c r="O317">
        <f>'Kullanılan gübre'!O317*'Gübre oranlar'!R$2</f>
        <v>0</v>
      </c>
      <c r="P317">
        <f>'Kullanılan gübre'!P317*'Gübre oranlar'!S$2</f>
        <v>0</v>
      </c>
      <c r="Q317">
        <f>'Kullanılan gübre'!Q317*'Gübre oranlar'!T$2</f>
        <v>0</v>
      </c>
      <c r="R317">
        <f>'Kullanılan gübre'!R317*'Gübre oranlar'!U$2</f>
        <v>0</v>
      </c>
      <c r="S317">
        <f>'Kullanılan gübre'!S317*'Gübre oranlar'!V$2</f>
        <v>0</v>
      </c>
      <c r="T317">
        <f>'Kullanılan gübre'!T317*'Gübre oranlar'!W$2</f>
        <v>0</v>
      </c>
      <c r="U317">
        <f>'Kullanılan gübre'!U317*'Gübre oranlar'!X$2</f>
        <v>0</v>
      </c>
      <c r="V317">
        <f>'Kullanılan gübre'!V317*'Gübre oranlar'!Y$2</f>
        <v>0</v>
      </c>
      <c r="W317">
        <f>'Kullanılan gübre'!W317*'Gübre oranlar'!Z$2</f>
        <v>0</v>
      </c>
      <c r="X317">
        <f>'Kullanılan gübre'!X317*'Gübre oranlar'!AA$2</f>
        <v>0</v>
      </c>
      <c r="Y317">
        <f>'Kullanılan gübre'!Y317*'Gübre oranlar'!AB$2</f>
        <v>0</v>
      </c>
      <c r="Z317">
        <f>'Kullanılan gübre'!Z317*'Gübre oranlar'!AC$2</f>
        <v>0</v>
      </c>
      <c r="AA317">
        <f>'Kullanılan gübre'!AA317*'Gübre oranlar'!AD$2</f>
        <v>0</v>
      </c>
      <c r="AB317">
        <f>'Kullanılan gübre'!AB317*'Gübre oranlar'!AE$2</f>
        <v>0</v>
      </c>
      <c r="AC317">
        <f>'Kullanılan gübre'!AC317*'Gübre oranlar'!AF$2</f>
        <v>0</v>
      </c>
      <c r="AD317">
        <f>'Kullanılan gübre'!AD317*'Gübre oranlar'!AG$2</f>
        <v>0</v>
      </c>
      <c r="AE317">
        <f>'Kullanılan gübre'!AE317*'Gübre oranlar'!AH$2</f>
        <v>0</v>
      </c>
      <c r="AF317">
        <f>'Kullanılan gübre'!AF317*'Gübre oranlar'!AI$2</f>
        <v>0</v>
      </c>
      <c r="AG317">
        <f>'Kullanılan gübre'!AG317*'Gübre oranlar'!AJ$2</f>
        <v>0</v>
      </c>
      <c r="AH317">
        <f>'Kullanılan gübre'!AH317*'Gübre oranlar'!AK$2</f>
        <v>0</v>
      </c>
      <c r="AI317">
        <f>'Kullanılan gübre'!AI317*'Gübre oranlar'!AL$2</f>
        <v>0</v>
      </c>
      <c r="AJ317">
        <f>'Kullanılan gübre'!AJ317*'Gübre oranlar'!AM$2</f>
        <v>0</v>
      </c>
      <c r="AK317">
        <f>'Kullanılan gübre'!AK317*'Gübre oranlar'!AN$2</f>
        <v>0</v>
      </c>
      <c r="AL317">
        <f>'Kullanılan gübre'!AL317*'Gübre oranlar'!AO$2</f>
        <v>0</v>
      </c>
      <c r="AM317">
        <f>'Kullanılan gübre'!AM317*'Gübre oranlar'!AP$2</f>
        <v>0</v>
      </c>
      <c r="AN317">
        <f>'Kullanılan gübre'!AN317*'Gübre oranlar'!AQ$2</f>
        <v>0</v>
      </c>
      <c r="AO317">
        <f>'Kullanılan gübre'!AO317*'Gübre oranlar'!AR$2</f>
        <v>0</v>
      </c>
      <c r="AP317">
        <f>'Kullanılan gübre'!AP317*'Gübre oranlar'!AS$2</f>
        <v>0</v>
      </c>
      <c r="AQ317">
        <f>'Kullanılan gübre'!AQ317*'Gübre oranlar'!AT$2</f>
        <v>0</v>
      </c>
      <c r="AR317">
        <f>'Kullanılan gübre'!AR317*'Gübre oranlar'!AU$2</f>
        <v>0</v>
      </c>
      <c r="AS317">
        <f>'Kullanılan gübre'!AS317*'Gübre oranlar'!AV$2</f>
        <v>0</v>
      </c>
      <c r="AT317">
        <f>'Kullanılan gübre'!AT317*'Gübre oranlar'!AW$2</f>
        <v>0</v>
      </c>
      <c r="AU317">
        <f>'Kullanılan gübre'!AU317*'Gübre oranlar'!AX$2</f>
        <v>0</v>
      </c>
      <c r="AV317">
        <f>'Kullanılan gübre'!AV317*'Gübre oranlar'!AY$2</f>
        <v>0</v>
      </c>
      <c r="AW317">
        <f t="shared" si="4"/>
        <v>232.33699999999999</v>
      </c>
    </row>
    <row r="318" spans="1:49" hidden="1" x14ac:dyDescent="0.25">
      <c r="A318" t="str">
        <f>'Kullanılan gübre'!A318</f>
        <v>YI</v>
      </c>
      <c r="B318" t="str">
        <f>'Kullanılan gübre'!B318</f>
        <v>TOKAT</v>
      </c>
      <c r="C318" t="str">
        <f>'Kullanılan gübre'!C318</f>
        <v>ZILE</v>
      </c>
      <c r="D318">
        <f>'Kullanılan gübre'!D318</f>
        <v>2009</v>
      </c>
      <c r="E318">
        <f>'Kullanılan gübre'!E318*'Gübre oranlar'!H$2</f>
        <v>68.197499999999991</v>
      </c>
      <c r="F318">
        <f>'Kullanılan gübre'!F318*'Gübre oranlar'!I$2</f>
        <v>1297.8004000000001</v>
      </c>
      <c r="G318">
        <f>'Kullanılan gübre'!G318*'Gübre oranlar'!J$2</f>
        <v>735.30599999999993</v>
      </c>
      <c r="H318">
        <f>'Kullanılan gübre'!H318*'Gübre oranlar'!K$2</f>
        <v>417.28899999999993</v>
      </c>
      <c r="I318">
        <f>'Kullanılan gübre'!I318*'Gübre oranlar'!L$2</f>
        <v>0</v>
      </c>
      <c r="J318">
        <f>'Kullanılan gübre'!J318*'Gübre oranlar'!M$2</f>
        <v>280.66499999999996</v>
      </c>
      <c r="K318">
        <f>'Kullanılan gübre'!K318*'Gübre oranlar'!N$2</f>
        <v>544.87000000000012</v>
      </c>
      <c r="L318">
        <f>'Kullanılan gübre'!L318*'Gübre oranlar'!O$2</f>
        <v>173.67</v>
      </c>
      <c r="M318">
        <f>'Kullanılan gübre'!M318*'Gübre oranlar'!P$2</f>
        <v>11.25</v>
      </c>
      <c r="N318">
        <f>'Kullanılan gübre'!N318*'Gübre oranlar'!Q$2</f>
        <v>1.7999999999999998</v>
      </c>
      <c r="O318">
        <f>'Kullanılan gübre'!O318*'Gübre oranlar'!R$2</f>
        <v>0</v>
      </c>
      <c r="P318">
        <f>'Kullanılan gübre'!P318*'Gübre oranlar'!S$2</f>
        <v>0</v>
      </c>
      <c r="Q318">
        <f>'Kullanılan gübre'!Q318*'Gübre oranlar'!T$2</f>
        <v>12.12</v>
      </c>
      <c r="R318">
        <f>'Kullanılan gübre'!R318*'Gübre oranlar'!U$2</f>
        <v>0</v>
      </c>
      <c r="S318">
        <f>'Kullanılan gübre'!S318*'Gübre oranlar'!V$2</f>
        <v>0</v>
      </c>
      <c r="T318">
        <f>'Kullanılan gübre'!T318*'Gübre oranlar'!W$2</f>
        <v>0</v>
      </c>
      <c r="U318">
        <f>'Kullanılan gübre'!U318*'Gübre oranlar'!X$2</f>
        <v>0</v>
      </c>
      <c r="V318">
        <f>'Kullanılan gübre'!V318*'Gübre oranlar'!Y$2</f>
        <v>0</v>
      </c>
      <c r="W318">
        <f>'Kullanılan gübre'!W318*'Gübre oranlar'!Z$2</f>
        <v>0</v>
      </c>
      <c r="X318">
        <f>'Kullanılan gübre'!X318*'Gübre oranlar'!AA$2</f>
        <v>0</v>
      </c>
      <c r="Y318">
        <f>'Kullanılan gübre'!Y318*'Gübre oranlar'!AB$2</f>
        <v>0</v>
      </c>
      <c r="Z318">
        <f>'Kullanılan gübre'!Z318*'Gübre oranlar'!AC$2</f>
        <v>0</v>
      </c>
      <c r="AA318">
        <f>'Kullanılan gübre'!AA318*'Gübre oranlar'!AD$2</f>
        <v>0</v>
      </c>
      <c r="AB318">
        <f>'Kullanılan gübre'!AB318*'Gübre oranlar'!AE$2</f>
        <v>0</v>
      </c>
      <c r="AC318">
        <f>'Kullanılan gübre'!AC318*'Gübre oranlar'!AF$2</f>
        <v>0</v>
      </c>
      <c r="AD318">
        <f>'Kullanılan gübre'!AD318*'Gübre oranlar'!AG$2</f>
        <v>0</v>
      </c>
      <c r="AE318">
        <f>'Kullanılan gübre'!AE318*'Gübre oranlar'!AH$2</f>
        <v>0</v>
      </c>
      <c r="AF318">
        <f>'Kullanılan gübre'!AF318*'Gübre oranlar'!AI$2</f>
        <v>0</v>
      </c>
      <c r="AG318">
        <f>'Kullanılan gübre'!AG318*'Gübre oranlar'!AJ$2</f>
        <v>0</v>
      </c>
      <c r="AH318">
        <f>'Kullanılan gübre'!AH318*'Gübre oranlar'!AK$2</f>
        <v>0</v>
      </c>
      <c r="AI318">
        <f>'Kullanılan gübre'!AI318*'Gübre oranlar'!AL$2</f>
        <v>0</v>
      </c>
      <c r="AJ318">
        <f>'Kullanılan gübre'!AJ318*'Gübre oranlar'!AM$2</f>
        <v>0</v>
      </c>
      <c r="AK318">
        <f>'Kullanılan gübre'!AK318*'Gübre oranlar'!AN$2</f>
        <v>0</v>
      </c>
      <c r="AL318">
        <f>'Kullanılan gübre'!AL318*'Gübre oranlar'!AO$2</f>
        <v>0</v>
      </c>
      <c r="AM318">
        <f>'Kullanılan gübre'!AM318*'Gübre oranlar'!AP$2</f>
        <v>0</v>
      </c>
      <c r="AN318">
        <f>'Kullanılan gübre'!AN318*'Gübre oranlar'!AQ$2</f>
        <v>0</v>
      </c>
      <c r="AO318">
        <f>'Kullanılan gübre'!AO318*'Gübre oranlar'!AR$2</f>
        <v>0</v>
      </c>
      <c r="AP318">
        <f>'Kullanılan gübre'!AP318*'Gübre oranlar'!AS$2</f>
        <v>0</v>
      </c>
      <c r="AQ318">
        <f>'Kullanılan gübre'!AQ318*'Gübre oranlar'!AT$2</f>
        <v>0</v>
      </c>
      <c r="AR318">
        <f>'Kullanılan gübre'!AR318*'Gübre oranlar'!AU$2</f>
        <v>0</v>
      </c>
      <c r="AS318">
        <f>'Kullanılan gübre'!AS318*'Gübre oranlar'!AV$2</f>
        <v>0</v>
      </c>
      <c r="AT318">
        <f>'Kullanılan gübre'!AT318*'Gübre oranlar'!AW$2</f>
        <v>0</v>
      </c>
      <c r="AU318">
        <f>'Kullanılan gübre'!AU318*'Gübre oranlar'!AX$2</f>
        <v>0</v>
      </c>
      <c r="AV318">
        <f>'Kullanılan gübre'!AV318*'Gübre oranlar'!AY$2</f>
        <v>0</v>
      </c>
      <c r="AW318">
        <f t="shared" si="4"/>
        <v>3542.9678999999996</v>
      </c>
    </row>
    <row r="319" spans="1:49" hidden="1" x14ac:dyDescent="0.25">
      <c r="A319" t="str">
        <f>'Kullanılan gübre'!A319</f>
        <v>YI</v>
      </c>
      <c r="B319" t="str">
        <f>'Kullanılan gübre'!B319</f>
        <v>TOKAT</v>
      </c>
      <c r="C319" t="str">
        <f>'Kullanılan gübre'!C319</f>
        <v>MERKEZ</v>
      </c>
      <c r="D319">
        <f>'Kullanılan gübre'!D319</f>
        <v>2010</v>
      </c>
      <c r="E319">
        <f>'Kullanılan gübre'!E319*'Gübre oranlar'!H$2</f>
        <v>65.845500000000001</v>
      </c>
      <c r="F319">
        <f>'Kullanılan gübre'!F319*'Gübre oranlar'!I$2</f>
        <v>441.48</v>
      </c>
      <c r="G319">
        <f>'Kullanılan gübre'!G319*'Gübre oranlar'!J$2</f>
        <v>889.46550000000002</v>
      </c>
      <c r="H319">
        <f>'Kullanılan gübre'!H319*'Gübre oranlar'!K$2</f>
        <v>334.71899999999994</v>
      </c>
      <c r="I319">
        <f>'Kullanılan gübre'!I319*'Gübre oranlar'!L$2</f>
        <v>0</v>
      </c>
      <c r="J319">
        <f>'Kullanılan gübre'!J319*'Gübre oranlar'!M$2</f>
        <v>138.57300000000001</v>
      </c>
      <c r="K319">
        <f>'Kullanılan gübre'!K319*'Gübre oranlar'!N$2</f>
        <v>80.539999999999992</v>
      </c>
      <c r="L319">
        <f>'Kullanılan gübre'!L319*'Gübre oranlar'!O$2</f>
        <v>41.19</v>
      </c>
      <c r="M319">
        <f>'Kullanılan gübre'!M319*'Gübre oranlar'!P$2</f>
        <v>15.442499999999999</v>
      </c>
      <c r="N319">
        <f>'Kullanılan gübre'!N319*'Gübre oranlar'!Q$2</f>
        <v>20.9025</v>
      </c>
      <c r="O319">
        <f>'Kullanılan gübre'!O319*'Gübre oranlar'!R$2</f>
        <v>0</v>
      </c>
      <c r="P319">
        <f>'Kullanılan gübre'!P319*'Gübre oranlar'!S$2</f>
        <v>3.0680000000000005</v>
      </c>
      <c r="Q319">
        <f>'Kullanılan gübre'!Q319*'Gübre oranlar'!T$2</f>
        <v>0</v>
      </c>
      <c r="R319">
        <f>'Kullanılan gübre'!R319*'Gübre oranlar'!U$2</f>
        <v>0</v>
      </c>
      <c r="S319">
        <f>'Kullanılan gübre'!S319*'Gübre oranlar'!V$2</f>
        <v>0</v>
      </c>
      <c r="T319">
        <f>'Kullanılan gübre'!T319*'Gübre oranlar'!W$2</f>
        <v>0</v>
      </c>
      <c r="U319">
        <f>'Kullanılan gübre'!U319*'Gübre oranlar'!X$2</f>
        <v>0</v>
      </c>
      <c r="V319">
        <f>'Kullanılan gübre'!V319*'Gübre oranlar'!Y$2</f>
        <v>0</v>
      </c>
      <c r="W319">
        <f>'Kullanılan gübre'!W319*'Gübre oranlar'!Z$2</f>
        <v>0</v>
      </c>
      <c r="X319">
        <f>'Kullanılan gübre'!X319*'Gübre oranlar'!AA$2</f>
        <v>0</v>
      </c>
      <c r="Y319">
        <f>'Kullanılan gübre'!Y319*'Gübre oranlar'!AB$2</f>
        <v>0</v>
      </c>
      <c r="Z319">
        <f>'Kullanılan gübre'!Z319*'Gübre oranlar'!AC$2</f>
        <v>0</v>
      </c>
      <c r="AA319">
        <f>'Kullanılan gübre'!AA319*'Gübre oranlar'!AD$2</f>
        <v>0</v>
      </c>
      <c r="AB319">
        <f>'Kullanılan gübre'!AB319*'Gübre oranlar'!AE$2</f>
        <v>0</v>
      </c>
      <c r="AC319">
        <f>'Kullanılan gübre'!AC319*'Gübre oranlar'!AF$2</f>
        <v>0</v>
      </c>
      <c r="AD319">
        <f>'Kullanılan gübre'!AD319*'Gübre oranlar'!AG$2</f>
        <v>0</v>
      </c>
      <c r="AE319">
        <f>'Kullanılan gübre'!AE319*'Gübre oranlar'!AH$2</f>
        <v>0</v>
      </c>
      <c r="AF319">
        <f>'Kullanılan gübre'!AF319*'Gübre oranlar'!AI$2</f>
        <v>0</v>
      </c>
      <c r="AG319">
        <f>'Kullanılan gübre'!AG319*'Gübre oranlar'!AJ$2</f>
        <v>0</v>
      </c>
      <c r="AH319">
        <f>'Kullanılan gübre'!AH319*'Gübre oranlar'!AK$2</f>
        <v>0</v>
      </c>
      <c r="AI319">
        <f>'Kullanılan gübre'!AI319*'Gübre oranlar'!AL$2</f>
        <v>0</v>
      </c>
      <c r="AJ319">
        <f>'Kullanılan gübre'!AJ319*'Gübre oranlar'!AM$2</f>
        <v>0</v>
      </c>
      <c r="AK319">
        <f>'Kullanılan gübre'!AK319*'Gübre oranlar'!AN$2</f>
        <v>0</v>
      </c>
      <c r="AL319">
        <f>'Kullanılan gübre'!AL319*'Gübre oranlar'!AO$2</f>
        <v>0</v>
      </c>
      <c r="AM319">
        <f>'Kullanılan gübre'!AM319*'Gübre oranlar'!AP$2</f>
        <v>0</v>
      </c>
      <c r="AN319">
        <f>'Kullanılan gübre'!AN319*'Gübre oranlar'!AQ$2</f>
        <v>0</v>
      </c>
      <c r="AO319">
        <f>'Kullanılan gübre'!AO319*'Gübre oranlar'!AR$2</f>
        <v>0</v>
      </c>
      <c r="AP319">
        <f>'Kullanılan gübre'!AP319*'Gübre oranlar'!AS$2</f>
        <v>0</v>
      </c>
      <c r="AQ319">
        <f>'Kullanılan gübre'!AQ319*'Gübre oranlar'!AT$2</f>
        <v>0</v>
      </c>
      <c r="AR319">
        <f>'Kullanılan gübre'!AR319*'Gübre oranlar'!AU$2</f>
        <v>0</v>
      </c>
      <c r="AS319">
        <f>'Kullanılan gübre'!AS319*'Gübre oranlar'!AV$2</f>
        <v>0</v>
      </c>
      <c r="AT319">
        <f>'Kullanılan gübre'!AT319*'Gübre oranlar'!AW$2</f>
        <v>0</v>
      </c>
      <c r="AU319">
        <f>'Kullanılan gübre'!AU319*'Gübre oranlar'!AX$2</f>
        <v>0</v>
      </c>
      <c r="AV319">
        <f>'Kullanılan gübre'!AV319*'Gübre oranlar'!AY$2</f>
        <v>0</v>
      </c>
      <c r="AW319">
        <f t="shared" si="4"/>
        <v>2031.2260000000003</v>
      </c>
    </row>
    <row r="320" spans="1:49" hidden="1" x14ac:dyDescent="0.25">
      <c r="A320" t="str">
        <f>'Kullanılan gübre'!A320</f>
        <v>YI</v>
      </c>
      <c r="B320" t="str">
        <f>'Kullanılan gübre'!B320</f>
        <v>TOKAT</v>
      </c>
      <c r="C320" t="str">
        <f>'Kullanılan gübre'!C320</f>
        <v>ALMUS</v>
      </c>
      <c r="D320">
        <f>'Kullanılan gübre'!D320</f>
        <v>2010</v>
      </c>
      <c r="E320">
        <f>'Kullanılan gübre'!E320*'Gübre oranlar'!H$2</f>
        <v>0</v>
      </c>
      <c r="F320">
        <f>'Kullanılan gübre'!F320*'Gübre oranlar'!I$2</f>
        <v>0.46800000000000003</v>
      </c>
      <c r="G320">
        <f>'Kullanılan gübre'!G320*'Gübre oranlar'!J$2</f>
        <v>11.797500000000001</v>
      </c>
      <c r="H320">
        <f>'Kullanılan gübre'!H320*'Gübre oranlar'!K$2</f>
        <v>10.097</v>
      </c>
      <c r="I320">
        <f>'Kullanılan gübre'!I320*'Gübre oranlar'!L$2</f>
        <v>0</v>
      </c>
      <c r="J320">
        <f>'Kullanılan gübre'!J320*'Gübre oranlar'!M$2</f>
        <v>0.26100000000000001</v>
      </c>
      <c r="K320">
        <f>'Kullanılan gübre'!K320*'Gübre oranlar'!N$2</f>
        <v>0</v>
      </c>
      <c r="L320">
        <f>'Kullanılan gübre'!L320*'Gübre oranlar'!O$2</f>
        <v>0</v>
      </c>
      <c r="M320">
        <f>'Kullanılan gübre'!M320*'Gübre oranlar'!P$2</f>
        <v>0</v>
      </c>
      <c r="N320">
        <f>'Kullanılan gübre'!N320*'Gübre oranlar'!Q$2</f>
        <v>0</v>
      </c>
      <c r="O320">
        <f>'Kullanılan gübre'!O320*'Gübre oranlar'!R$2</f>
        <v>0</v>
      </c>
      <c r="P320">
        <f>'Kullanılan gübre'!P320*'Gübre oranlar'!S$2</f>
        <v>0</v>
      </c>
      <c r="Q320">
        <f>'Kullanılan gübre'!Q320*'Gübre oranlar'!T$2</f>
        <v>0</v>
      </c>
      <c r="R320">
        <f>'Kullanılan gübre'!R320*'Gübre oranlar'!U$2</f>
        <v>0</v>
      </c>
      <c r="S320">
        <f>'Kullanılan gübre'!S320*'Gübre oranlar'!V$2</f>
        <v>0</v>
      </c>
      <c r="T320">
        <f>'Kullanılan gübre'!T320*'Gübre oranlar'!W$2</f>
        <v>0</v>
      </c>
      <c r="U320">
        <f>'Kullanılan gübre'!U320*'Gübre oranlar'!X$2</f>
        <v>0</v>
      </c>
      <c r="V320">
        <f>'Kullanılan gübre'!V320*'Gübre oranlar'!Y$2</f>
        <v>0</v>
      </c>
      <c r="W320">
        <f>'Kullanılan gübre'!W320*'Gübre oranlar'!Z$2</f>
        <v>0</v>
      </c>
      <c r="X320">
        <f>'Kullanılan gübre'!X320*'Gübre oranlar'!AA$2</f>
        <v>0</v>
      </c>
      <c r="Y320">
        <f>'Kullanılan gübre'!Y320*'Gübre oranlar'!AB$2</f>
        <v>0</v>
      </c>
      <c r="Z320">
        <f>'Kullanılan gübre'!Z320*'Gübre oranlar'!AC$2</f>
        <v>0</v>
      </c>
      <c r="AA320">
        <f>'Kullanılan gübre'!AA320*'Gübre oranlar'!AD$2</f>
        <v>0</v>
      </c>
      <c r="AB320">
        <f>'Kullanılan gübre'!AB320*'Gübre oranlar'!AE$2</f>
        <v>0</v>
      </c>
      <c r="AC320">
        <f>'Kullanılan gübre'!AC320*'Gübre oranlar'!AF$2</f>
        <v>0</v>
      </c>
      <c r="AD320">
        <f>'Kullanılan gübre'!AD320*'Gübre oranlar'!AG$2</f>
        <v>0</v>
      </c>
      <c r="AE320">
        <f>'Kullanılan gübre'!AE320*'Gübre oranlar'!AH$2</f>
        <v>0</v>
      </c>
      <c r="AF320">
        <f>'Kullanılan gübre'!AF320*'Gübre oranlar'!AI$2</f>
        <v>0</v>
      </c>
      <c r="AG320">
        <f>'Kullanılan gübre'!AG320*'Gübre oranlar'!AJ$2</f>
        <v>0</v>
      </c>
      <c r="AH320">
        <f>'Kullanılan gübre'!AH320*'Gübre oranlar'!AK$2</f>
        <v>0</v>
      </c>
      <c r="AI320">
        <f>'Kullanılan gübre'!AI320*'Gübre oranlar'!AL$2</f>
        <v>0</v>
      </c>
      <c r="AJ320">
        <f>'Kullanılan gübre'!AJ320*'Gübre oranlar'!AM$2</f>
        <v>0</v>
      </c>
      <c r="AK320">
        <f>'Kullanılan gübre'!AK320*'Gübre oranlar'!AN$2</f>
        <v>0</v>
      </c>
      <c r="AL320">
        <f>'Kullanılan gübre'!AL320*'Gübre oranlar'!AO$2</f>
        <v>0</v>
      </c>
      <c r="AM320">
        <f>'Kullanılan gübre'!AM320*'Gübre oranlar'!AP$2</f>
        <v>0</v>
      </c>
      <c r="AN320">
        <f>'Kullanılan gübre'!AN320*'Gübre oranlar'!AQ$2</f>
        <v>0</v>
      </c>
      <c r="AO320">
        <f>'Kullanılan gübre'!AO320*'Gübre oranlar'!AR$2</f>
        <v>0</v>
      </c>
      <c r="AP320">
        <f>'Kullanılan gübre'!AP320*'Gübre oranlar'!AS$2</f>
        <v>0</v>
      </c>
      <c r="AQ320">
        <f>'Kullanılan gübre'!AQ320*'Gübre oranlar'!AT$2</f>
        <v>0</v>
      </c>
      <c r="AR320">
        <f>'Kullanılan gübre'!AR320*'Gübre oranlar'!AU$2</f>
        <v>0</v>
      </c>
      <c r="AS320">
        <f>'Kullanılan gübre'!AS320*'Gübre oranlar'!AV$2</f>
        <v>0</v>
      </c>
      <c r="AT320">
        <f>'Kullanılan gübre'!AT320*'Gübre oranlar'!AW$2</f>
        <v>0</v>
      </c>
      <c r="AU320">
        <f>'Kullanılan gübre'!AU320*'Gübre oranlar'!AX$2</f>
        <v>0</v>
      </c>
      <c r="AV320">
        <f>'Kullanılan gübre'!AV320*'Gübre oranlar'!AY$2</f>
        <v>0</v>
      </c>
      <c r="AW320">
        <f t="shared" si="4"/>
        <v>22.6235</v>
      </c>
    </row>
    <row r="321" spans="1:49" hidden="1" x14ac:dyDescent="0.25">
      <c r="A321" t="str">
        <f>'Kullanılan gübre'!A321</f>
        <v>YI</v>
      </c>
      <c r="B321" t="str">
        <f>'Kullanılan gübre'!B321</f>
        <v>TOKAT</v>
      </c>
      <c r="C321" t="str">
        <f>'Kullanılan gübre'!C321</f>
        <v>ARTOVA</v>
      </c>
      <c r="D321">
        <f>'Kullanılan gübre'!D321</f>
        <v>2010</v>
      </c>
      <c r="E321">
        <f>'Kullanılan gübre'!E321*'Gübre oranlar'!H$2</f>
        <v>6.72</v>
      </c>
      <c r="F321">
        <f>'Kullanılan gübre'!F321*'Gübre oranlar'!I$2</f>
        <v>134.21199999999999</v>
      </c>
      <c r="G321">
        <f>'Kullanılan gübre'!G321*'Gübre oranlar'!J$2</f>
        <v>58.674000000000007</v>
      </c>
      <c r="H321">
        <f>'Kullanılan gübre'!H321*'Gübre oranlar'!K$2</f>
        <v>8.9700000000000006</v>
      </c>
      <c r="I321">
        <f>'Kullanılan gübre'!I321*'Gübre oranlar'!L$2</f>
        <v>0</v>
      </c>
      <c r="J321">
        <f>'Kullanılan gübre'!J321*'Gübre oranlar'!M$2</f>
        <v>23.976000000000003</v>
      </c>
      <c r="K321">
        <f>'Kullanılan gübre'!K321*'Gübre oranlar'!N$2</f>
        <v>4.53</v>
      </c>
      <c r="L321">
        <f>'Kullanılan gübre'!L321*'Gübre oranlar'!O$2</f>
        <v>0</v>
      </c>
      <c r="M321">
        <f>'Kullanılan gübre'!M321*'Gübre oranlar'!P$2</f>
        <v>0</v>
      </c>
      <c r="N321">
        <f>'Kullanılan gübre'!N321*'Gübre oranlar'!Q$2</f>
        <v>0</v>
      </c>
      <c r="O321">
        <f>'Kullanılan gübre'!O321*'Gübre oranlar'!R$2</f>
        <v>0</v>
      </c>
      <c r="P321">
        <f>'Kullanılan gübre'!P321*'Gübre oranlar'!S$2</f>
        <v>0</v>
      </c>
      <c r="Q321">
        <f>'Kullanılan gübre'!Q321*'Gübre oranlar'!T$2</f>
        <v>0</v>
      </c>
      <c r="R321">
        <f>'Kullanılan gübre'!R321*'Gübre oranlar'!U$2</f>
        <v>0</v>
      </c>
      <c r="S321">
        <f>'Kullanılan gübre'!S321*'Gübre oranlar'!V$2</f>
        <v>0</v>
      </c>
      <c r="T321">
        <f>'Kullanılan gübre'!T321*'Gübre oranlar'!W$2</f>
        <v>0</v>
      </c>
      <c r="U321">
        <f>'Kullanılan gübre'!U321*'Gübre oranlar'!X$2</f>
        <v>0</v>
      </c>
      <c r="V321">
        <f>'Kullanılan gübre'!V321*'Gübre oranlar'!Y$2</f>
        <v>0</v>
      </c>
      <c r="W321">
        <f>'Kullanılan gübre'!W321*'Gübre oranlar'!Z$2</f>
        <v>0</v>
      </c>
      <c r="X321">
        <f>'Kullanılan gübre'!X321*'Gübre oranlar'!AA$2</f>
        <v>0</v>
      </c>
      <c r="Y321">
        <f>'Kullanılan gübre'!Y321*'Gübre oranlar'!AB$2</f>
        <v>0</v>
      </c>
      <c r="Z321">
        <f>'Kullanılan gübre'!Z321*'Gübre oranlar'!AC$2</f>
        <v>0</v>
      </c>
      <c r="AA321">
        <f>'Kullanılan gübre'!AA321*'Gübre oranlar'!AD$2</f>
        <v>0</v>
      </c>
      <c r="AB321">
        <f>'Kullanılan gübre'!AB321*'Gübre oranlar'!AE$2</f>
        <v>0</v>
      </c>
      <c r="AC321">
        <f>'Kullanılan gübre'!AC321*'Gübre oranlar'!AF$2</f>
        <v>0</v>
      </c>
      <c r="AD321">
        <f>'Kullanılan gübre'!AD321*'Gübre oranlar'!AG$2</f>
        <v>0</v>
      </c>
      <c r="AE321">
        <f>'Kullanılan gübre'!AE321*'Gübre oranlar'!AH$2</f>
        <v>0</v>
      </c>
      <c r="AF321">
        <f>'Kullanılan gübre'!AF321*'Gübre oranlar'!AI$2</f>
        <v>0</v>
      </c>
      <c r="AG321">
        <f>'Kullanılan gübre'!AG321*'Gübre oranlar'!AJ$2</f>
        <v>0</v>
      </c>
      <c r="AH321">
        <f>'Kullanılan gübre'!AH321*'Gübre oranlar'!AK$2</f>
        <v>0</v>
      </c>
      <c r="AI321">
        <f>'Kullanılan gübre'!AI321*'Gübre oranlar'!AL$2</f>
        <v>0</v>
      </c>
      <c r="AJ321">
        <f>'Kullanılan gübre'!AJ321*'Gübre oranlar'!AM$2</f>
        <v>0</v>
      </c>
      <c r="AK321">
        <f>'Kullanılan gübre'!AK321*'Gübre oranlar'!AN$2</f>
        <v>0</v>
      </c>
      <c r="AL321">
        <f>'Kullanılan gübre'!AL321*'Gübre oranlar'!AO$2</f>
        <v>0</v>
      </c>
      <c r="AM321">
        <f>'Kullanılan gübre'!AM321*'Gübre oranlar'!AP$2</f>
        <v>0</v>
      </c>
      <c r="AN321">
        <f>'Kullanılan gübre'!AN321*'Gübre oranlar'!AQ$2</f>
        <v>0</v>
      </c>
      <c r="AO321">
        <f>'Kullanılan gübre'!AO321*'Gübre oranlar'!AR$2</f>
        <v>0</v>
      </c>
      <c r="AP321">
        <f>'Kullanılan gübre'!AP321*'Gübre oranlar'!AS$2</f>
        <v>0</v>
      </c>
      <c r="AQ321">
        <f>'Kullanılan gübre'!AQ321*'Gübre oranlar'!AT$2</f>
        <v>0</v>
      </c>
      <c r="AR321">
        <f>'Kullanılan gübre'!AR321*'Gübre oranlar'!AU$2</f>
        <v>0</v>
      </c>
      <c r="AS321">
        <f>'Kullanılan gübre'!AS321*'Gübre oranlar'!AV$2</f>
        <v>0</v>
      </c>
      <c r="AT321">
        <f>'Kullanılan gübre'!AT321*'Gübre oranlar'!AW$2</f>
        <v>0</v>
      </c>
      <c r="AU321">
        <f>'Kullanılan gübre'!AU321*'Gübre oranlar'!AX$2</f>
        <v>0</v>
      </c>
      <c r="AV321">
        <f>'Kullanılan gübre'!AV321*'Gübre oranlar'!AY$2</f>
        <v>0</v>
      </c>
      <c r="AW321">
        <f t="shared" si="4"/>
        <v>237.08199999999999</v>
      </c>
    </row>
    <row r="322" spans="1:49" hidden="1" x14ac:dyDescent="0.25">
      <c r="A322" t="str">
        <f>'Kullanılan gübre'!A322</f>
        <v>YI</v>
      </c>
      <c r="B322" t="str">
        <f>'Kullanılan gübre'!B322</f>
        <v>TOKAT</v>
      </c>
      <c r="C322" t="str">
        <f>'Kullanılan gübre'!C322</f>
        <v>BASCIFTLIK</v>
      </c>
      <c r="D322">
        <f>'Kullanılan gübre'!D322</f>
        <v>2010</v>
      </c>
      <c r="E322">
        <f>'Kullanılan gübre'!E322*'Gübre oranlar'!H$2</f>
        <v>0</v>
      </c>
      <c r="F322">
        <f>'Kullanılan gübre'!F322*'Gübre oranlar'!I$2</f>
        <v>0</v>
      </c>
      <c r="G322">
        <f>'Kullanılan gübre'!G322*'Gübre oranlar'!J$2</f>
        <v>0</v>
      </c>
      <c r="H322">
        <f>'Kullanılan gübre'!H322*'Gübre oranlar'!K$2</f>
        <v>0</v>
      </c>
      <c r="I322">
        <f>'Kullanılan gübre'!I322*'Gübre oranlar'!L$2</f>
        <v>0</v>
      </c>
      <c r="J322">
        <f>'Kullanılan gübre'!J322*'Gübre oranlar'!M$2</f>
        <v>0</v>
      </c>
      <c r="K322">
        <f>'Kullanılan gübre'!K322*'Gübre oranlar'!N$2</f>
        <v>0</v>
      </c>
      <c r="L322">
        <f>'Kullanılan gübre'!L322*'Gübre oranlar'!O$2</f>
        <v>0</v>
      </c>
      <c r="M322">
        <f>'Kullanılan gübre'!M322*'Gübre oranlar'!P$2</f>
        <v>0</v>
      </c>
      <c r="N322">
        <f>'Kullanılan gübre'!N322*'Gübre oranlar'!Q$2</f>
        <v>0</v>
      </c>
      <c r="O322">
        <f>'Kullanılan gübre'!O322*'Gübre oranlar'!R$2</f>
        <v>0</v>
      </c>
      <c r="P322">
        <f>'Kullanılan gübre'!P322*'Gübre oranlar'!S$2</f>
        <v>0</v>
      </c>
      <c r="Q322">
        <f>'Kullanılan gübre'!Q322*'Gübre oranlar'!T$2</f>
        <v>0</v>
      </c>
      <c r="R322">
        <f>'Kullanılan gübre'!R322*'Gübre oranlar'!U$2</f>
        <v>0</v>
      </c>
      <c r="S322">
        <f>'Kullanılan gübre'!S322*'Gübre oranlar'!V$2</f>
        <v>0</v>
      </c>
      <c r="T322">
        <f>'Kullanılan gübre'!T322*'Gübre oranlar'!W$2</f>
        <v>0</v>
      </c>
      <c r="U322">
        <f>'Kullanılan gübre'!U322*'Gübre oranlar'!X$2</f>
        <v>0</v>
      </c>
      <c r="V322">
        <f>'Kullanılan gübre'!V322*'Gübre oranlar'!Y$2</f>
        <v>0</v>
      </c>
      <c r="W322">
        <f>'Kullanılan gübre'!W322*'Gübre oranlar'!Z$2</f>
        <v>0</v>
      </c>
      <c r="X322">
        <f>'Kullanılan gübre'!X322*'Gübre oranlar'!AA$2</f>
        <v>0</v>
      </c>
      <c r="Y322">
        <f>'Kullanılan gübre'!Y322*'Gübre oranlar'!AB$2</f>
        <v>0</v>
      </c>
      <c r="Z322">
        <f>'Kullanılan gübre'!Z322*'Gübre oranlar'!AC$2</f>
        <v>0</v>
      </c>
      <c r="AA322">
        <f>'Kullanılan gübre'!AA322*'Gübre oranlar'!AD$2</f>
        <v>0</v>
      </c>
      <c r="AB322">
        <f>'Kullanılan gübre'!AB322*'Gübre oranlar'!AE$2</f>
        <v>0</v>
      </c>
      <c r="AC322">
        <f>'Kullanılan gübre'!AC322*'Gübre oranlar'!AF$2</f>
        <v>0</v>
      </c>
      <c r="AD322">
        <f>'Kullanılan gübre'!AD322*'Gübre oranlar'!AG$2</f>
        <v>0</v>
      </c>
      <c r="AE322">
        <f>'Kullanılan gübre'!AE322*'Gübre oranlar'!AH$2</f>
        <v>0</v>
      </c>
      <c r="AF322">
        <f>'Kullanılan gübre'!AF322*'Gübre oranlar'!AI$2</f>
        <v>0</v>
      </c>
      <c r="AG322">
        <f>'Kullanılan gübre'!AG322*'Gübre oranlar'!AJ$2</f>
        <v>0</v>
      </c>
      <c r="AH322">
        <f>'Kullanılan gübre'!AH322*'Gübre oranlar'!AK$2</f>
        <v>0</v>
      </c>
      <c r="AI322">
        <f>'Kullanılan gübre'!AI322*'Gübre oranlar'!AL$2</f>
        <v>0</v>
      </c>
      <c r="AJ322">
        <f>'Kullanılan gübre'!AJ322*'Gübre oranlar'!AM$2</f>
        <v>0</v>
      </c>
      <c r="AK322">
        <f>'Kullanılan gübre'!AK322*'Gübre oranlar'!AN$2</f>
        <v>0</v>
      </c>
      <c r="AL322">
        <f>'Kullanılan gübre'!AL322*'Gübre oranlar'!AO$2</f>
        <v>0</v>
      </c>
      <c r="AM322">
        <f>'Kullanılan gübre'!AM322*'Gübre oranlar'!AP$2</f>
        <v>0</v>
      </c>
      <c r="AN322">
        <f>'Kullanılan gübre'!AN322*'Gübre oranlar'!AQ$2</f>
        <v>0</v>
      </c>
      <c r="AO322">
        <f>'Kullanılan gübre'!AO322*'Gübre oranlar'!AR$2</f>
        <v>0</v>
      </c>
      <c r="AP322">
        <f>'Kullanılan gübre'!AP322*'Gübre oranlar'!AS$2</f>
        <v>0</v>
      </c>
      <c r="AQ322">
        <f>'Kullanılan gübre'!AQ322*'Gübre oranlar'!AT$2</f>
        <v>0</v>
      </c>
      <c r="AR322">
        <f>'Kullanılan gübre'!AR322*'Gübre oranlar'!AU$2</f>
        <v>0</v>
      </c>
      <c r="AS322">
        <f>'Kullanılan gübre'!AS322*'Gübre oranlar'!AV$2</f>
        <v>0</v>
      </c>
      <c r="AT322">
        <f>'Kullanılan gübre'!AT322*'Gübre oranlar'!AW$2</f>
        <v>0</v>
      </c>
      <c r="AU322">
        <f>'Kullanılan gübre'!AU322*'Gübre oranlar'!AX$2</f>
        <v>0</v>
      </c>
      <c r="AV322">
        <f>'Kullanılan gübre'!AV322*'Gübre oranlar'!AY$2</f>
        <v>0</v>
      </c>
      <c r="AW322">
        <f t="shared" si="4"/>
        <v>0</v>
      </c>
    </row>
    <row r="323" spans="1:49" hidden="1" x14ac:dyDescent="0.25">
      <c r="A323" t="str">
        <f>'Kullanılan gübre'!A323</f>
        <v>YI</v>
      </c>
      <c r="B323" t="str">
        <f>'Kullanılan gübre'!B323</f>
        <v>TOKAT</v>
      </c>
      <c r="C323" t="str">
        <f>'Kullanılan gübre'!C323</f>
        <v>ERBAA</v>
      </c>
      <c r="D323">
        <f>'Kullanılan gübre'!D323</f>
        <v>2010</v>
      </c>
      <c r="E323">
        <f>'Kullanılan gübre'!E323*'Gübre oranlar'!H$2</f>
        <v>6.4469999999999992</v>
      </c>
      <c r="F323">
        <f>'Kullanılan gübre'!F323*'Gübre oranlar'!I$2</f>
        <v>0.28600000000000003</v>
      </c>
      <c r="G323">
        <f>'Kullanılan gübre'!G323*'Gübre oranlar'!J$2</f>
        <v>21.78</v>
      </c>
      <c r="H323">
        <f>'Kullanılan gübre'!H323*'Gübre oranlar'!K$2</f>
        <v>237.82000000000002</v>
      </c>
      <c r="I323">
        <f>'Kullanılan gübre'!I323*'Gübre oranlar'!L$2</f>
        <v>0</v>
      </c>
      <c r="J323">
        <f>'Kullanılan gübre'!J323*'Gübre oranlar'!M$2</f>
        <v>185.4</v>
      </c>
      <c r="K323">
        <f>'Kullanılan gübre'!K323*'Gübre oranlar'!N$2</f>
        <v>117.80000000000001</v>
      </c>
      <c r="L323">
        <f>'Kullanılan gübre'!L323*'Gübre oranlar'!O$2</f>
        <v>0</v>
      </c>
      <c r="M323">
        <f>'Kullanılan gübre'!M323*'Gübre oranlar'!P$2</f>
        <v>74.017499999999998</v>
      </c>
      <c r="N323">
        <f>'Kullanılan gübre'!N323*'Gübre oranlar'!Q$2</f>
        <v>0</v>
      </c>
      <c r="O323">
        <f>'Kullanılan gübre'!O323*'Gübre oranlar'!R$2</f>
        <v>0</v>
      </c>
      <c r="P323">
        <f>'Kullanılan gübre'!P323*'Gübre oranlar'!S$2</f>
        <v>0</v>
      </c>
      <c r="Q323">
        <f>'Kullanılan gübre'!Q323*'Gübre oranlar'!T$2</f>
        <v>0</v>
      </c>
      <c r="R323">
        <f>'Kullanılan gübre'!R323*'Gübre oranlar'!U$2</f>
        <v>0</v>
      </c>
      <c r="S323">
        <f>'Kullanılan gübre'!S323*'Gübre oranlar'!V$2</f>
        <v>0</v>
      </c>
      <c r="T323">
        <f>'Kullanılan gübre'!T323*'Gübre oranlar'!W$2</f>
        <v>0</v>
      </c>
      <c r="U323">
        <f>'Kullanılan gübre'!U323*'Gübre oranlar'!X$2</f>
        <v>0</v>
      </c>
      <c r="V323">
        <f>'Kullanılan gübre'!V323*'Gübre oranlar'!Y$2</f>
        <v>0</v>
      </c>
      <c r="W323">
        <f>'Kullanılan gübre'!W323*'Gübre oranlar'!Z$2</f>
        <v>0</v>
      </c>
      <c r="X323">
        <f>'Kullanılan gübre'!X323*'Gübre oranlar'!AA$2</f>
        <v>0</v>
      </c>
      <c r="Y323">
        <f>'Kullanılan gübre'!Y323*'Gübre oranlar'!AB$2</f>
        <v>0</v>
      </c>
      <c r="Z323">
        <f>'Kullanılan gübre'!Z323*'Gübre oranlar'!AC$2</f>
        <v>0</v>
      </c>
      <c r="AA323">
        <f>'Kullanılan gübre'!AA323*'Gübre oranlar'!AD$2</f>
        <v>0</v>
      </c>
      <c r="AB323">
        <f>'Kullanılan gübre'!AB323*'Gübre oranlar'!AE$2</f>
        <v>0</v>
      </c>
      <c r="AC323">
        <f>'Kullanılan gübre'!AC323*'Gübre oranlar'!AF$2</f>
        <v>0</v>
      </c>
      <c r="AD323">
        <f>'Kullanılan gübre'!AD323*'Gübre oranlar'!AG$2</f>
        <v>0</v>
      </c>
      <c r="AE323">
        <f>'Kullanılan gübre'!AE323*'Gübre oranlar'!AH$2</f>
        <v>0</v>
      </c>
      <c r="AF323">
        <f>'Kullanılan gübre'!AF323*'Gübre oranlar'!AI$2</f>
        <v>0</v>
      </c>
      <c r="AG323">
        <f>'Kullanılan gübre'!AG323*'Gübre oranlar'!AJ$2</f>
        <v>0</v>
      </c>
      <c r="AH323">
        <f>'Kullanılan gübre'!AH323*'Gübre oranlar'!AK$2</f>
        <v>0</v>
      </c>
      <c r="AI323">
        <f>'Kullanılan gübre'!AI323*'Gübre oranlar'!AL$2</f>
        <v>0</v>
      </c>
      <c r="AJ323">
        <f>'Kullanılan gübre'!AJ323*'Gübre oranlar'!AM$2</f>
        <v>0</v>
      </c>
      <c r="AK323">
        <f>'Kullanılan gübre'!AK323*'Gübre oranlar'!AN$2</f>
        <v>0</v>
      </c>
      <c r="AL323">
        <f>'Kullanılan gübre'!AL323*'Gübre oranlar'!AO$2</f>
        <v>0</v>
      </c>
      <c r="AM323">
        <f>'Kullanılan gübre'!AM323*'Gübre oranlar'!AP$2</f>
        <v>0</v>
      </c>
      <c r="AN323">
        <f>'Kullanılan gübre'!AN323*'Gübre oranlar'!AQ$2</f>
        <v>0</v>
      </c>
      <c r="AO323">
        <f>'Kullanılan gübre'!AO323*'Gübre oranlar'!AR$2</f>
        <v>0</v>
      </c>
      <c r="AP323">
        <f>'Kullanılan gübre'!AP323*'Gübre oranlar'!AS$2</f>
        <v>0</v>
      </c>
      <c r="AQ323">
        <f>'Kullanılan gübre'!AQ323*'Gübre oranlar'!AT$2</f>
        <v>0</v>
      </c>
      <c r="AR323">
        <f>'Kullanılan gübre'!AR323*'Gübre oranlar'!AU$2</f>
        <v>0</v>
      </c>
      <c r="AS323">
        <f>'Kullanılan gübre'!AS323*'Gübre oranlar'!AV$2</f>
        <v>0</v>
      </c>
      <c r="AT323">
        <f>'Kullanılan gübre'!AT323*'Gübre oranlar'!AW$2</f>
        <v>0</v>
      </c>
      <c r="AU323">
        <f>'Kullanılan gübre'!AU323*'Gübre oranlar'!AX$2</f>
        <v>0</v>
      </c>
      <c r="AV323">
        <f>'Kullanılan gübre'!AV323*'Gübre oranlar'!AY$2</f>
        <v>0</v>
      </c>
      <c r="AW323">
        <f t="shared" ref="AW323:AW386" si="5">SUM(E323:AV323)</f>
        <v>643.55050000000017</v>
      </c>
    </row>
    <row r="324" spans="1:49" hidden="1" x14ac:dyDescent="0.25">
      <c r="A324" t="str">
        <f>'Kullanılan gübre'!A324</f>
        <v>YI</v>
      </c>
      <c r="B324" t="str">
        <f>'Kullanılan gübre'!B324</f>
        <v>TOKAT</v>
      </c>
      <c r="C324" t="str">
        <f>'Kullanılan gübre'!C324</f>
        <v>NIKSAR</v>
      </c>
      <c r="D324">
        <f>'Kullanılan gübre'!D324</f>
        <v>2010</v>
      </c>
      <c r="E324">
        <f>'Kullanılan gübre'!E324*'Gübre oranlar'!H$2</f>
        <v>28.906500000000001</v>
      </c>
      <c r="F324">
        <f>'Kullanılan gübre'!F324*'Gübre oranlar'!I$2</f>
        <v>33.228000000000002</v>
      </c>
      <c r="G324">
        <f>'Kullanılan gübre'!G324*'Gübre oranlar'!J$2</f>
        <v>55.176000000000009</v>
      </c>
      <c r="H324">
        <f>'Kullanılan gübre'!H324*'Gübre oranlar'!K$2</f>
        <v>211.255</v>
      </c>
      <c r="I324">
        <f>'Kullanılan gübre'!I324*'Gübre oranlar'!L$2</f>
        <v>0</v>
      </c>
      <c r="J324">
        <f>'Kullanılan gübre'!J324*'Gübre oranlar'!M$2</f>
        <v>107.28899999999999</v>
      </c>
      <c r="K324">
        <f>'Kullanılan gübre'!K324*'Gübre oranlar'!N$2</f>
        <v>57.210000000000008</v>
      </c>
      <c r="L324">
        <f>'Kullanılan gübre'!L324*'Gübre oranlar'!O$2</f>
        <v>0</v>
      </c>
      <c r="M324">
        <f>'Kullanılan gübre'!M324*'Gübre oranlar'!P$2</f>
        <v>47.032499999999999</v>
      </c>
      <c r="N324">
        <f>'Kullanılan gübre'!N324*'Gübre oranlar'!Q$2</f>
        <v>0</v>
      </c>
      <c r="O324">
        <f>'Kullanılan gübre'!O324*'Gübre oranlar'!R$2</f>
        <v>0</v>
      </c>
      <c r="P324">
        <f>'Kullanılan gübre'!P324*'Gübre oranlar'!S$2</f>
        <v>0</v>
      </c>
      <c r="Q324">
        <f>'Kullanılan gübre'!Q324*'Gübre oranlar'!T$2</f>
        <v>0</v>
      </c>
      <c r="R324">
        <f>'Kullanılan gübre'!R324*'Gübre oranlar'!U$2</f>
        <v>0</v>
      </c>
      <c r="S324">
        <f>'Kullanılan gübre'!S324*'Gübre oranlar'!V$2</f>
        <v>0</v>
      </c>
      <c r="T324">
        <f>'Kullanılan gübre'!T324*'Gübre oranlar'!W$2</f>
        <v>0</v>
      </c>
      <c r="U324">
        <f>'Kullanılan gübre'!U324*'Gübre oranlar'!X$2</f>
        <v>0</v>
      </c>
      <c r="V324">
        <f>'Kullanılan gübre'!V324*'Gübre oranlar'!Y$2</f>
        <v>0</v>
      </c>
      <c r="W324">
        <f>'Kullanılan gübre'!W324*'Gübre oranlar'!Z$2</f>
        <v>0</v>
      </c>
      <c r="X324">
        <f>'Kullanılan gübre'!X324*'Gübre oranlar'!AA$2</f>
        <v>0</v>
      </c>
      <c r="Y324">
        <f>'Kullanılan gübre'!Y324*'Gübre oranlar'!AB$2</f>
        <v>0</v>
      </c>
      <c r="Z324">
        <f>'Kullanılan gübre'!Z324*'Gübre oranlar'!AC$2</f>
        <v>0</v>
      </c>
      <c r="AA324">
        <f>'Kullanılan gübre'!AA324*'Gübre oranlar'!AD$2</f>
        <v>0</v>
      </c>
      <c r="AB324">
        <f>'Kullanılan gübre'!AB324*'Gübre oranlar'!AE$2</f>
        <v>0</v>
      </c>
      <c r="AC324">
        <f>'Kullanılan gübre'!AC324*'Gübre oranlar'!AF$2</f>
        <v>0</v>
      </c>
      <c r="AD324">
        <f>'Kullanılan gübre'!AD324*'Gübre oranlar'!AG$2</f>
        <v>0</v>
      </c>
      <c r="AE324">
        <f>'Kullanılan gübre'!AE324*'Gübre oranlar'!AH$2</f>
        <v>0</v>
      </c>
      <c r="AF324">
        <f>'Kullanılan gübre'!AF324*'Gübre oranlar'!AI$2</f>
        <v>0</v>
      </c>
      <c r="AG324">
        <f>'Kullanılan gübre'!AG324*'Gübre oranlar'!AJ$2</f>
        <v>0</v>
      </c>
      <c r="AH324">
        <f>'Kullanılan gübre'!AH324*'Gübre oranlar'!AK$2</f>
        <v>0</v>
      </c>
      <c r="AI324">
        <f>'Kullanılan gübre'!AI324*'Gübre oranlar'!AL$2</f>
        <v>0</v>
      </c>
      <c r="AJ324">
        <f>'Kullanılan gübre'!AJ324*'Gübre oranlar'!AM$2</f>
        <v>0</v>
      </c>
      <c r="AK324">
        <f>'Kullanılan gübre'!AK324*'Gübre oranlar'!AN$2</f>
        <v>0</v>
      </c>
      <c r="AL324">
        <f>'Kullanılan gübre'!AL324*'Gübre oranlar'!AO$2</f>
        <v>0</v>
      </c>
      <c r="AM324">
        <f>'Kullanılan gübre'!AM324*'Gübre oranlar'!AP$2</f>
        <v>0</v>
      </c>
      <c r="AN324">
        <f>'Kullanılan gübre'!AN324*'Gübre oranlar'!AQ$2</f>
        <v>0</v>
      </c>
      <c r="AO324">
        <f>'Kullanılan gübre'!AO324*'Gübre oranlar'!AR$2</f>
        <v>0</v>
      </c>
      <c r="AP324">
        <f>'Kullanılan gübre'!AP324*'Gübre oranlar'!AS$2</f>
        <v>0</v>
      </c>
      <c r="AQ324">
        <f>'Kullanılan gübre'!AQ324*'Gübre oranlar'!AT$2</f>
        <v>0</v>
      </c>
      <c r="AR324">
        <f>'Kullanılan gübre'!AR324*'Gübre oranlar'!AU$2</f>
        <v>0</v>
      </c>
      <c r="AS324">
        <f>'Kullanılan gübre'!AS324*'Gübre oranlar'!AV$2</f>
        <v>0</v>
      </c>
      <c r="AT324">
        <f>'Kullanılan gübre'!AT324*'Gübre oranlar'!AW$2</f>
        <v>0</v>
      </c>
      <c r="AU324">
        <f>'Kullanılan gübre'!AU324*'Gübre oranlar'!AX$2</f>
        <v>0</v>
      </c>
      <c r="AV324">
        <f>'Kullanılan gübre'!AV324*'Gübre oranlar'!AY$2</f>
        <v>0</v>
      </c>
      <c r="AW324">
        <f t="shared" si="5"/>
        <v>540.09700000000009</v>
      </c>
    </row>
    <row r="325" spans="1:49" hidden="1" x14ac:dyDescent="0.25">
      <c r="A325" t="str">
        <f>'Kullanılan gübre'!A325</f>
        <v>YI</v>
      </c>
      <c r="B325" t="str">
        <f>'Kullanılan gübre'!B325</f>
        <v>TOKAT</v>
      </c>
      <c r="C325" t="str">
        <f>'Kullanılan gübre'!C325</f>
        <v>PAZAR</v>
      </c>
      <c r="D325">
        <f>'Kullanılan gübre'!D325</f>
        <v>2010</v>
      </c>
      <c r="E325">
        <f>'Kullanılan gübre'!E325*'Gübre oranlar'!H$2</f>
        <v>15.939</v>
      </c>
      <c r="F325">
        <f>'Kullanılan gübre'!F325*'Gübre oranlar'!I$2</f>
        <v>5.0179999999999998</v>
      </c>
      <c r="G325">
        <f>'Kullanılan gübre'!G325*'Gübre oranlar'!J$2</f>
        <v>58.789500000000011</v>
      </c>
      <c r="H325">
        <f>'Kullanılan gübre'!H325*'Gübre oranlar'!K$2</f>
        <v>266.59300000000002</v>
      </c>
      <c r="I325">
        <f>'Kullanılan gübre'!I325*'Gübre oranlar'!L$2</f>
        <v>0</v>
      </c>
      <c r="J325">
        <f>'Kullanılan gübre'!J325*'Gübre oranlar'!M$2</f>
        <v>38.546999999999997</v>
      </c>
      <c r="K325">
        <f>'Kullanılan gübre'!K325*'Gübre oranlar'!N$2</f>
        <v>0</v>
      </c>
      <c r="L325">
        <f>'Kullanılan gübre'!L325*'Gübre oranlar'!O$2</f>
        <v>3.1000000000000005</v>
      </c>
      <c r="M325">
        <f>'Kullanılan gübre'!M325*'Gübre oranlar'!P$2</f>
        <v>4.6425000000000001</v>
      </c>
      <c r="N325">
        <f>'Kullanılan gübre'!N325*'Gübre oranlar'!Q$2</f>
        <v>18.532499999999999</v>
      </c>
      <c r="O325">
        <f>'Kullanılan gübre'!O325*'Gübre oranlar'!R$2</f>
        <v>0</v>
      </c>
      <c r="P325">
        <f>'Kullanılan gübre'!P325*'Gübre oranlar'!S$2</f>
        <v>68.432000000000002</v>
      </c>
      <c r="Q325">
        <f>'Kullanılan gübre'!Q325*'Gübre oranlar'!T$2</f>
        <v>59.04</v>
      </c>
      <c r="R325">
        <f>'Kullanılan gübre'!R325*'Gübre oranlar'!U$2</f>
        <v>0</v>
      </c>
      <c r="S325">
        <f>'Kullanılan gübre'!S325*'Gübre oranlar'!V$2</f>
        <v>0</v>
      </c>
      <c r="T325">
        <f>'Kullanılan gübre'!T325*'Gübre oranlar'!W$2</f>
        <v>0</v>
      </c>
      <c r="U325">
        <f>'Kullanılan gübre'!U325*'Gübre oranlar'!X$2</f>
        <v>0</v>
      </c>
      <c r="V325">
        <f>'Kullanılan gübre'!V325*'Gübre oranlar'!Y$2</f>
        <v>0</v>
      </c>
      <c r="W325">
        <f>'Kullanılan gübre'!W325*'Gübre oranlar'!Z$2</f>
        <v>0</v>
      </c>
      <c r="X325">
        <f>'Kullanılan gübre'!X325*'Gübre oranlar'!AA$2</f>
        <v>0</v>
      </c>
      <c r="Y325">
        <f>'Kullanılan gübre'!Y325*'Gübre oranlar'!AB$2</f>
        <v>0</v>
      </c>
      <c r="Z325">
        <f>'Kullanılan gübre'!Z325*'Gübre oranlar'!AC$2</f>
        <v>0</v>
      </c>
      <c r="AA325">
        <f>'Kullanılan gübre'!AA325*'Gübre oranlar'!AD$2</f>
        <v>0</v>
      </c>
      <c r="AB325">
        <f>'Kullanılan gübre'!AB325*'Gübre oranlar'!AE$2</f>
        <v>0</v>
      </c>
      <c r="AC325">
        <f>'Kullanılan gübre'!AC325*'Gübre oranlar'!AF$2</f>
        <v>0</v>
      </c>
      <c r="AD325">
        <f>'Kullanılan gübre'!AD325*'Gübre oranlar'!AG$2</f>
        <v>0</v>
      </c>
      <c r="AE325">
        <f>'Kullanılan gübre'!AE325*'Gübre oranlar'!AH$2</f>
        <v>0</v>
      </c>
      <c r="AF325">
        <f>'Kullanılan gübre'!AF325*'Gübre oranlar'!AI$2</f>
        <v>0</v>
      </c>
      <c r="AG325">
        <f>'Kullanılan gübre'!AG325*'Gübre oranlar'!AJ$2</f>
        <v>0</v>
      </c>
      <c r="AH325">
        <f>'Kullanılan gübre'!AH325*'Gübre oranlar'!AK$2</f>
        <v>0</v>
      </c>
      <c r="AI325">
        <f>'Kullanılan gübre'!AI325*'Gübre oranlar'!AL$2</f>
        <v>0</v>
      </c>
      <c r="AJ325">
        <f>'Kullanılan gübre'!AJ325*'Gübre oranlar'!AM$2</f>
        <v>0</v>
      </c>
      <c r="AK325">
        <f>'Kullanılan gübre'!AK325*'Gübre oranlar'!AN$2</f>
        <v>0</v>
      </c>
      <c r="AL325">
        <f>'Kullanılan gübre'!AL325*'Gübre oranlar'!AO$2</f>
        <v>0</v>
      </c>
      <c r="AM325">
        <f>'Kullanılan gübre'!AM325*'Gübre oranlar'!AP$2</f>
        <v>0</v>
      </c>
      <c r="AN325">
        <f>'Kullanılan gübre'!AN325*'Gübre oranlar'!AQ$2</f>
        <v>0</v>
      </c>
      <c r="AO325">
        <f>'Kullanılan gübre'!AO325*'Gübre oranlar'!AR$2</f>
        <v>0</v>
      </c>
      <c r="AP325">
        <f>'Kullanılan gübre'!AP325*'Gübre oranlar'!AS$2</f>
        <v>0</v>
      </c>
      <c r="AQ325">
        <f>'Kullanılan gübre'!AQ325*'Gübre oranlar'!AT$2</f>
        <v>0</v>
      </c>
      <c r="AR325">
        <f>'Kullanılan gübre'!AR325*'Gübre oranlar'!AU$2</f>
        <v>0</v>
      </c>
      <c r="AS325">
        <f>'Kullanılan gübre'!AS325*'Gübre oranlar'!AV$2</f>
        <v>0</v>
      </c>
      <c r="AT325">
        <f>'Kullanılan gübre'!AT325*'Gübre oranlar'!AW$2</f>
        <v>0</v>
      </c>
      <c r="AU325">
        <f>'Kullanılan gübre'!AU325*'Gübre oranlar'!AX$2</f>
        <v>0</v>
      </c>
      <c r="AV325">
        <f>'Kullanılan gübre'!AV325*'Gübre oranlar'!AY$2</f>
        <v>0</v>
      </c>
      <c r="AW325">
        <f t="shared" si="5"/>
        <v>538.63350000000003</v>
      </c>
    </row>
    <row r="326" spans="1:49" hidden="1" x14ac:dyDescent="0.25">
      <c r="A326" t="str">
        <f>'Kullanılan gübre'!A326</f>
        <v>YI</v>
      </c>
      <c r="B326" t="str">
        <f>'Kullanılan gübre'!B326</f>
        <v>TOKAT</v>
      </c>
      <c r="C326" t="str">
        <f>'Kullanılan gübre'!C326</f>
        <v>RESADIYE</v>
      </c>
      <c r="D326">
        <f>'Kullanılan gübre'!D326</f>
        <v>2010</v>
      </c>
      <c r="E326">
        <f>'Kullanılan gübre'!E326*'Gübre oranlar'!H$2</f>
        <v>0</v>
      </c>
      <c r="F326">
        <f>'Kullanılan gübre'!F326*'Gübre oranlar'!I$2</f>
        <v>4.68</v>
      </c>
      <c r="G326">
        <f>'Kullanılan gübre'!G326*'Gübre oranlar'!J$2</f>
        <v>58.706999999999994</v>
      </c>
      <c r="H326">
        <f>'Kullanılan gübre'!H326*'Gübre oranlar'!K$2</f>
        <v>41.698999999999998</v>
      </c>
      <c r="I326">
        <f>'Kullanılan gübre'!I326*'Gübre oranlar'!L$2</f>
        <v>0</v>
      </c>
      <c r="J326">
        <f>'Kullanılan gübre'!J326*'Gübre oranlar'!M$2</f>
        <v>1.5840000000000001</v>
      </c>
      <c r="K326">
        <f>'Kullanılan gübre'!K326*'Gübre oranlar'!N$2</f>
        <v>0</v>
      </c>
      <c r="L326">
        <f>'Kullanılan gübre'!L326*'Gübre oranlar'!O$2</f>
        <v>0</v>
      </c>
      <c r="M326">
        <f>'Kullanılan gübre'!M326*'Gübre oranlar'!P$2</f>
        <v>0</v>
      </c>
      <c r="N326">
        <f>'Kullanılan gübre'!N326*'Gübre oranlar'!Q$2</f>
        <v>0</v>
      </c>
      <c r="O326">
        <f>'Kullanılan gübre'!O326*'Gübre oranlar'!R$2</f>
        <v>0</v>
      </c>
      <c r="P326">
        <f>'Kullanılan gübre'!P326*'Gübre oranlar'!S$2</f>
        <v>0</v>
      </c>
      <c r="Q326">
        <f>'Kullanılan gübre'!Q326*'Gübre oranlar'!T$2</f>
        <v>0</v>
      </c>
      <c r="R326">
        <f>'Kullanılan gübre'!R326*'Gübre oranlar'!U$2</f>
        <v>0</v>
      </c>
      <c r="S326">
        <f>'Kullanılan gübre'!S326*'Gübre oranlar'!V$2</f>
        <v>0</v>
      </c>
      <c r="T326">
        <f>'Kullanılan gübre'!T326*'Gübre oranlar'!W$2</f>
        <v>0</v>
      </c>
      <c r="U326">
        <f>'Kullanılan gübre'!U326*'Gübre oranlar'!X$2</f>
        <v>0</v>
      </c>
      <c r="V326">
        <f>'Kullanılan gübre'!V326*'Gübre oranlar'!Y$2</f>
        <v>0</v>
      </c>
      <c r="W326">
        <f>'Kullanılan gübre'!W326*'Gübre oranlar'!Z$2</f>
        <v>0</v>
      </c>
      <c r="X326">
        <f>'Kullanılan gübre'!X326*'Gübre oranlar'!AA$2</f>
        <v>0</v>
      </c>
      <c r="Y326">
        <f>'Kullanılan gübre'!Y326*'Gübre oranlar'!AB$2</f>
        <v>0</v>
      </c>
      <c r="Z326">
        <f>'Kullanılan gübre'!Z326*'Gübre oranlar'!AC$2</f>
        <v>0</v>
      </c>
      <c r="AA326">
        <f>'Kullanılan gübre'!AA326*'Gübre oranlar'!AD$2</f>
        <v>0</v>
      </c>
      <c r="AB326">
        <f>'Kullanılan gübre'!AB326*'Gübre oranlar'!AE$2</f>
        <v>0</v>
      </c>
      <c r="AC326">
        <f>'Kullanılan gübre'!AC326*'Gübre oranlar'!AF$2</f>
        <v>0</v>
      </c>
      <c r="AD326">
        <f>'Kullanılan gübre'!AD326*'Gübre oranlar'!AG$2</f>
        <v>0</v>
      </c>
      <c r="AE326">
        <f>'Kullanılan gübre'!AE326*'Gübre oranlar'!AH$2</f>
        <v>0</v>
      </c>
      <c r="AF326">
        <f>'Kullanılan gübre'!AF326*'Gübre oranlar'!AI$2</f>
        <v>0</v>
      </c>
      <c r="AG326">
        <f>'Kullanılan gübre'!AG326*'Gübre oranlar'!AJ$2</f>
        <v>0</v>
      </c>
      <c r="AH326">
        <f>'Kullanılan gübre'!AH326*'Gübre oranlar'!AK$2</f>
        <v>0</v>
      </c>
      <c r="AI326">
        <f>'Kullanılan gübre'!AI326*'Gübre oranlar'!AL$2</f>
        <v>0</v>
      </c>
      <c r="AJ326">
        <f>'Kullanılan gübre'!AJ326*'Gübre oranlar'!AM$2</f>
        <v>0</v>
      </c>
      <c r="AK326">
        <f>'Kullanılan gübre'!AK326*'Gübre oranlar'!AN$2</f>
        <v>0</v>
      </c>
      <c r="AL326">
        <f>'Kullanılan gübre'!AL326*'Gübre oranlar'!AO$2</f>
        <v>0</v>
      </c>
      <c r="AM326">
        <f>'Kullanılan gübre'!AM326*'Gübre oranlar'!AP$2</f>
        <v>0</v>
      </c>
      <c r="AN326">
        <f>'Kullanılan gübre'!AN326*'Gübre oranlar'!AQ$2</f>
        <v>0</v>
      </c>
      <c r="AO326">
        <f>'Kullanılan gübre'!AO326*'Gübre oranlar'!AR$2</f>
        <v>0</v>
      </c>
      <c r="AP326">
        <f>'Kullanılan gübre'!AP326*'Gübre oranlar'!AS$2</f>
        <v>0</v>
      </c>
      <c r="AQ326">
        <f>'Kullanılan gübre'!AQ326*'Gübre oranlar'!AT$2</f>
        <v>0</v>
      </c>
      <c r="AR326">
        <f>'Kullanılan gübre'!AR326*'Gübre oranlar'!AU$2</f>
        <v>0</v>
      </c>
      <c r="AS326">
        <f>'Kullanılan gübre'!AS326*'Gübre oranlar'!AV$2</f>
        <v>0</v>
      </c>
      <c r="AT326">
        <f>'Kullanılan gübre'!AT326*'Gübre oranlar'!AW$2</f>
        <v>0</v>
      </c>
      <c r="AU326">
        <f>'Kullanılan gübre'!AU326*'Gübre oranlar'!AX$2</f>
        <v>0</v>
      </c>
      <c r="AV326">
        <f>'Kullanılan gübre'!AV326*'Gübre oranlar'!AY$2</f>
        <v>0</v>
      </c>
      <c r="AW326">
        <f t="shared" si="5"/>
        <v>106.66999999999999</v>
      </c>
    </row>
    <row r="327" spans="1:49" hidden="1" x14ac:dyDescent="0.25">
      <c r="A327" t="str">
        <f>'Kullanılan gübre'!A327</f>
        <v>YI</v>
      </c>
      <c r="B327" t="str">
        <f>'Kullanılan gübre'!B327</f>
        <v>TOKAT</v>
      </c>
      <c r="C327" t="str">
        <f>'Kullanılan gübre'!C327</f>
        <v>SULUSARAY</v>
      </c>
      <c r="D327">
        <f>'Kullanılan gübre'!D327</f>
        <v>2010</v>
      </c>
      <c r="E327">
        <f>'Kullanılan gübre'!E327*'Gübre oranlar'!H$2</f>
        <v>7.0454999999999988</v>
      </c>
      <c r="F327">
        <f>'Kullanılan gübre'!F327*'Gübre oranlar'!I$2</f>
        <v>14.781000000000001</v>
      </c>
      <c r="G327">
        <f>'Kullanılan gübre'!G327*'Gübre oranlar'!J$2</f>
        <v>37.801500000000004</v>
      </c>
      <c r="H327">
        <f>'Kullanılan gübre'!H327*'Gübre oranlar'!K$2</f>
        <v>2.806</v>
      </c>
      <c r="I327">
        <f>'Kullanılan gübre'!I327*'Gübre oranlar'!L$2</f>
        <v>0</v>
      </c>
      <c r="J327">
        <f>'Kullanılan gübre'!J327*'Gübre oranlar'!M$2</f>
        <v>22.643999999999998</v>
      </c>
      <c r="K327">
        <f>'Kullanılan gübre'!K327*'Gübre oranlar'!N$2</f>
        <v>12.47</v>
      </c>
      <c r="L327">
        <f>'Kullanılan gübre'!L327*'Gübre oranlar'!O$2</f>
        <v>15.12</v>
      </c>
      <c r="M327">
        <f>'Kullanılan gübre'!M327*'Gübre oranlar'!P$2</f>
        <v>0</v>
      </c>
      <c r="N327">
        <f>'Kullanılan gübre'!N327*'Gübre oranlar'!Q$2</f>
        <v>0</v>
      </c>
      <c r="O327">
        <f>'Kullanılan gübre'!O327*'Gübre oranlar'!R$2</f>
        <v>0</v>
      </c>
      <c r="P327">
        <f>'Kullanılan gübre'!P327*'Gübre oranlar'!S$2</f>
        <v>0</v>
      </c>
      <c r="Q327">
        <f>'Kullanılan gübre'!Q327*'Gübre oranlar'!T$2</f>
        <v>0</v>
      </c>
      <c r="R327">
        <f>'Kullanılan gübre'!R327*'Gübre oranlar'!U$2</f>
        <v>0</v>
      </c>
      <c r="S327">
        <f>'Kullanılan gübre'!S327*'Gübre oranlar'!V$2</f>
        <v>0</v>
      </c>
      <c r="T327">
        <f>'Kullanılan gübre'!T327*'Gübre oranlar'!W$2</f>
        <v>0</v>
      </c>
      <c r="U327">
        <f>'Kullanılan gübre'!U327*'Gübre oranlar'!X$2</f>
        <v>0</v>
      </c>
      <c r="V327">
        <f>'Kullanılan gübre'!V327*'Gübre oranlar'!Y$2</f>
        <v>0</v>
      </c>
      <c r="W327">
        <f>'Kullanılan gübre'!W327*'Gübre oranlar'!Z$2</f>
        <v>0</v>
      </c>
      <c r="X327">
        <f>'Kullanılan gübre'!X327*'Gübre oranlar'!AA$2</f>
        <v>0</v>
      </c>
      <c r="Y327">
        <f>'Kullanılan gübre'!Y327*'Gübre oranlar'!AB$2</f>
        <v>0</v>
      </c>
      <c r="Z327">
        <f>'Kullanılan gübre'!Z327*'Gübre oranlar'!AC$2</f>
        <v>0</v>
      </c>
      <c r="AA327">
        <f>'Kullanılan gübre'!AA327*'Gübre oranlar'!AD$2</f>
        <v>0</v>
      </c>
      <c r="AB327">
        <f>'Kullanılan gübre'!AB327*'Gübre oranlar'!AE$2</f>
        <v>0</v>
      </c>
      <c r="AC327">
        <f>'Kullanılan gübre'!AC327*'Gübre oranlar'!AF$2</f>
        <v>0</v>
      </c>
      <c r="AD327">
        <f>'Kullanılan gübre'!AD327*'Gübre oranlar'!AG$2</f>
        <v>0</v>
      </c>
      <c r="AE327">
        <f>'Kullanılan gübre'!AE327*'Gübre oranlar'!AH$2</f>
        <v>0</v>
      </c>
      <c r="AF327">
        <f>'Kullanılan gübre'!AF327*'Gübre oranlar'!AI$2</f>
        <v>0</v>
      </c>
      <c r="AG327">
        <f>'Kullanılan gübre'!AG327*'Gübre oranlar'!AJ$2</f>
        <v>0</v>
      </c>
      <c r="AH327">
        <f>'Kullanılan gübre'!AH327*'Gübre oranlar'!AK$2</f>
        <v>0</v>
      </c>
      <c r="AI327">
        <f>'Kullanılan gübre'!AI327*'Gübre oranlar'!AL$2</f>
        <v>0</v>
      </c>
      <c r="AJ327">
        <f>'Kullanılan gübre'!AJ327*'Gübre oranlar'!AM$2</f>
        <v>0</v>
      </c>
      <c r="AK327">
        <f>'Kullanılan gübre'!AK327*'Gübre oranlar'!AN$2</f>
        <v>0</v>
      </c>
      <c r="AL327">
        <f>'Kullanılan gübre'!AL327*'Gübre oranlar'!AO$2</f>
        <v>0</v>
      </c>
      <c r="AM327">
        <f>'Kullanılan gübre'!AM327*'Gübre oranlar'!AP$2</f>
        <v>0</v>
      </c>
      <c r="AN327">
        <f>'Kullanılan gübre'!AN327*'Gübre oranlar'!AQ$2</f>
        <v>0</v>
      </c>
      <c r="AO327">
        <f>'Kullanılan gübre'!AO327*'Gübre oranlar'!AR$2</f>
        <v>0</v>
      </c>
      <c r="AP327">
        <f>'Kullanılan gübre'!AP327*'Gübre oranlar'!AS$2</f>
        <v>0</v>
      </c>
      <c r="AQ327">
        <f>'Kullanılan gübre'!AQ327*'Gübre oranlar'!AT$2</f>
        <v>0</v>
      </c>
      <c r="AR327">
        <f>'Kullanılan gübre'!AR327*'Gübre oranlar'!AU$2</f>
        <v>0</v>
      </c>
      <c r="AS327">
        <f>'Kullanılan gübre'!AS327*'Gübre oranlar'!AV$2</f>
        <v>0</v>
      </c>
      <c r="AT327">
        <f>'Kullanılan gübre'!AT327*'Gübre oranlar'!AW$2</f>
        <v>0</v>
      </c>
      <c r="AU327">
        <f>'Kullanılan gübre'!AU327*'Gübre oranlar'!AX$2</f>
        <v>0</v>
      </c>
      <c r="AV327">
        <f>'Kullanılan gübre'!AV327*'Gübre oranlar'!AY$2</f>
        <v>0</v>
      </c>
      <c r="AW327">
        <f t="shared" si="5"/>
        <v>112.66800000000001</v>
      </c>
    </row>
    <row r="328" spans="1:49" hidden="1" x14ac:dyDescent="0.25">
      <c r="A328" t="str">
        <f>'Kullanılan gübre'!A328</f>
        <v>YI</v>
      </c>
      <c r="B328" t="str">
        <f>'Kullanılan gübre'!B328</f>
        <v>TOKAT</v>
      </c>
      <c r="C328" t="str">
        <f>'Kullanılan gübre'!C328</f>
        <v>TURHAL</v>
      </c>
      <c r="D328">
        <f>'Kullanılan gübre'!D328</f>
        <v>2010</v>
      </c>
      <c r="E328">
        <f>'Kullanılan gübre'!E328*'Gübre oranlar'!H$2</f>
        <v>17.745000000000001</v>
      </c>
      <c r="F328">
        <f>'Kullanılan gübre'!F328*'Gübre oranlar'!I$2</f>
        <v>209.52100000000002</v>
      </c>
      <c r="G328">
        <f>'Kullanılan gübre'!G328*'Gübre oranlar'!J$2</f>
        <v>391.46250000000003</v>
      </c>
      <c r="H328">
        <f>'Kullanılan gübre'!H328*'Gübre oranlar'!K$2</f>
        <v>375.42900000000003</v>
      </c>
      <c r="I328">
        <f>'Kullanılan gübre'!I328*'Gübre oranlar'!L$2</f>
        <v>0</v>
      </c>
      <c r="J328">
        <f>'Kullanılan gübre'!J328*'Gübre oranlar'!M$2</f>
        <v>39.878999999999998</v>
      </c>
      <c r="K328">
        <f>'Kullanılan gübre'!K328*'Gübre oranlar'!N$2</f>
        <v>1.26</v>
      </c>
      <c r="L328">
        <f>'Kullanılan gübre'!L328*'Gübre oranlar'!O$2</f>
        <v>29.430000000000003</v>
      </c>
      <c r="M328">
        <f>'Kullanılan gübre'!M328*'Gübre oranlar'!P$2</f>
        <v>2.5425</v>
      </c>
      <c r="N328">
        <f>'Kullanılan gübre'!N328*'Gübre oranlar'!Q$2</f>
        <v>3.51</v>
      </c>
      <c r="O328">
        <f>'Kullanılan gübre'!O328*'Gübre oranlar'!R$2</f>
        <v>0</v>
      </c>
      <c r="P328">
        <f>'Kullanılan gübre'!P328*'Gübre oranlar'!S$2</f>
        <v>2.22235</v>
      </c>
      <c r="Q328">
        <f>'Kullanılan gübre'!Q328*'Gübre oranlar'!T$2</f>
        <v>84.39</v>
      </c>
      <c r="R328">
        <f>'Kullanılan gübre'!R328*'Gübre oranlar'!U$2</f>
        <v>0</v>
      </c>
      <c r="S328">
        <f>'Kullanılan gübre'!S328*'Gübre oranlar'!V$2</f>
        <v>0</v>
      </c>
      <c r="T328">
        <f>'Kullanılan gübre'!T328*'Gübre oranlar'!W$2</f>
        <v>0</v>
      </c>
      <c r="U328">
        <f>'Kullanılan gübre'!U328*'Gübre oranlar'!X$2</f>
        <v>0</v>
      </c>
      <c r="V328">
        <f>'Kullanılan gübre'!V328*'Gübre oranlar'!Y$2</f>
        <v>0</v>
      </c>
      <c r="W328">
        <f>'Kullanılan gübre'!W328*'Gübre oranlar'!Z$2</f>
        <v>0</v>
      </c>
      <c r="X328">
        <f>'Kullanılan gübre'!X328*'Gübre oranlar'!AA$2</f>
        <v>0</v>
      </c>
      <c r="Y328">
        <f>'Kullanılan gübre'!Y328*'Gübre oranlar'!AB$2</f>
        <v>0</v>
      </c>
      <c r="Z328">
        <f>'Kullanılan gübre'!Z328*'Gübre oranlar'!AC$2</f>
        <v>0</v>
      </c>
      <c r="AA328">
        <f>'Kullanılan gübre'!AA328*'Gübre oranlar'!AD$2</f>
        <v>0</v>
      </c>
      <c r="AB328">
        <f>'Kullanılan gübre'!AB328*'Gübre oranlar'!AE$2</f>
        <v>0</v>
      </c>
      <c r="AC328">
        <f>'Kullanılan gübre'!AC328*'Gübre oranlar'!AF$2</f>
        <v>0</v>
      </c>
      <c r="AD328">
        <f>'Kullanılan gübre'!AD328*'Gübre oranlar'!AG$2</f>
        <v>0</v>
      </c>
      <c r="AE328">
        <f>'Kullanılan gübre'!AE328*'Gübre oranlar'!AH$2</f>
        <v>0</v>
      </c>
      <c r="AF328">
        <f>'Kullanılan gübre'!AF328*'Gübre oranlar'!AI$2</f>
        <v>0</v>
      </c>
      <c r="AG328">
        <f>'Kullanılan gübre'!AG328*'Gübre oranlar'!AJ$2</f>
        <v>0</v>
      </c>
      <c r="AH328">
        <f>'Kullanılan gübre'!AH328*'Gübre oranlar'!AK$2</f>
        <v>0</v>
      </c>
      <c r="AI328">
        <f>'Kullanılan gübre'!AI328*'Gübre oranlar'!AL$2</f>
        <v>0</v>
      </c>
      <c r="AJ328">
        <f>'Kullanılan gübre'!AJ328*'Gübre oranlar'!AM$2</f>
        <v>0</v>
      </c>
      <c r="AK328">
        <f>'Kullanılan gübre'!AK328*'Gübre oranlar'!AN$2</f>
        <v>0</v>
      </c>
      <c r="AL328">
        <f>'Kullanılan gübre'!AL328*'Gübre oranlar'!AO$2</f>
        <v>0</v>
      </c>
      <c r="AM328">
        <f>'Kullanılan gübre'!AM328*'Gübre oranlar'!AP$2</f>
        <v>0</v>
      </c>
      <c r="AN328">
        <f>'Kullanılan gübre'!AN328*'Gübre oranlar'!AQ$2</f>
        <v>0</v>
      </c>
      <c r="AO328">
        <f>'Kullanılan gübre'!AO328*'Gübre oranlar'!AR$2</f>
        <v>0</v>
      </c>
      <c r="AP328">
        <f>'Kullanılan gübre'!AP328*'Gübre oranlar'!AS$2</f>
        <v>0</v>
      </c>
      <c r="AQ328">
        <f>'Kullanılan gübre'!AQ328*'Gübre oranlar'!AT$2</f>
        <v>0</v>
      </c>
      <c r="AR328">
        <f>'Kullanılan gübre'!AR328*'Gübre oranlar'!AU$2</f>
        <v>0</v>
      </c>
      <c r="AS328">
        <f>'Kullanılan gübre'!AS328*'Gübre oranlar'!AV$2</f>
        <v>0</v>
      </c>
      <c r="AT328">
        <f>'Kullanılan gübre'!AT328*'Gübre oranlar'!AW$2</f>
        <v>0</v>
      </c>
      <c r="AU328">
        <f>'Kullanılan gübre'!AU328*'Gübre oranlar'!AX$2</f>
        <v>0</v>
      </c>
      <c r="AV328">
        <f>'Kullanılan gübre'!AV328*'Gübre oranlar'!AY$2</f>
        <v>0</v>
      </c>
      <c r="AW328">
        <f t="shared" si="5"/>
        <v>1157.3913500000001</v>
      </c>
    </row>
    <row r="329" spans="1:49" hidden="1" x14ac:dyDescent="0.25">
      <c r="A329" t="str">
        <f>'Kullanılan gübre'!A329</f>
        <v>YI</v>
      </c>
      <c r="B329" t="str">
        <f>'Kullanılan gübre'!B329</f>
        <v>TOKAT</v>
      </c>
      <c r="C329" t="str">
        <f>'Kullanılan gübre'!C329</f>
        <v>YESILYURT</v>
      </c>
      <c r="D329">
        <f>'Kullanılan gübre'!D329</f>
        <v>2010</v>
      </c>
      <c r="E329">
        <f>'Kullanılan gübre'!E329*'Gübre oranlar'!H$2</f>
        <v>0</v>
      </c>
      <c r="F329">
        <f>'Kullanılan gübre'!F329*'Gübre oranlar'!I$2</f>
        <v>77.662000000000006</v>
      </c>
      <c r="G329">
        <f>'Kullanılan gübre'!G329*'Gübre oranlar'!J$2</f>
        <v>61.247999999999998</v>
      </c>
      <c r="H329">
        <f>'Kullanılan gübre'!H329*'Gübre oranlar'!K$2</f>
        <v>34.270000000000003</v>
      </c>
      <c r="I329">
        <f>'Kullanılan gübre'!I329*'Gübre oranlar'!L$2</f>
        <v>0</v>
      </c>
      <c r="J329">
        <f>'Kullanılan gübre'!J329*'Gübre oranlar'!M$2</f>
        <v>32.805</v>
      </c>
      <c r="K329">
        <f>'Kullanılan gübre'!K329*'Gübre oranlar'!N$2</f>
        <v>16.240000000000002</v>
      </c>
      <c r="L329">
        <f>'Kullanılan gübre'!L329*'Gübre oranlar'!O$2</f>
        <v>20.130000000000003</v>
      </c>
      <c r="M329">
        <f>'Kullanılan gübre'!M329*'Gübre oranlar'!P$2</f>
        <v>0</v>
      </c>
      <c r="N329">
        <f>'Kullanılan gübre'!N329*'Gübre oranlar'!Q$2</f>
        <v>9.75</v>
      </c>
      <c r="O329">
        <f>'Kullanılan gübre'!O329*'Gübre oranlar'!R$2</f>
        <v>0</v>
      </c>
      <c r="P329">
        <f>'Kullanılan gübre'!P329*'Gübre oranlar'!S$2</f>
        <v>0</v>
      </c>
      <c r="Q329">
        <f>'Kullanılan gübre'!Q329*'Gübre oranlar'!T$2</f>
        <v>0</v>
      </c>
      <c r="R329">
        <f>'Kullanılan gübre'!R329*'Gübre oranlar'!U$2</f>
        <v>0</v>
      </c>
      <c r="S329">
        <f>'Kullanılan gübre'!S329*'Gübre oranlar'!V$2</f>
        <v>0</v>
      </c>
      <c r="T329">
        <f>'Kullanılan gübre'!T329*'Gübre oranlar'!W$2</f>
        <v>0</v>
      </c>
      <c r="U329">
        <f>'Kullanılan gübre'!U329*'Gübre oranlar'!X$2</f>
        <v>0</v>
      </c>
      <c r="V329">
        <f>'Kullanılan gübre'!V329*'Gübre oranlar'!Y$2</f>
        <v>0</v>
      </c>
      <c r="W329">
        <f>'Kullanılan gübre'!W329*'Gübre oranlar'!Z$2</f>
        <v>0</v>
      </c>
      <c r="X329">
        <f>'Kullanılan gübre'!X329*'Gübre oranlar'!AA$2</f>
        <v>0</v>
      </c>
      <c r="Y329">
        <f>'Kullanılan gübre'!Y329*'Gübre oranlar'!AB$2</f>
        <v>0</v>
      </c>
      <c r="Z329">
        <f>'Kullanılan gübre'!Z329*'Gübre oranlar'!AC$2</f>
        <v>0</v>
      </c>
      <c r="AA329">
        <f>'Kullanılan gübre'!AA329*'Gübre oranlar'!AD$2</f>
        <v>0</v>
      </c>
      <c r="AB329">
        <f>'Kullanılan gübre'!AB329*'Gübre oranlar'!AE$2</f>
        <v>0</v>
      </c>
      <c r="AC329">
        <f>'Kullanılan gübre'!AC329*'Gübre oranlar'!AF$2</f>
        <v>0</v>
      </c>
      <c r="AD329">
        <f>'Kullanılan gübre'!AD329*'Gübre oranlar'!AG$2</f>
        <v>0</v>
      </c>
      <c r="AE329">
        <f>'Kullanılan gübre'!AE329*'Gübre oranlar'!AH$2</f>
        <v>0</v>
      </c>
      <c r="AF329">
        <f>'Kullanılan gübre'!AF329*'Gübre oranlar'!AI$2</f>
        <v>0</v>
      </c>
      <c r="AG329">
        <f>'Kullanılan gübre'!AG329*'Gübre oranlar'!AJ$2</f>
        <v>0</v>
      </c>
      <c r="AH329">
        <f>'Kullanılan gübre'!AH329*'Gübre oranlar'!AK$2</f>
        <v>0</v>
      </c>
      <c r="AI329">
        <f>'Kullanılan gübre'!AI329*'Gübre oranlar'!AL$2</f>
        <v>0</v>
      </c>
      <c r="AJ329">
        <f>'Kullanılan gübre'!AJ329*'Gübre oranlar'!AM$2</f>
        <v>0</v>
      </c>
      <c r="AK329">
        <f>'Kullanılan gübre'!AK329*'Gübre oranlar'!AN$2</f>
        <v>0</v>
      </c>
      <c r="AL329">
        <f>'Kullanılan gübre'!AL329*'Gübre oranlar'!AO$2</f>
        <v>0</v>
      </c>
      <c r="AM329">
        <f>'Kullanılan gübre'!AM329*'Gübre oranlar'!AP$2</f>
        <v>0</v>
      </c>
      <c r="AN329">
        <f>'Kullanılan gübre'!AN329*'Gübre oranlar'!AQ$2</f>
        <v>0</v>
      </c>
      <c r="AO329">
        <f>'Kullanılan gübre'!AO329*'Gübre oranlar'!AR$2</f>
        <v>0</v>
      </c>
      <c r="AP329">
        <f>'Kullanılan gübre'!AP329*'Gübre oranlar'!AS$2</f>
        <v>0</v>
      </c>
      <c r="AQ329">
        <f>'Kullanılan gübre'!AQ329*'Gübre oranlar'!AT$2</f>
        <v>0</v>
      </c>
      <c r="AR329">
        <f>'Kullanılan gübre'!AR329*'Gübre oranlar'!AU$2</f>
        <v>0</v>
      </c>
      <c r="AS329">
        <f>'Kullanılan gübre'!AS329*'Gübre oranlar'!AV$2</f>
        <v>0</v>
      </c>
      <c r="AT329">
        <f>'Kullanılan gübre'!AT329*'Gübre oranlar'!AW$2</f>
        <v>0</v>
      </c>
      <c r="AU329">
        <f>'Kullanılan gübre'!AU329*'Gübre oranlar'!AX$2</f>
        <v>0</v>
      </c>
      <c r="AV329">
        <f>'Kullanılan gübre'!AV329*'Gübre oranlar'!AY$2</f>
        <v>0</v>
      </c>
      <c r="AW329">
        <f t="shared" si="5"/>
        <v>252.10500000000002</v>
      </c>
    </row>
    <row r="330" spans="1:49" hidden="1" x14ac:dyDescent="0.25">
      <c r="A330" t="str">
        <f>'Kullanılan gübre'!A330</f>
        <v>YI</v>
      </c>
      <c r="B330" t="str">
        <f>'Kullanılan gübre'!B330</f>
        <v>TOKAT</v>
      </c>
      <c r="C330" t="str">
        <f>'Kullanılan gübre'!C330</f>
        <v>ZILE</v>
      </c>
      <c r="D330">
        <f>'Kullanılan gübre'!D330</f>
        <v>2010</v>
      </c>
      <c r="E330">
        <f>'Kullanılan gübre'!E330*'Gübre oranlar'!H$2</f>
        <v>75.085499999999996</v>
      </c>
      <c r="F330">
        <f>'Kullanılan gübre'!F330*'Gübre oranlar'!I$2</f>
        <v>1328.6260000000002</v>
      </c>
      <c r="G330">
        <f>'Kullanılan gübre'!G330*'Gübre oranlar'!J$2</f>
        <v>645.05100000000004</v>
      </c>
      <c r="H330">
        <f>'Kullanılan gübre'!H330*'Gübre oranlar'!K$2</f>
        <v>596.20600000000013</v>
      </c>
      <c r="I330">
        <f>'Kullanılan gübre'!I330*'Gübre oranlar'!L$2</f>
        <v>0</v>
      </c>
      <c r="J330">
        <f>'Kullanılan gübre'!J330*'Gübre oranlar'!M$2</f>
        <v>243.50399999999999</v>
      </c>
      <c r="K330">
        <f>'Kullanılan gübre'!K330*'Gübre oranlar'!N$2</f>
        <v>360.83000000000004</v>
      </c>
      <c r="L330">
        <f>'Kullanılan gübre'!L330*'Gübre oranlar'!O$2</f>
        <v>158.34000000000003</v>
      </c>
      <c r="M330">
        <f>'Kullanılan gübre'!M330*'Gübre oranlar'!P$2</f>
        <v>33.734999999999999</v>
      </c>
      <c r="N330">
        <f>'Kullanılan gübre'!N330*'Gübre oranlar'!Q$2</f>
        <v>3.3</v>
      </c>
      <c r="O330">
        <f>'Kullanılan gübre'!O330*'Gübre oranlar'!R$2</f>
        <v>0</v>
      </c>
      <c r="P330">
        <f>'Kullanılan gübre'!P330*'Gübre oranlar'!S$2</f>
        <v>0</v>
      </c>
      <c r="Q330">
        <f>'Kullanılan gübre'!Q330*'Gübre oranlar'!T$2</f>
        <v>0</v>
      </c>
      <c r="R330">
        <f>'Kullanılan gübre'!R330*'Gübre oranlar'!U$2</f>
        <v>0</v>
      </c>
      <c r="S330">
        <f>'Kullanılan gübre'!S330*'Gübre oranlar'!V$2</f>
        <v>0</v>
      </c>
      <c r="T330">
        <f>'Kullanılan gübre'!T330*'Gübre oranlar'!W$2</f>
        <v>0</v>
      </c>
      <c r="U330">
        <f>'Kullanılan gübre'!U330*'Gübre oranlar'!X$2</f>
        <v>0</v>
      </c>
      <c r="V330">
        <f>'Kullanılan gübre'!V330*'Gübre oranlar'!Y$2</f>
        <v>0</v>
      </c>
      <c r="W330">
        <f>'Kullanılan gübre'!W330*'Gübre oranlar'!Z$2</f>
        <v>0</v>
      </c>
      <c r="X330">
        <f>'Kullanılan gübre'!X330*'Gübre oranlar'!AA$2</f>
        <v>0</v>
      </c>
      <c r="Y330">
        <f>'Kullanılan gübre'!Y330*'Gübre oranlar'!AB$2</f>
        <v>0</v>
      </c>
      <c r="Z330">
        <f>'Kullanılan gübre'!Z330*'Gübre oranlar'!AC$2</f>
        <v>0</v>
      </c>
      <c r="AA330">
        <f>'Kullanılan gübre'!AA330*'Gübre oranlar'!AD$2</f>
        <v>0</v>
      </c>
      <c r="AB330">
        <f>'Kullanılan gübre'!AB330*'Gübre oranlar'!AE$2</f>
        <v>0</v>
      </c>
      <c r="AC330">
        <f>'Kullanılan gübre'!AC330*'Gübre oranlar'!AF$2</f>
        <v>0</v>
      </c>
      <c r="AD330">
        <f>'Kullanılan gübre'!AD330*'Gübre oranlar'!AG$2</f>
        <v>0</v>
      </c>
      <c r="AE330">
        <f>'Kullanılan gübre'!AE330*'Gübre oranlar'!AH$2</f>
        <v>0</v>
      </c>
      <c r="AF330">
        <f>'Kullanılan gübre'!AF330*'Gübre oranlar'!AI$2</f>
        <v>0</v>
      </c>
      <c r="AG330">
        <f>'Kullanılan gübre'!AG330*'Gübre oranlar'!AJ$2</f>
        <v>0</v>
      </c>
      <c r="AH330">
        <f>'Kullanılan gübre'!AH330*'Gübre oranlar'!AK$2</f>
        <v>0</v>
      </c>
      <c r="AI330">
        <f>'Kullanılan gübre'!AI330*'Gübre oranlar'!AL$2</f>
        <v>0</v>
      </c>
      <c r="AJ330">
        <f>'Kullanılan gübre'!AJ330*'Gübre oranlar'!AM$2</f>
        <v>0</v>
      </c>
      <c r="AK330">
        <f>'Kullanılan gübre'!AK330*'Gübre oranlar'!AN$2</f>
        <v>0</v>
      </c>
      <c r="AL330">
        <f>'Kullanılan gübre'!AL330*'Gübre oranlar'!AO$2</f>
        <v>0</v>
      </c>
      <c r="AM330">
        <f>'Kullanılan gübre'!AM330*'Gübre oranlar'!AP$2</f>
        <v>0</v>
      </c>
      <c r="AN330">
        <f>'Kullanılan gübre'!AN330*'Gübre oranlar'!AQ$2</f>
        <v>0</v>
      </c>
      <c r="AO330">
        <f>'Kullanılan gübre'!AO330*'Gübre oranlar'!AR$2</f>
        <v>0</v>
      </c>
      <c r="AP330">
        <f>'Kullanılan gübre'!AP330*'Gübre oranlar'!AS$2</f>
        <v>0</v>
      </c>
      <c r="AQ330">
        <f>'Kullanılan gübre'!AQ330*'Gübre oranlar'!AT$2</f>
        <v>0</v>
      </c>
      <c r="AR330">
        <f>'Kullanılan gübre'!AR330*'Gübre oranlar'!AU$2</f>
        <v>0</v>
      </c>
      <c r="AS330">
        <f>'Kullanılan gübre'!AS330*'Gübre oranlar'!AV$2</f>
        <v>0</v>
      </c>
      <c r="AT330">
        <f>'Kullanılan gübre'!AT330*'Gübre oranlar'!AW$2</f>
        <v>0</v>
      </c>
      <c r="AU330">
        <f>'Kullanılan gübre'!AU330*'Gübre oranlar'!AX$2</f>
        <v>0</v>
      </c>
      <c r="AV330">
        <f>'Kullanılan gübre'!AV330*'Gübre oranlar'!AY$2</f>
        <v>0</v>
      </c>
      <c r="AW330">
        <f t="shared" si="5"/>
        <v>3444.6775000000007</v>
      </c>
    </row>
    <row r="331" spans="1:49" hidden="1" x14ac:dyDescent="0.25">
      <c r="A331" t="str">
        <f>'Kullanılan gübre'!A331</f>
        <v>YI</v>
      </c>
      <c r="B331" t="str">
        <f>'Kullanılan gübre'!B331</f>
        <v>TOKAT</v>
      </c>
      <c r="C331" t="str">
        <f>'Kullanılan gübre'!C331</f>
        <v>MERKEZ</v>
      </c>
      <c r="D331">
        <f>'Kullanılan gübre'!D331</f>
        <v>2011</v>
      </c>
      <c r="E331">
        <f>'Kullanılan gübre'!E331*'Gübre oranlar'!H$2</f>
        <v>22.7745</v>
      </c>
      <c r="F331">
        <f>'Kullanılan gübre'!F331*'Gübre oranlar'!I$2</f>
        <v>200.20000000000005</v>
      </c>
      <c r="G331">
        <f>'Kullanılan gübre'!G331*'Gübre oranlar'!J$2</f>
        <v>530.87100000000009</v>
      </c>
      <c r="H331">
        <f>'Kullanılan gübre'!H331*'Gübre oranlar'!K$2</f>
        <v>218.61500000000001</v>
      </c>
      <c r="I331">
        <f>'Kullanılan gübre'!I331*'Gübre oranlar'!L$2</f>
        <v>0</v>
      </c>
      <c r="J331">
        <f>'Kullanılan gübre'!J331*'Gübre oranlar'!M$2</f>
        <v>51.237000000000016</v>
      </c>
      <c r="K331">
        <f>'Kullanılan gübre'!K331*'Gübre oranlar'!N$2</f>
        <v>23.980000000000004</v>
      </c>
      <c r="L331">
        <f>'Kullanılan gübre'!L331*'Gübre oranlar'!O$2</f>
        <v>14.16</v>
      </c>
      <c r="M331">
        <f>'Kullanılan gübre'!M331*'Gübre oranlar'!P$2</f>
        <v>6.57</v>
      </c>
      <c r="N331">
        <f>'Kullanılan gübre'!N331*'Gübre oranlar'!Q$2</f>
        <v>17.657999999999998</v>
      </c>
      <c r="O331">
        <f>'Kullanılan gübre'!O331*'Gübre oranlar'!R$2</f>
        <v>0</v>
      </c>
      <c r="P331">
        <f>'Kullanılan gübre'!P331*'Gübre oranlar'!S$2</f>
        <v>2.0773999999999999</v>
      </c>
      <c r="Q331">
        <f>'Kullanılan gübre'!Q331*'Gübre oranlar'!T$2</f>
        <v>0</v>
      </c>
      <c r="R331">
        <f>'Kullanılan gübre'!R331*'Gübre oranlar'!U$2</f>
        <v>0</v>
      </c>
      <c r="S331">
        <f>'Kullanılan gübre'!S331*'Gübre oranlar'!V$2</f>
        <v>0</v>
      </c>
      <c r="T331">
        <f>'Kullanılan gübre'!T331*'Gübre oranlar'!W$2</f>
        <v>0</v>
      </c>
      <c r="U331">
        <f>'Kullanılan gübre'!U331*'Gübre oranlar'!X$2</f>
        <v>0</v>
      </c>
      <c r="V331">
        <f>'Kullanılan gübre'!V331*'Gübre oranlar'!Y$2</f>
        <v>0</v>
      </c>
      <c r="W331">
        <f>'Kullanılan gübre'!W331*'Gübre oranlar'!Z$2</f>
        <v>0</v>
      </c>
      <c r="X331">
        <f>'Kullanılan gübre'!X331*'Gübre oranlar'!AA$2</f>
        <v>0</v>
      </c>
      <c r="Y331">
        <f>'Kullanılan gübre'!Y331*'Gübre oranlar'!AB$2</f>
        <v>0</v>
      </c>
      <c r="Z331">
        <f>'Kullanılan gübre'!Z331*'Gübre oranlar'!AC$2</f>
        <v>0</v>
      </c>
      <c r="AA331">
        <f>'Kullanılan gübre'!AA331*'Gübre oranlar'!AD$2</f>
        <v>0</v>
      </c>
      <c r="AB331">
        <f>'Kullanılan gübre'!AB331*'Gübre oranlar'!AE$2</f>
        <v>0</v>
      </c>
      <c r="AC331">
        <f>'Kullanılan gübre'!AC331*'Gübre oranlar'!AF$2</f>
        <v>0</v>
      </c>
      <c r="AD331">
        <f>'Kullanılan gübre'!AD331*'Gübre oranlar'!AG$2</f>
        <v>0</v>
      </c>
      <c r="AE331">
        <f>'Kullanılan gübre'!AE331*'Gübre oranlar'!AH$2</f>
        <v>0</v>
      </c>
      <c r="AF331">
        <f>'Kullanılan gübre'!AF331*'Gübre oranlar'!AI$2</f>
        <v>0</v>
      </c>
      <c r="AG331">
        <f>'Kullanılan gübre'!AG331*'Gübre oranlar'!AJ$2</f>
        <v>0</v>
      </c>
      <c r="AH331">
        <f>'Kullanılan gübre'!AH331*'Gübre oranlar'!AK$2</f>
        <v>0</v>
      </c>
      <c r="AI331">
        <f>'Kullanılan gübre'!AI331*'Gübre oranlar'!AL$2</f>
        <v>0</v>
      </c>
      <c r="AJ331">
        <f>'Kullanılan gübre'!AJ331*'Gübre oranlar'!AM$2</f>
        <v>0</v>
      </c>
      <c r="AK331">
        <f>'Kullanılan gübre'!AK331*'Gübre oranlar'!AN$2</f>
        <v>0</v>
      </c>
      <c r="AL331">
        <f>'Kullanılan gübre'!AL331*'Gübre oranlar'!AO$2</f>
        <v>0</v>
      </c>
      <c r="AM331">
        <f>'Kullanılan gübre'!AM331*'Gübre oranlar'!AP$2</f>
        <v>0</v>
      </c>
      <c r="AN331">
        <f>'Kullanılan gübre'!AN331*'Gübre oranlar'!AQ$2</f>
        <v>0</v>
      </c>
      <c r="AO331">
        <f>'Kullanılan gübre'!AO331*'Gübre oranlar'!AR$2</f>
        <v>0</v>
      </c>
      <c r="AP331">
        <f>'Kullanılan gübre'!AP331*'Gübre oranlar'!AS$2</f>
        <v>0</v>
      </c>
      <c r="AQ331">
        <f>'Kullanılan gübre'!AQ331*'Gübre oranlar'!AT$2</f>
        <v>0</v>
      </c>
      <c r="AR331">
        <f>'Kullanılan gübre'!AR331*'Gübre oranlar'!AU$2</f>
        <v>0</v>
      </c>
      <c r="AS331">
        <f>'Kullanılan gübre'!AS331*'Gübre oranlar'!AV$2</f>
        <v>0</v>
      </c>
      <c r="AT331">
        <f>'Kullanılan gübre'!AT331*'Gübre oranlar'!AW$2</f>
        <v>0</v>
      </c>
      <c r="AU331">
        <f>'Kullanılan gübre'!AU331*'Gübre oranlar'!AX$2</f>
        <v>0</v>
      </c>
      <c r="AV331">
        <f>'Kullanılan gübre'!AV331*'Gübre oranlar'!AY$2</f>
        <v>0</v>
      </c>
      <c r="AW331">
        <f t="shared" si="5"/>
        <v>1088.1428999999998</v>
      </c>
    </row>
    <row r="332" spans="1:49" hidden="1" x14ac:dyDescent="0.25">
      <c r="A332" t="str">
        <f>'Kullanılan gübre'!A332</f>
        <v>YI</v>
      </c>
      <c r="B332" t="str">
        <f>'Kullanılan gübre'!B332</f>
        <v>TOKAT</v>
      </c>
      <c r="C332" t="str">
        <f>'Kullanılan gübre'!C332</f>
        <v>ALMUS</v>
      </c>
      <c r="D332">
        <f>'Kullanılan gübre'!D332</f>
        <v>2011</v>
      </c>
      <c r="E332">
        <f>'Kullanılan gübre'!E332*'Gübre oranlar'!H$2</f>
        <v>0.315</v>
      </c>
      <c r="F332">
        <f>'Kullanılan gübre'!F332*'Gübre oranlar'!I$2</f>
        <v>5.59</v>
      </c>
      <c r="G332">
        <f>'Kullanılan gübre'!G332*'Gübre oranlar'!J$2</f>
        <v>49.995000000000005</v>
      </c>
      <c r="H332">
        <f>'Kullanılan gübre'!H332*'Gübre oranlar'!K$2</f>
        <v>18.101000000000003</v>
      </c>
      <c r="I332">
        <f>'Kullanılan gübre'!I332*'Gübre oranlar'!L$2</f>
        <v>0</v>
      </c>
      <c r="J332">
        <f>'Kullanılan gübre'!J332*'Gübre oranlar'!M$2</f>
        <v>6.39</v>
      </c>
      <c r="K332">
        <f>'Kullanılan gübre'!K332*'Gübre oranlar'!N$2</f>
        <v>0.70000000000000007</v>
      </c>
      <c r="L332">
        <f>'Kullanılan gübre'!L332*'Gübre oranlar'!O$2</f>
        <v>0</v>
      </c>
      <c r="M332">
        <f>'Kullanılan gübre'!M332*'Gübre oranlar'!P$2</f>
        <v>0</v>
      </c>
      <c r="N332">
        <f>'Kullanılan gübre'!N332*'Gübre oranlar'!Q$2</f>
        <v>0</v>
      </c>
      <c r="O332">
        <f>'Kullanılan gübre'!O332*'Gübre oranlar'!R$2</f>
        <v>0</v>
      </c>
      <c r="P332">
        <f>'Kullanılan gübre'!P332*'Gübre oranlar'!S$2</f>
        <v>0</v>
      </c>
      <c r="Q332">
        <f>'Kullanılan gübre'!Q332*'Gübre oranlar'!T$2</f>
        <v>0</v>
      </c>
      <c r="R332">
        <f>'Kullanılan gübre'!R332*'Gübre oranlar'!U$2</f>
        <v>0</v>
      </c>
      <c r="S332">
        <f>'Kullanılan gübre'!S332*'Gübre oranlar'!V$2</f>
        <v>0</v>
      </c>
      <c r="T332">
        <f>'Kullanılan gübre'!T332*'Gübre oranlar'!W$2</f>
        <v>0</v>
      </c>
      <c r="U332">
        <f>'Kullanılan gübre'!U332*'Gübre oranlar'!X$2</f>
        <v>0</v>
      </c>
      <c r="V332">
        <f>'Kullanılan gübre'!V332*'Gübre oranlar'!Y$2</f>
        <v>0</v>
      </c>
      <c r="W332">
        <f>'Kullanılan gübre'!W332*'Gübre oranlar'!Z$2</f>
        <v>0</v>
      </c>
      <c r="X332">
        <f>'Kullanılan gübre'!X332*'Gübre oranlar'!AA$2</f>
        <v>0</v>
      </c>
      <c r="Y332">
        <f>'Kullanılan gübre'!Y332*'Gübre oranlar'!AB$2</f>
        <v>0</v>
      </c>
      <c r="Z332">
        <f>'Kullanılan gübre'!Z332*'Gübre oranlar'!AC$2</f>
        <v>0</v>
      </c>
      <c r="AA332">
        <f>'Kullanılan gübre'!AA332*'Gübre oranlar'!AD$2</f>
        <v>0</v>
      </c>
      <c r="AB332">
        <f>'Kullanılan gübre'!AB332*'Gübre oranlar'!AE$2</f>
        <v>0</v>
      </c>
      <c r="AC332">
        <f>'Kullanılan gübre'!AC332*'Gübre oranlar'!AF$2</f>
        <v>0</v>
      </c>
      <c r="AD332">
        <f>'Kullanılan gübre'!AD332*'Gübre oranlar'!AG$2</f>
        <v>0</v>
      </c>
      <c r="AE332">
        <f>'Kullanılan gübre'!AE332*'Gübre oranlar'!AH$2</f>
        <v>0</v>
      </c>
      <c r="AF332">
        <f>'Kullanılan gübre'!AF332*'Gübre oranlar'!AI$2</f>
        <v>0</v>
      </c>
      <c r="AG332">
        <f>'Kullanılan gübre'!AG332*'Gübre oranlar'!AJ$2</f>
        <v>0</v>
      </c>
      <c r="AH332">
        <f>'Kullanılan gübre'!AH332*'Gübre oranlar'!AK$2</f>
        <v>0</v>
      </c>
      <c r="AI332">
        <f>'Kullanılan gübre'!AI332*'Gübre oranlar'!AL$2</f>
        <v>0</v>
      </c>
      <c r="AJ332">
        <f>'Kullanılan gübre'!AJ332*'Gübre oranlar'!AM$2</f>
        <v>0</v>
      </c>
      <c r="AK332">
        <f>'Kullanılan gübre'!AK332*'Gübre oranlar'!AN$2</f>
        <v>0</v>
      </c>
      <c r="AL332">
        <f>'Kullanılan gübre'!AL332*'Gübre oranlar'!AO$2</f>
        <v>0</v>
      </c>
      <c r="AM332">
        <f>'Kullanılan gübre'!AM332*'Gübre oranlar'!AP$2</f>
        <v>0</v>
      </c>
      <c r="AN332">
        <f>'Kullanılan gübre'!AN332*'Gübre oranlar'!AQ$2</f>
        <v>0</v>
      </c>
      <c r="AO332">
        <f>'Kullanılan gübre'!AO332*'Gübre oranlar'!AR$2</f>
        <v>0</v>
      </c>
      <c r="AP332">
        <f>'Kullanılan gübre'!AP332*'Gübre oranlar'!AS$2</f>
        <v>0</v>
      </c>
      <c r="AQ332">
        <f>'Kullanılan gübre'!AQ332*'Gübre oranlar'!AT$2</f>
        <v>0</v>
      </c>
      <c r="AR332">
        <f>'Kullanılan gübre'!AR332*'Gübre oranlar'!AU$2</f>
        <v>0</v>
      </c>
      <c r="AS332">
        <f>'Kullanılan gübre'!AS332*'Gübre oranlar'!AV$2</f>
        <v>0</v>
      </c>
      <c r="AT332">
        <f>'Kullanılan gübre'!AT332*'Gübre oranlar'!AW$2</f>
        <v>0</v>
      </c>
      <c r="AU332">
        <f>'Kullanılan gübre'!AU332*'Gübre oranlar'!AX$2</f>
        <v>0</v>
      </c>
      <c r="AV332">
        <f>'Kullanılan gübre'!AV332*'Gübre oranlar'!AY$2</f>
        <v>0</v>
      </c>
      <c r="AW332">
        <f t="shared" si="5"/>
        <v>81.091000000000008</v>
      </c>
    </row>
    <row r="333" spans="1:49" hidden="1" x14ac:dyDescent="0.25">
      <c r="A333" t="str">
        <f>'Kullanılan gübre'!A333</f>
        <v>YI</v>
      </c>
      <c r="B333" t="str">
        <f>'Kullanılan gübre'!B333</f>
        <v>TOKAT</v>
      </c>
      <c r="C333" t="str">
        <f>'Kullanılan gübre'!C333</f>
        <v>ARTOVA</v>
      </c>
      <c r="D333">
        <f>'Kullanılan gübre'!D333</f>
        <v>2011</v>
      </c>
      <c r="E333">
        <f>'Kullanılan gübre'!E333*'Gübre oranlar'!H$2</f>
        <v>0</v>
      </c>
      <c r="F333">
        <f>'Kullanılan gübre'!F333*'Gübre oranlar'!I$2</f>
        <v>94.704999999999998</v>
      </c>
      <c r="G333">
        <f>'Kullanılan gübre'!G333*'Gübre oranlar'!J$2</f>
        <v>39.055500000000002</v>
      </c>
      <c r="H333">
        <f>'Kullanılan gübre'!H333*'Gübre oranlar'!K$2</f>
        <v>0</v>
      </c>
      <c r="I333">
        <f>'Kullanılan gübre'!I333*'Gübre oranlar'!L$2</f>
        <v>0</v>
      </c>
      <c r="J333">
        <f>'Kullanılan gübre'!J333*'Gübre oranlar'!M$2</f>
        <v>0</v>
      </c>
      <c r="K333">
        <f>'Kullanılan gübre'!K333*'Gübre oranlar'!N$2</f>
        <v>0</v>
      </c>
      <c r="L333">
        <f>'Kullanılan gübre'!L333*'Gübre oranlar'!O$2</f>
        <v>0</v>
      </c>
      <c r="M333">
        <f>'Kullanılan gübre'!M333*'Gübre oranlar'!P$2</f>
        <v>0</v>
      </c>
      <c r="N333">
        <f>'Kullanılan gübre'!N333*'Gübre oranlar'!Q$2</f>
        <v>0</v>
      </c>
      <c r="O333">
        <f>'Kullanılan gübre'!O333*'Gübre oranlar'!R$2</f>
        <v>0</v>
      </c>
      <c r="P333">
        <f>'Kullanılan gübre'!P333*'Gübre oranlar'!S$2</f>
        <v>0</v>
      </c>
      <c r="Q333">
        <f>'Kullanılan gübre'!Q333*'Gübre oranlar'!T$2</f>
        <v>0</v>
      </c>
      <c r="R333">
        <f>'Kullanılan gübre'!R333*'Gübre oranlar'!U$2</f>
        <v>0</v>
      </c>
      <c r="S333">
        <f>'Kullanılan gübre'!S333*'Gübre oranlar'!V$2</f>
        <v>0</v>
      </c>
      <c r="T333">
        <f>'Kullanılan gübre'!T333*'Gübre oranlar'!W$2</f>
        <v>0</v>
      </c>
      <c r="U333">
        <f>'Kullanılan gübre'!U333*'Gübre oranlar'!X$2</f>
        <v>0</v>
      </c>
      <c r="V333">
        <f>'Kullanılan gübre'!V333*'Gübre oranlar'!Y$2</f>
        <v>0</v>
      </c>
      <c r="W333">
        <f>'Kullanılan gübre'!W333*'Gübre oranlar'!Z$2</f>
        <v>0</v>
      </c>
      <c r="X333">
        <f>'Kullanılan gübre'!X333*'Gübre oranlar'!AA$2</f>
        <v>0</v>
      </c>
      <c r="Y333">
        <f>'Kullanılan gübre'!Y333*'Gübre oranlar'!AB$2</f>
        <v>0</v>
      </c>
      <c r="Z333">
        <f>'Kullanılan gübre'!Z333*'Gübre oranlar'!AC$2</f>
        <v>0</v>
      </c>
      <c r="AA333">
        <f>'Kullanılan gübre'!AA333*'Gübre oranlar'!AD$2</f>
        <v>0</v>
      </c>
      <c r="AB333">
        <f>'Kullanılan gübre'!AB333*'Gübre oranlar'!AE$2</f>
        <v>0</v>
      </c>
      <c r="AC333">
        <f>'Kullanılan gübre'!AC333*'Gübre oranlar'!AF$2</f>
        <v>0</v>
      </c>
      <c r="AD333">
        <f>'Kullanılan gübre'!AD333*'Gübre oranlar'!AG$2</f>
        <v>0</v>
      </c>
      <c r="AE333">
        <f>'Kullanılan gübre'!AE333*'Gübre oranlar'!AH$2</f>
        <v>0</v>
      </c>
      <c r="AF333">
        <f>'Kullanılan gübre'!AF333*'Gübre oranlar'!AI$2</f>
        <v>0</v>
      </c>
      <c r="AG333">
        <f>'Kullanılan gübre'!AG333*'Gübre oranlar'!AJ$2</f>
        <v>0</v>
      </c>
      <c r="AH333">
        <f>'Kullanılan gübre'!AH333*'Gübre oranlar'!AK$2</f>
        <v>0</v>
      </c>
      <c r="AI333">
        <f>'Kullanılan gübre'!AI333*'Gübre oranlar'!AL$2</f>
        <v>0</v>
      </c>
      <c r="AJ333">
        <f>'Kullanılan gübre'!AJ333*'Gübre oranlar'!AM$2</f>
        <v>0</v>
      </c>
      <c r="AK333">
        <f>'Kullanılan gübre'!AK333*'Gübre oranlar'!AN$2</f>
        <v>0</v>
      </c>
      <c r="AL333">
        <f>'Kullanılan gübre'!AL333*'Gübre oranlar'!AO$2</f>
        <v>0</v>
      </c>
      <c r="AM333">
        <f>'Kullanılan gübre'!AM333*'Gübre oranlar'!AP$2</f>
        <v>0</v>
      </c>
      <c r="AN333">
        <f>'Kullanılan gübre'!AN333*'Gübre oranlar'!AQ$2</f>
        <v>0</v>
      </c>
      <c r="AO333">
        <f>'Kullanılan gübre'!AO333*'Gübre oranlar'!AR$2</f>
        <v>0</v>
      </c>
      <c r="AP333">
        <f>'Kullanılan gübre'!AP333*'Gübre oranlar'!AS$2</f>
        <v>0</v>
      </c>
      <c r="AQ333">
        <f>'Kullanılan gübre'!AQ333*'Gübre oranlar'!AT$2</f>
        <v>0</v>
      </c>
      <c r="AR333">
        <f>'Kullanılan gübre'!AR333*'Gübre oranlar'!AU$2</f>
        <v>0</v>
      </c>
      <c r="AS333">
        <f>'Kullanılan gübre'!AS333*'Gübre oranlar'!AV$2</f>
        <v>0</v>
      </c>
      <c r="AT333">
        <f>'Kullanılan gübre'!AT333*'Gübre oranlar'!AW$2</f>
        <v>0</v>
      </c>
      <c r="AU333">
        <f>'Kullanılan gübre'!AU333*'Gübre oranlar'!AX$2</f>
        <v>0</v>
      </c>
      <c r="AV333">
        <f>'Kullanılan gübre'!AV333*'Gübre oranlar'!AY$2</f>
        <v>0</v>
      </c>
      <c r="AW333">
        <f t="shared" si="5"/>
        <v>133.76050000000001</v>
      </c>
    </row>
    <row r="334" spans="1:49" hidden="1" x14ac:dyDescent="0.25">
      <c r="A334" t="str">
        <f>'Kullanılan gübre'!A334</f>
        <v>YI</v>
      </c>
      <c r="B334" t="str">
        <f>'Kullanılan gübre'!B334</f>
        <v>TOKAT</v>
      </c>
      <c r="C334" t="str">
        <f>'Kullanılan gübre'!C334</f>
        <v>BASCIFTLIK</v>
      </c>
      <c r="D334">
        <f>'Kullanılan gübre'!D334</f>
        <v>2011</v>
      </c>
      <c r="E334">
        <f>'Kullanılan gübre'!E334*'Gübre oranlar'!H$2</f>
        <v>0</v>
      </c>
      <c r="F334">
        <f>'Kullanılan gübre'!F334*'Gübre oranlar'!I$2</f>
        <v>0</v>
      </c>
      <c r="G334">
        <f>'Kullanılan gübre'!G334*'Gübre oranlar'!J$2</f>
        <v>0</v>
      </c>
      <c r="H334">
        <f>'Kullanılan gübre'!H334*'Gübre oranlar'!K$2</f>
        <v>0</v>
      </c>
      <c r="I334">
        <f>'Kullanılan gübre'!I334*'Gübre oranlar'!L$2</f>
        <v>0</v>
      </c>
      <c r="J334">
        <f>'Kullanılan gübre'!J334*'Gübre oranlar'!M$2</f>
        <v>0</v>
      </c>
      <c r="K334">
        <f>'Kullanılan gübre'!K334*'Gübre oranlar'!N$2</f>
        <v>0</v>
      </c>
      <c r="L334">
        <f>'Kullanılan gübre'!L334*'Gübre oranlar'!O$2</f>
        <v>0</v>
      </c>
      <c r="M334">
        <f>'Kullanılan gübre'!M334*'Gübre oranlar'!P$2</f>
        <v>0</v>
      </c>
      <c r="N334">
        <f>'Kullanılan gübre'!N334*'Gübre oranlar'!Q$2</f>
        <v>0</v>
      </c>
      <c r="O334">
        <f>'Kullanılan gübre'!O334*'Gübre oranlar'!R$2</f>
        <v>0</v>
      </c>
      <c r="P334">
        <f>'Kullanılan gübre'!P334*'Gübre oranlar'!S$2</f>
        <v>0</v>
      </c>
      <c r="Q334">
        <f>'Kullanılan gübre'!Q334*'Gübre oranlar'!T$2</f>
        <v>0</v>
      </c>
      <c r="R334">
        <f>'Kullanılan gübre'!R334*'Gübre oranlar'!U$2</f>
        <v>0</v>
      </c>
      <c r="S334">
        <f>'Kullanılan gübre'!S334*'Gübre oranlar'!V$2</f>
        <v>0</v>
      </c>
      <c r="T334">
        <f>'Kullanılan gübre'!T334*'Gübre oranlar'!W$2</f>
        <v>0</v>
      </c>
      <c r="U334">
        <f>'Kullanılan gübre'!U334*'Gübre oranlar'!X$2</f>
        <v>0</v>
      </c>
      <c r="V334">
        <f>'Kullanılan gübre'!V334*'Gübre oranlar'!Y$2</f>
        <v>0</v>
      </c>
      <c r="W334">
        <f>'Kullanılan gübre'!W334*'Gübre oranlar'!Z$2</f>
        <v>0</v>
      </c>
      <c r="X334">
        <f>'Kullanılan gübre'!X334*'Gübre oranlar'!AA$2</f>
        <v>0</v>
      </c>
      <c r="Y334">
        <f>'Kullanılan gübre'!Y334*'Gübre oranlar'!AB$2</f>
        <v>0</v>
      </c>
      <c r="Z334">
        <f>'Kullanılan gübre'!Z334*'Gübre oranlar'!AC$2</f>
        <v>0</v>
      </c>
      <c r="AA334">
        <f>'Kullanılan gübre'!AA334*'Gübre oranlar'!AD$2</f>
        <v>0</v>
      </c>
      <c r="AB334">
        <f>'Kullanılan gübre'!AB334*'Gübre oranlar'!AE$2</f>
        <v>0</v>
      </c>
      <c r="AC334">
        <f>'Kullanılan gübre'!AC334*'Gübre oranlar'!AF$2</f>
        <v>0</v>
      </c>
      <c r="AD334">
        <f>'Kullanılan gübre'!AD334*'Gübre oranlar'!AG$2</f>
        <v>0</v>
      </c>
      <c r="AE334">
        <f>'Kullanılan gübre'!AE334*'Gübre oranlar'!AH$2</f>
        <v>0</v>
      </c>
      <c r="AF334">
        <f>'Kullanılan gübre'!AF334*'Gübre oranlar'!AI$2</f>
        <v>0</v>
      </c>
      <c r="AG334">
        <f>'Kullanılan gübre'!AG334*'Gübre oranlar'!AJ$2</f>
        <v>0</v>
      </c>
      <c r="AH334">
        <f>'Kullanılan gübre'!AH334*'Gübre oranlar'!AK$2</f>
        <v>0</v>
      </c>
      <c r="AI334">
        <f>'Kullanılan gübre'!AI334*'Gübre oranlar'!AL$2</f>
        <v>0</v>
      </c>
      <c r="AJ334">
        <f>'Kullanılan gübre'!AJ334*'Gübre oranlar'!AM$2</f>
        <v>0</v>
      </c>
      <c r="AK334">
        <f>'Kullanılan gübre'!AK334*'Gübre oranlar'!AN$2</f>
        <v>0</v>
      </c>
      <c r="AL334">
        <f>'Kullanılan gübre'!AL334*'Gübre oranlar'!AO$2</f>
        <v>0</v>
      </c>
      <c r="AM334">
        <f>'Kullanılan gübre'!AM334*'Gübre oranlar'!AP$2</f>
        <v>0</v>
      </c>
      <c r="AN334">
        <f>'Kullanılan gübre'!AN334*'Gübre oranlar'!AQ$2</f>
        <v>0</v>
      </c>
      <c r="AO334">
        <f>'Kullanılan gübre'!AO334*'Gübre oranlar'!AR$2</f>
        <v>0</v>
      </c>
      <c r="AP334">
        <f>'Kullanılan gübre'!AP334*'Gübre oranlar'!AS$2</f>
        <v>0</v>
      </c>
      <c r="AQ334">
        <f>'Kullanılan gübre'!AQ334*'Gübre oranlar'!AT$2</f>
        <v>0</v>
      </c>
      <c r="AR334">
        <f>'Kullanılan gübre'!AR334*'Gübre oranlar'!AU$2</f>
        <v>0</v>
      </c>
      <c r="AS334">
        <f>'Kullanılan gübre'!AS334*'Gübre oranlar'!AV$2</f>
        <v>0</v>
      </c>
      <c r="AT334">
        <f>'Kullanılan gübre'!AT334*'Gübre oranlar'!AW$2</f>
        <v>0</v>
      </c>
      <c r="AU334">
        <f>'Kullanılan gübre'!AU334*'Gübre oranlar'!AX$2</f>
        <v>0</v>
      </c>
      <c r="AV334">
        <f>'Kullanılan gübre'!AV334*'Gübre oranlar'!AY$2</f>
        <v>0</v>
      </c>
      <c r="AW334">
        <f t="shared" si="5"/>
        <v>0</v>
      </c>
    </row>
    <row r="335" spans="1:49" hidden="1" x14ac:dyDescent="0.25">
      <c r="A335" t="str">
        <f>'Kullanılan gübre'!A335</f>
        <v>YI</v>
      </c>
      <c r="B335" t="str">
        <f>'Kullanılan gübre'!B335</f>
        <v>TOKAT</v>
      </c>
      <c r="C335" t="str">
        <f>'Kullanılan gübre'!C335</f>
        <v>ERBAA</v>
      </c>
      <c r="D335">
        <f>'Kullanılan gübre'!D335</f>
        <v>2011</v>
      </c>
      <c r="E335">
        <f>'Kullanılan gübre'!E335*'Gübre oranlar'!H$2</f>
        <v>0</v>
      </c>
      <c r="F335">
        <f>'Kullanılan gübre'!F335*'Gübre oranlar'!I$2</f>
        <v>0</v>
      </c>
      <c r="G335">
        <f>'Kullanılan gübre'!G335*'Gübre oranlar'!J$2</f>
        <v>0</v>
      </c>
      <c r="H335">
        <f>'Kullanılan gübre'!H335*'Gübre oranlar'!K$2</f>
        <v>0</v>
      </c>
      <c r="I335">
        <f>'Kullanılan gübre'!I335*'Gübre oranlar'!L$2</f>
        <v>0</v>
      </c>
      <c r="J335">
        <f>'Kullanılan gübre'!J335*'Gübre oranlar'!M$2</f>
        <v>0</v>
      </c>
      <c r="K335">
        <f>'Kullanılan gübre'!K335*'Gübre oranlar'!N$2</f>
        <v>0</v>
      </c>
      <c r="L335">
        <f>'Kullanılan gübre'!L335*'Gübre oranlar'!O$2</f>
        <v>0</v>
      </c>
      <c r="M335">
        <f>'Kullanılan gübre'!M335*'Gübre oranlar'!P$2</f>
        <v>0</v>
      </c>
      <c r="N335">
        <f>'Kullanılan gübre'!N335*'Gübre oranlar'!Q$2</f>
        <v>0</v>
      </c>
      <c r="O335">
        <f>'Kullanılan gübre'!O335*'Gübre oranlar'!R$2</f>
        <v>0</v>
      </c>
      <c r="P335">
        <f>'Kullanılan gübre'!P335*'Gübre oranlar'!S$2</f>
        <v>0</v>
      </c>
      <c r="Q335">
        <f>'Kullanılan gübre'!Q335*'Gübre oranlar'!T$2</f>
        <v>0</v>
      </c>
      <c r="R335">
        <f>'Kullanılan gübre'!R335*'Gübre oranlar'!U$2</f>
        <v>0</v>
      </c>
      <c r="S335">
        <f>'Kullanılan gübre'!S335*'Gübre oranlar'!V$2</f>
        <v>0</v>
      </c>
      <c r="T335">
        <f>'Kullanılan gübre'!T335*'Gübre oranlar'!W$2</f>
        <v>0</v>
      </c>
      <c r="U335">
        <f>'Kullanılan gübre'!U335*'Gübre oranlar'!X$2</f>
        <v>0</v>
      </c>
      <c r="V335">
        <f>'Kullanılan gübre'!V335*'Gübre oranlar'!Y$2</f>
        <v>0</v>
      </c>
      <c r="W335">
        <f>'Kullanılan gübre'!W335*'Gübre oranlar'!Z$2</f>
        <v>0</v>
      </c>
      <c r="X335">
        <f>'Kullanılan gübre'!X335*'Gübre oranlar'!AA$2</f>
        <v>0</v>
      </c>
      <c r="Y335">
        <f>'Kullanılan gübre'!Y335*'Gübre oranlar'!AB$2</f>
        <v>0</v>
      </c>
      <c r="Z335">
        <f>'Kullanılan gübre'!Z335*'Gübre oranlar'!AC$2</f>
        <v>0</v>
      </c>
      <c r="AA335">
        <f>'Kullanılan gübre'!AA335*'Gübre oranlar'!AD$2</f>
        <v>0</v>
      </c>
      <c r="AB335">
        <f>'Kullanılan gübre'!AB335*'Gübre oranlar'!AE$2</f>
        <v>0</v>
      </c>
      <c r="AC335">
        <f>'Kullanılan gübre'!AC335*'Gübre oranlar'!AF$2</f>
        <v>0</v>
      </c>
      <c r="AD335">
        <f>'Kullanılan gübre'!AD335*'Gübre oranlar'!AG$2</f>
        <v>0</v>
      </c>
      <c r="AE335">
        <f>'Kullanılan gübre'!AE335*'Gübre oranlar'!AH$2</f>
        <v>0</v>
      </c>
      <c r="AF335">
        <f>'Kullanılan gübre'!AF335*'Gübre oranlar'!AI$2</f>
        <v>0</v>
      </c>
      <c r="AG335">
        <f>'Kullanılan gübre'!AG335*'Gübre oranlar'!AJ$2</f>
        <v>0</v>
      </c>
      <c r="AH335">
        <f>'Kullanılan gübre'!AH335*'Gübre oranlar'!AK$2</f>
        <v>0</v>
      </c>
      <c r="AI335">
        <f>'Kullanılan gübre'!AI335*'Gübre oranlar'!AL$2</f>
        <v>0</v>
      </c>
      <c r="AJ335">
        <f>'Kullanılan gübre'!AJ335*'Gübre oranlar'!AM$2</f>
        <v>0</v>
      </c>
      <c r="AK335">
        <f>'Kullanılan gübre'!AK335*'Gübre oranlar'!AN$2</f>
        <v>0</v>
      </c>
      <c r="AL335">
        <f>'Kullanılan gübre'!AL335*'Gübre oranlar'!AO$2</f>
        <v>0</v>
      </c>
      <c r="AM335">
        <f>'Kullanılan gübre'!AM335*'Gübre oranlar'!AP$2</f>
        <v>0</v>
      </c>
      <c r="AN335">
        <f>'Kullanılan gübre'!AN335*'Gübre oranlar'!AQ$2</f>
        <v>0</v>
      </c>
      <c r="AO335">
        <f>'Kullanılan gübre'!AO335*'Gübre oranlar'!AR$2</f>
        <v>0</v>
      </c>
      <c r="AP335">
        <f>'Kullanılan gübre'!AP335*'Gübre oranlar'!AS$2</f>
        <v>0</v>
      </c>
      <c r="AQ335">
        <f>'Kullanılan gübre'!AQ335*'Gübre oranlar'!AT$2</f>
        <v>0</v>
      </c>
      <c r="AR335">
        <f>'Kullanılan gübre'!AR335*'Gübre oranlar'!AU$2</f>
        <v>0</v>
      </c>
      <c r="AS335">
        <f>'Kullanılan gübre'!AS335*'Gübre oranlar'!AV$2</f>
        <v>0</v>
      </c>
      <c r="AT335">
        <f>'Kullanılan gübre'!AT335*'Gübre oranlar'!AW$2</f>
        <v>0</v>
      </c>
      <c r="AU335">
        <f>'Kullanılan gübre'!AU335*'Gübre oranlar'!AX$2</f>
        <v>0</v>
      </c>
      <c r="AV335">
        <f>'Kullanılan gübre'!AV335*'Gübre oranlar'!AY$2</f>
        <v>0</v>
      </c>
      <c r="AW335">
        <f t="shared" si="5"/>
        <v>0</v>
      </c>
    </row>
    <row r="336" spans="1:49" hidden="1" x14ac:dyDescent="0.25">
      <c r="A336" t="str">
        <f>'Kullanılan gübre'!A336</f>
        <v>YI</v>
      </c>
      <c r="B336" t="str">
        <f>'Kullanılan gübre'!B336</f>
        <v>TOKAT</v>
      </c>
      <c r="C336" t="str">
        <f>'Kullanılan gübre'!C336</f>
        <v>NIKSAR</v>
      </c>
      <c r="D336">
        <f>'Kullanılan gübre'!D336</f>
        <v>2011</v>
      </c>
      <c r="E336">
        <f>'Kullanılan gübre'!E336*'Gübre oranlar'!H$2</f>
        <v>0</v>
      </c>
      <c r="F336">
        <f>'Kullanılan gübre'!F336*'Gübre oranlar'!I$2</f>
        <v>0</v>
      </c>
      <c r="G336">
        <f>'Kullanılan gübre'!G336*'Gübre oranlar'!J$2</f>
        <v>0</v>
      </c>
      <c r="H336">
        <f>'Kullanılan gübre'!H336*'Gübre oranlar'!K$2</f>
        <v>0</v>
      </c>
      <c r="I336">
        <f>'Kullanılan gübre'!I336*'Gübre oranlar'!L$2</f>
        <v>0</v>
      </c>
      <c r="J336">
        <f>'Kullanılan gübre'!J336*'Gübre oranlar'!M$2</f>
        <v>0</v>
      </c>
      <c r="K336">
        <f>'Kullanılan gübre'!K336*'Gübre oranlar'!N$2</f>
        <v>0</v>
      </c>
      <c r="L336">
        <f>'Kullanılan gübre'!L336*'Gübre oranlar'!O$2</f>
        <v>0</v>
      </c>
      <c r="M336">
        <f>'Kullanılan gübre'!M336*'Gübre oranlar'!P$2</f>
        <v>0</v>
      </c>
      <c r="N336">
        <f>'Kullanılan gübre'!N336*'Gübre oranlar'!Q$2</f>
        <v>0</v>
      </c>
      <c r="O336">
        <f>'Kullanılan gübre'!O336*'Gübre oranlar'!R$2</f>
        <v>0</v>
      </c>
      <c r="P336">
        <f>'Kullanılan gübre'!P336*'Gübre oranlar'!S$2</f>
        <v>0</v>
      </c>
      <c r="Q336">
        <f>'Kullanılan gübre'!Q336*'Gübre oranlar'!T$2</f>
        <v>0</v>
      </c>
      <c r="R336">
        <f>'Kullanılan gübre'!R336*'Gübre oranlar'!U$2</f>
        <v>0</v>
      </c>
      <c r="S336">
        <f>'Kullanılan gübre'!S336*'Gübre oranlar'!V$2</f>
        <v>0</v>
      </c>
      <c r="T336">
        <f>'Kullanılan gübre'!T336*'Gübre oranlar'!W$2</f>
        <v>0</v>
      </c>
      <c r="U336">
        <f>'Kullanılan gübre'!U336*'Gübre oranlar'!X$2</f>
        <v>0</v>
      </c>
      <c r="V336">
        <f>'Kullanılan gübre'!V336*'Gübre oranlar'!Y$2</f>
        <v>0</v>
      </c>
      <c r="W336">
        <f>'Kullanılan gübre'!W336*'Gübre oranlar'!Z$2</f>
        <v>0</v>
      </c>
      <c r="X336">
        <f>'Kullanılan gübre'!X336*'Gübre oranlar'!AA$2</f>
        <v>0</v>
      </c>
      <c r="Y336">
        <f>'Kullanılan gübre'!Y336*'Gübre oranlar'!AB$2</f>
        <v>0</v>
      </c>
      <c r="Z336">
        <f>'Kullanılan gübre'!Z336*'Gübre oranlar'!AC$2</f>
        <v>0</v>
      </c>
      <c r="AA336">
        <f>'Kullanılan gübre'!AA336*'Gübre oranlar'!AD$2</f>
        <v>0</v>
      </c>
      <c r="AB336">
        <f>'Kullanılan gübre'!AB336*'Gübre oranlar'!AE$2</f>
        <v>0</v>
      </c>
      <c r="AC336">
        <f>'Kullanılan gübre'!AC336*'Gübre oranlar'!AF$2</f>
        <v>0</v>
      </c>
      <c r="AD336">
        <f>'Kullanılan gübre'!AD336*'Gübre oranlar'!AG$2</f>
        <v>0</v>
      </c>
      <c r="AE336">
        <f>'Kullanılan gübre'!AE336*'Gübre oranlar'!AH$2</f>
        <v>0</v>
      </c>
      <c r="AF336">
        <f>'Kullanılan gübre'!AF336*'Gübre oranlar'!AI$2</f>
        <v>0</v>
      </c>
      <c r="AG336">
        <f>'Kullanılan gübre'!AG336*'Gübre oranlar'!AJ$2</f>
        <v>0</v>
      </c>
      <c r="AH336">
        <f>'Kullanılan gübre'!AH336*'Gübre oranlar'!AK$2</f>
        <v>0</v>
      </c>
      <c r="AI336">
        <f>'Kullanılan gübre'!AI336*'Gübre oranlar'!AL$2</f>
        <v>0</v>
      </c>
      <c r="AJ336">
        <f>'Kullanılan gübre'!AJ336*'Gübre oranlar'!AM$2</f>
        <v>0</v>
      </c>
      <c r="AK336">
        <f>'Kullanılan gübre'!AK336*'Gübre oranlar'!AN$2</f>
        <v>0</v>
      </c>
      <c r="AL336">
        <f>'Kullanılan gübre'!AL336*'Gübre oranlar'!AO$2</f>
        <v>0</v>
      </c>
      <c r="AM336">
        <f>'Kullanılan gübre'!AM336*'Gübre oranlar'!AP$2</f>
        <v>0</v>
      </c>
      <c r="AN336">
        <f>'Kullanılan gübre'!AN336*'Gübre oranlar'!AQ$2</f>
        <v>0</v>
      </c>
      <c r="AO336">
        <f>'Kullanılan gübre'!AO336*'Gübre oranlar'!AR$2</f>
        <v>0</v>
      </c>
      <c r="AP336">
        <f>'Kullanılan gübre'!AP336*'Gübre oranlar'!AS$2</f>
        <v>0</v>
      </c>
      <c r="AQ336">
        <f>'Kullanılan gübre'!AQ336*'Gübre oranlar'!AT$2</f>
        <v>0</v>
      </c>
      <c r="AR336">
        <f>'Kullanılan gübre'!AR336*'Gübre oranlar'!AU$2</f>
        <v>0</v>
      </c>
      <c r="AS336">
        <f>'Kullanılan gübre'!AS336*'Gübre oranlar'!AV$2</f>
        <v>0</v>
      </c>
      <c r="AT336">
        <f>'Kullanılan gübre'!AT336*'Gübre oranlar'!AW$2</f>
        <v>0</v>
      </c>
      <c r="AU336">
        <f>'Kullanılan gübre'!AU336*'Gübre oranlar'!AX$2</f>
        <v>0</v>
      </c>
      <c r="AV336">
        <f>'Kullanılan gübre'!AV336*'Gübre oranlar'!AY$2</f>
        <v>0</v>
      </c>
      <c r="AW336">
        <f t="shared" si="5"/>
        <v>0</v>
      </c>
    </row>
    <row r="337" spans="1:49" hidden="1" x14ac:dyDescent="0.25">
      <c r="A337" t="str">
        <f>'Kullanılan gübre'!A337</f>
        <v>YI</v>
      </c>
      <c r="B337" t="str">
        <f>'Kullanılan gübre'!B337</f>
        <v>TOKAT</v>
      </c>
      <c r="C337" t="str">
        <f>'Kullanılan gübre'!C337</f>
        <v>PAZAR</v>
      </c>
      <c r="D337">
        <f>'Kullanılan gübre'!D337</f>
        <v>2011</v>
      </c>
      <c r="E337">
        <f>'Kullanılan gübre'!E337*'Gübre oranlar'!H$2</f>
        <v>10.793999999999999</v>
      </c>
      <c r="F337">
        <f>'Kullanılan gübre'!F337*'Gübre oranlar'!I$2</f>
        <v>2.9250000000000003</v>
      </c>
      <c r="G337">
        <f>'Kullanılan gübre'!G337*'Gübre oranlar'!J$2</f>
        <v>69.613500000000002</v>
      </c>
      <c r="H337">
        <f>'Kullanılan gübre'!H337*'Gübre oranlar'!K$2</f>
        <v>3527.51</v>
      </c>
      <c r="I337">
        <f>'Kullanılan gübre'!I337*'Gübre oranlar'!L$2</f>
        <v>0</v>
      </c>
      <c r="J337">
        <f>'Kullanılan gübre'!J337*'Gübre oranlar'!M$2</f>
        <v>38.088000000000001</v>
      </c>
      <c r="K337">
        <f>'Kullanılan gübre'!K337*'Gübre oranlar'!N$2</f>
        <v>0</v>
      </c>
      <c r="L337">
        <f>'Kullanılan gübre'!L337*'Gübre oranlar'!O$2</f>
        <v>18.080000000000002</v>
      </c>
      <c r="M337">
        <f>'Kullanılan gübre'!M337*'Gübre oranlar'!P$2</f>
        <v>0</v>
      </c>
      <c r="N337">
        <f>'Kullanılan gübre'!N337*'Gübre oranlar'!Q$2</f>
        <v>18.434999999999999</v>
      </c>
      <c r="O337">
        <f>'Kullanılan gübre'!O337*'Gübre oranlar'!R$2</f>
        <v>0</v>
      </c>
      <c r="P337">
        <f>'Kullanılan gübre'!P337*'Gübre oranlar'!S$2</f>
        <v>1.2642500000000003</v>
      </c>
      <c r="Q337">
        <f>'Kullanılan gübre'!Q337*'Gübre oranlar'!T$2</f>
        <v>61.44</v>
      </c>
      <c r="R337">
        <f>'Kullanılan gübre'!R337*'Gübre oranlar'!U$2</f>
        <v>0</v>
      </c>
      <c r="S337">
        <f>'Kullanılan gübre'!S337*'Gübre oranlar'!V$2</f>
        <v>0</v>
      </c>
      <c r="T337">
        <f>'Kullanılan gübre'!T337*'Gübre oranlar'!W$2</f>
        <v>0</v>
      </c>
      <c r="U337">
        <f>'Kullanılan gübre'!U337*'Gübre oranlar'!X$2</f>
        <v>0</v>
      </c>
      <c r="V337">
        <f>'Kullanılan gübre'!V337*'Gübre oranlar'!Y$2</f>
        <v>0</v>
      </c>
      <c r="W337">
        <f>'Kullanılan gübre'!W337*'Gübre oranlar'!Z$2</f>
        <v>0</v>
      </c>
      <c r="X337">
        <f>'Kullanılan gübre'!X337*'Gübre oranlar'!AA$2</f>
        <v>0</v>
      </c>
      <c r="Y337">
        <f>'Kullanılan gübre'!Y337*'Gübre oranlar'!AB$2</f>
        <v>0</v>
      </c>
      <c r="Z337">
        <f>'Kullanılan gübre'!Z337*'Gübre oranlar'!AC$2</f>
        <v>0</v>
      </c>
      <c r="AA337">
        <f>'Kullanılan gübre'!AA337*'Gübre oranlar'!AD$2</f>
        <v>0</v>
      </c>
      <c r="AB337">
        <f>'Kullanılan gübre'!AB337*'Gübre oranlar'!AE$2</f>
        <v>0</v>
      </c>
      <c r="AC337">
        <f>'Kullanılan gübre'!AC337*'Gübre oranlar'!AF$2</f>
        <v>0</v>
      </c>
      <c r="AD337">
        <f>'Kullanılan gübre'!AD337*'Gübre oranlar'!AG$2</f>
        <v>0</v>
      </c>
      <c r="AE337">
        <f>'Kullanılan gübre'!AE337*'Gübre oranlar'!AH$2</f>
        <v>0</v>
      </c>
      <c r="AF337">
        <f>'Kullanılan gübre'!AF337*'Gübre oranlar'!AI$2</f>
        <v>0</v>
      </c>
      <c r="AG337">
        <f>'Kullanılan gübre'!AG337*'Gübre oranlar'!AJ$2</f>
        <v>0</v>
      </c>
      <c r="AH337">
        <f>'Kullanılan gübre'!AH337*'Gübre oranlar'!AK$2</f>
        <v>0</v>
      </c>
      <c r="AI337">
        <f>'Kullanılan gübre'!AI337*'Gübre oranlar'!AL$2</f>
        <v>0</v>
      </c>
      <c r="AJ337">
        <f>'Kullanılan gübre'!AJ337*'Gübre oranlar'!AM$2</f>
        <v>0</v>
      </c>
      <c r="AK337">
        <f>'Kullanılan gübre'!AK337*'Gübre oranlar'!AN$2</f>
        <v>0</v>
      </c>
      <c r="AL337">
        <f>'Kullanılan gübre'!AL337*'Gübre oranlar'!AO$2</f>
        <v>0</v>
      </c>
      <c r="AM337">
        <f>'Kullanılan gübre'!AM337*'Gübre oranlar'!AP$2</f>
        <v>0</v>
      </c>
      <c r="AN337">
        <f>'Kullanılan gübre'!AN337*'Gübre oranlar'!AQ$2</f>
        <v>0</v>
      </c>
      <c r="AO337">
        <f>'Kullanılan gübre'!AO337*'Gübre oranlar'!AR$2</f>
        <v>0</v>
      </c>
      <c r="AP337">
        <f>'Kullanılan gübre'!AP337*'Gübre oranlar'!AS$2</f>
        <v>0</v>
      </c>
      <c r="AQ337">
        <f>'Kullanılan gübre'!AQ337*'Gübre oranlar'!AT$2</f>
        <v>0</v>
      </c>
      <c r="AR337">
        <f>'Kullanılan gübre'!AR337*'Gübre oranlar'!AU$2</f>
        <v>0</v>
      </c>
      <c r="AS337">
        <f>'Kullanılan gübre'!AS337*'Gübre oranlar'!AV$2</f>
        <v>0</v>
      </c>
      <c r="AT337">
        <f>'Kullanılan gübre'!AT337*'Gübre oranlar'!AW$2</f>
        <v>0</v>
      </c>
      <c r="AU337">
        <f>'Kullanılan gübre'!AU337*'Gübre oranlar'!AX$2</f>
        <v>0</v>
      </c>
      <c r="AV337">
        <f>'Kullanılan gübre'!AV337*'Gübre oranlar'!AY$2</f>
        <v>0</v>
      </c>
      <c r="AW337">
        <f t="shared" si="5"/>
        <v>3748.1497500000005</v>
      </c>
    </row>
    <row r="338" spans="1:49" hidden="1" x14ac:dyDescent="0.25">
      <c r="A338" t="str">
        <f>'Kullanılan gübre'!A338</f>
        <v>YI</v>
      </c>
      <c r="B338" t="str">
        <f>'Kullanılan gübre'!B338</f>
        <v>TOKAT</v>
      </c>
      <c r="C338" t="str">
        <f>'Kullanılan gübre'!C338</f>
        <v>RESADIYE</v>
      </c>
      <c r="D338">
        <f>'Kullanılan gübre'!D338</f>
        <v>2011</v>
      </c>
      <c r="E338">
        <f>'Kullanılan gübre'!E338*'Gübre oranlar'!H$2</f>
        <v>0</v>
      </c>
      <c r="F338">
        <f>'Kullanılan gübre'!F338*'Gübre oranlar'!I$2</f>
        <v>11.010999999999997</v>
      </c>
      <c r="G338">
        <f>'Kullanılan gübre'!G338*'Gübre oranlar'!J$2</f>
        <v>52.486500000000007</v>
      </c>
      <c r="H338">
        <f>'Kullanılan gübre'!H338*'Gübre oranlar'!K$2</f>
        <v>14.26</v>
      </c>
      <c r="I338">
        <f>'Kullanılan gübre'!I338*'Gübre oranlar'!L$2</f>
        <v>0</v>
      </c>
      <c r="J338">
        <f>'Kullanılan gübre'!J338*'Gübre oranlar'!M$2</f>
        <v>4.149</v>
      </c>
      <c r="K338">
        <f>'Kullanılan gübre'!K338*'Gübre oranlar'!N$2</f>
        <v>1.2000000000000002</v>
      </c>
      <c r="L338">
        <f>'Kullanılan gübre'!L338*'Gübre oranlar'!O$2</f>
        <v>0</v>
      </c>
      <c r="M338">
        <f>'Kullanılan gübre'!M338*'Gübre oranlar'!P$2</f>
        <v>0</v>
      </c>
      <c r="N338">
        <f>'Kullanılan gübre'!N338*'Gübre oranlar'!Q$2</f>
        <v>0</v>
      </c>
      <c r="O338">
        <f>'Kullanılan gübre'!O338*'Gübre oranlar'!R$2</f>
        <v>0</v>
      </c>
      <c r="P338">
        <f>'Kullanılan gübre'!P338*'Gübre oranlar'!S$2</f>
        <v>0</v>
      </c>
      <c r="Q338">
        <f>'Kullanılan gübre'!Q338*'Gübre oranlar'!T$2</f>
        <v>0</v>
      </c>
      <c r="R338">
        <f>'Kullanılan gübre'!R338*'Gübre oranlar'!U$2</f>
        <v>0</v>
      </c>
      <c r="S338">
        <f>'Kullanılan gübre'!S338*'Gübre oranlar'!V$2</f>
        <v>0</v>
      </c>
      <c r="T338">
        <f>'Kullanılan gübre'!T338*'Gübre oranlar'!W$2</f>
        <v>0</v>
      </c>
      <c r="U338">
        <f>'Kullanılan gübre'!U338*'Gübre oranlar'!X$2</f>
        <v>0</v>
      </c>
      <c r="V338">
        <f>'Kullanılan gübre'!V338*'Gübre oranlar'!Y$2</f>
        <v>0</v>
      </c>
      <c r="W338">
        <f>'Kullanılan gübre'!W338*'Gübre oranlar'!Z$2</f>
        <v>0</v>
      </c>
      <c r="X338">
        <f>'Kullanılan gübre'!X338*'Gübre oranlar'!AA$2</f>
        <v>0</v>
      </c>
      <c r="Y338">
        <f>'Kullanılan gübre'!Y338*'Gübre oranlar'!AB$2</f>
        <v>0</v>
      </c>
      <c r="Z338">
        <f>'Kullanılan gübre'!Z338*'Gübre oranlar'!AC$2</f>
        <v>0</v>
      </c>
      <c r="AA338">
        <f>'Kullanılan gübre'!AA338*'Gübre oranlar'!AD$2</f>
        <v>0</v>
      </c>
      <c r="AB338">
        <f>'Kullanılan gübre'!AB338*'Gübre oranlar'!AE$2</f>
        <v>0</v>
      </c>
      <c r="AC338">
        <f>'Kullanılan gübre'!AC338*'Gübre oranlar'!AF$2</f>
        <v>0</v>
      </c>
      <c r="AD338">
        <f>'Kullanılan gübre'!AD338*'Gübre oranlar'!AG$2</f>
        <v>0</v>
      </c>
      <c r="AE338">
        <f>'Kullanılan gübre'!AE338*'Gübre oranlar'!AH$2</f>
        <v>0</v>
      </c>
      <c r="AF338">
        <f>'Kullanılan gübre'!AF338*'Gübre oranlar'!AI$2</f>
        <v>0</v>
      </c>
      <c r="AG338">
        <f>'Kullanılan gübre'!AG338*'Gübre oranlar'!AJ$2</f>
        <v>0</v>
      </c>
      <c r="AH338">
        <f>'Kullanılan gübre'!AH338*'Gübre oranlar'!AK$2</f>
        <v>0</v>
      </c>
      <c r="AI338">
        <f>'Kullanılan gübre'!AI338*'Gübre oranlar'!AL$2</f>
        <v>0</v>
      </c>
      <c r="AJ338">
        <f>'Kullanılan gübre'!AJ338*'Gübre oranlar'!AM$2</f>
        <v>0</v>
      </c>
      <c r="AK338">
        <f>'Kullanılan gübre'!AK338*'Gübre oranlar'!AN$2</f>
        <v>0</v>
      </c>
      <c r="AL338">
        <f>'Kullanılan gübre'!AL338*'Gübre oranlar'!AO$2</f>
        <v>0</v>
      </c>
      <c r="AM338">
        <f>'Kullanılan gübre'!AM338*'Gübre oranlar'!AP$2</f>
        <v>0</v>
      </c>
      <c r="AN338">
        <f>'Kullanılan gübre'!AN338*'Gübre oranlar'!AQ$2</f>
        <v>0</v>
      </c>
      <c r="AO338">
        <f>'Kullanılan gübre'!AO338*'Gübre oranlar'!AR$2</f>
        <v>0</v>
      </c>
      <c r="AP338">
        <f>'Kullanılan gübre'!AP338*'Gübre oranlar'!AS$2</f>
        <v>0</v>
      </c>
      <c r="AQ338">
        <f>'Kullanılan gübre'!AQ338*'Gübre oranlar'!AT$2</f>
        <v>0</v>
      </c>
      <c r="AR338">
        <f>'Kullanılan gübre'!AR338*'Gübre oranlar'!AU$2</f>
        <v>0</v>
      </c>
      <c r="AS338">
        <f>'Kullanılan gübre'!AS338*'Gübre oranlar'!AV$2</f>
        <v>0</v>
      </c>
      <c r="AT338">
        <f>'Kullanılan gübre'!AT338*'Gübre oranlar'!AW$2</f>
        <v>0</v>
      </c>
      <c r="AU338">
        <f>'Kullanılan gübre'!AU338*'Gübre oranlar'!AX$2</f>
        <v>0</v>
      </c>
      <c r="AV338">
        <f>'Kullanılan gübre'!AV338*'Gübre oranlar'!AY$2</f>
        <v>0</v>
      </c>
      <c r="AW338">
        <f t="shared" si="5"/>
        <v>83.106500000000011</v>
      </c>
    </row>
    <row r="339" spans="1:49" hidden="1" x14ac:dyDescent="0.25">
      <c r="A339" t="str">
        <f>'Kullanılan gübre'!A339</f>
        <v>YI</v>
      </c>
      <c r="B339" t="str">
        <f>'Kullanılan gübre'!B339</f>
        <v>TOKAT</v>
      </c>
      <c r="C339" t="str">
        <f>'Kullanılan gübre'!C339</f>
        <v>SULUSARAY</v>
      </c>
      <c r="D339">
        <f>'Kullanılan gübre'!D339</f>
        <v>2011</v>
      </c>
      <c r="E339">
        <f>'Kullanılan gübre'!E339*'Gübre oranlar'!H$2</f>
        <v>0.91350000000000009</v>
      </c>
      <c r="F339">
        <f>'Kullanılan gübre'!F339*'Gübre oranlar'!I$2</f>
        <v>93.483000000000004</v>
      </c>
      <c r="G339">
        <f>'Kullanılan gübre'!G339*'Gübre oranlar'!J$2</f>
        <v>129.92099999999999</v>
      </c>
      <c r="H339">
        <f>'Kullanılan gübre'!H339*'Gübre oranlar'!K$2</f>
        <v>17.847999999999999</v>
      </c>
      <c r="I339">
        <f>'Kullanılan gübre'!I339*'Gübre oranlar'!L$2</f>
        <v>0</v>
      </c>
      <c r="J339">
        <f>'Kullanılan gübre'!J339*'Gübre oranlar'!M$2</f>
        <v>20.808</v>
      </c>
      <c r="K339">
        <f>'Kullanılan gübre'!K339*'Gübre oranlar'!N$2</f>
        <v>7.9</v>
      </c>
      <c r="L339">
        <f>'Kullanılan gübre'!L339*'Gübre oranlar'!O$2</f>
        <v>10.950000000000001</v>
      </c>
      <c r="M339">
        <f>'Kullanılan gübre'!M339*'Gübre oranlar'!P$2</f>
        <v>0</v>
      </c>
      <c r="N339">
        <f>'Kullanılan gübre'!N339*'Gübre oranlar'!Q$2</f>
        <v>0</v>
      </c>
      <c r="O339">
        <f>'Kullanılan gübre'!O339*'Gübre oranlar'!R$2</f>
        <v>0</v>
      </c>
      <c r="P339">
        <f>'Kullanılan gübre'!P339*'Gübre oranlar'!S$2</f>
        <v>0</v>
      </c>
      <c r="Q339">
        <f>'Kullanılan gübre'!Q339*'Gübre oranlar'!T$2</f>
        <v>0</v>
      </c>
      <c r="R339">
        <f>'Kullanılan gübre'!R339*'Gübre oranlar'!U$2</f>
        <v>0</v>
      </c>
      <c r="S339">
        <f>'Kullanılan gübre'!S339*'Gübre oranlar'!V$2</f>
        <v>0</v>
      </c>
      <c r="T339">
        <f>'Kullanılan gübre'!T339*'Gübre oranlar'!W$2</f>
        <v>0</v>
      </c>
      <c r="U339">
        <f>'Kullanılan gübre'!U339*'Gübre oranlar'!X$2</f>
        <v>0</v>
      </c>
      <c r="V339">
        <f>'Kullanılan gübre'!V339*'Gübre oranlar'!Y$2</f>
        <v>0</v>
      </c>
      <c r="W339">
        <f>'Kullanılan gübre'!W339*'Gübre oranlar'!Z$2</f>
        <v>0</v>
      </c>
      <c r="X339">
        <f>'Kullanılan gübre'!X339*'Gübre oranlar'!AA$2</f>
        <v>0</v>
      </c>
      <c r="Y339">
        <f>'Kullanılan gübre'!Y339*'Gübre oranlar'!AB$2</f>
        <v>0</v>
      </c>
      <c r="Z339">
        <f>'Kullanılan gübre'!Z339*'Gübre oranlar'!AC$2</f>
        <v>0</v>
      </c>
      <c r="AA339">
        <f>'Kullanılan gübre'!AA339*'Gübre oranlar'!AD$2</f>
        <v>0</v>
      </c>
      <c r="AB339">
        <f>'Kullanılan gübre'!AB339*'Gübre oranlar'!AE$2</f>
        <v>0</v>
      </c>
      <c r="AC339">
        <f>'Kullanılan gübre'!AC339*'Gübre oranlar'!AF$2</f>
        <v>0</v>
      </c>
      <c r="AD339">
        <f>'Kullanılan gübre'!AD339*'Gübre oranlar'!AG$2</f>
        <v>0</v>
      </c>
      <c r="AE339">
        <f>'Kullanılan gübre'!AE339*'Gübre oranlar'!AH$2</f>
        <v>0</v>
      </c>
      <c r="AF339">
        <f>'Kullanılan gübre'!AF339*'Gübre oranlar'!AI$2</f>
        <v>0</v>
      </c>
      <c r="AG339">
        <f>'Kullanılan gübre'!AG339*'Gübre oranlar'!AJ$2</f>
        <v>0</v>
      </c>
      <c r="AH339">
        <f>'Kullanılan gübre'!AH339*'Gübre oranlar'!AK$2</f>
        <v>0</v>
      </c>
      <c r="AI339">
        <f>'Kullanılan gübre'!AI339*'Gübre oranlar'!AL$2</f>
        <v>0</v>
      </c>
      <c r="AJ339">
        <f>'Kullanılan gübre'!AJ339*'Gübre oranlar'!AM$2</f>
        <v>0</v>
      </c>
      <c r="AK339">
        <f>'Kullanılan gübre'!AK339*'Gübre oranlar'!AN$2</f>
        <v>0</v>
      </c>
      <c r="AL339">
        <f>'Kullanılan gübre'!AL339*'Gübre oranlar'!AO$2</f>
        <v>0</v>
      </c>
      <c r="AM339">
        <f>'Kullanılan gübre'!AM339*'Gübre oranlar'!AP$2</f>
        <v>0</v>
      </c>
      <c r="AN339">
        <f>'Kullanılan gübre'!AN339*'Gübre oranlar'!AQ$2</f>
        <v>0</v>
      </c>
      <c r="AO339">
        <f>'Kullanılan gübre'!AO339*'Gübre oranlar'!AR$2</f>
        <v>0</v>
      </c>
      <c r="AP339">
        <f>'Kullanılan gübre'!AP339*'Gübre oranlar'!AS$2</f>
        <v>0</v>
      </c>
      <c r="AQ339">
        <f>'Kullanılan gübre'!AQ339*'Gübre oranlar'!AT$2</f>
        <v>0</v>
      </c>
      <c r="AR339">
        <f>'Kullanılan gübre'!AR339*'Gübre oranlar'!AU$2</f>
        <v>0</v>
      </c>
      <c r="AS339">
        <f>'Kullanılan gübre'!AS339*'Gübre oranlar'!AV$2</f>
        <v>0</v>
      </c>
      <c r="AT339">
        <f>'Kullanılan gübre'!AT339*'Gübre oranlar'!AW$2</f>
        <v>0</v>
      </c>
      <c r="AU339">
        <f>'Kullanılan gübre'!AU339*'Gübre oranlar'!AX$2</f>
        <v>0</v>
      </c>
      <c r="AV339">
        <f>'Kullanılan gübre'!AV339*'Gübre oranlar'!AY$2</f>
        <v>0</v>
      </c>
      <c r="AW339">
        <f t="shared" si="5"/>
        <v>281.82349999999997</v>
      </c>
    </row>
    <row r="340" spans="1:49" hidden="1" x14ac:dyDescent="0.25">
      <c r="A340" t="str">
        <f>'Kullanılan gübre'!A340</f>
        <v>YI</v>
      </c>
      <c r="B340" t="str">
        <f>'Kullanılan gübre'!B340</f>
        <v>TOKAT</v>
      </c>
      <c r="C340" t="str">
        <f>'Kullanılan gübre'!C340</f>
        <v>TURHAL</v>
      </c>
      <c r="D340">
        <f>'Kullanılan gübre'!D340</f>
        <v>2011</v>
      </c>
      <c r="E340">
        <f>'Kullanılan gübre'!E340*'Gübre oranlar'!H$2</f>
        <v>5.8379999999999992</v>
      </c>
      <c r="F340">
        <f>'Kullanılan gübre'!F340*'Gübre oranlar'!I$2</f>
        <v>202.16299999999998</v>
      </c>
      <c r="G340">
        <f>'Kullanılan gübre'!G340*'Gübre oranlar'!J$2</f>
        <v>381.81</v>
      </c>
      <c r="H340">
        <f>'Kullanılan gübre'!H340*'Gübre oranlar'!K$2</f>
        <v>313.60500000000002</v>
      </c>
      <c r="I340">
        <f>'Kullanılan gübre'!I340*'Gübre oranlar'!L$2</f>
        <v>0</v>
      </c>
      <c r="J340">
        <f>'Kullanılan gübre'!J340*'Gübre oranlar'!M$2</f>
        <v>64.790999999999997</v>
      </c>
      <c r="K340">
        <f>'Kullanılan gübre'!K340*'Gübre oranlar'!N$2</f>
        <v>50.39</v>
      </c>
      <c r="L340">
        <f>'Kullanılan gübre'!L340*'Gübre oranlar'!O$2</f>
        <v>28.1</v>
      </c>
      <c r="M340">
        <f>'Kullanılan gübre'!M340*'Gübre oranlar'!P$2</f>
        <v>0</v>
      </c>
      <c r="N340">
        <f>'Kullanılan gübre'!N340*'Gübre oranlar'!Q$2</f>
        <v>6.45</v>
      </c>
      <c r="O340">
        <f>'Kullanılan gübre'!O340*'Gübre oranlar'!R$2</f>
        <v>0</v>
      </c>
      <c r="P340">
        <f>'Kullanılan gübre'!P340*'Gübre oranlar'!S$2</f>
        <v>1.0529999999999999</v>
      </c>
      <c r="Q340">
        <f>'Kullanılan gübre'!Q340*'Gübre oranlar'!T$2</f>
        <v>85.8</v>
      </c>
      <c r="R340">
        <f>'Kullanılan gübre'!R340*'Gübre oranlar'!U$2</f>
        <v>0</v>
      </c>
      <c r="S340">
        <f>'Kullanılan gübre'!S340*'Gübre oranlar'!V$2</f>
        <v>0</v>
      </c>
      <c r="T340">
        <f>'Kullanılan gübre'!T340*'Gübre oranlar'!W$2</f>
        <v>0</v>
      </c>
      <c r="U340">
        <f>'Kullanılan gübre'!U340*'Gübre oranlar'!X$2</f>
        <v>0</v>
      </c>
      <c r="V340">
        <f>'Kullanılan gübre'!V340*'Gübre oranlar'!Y$2</f>
        <v>0</v>
      </c>
      <c r="W340">
        <f>'Kullanılan gübre'!W340*'Gübre oranlar'!Z$2</f>
        <v>0</v>
      </c>
      <c r="X340">
        <f>'Kullanılan gübre'!X340*'Gübre oranlar'!AA$2</f>
        <v>0</v>
      </c>
      <c r="Y340">
        <f>'Kullanılan gübre'!Y340*'Gübre oranlar'!AB$2</f>
        <v>0</v>
      </c>
      <c r="Z340">
        <f>'Kullanılan gübre'!Z340*'Gübre oranlar'!AC$2</f>
        <v>0</v>
      </c>
      <c r="AA340">
        <f>'Kullanılan gübre'!AA340*'Gübre oranlar'!AD$2</f>
        <v>0</v>
      </c>
      <c r="AB340">
        <f>'Kullanılan gübre'!AB340*'Gübre oranlar'!AE$2</f>
        <v>0</v>
      </c>
      <c r="AC340">
        <f>'Kullanılan gübre'!AC340*'Gübre oranlar'!AF$2</f>
        <v>0</v>
      </c>
      <c r="AD340">
        <f>'Kullanılan gübre'!AD340*'Gübre oranlar'!AG$2</f>
        <v>0</v>
      </c>
      <c r="AE340">
        <f>'Kullanılan gübre'!AE340*'Gübre oranlar'!AH$2</f>
        <v>0</v>
      </c>
      <c r="AF340">
        <f>'Kullanılan gübre'!AF340*'Gübre oranlar'!AI$2</f>
        <v>0</v>
      </c>
      <c r="AG340">
        <f>'Kullanılan gübre'!AG340*'Gübre oranlar'!AJ$2</f>
        <v>0</v>
      </c>
      <c r="AH340">
        <f>'Kullanılan gübre'!AH340*'Gübre oranlar'!AK$2</f>
        <v>0</v>
      </c>
      <c r="AI340">
        <f>'Kullanılan gübre'!AI340*'Gübre oranlar'!AL$2</f>
        <v>0</v>
      </c>
      <c r="AJ340">
        <f>'Kullanılan gübre'!AJ340*'Gübre oranlar'!AM$2</f>
        <v>0</v>
      </c>
      <c r="AK340">
        <f>'Kullanılan gübre'!AK340*'Gübre oranlar'!AN$2</f>
        <v>0</v>
      </c>
      <c r="AL340">
        <f>'Kullanılan gübre'!AL340*'Gübre oranlar'!AO$2</f>
        <v>0</v>
      </c>
      <c r="AM340">
        <f>'Kullanılan gübre'!AM340*'Gübre oranlar'!AP$2</f>
        <v>0</v>
      </c>
      <c r="AN340">
        <f>'Kullanılan gübre'!AN340*'Gübre oranlar'!AQ$2</f>
        <v>0</v>
      </c>
      <c r="AO340">
        <f>'Kullanılan gübre'!AO340*'Gübre oranlar'!AR$2</f>
        <v>0</v>
      </c>
      <c r="AP340">
        <f>'Kullanılan gübre'!AP340*'Gübre oranlar'!AS$2</f>
        <v>0</v>
      </c>
      <c r="AQ340">
        <f>'Kullanılan gübre'!AQ340*'Gübre oranlar'!AT$2</f>
        <v>0</v>
      </c>
      <c r="AR340">
        <f>'Kullanılan gübre'!AR340*'Gübre oranlar'!AU$2</f>
        <v>0</v>
      </c>
      <c r="AS340">
        <f>'Kullanılan gübre'!AS340*'Gübre oranlar'!AV$2</f>
        <v>0</v>
      </c>
      <c r="AT340">
        <f>'Kullanılan gübre'!AT340*'Gübre oranlar'!AW$2</f>
        <v>0</v>
      </c>
      <c r="AU340">
        <f>'Kullanılan gübre'!AU340*'Gübre oranlar'!AX$2</f>
        <v>0</v>
      </c>
      <c r="AV340">
        <f>'Kullanılan gübre'!AV340*'Gübre oranlar'!AY$2</f>
        <v>0</v>
      </c>
      <c r="AW340">
        <f t="shared" si="5"/>
        <v>1140</v>
      </c>
    </row>
    <row r="341" spans="1:49" hidden="1" x14ac:dyDescent="0.25">
      <c r="A341" t="str">
        <f>'Kullanılan gübre'!A341</f>
        <v>YI</v>
      </c>
      <c r="B341" t="str">
        <f>'Kullanılan gübre'!B341</f>
        <v>TOKAT</v>
      </c>
      <c r="C341" t="str">
        <f>'Kullanılan gübre'!C341</f>
        <v>YESILYURT</v>
      </c>
      <c r="D341">
        <f>'Kullanılan gübre'!D341</f>
        <v>2011</v>
      </c>
      <c r="E341">
        <f>'Kullanılan gübre'!E341*'Gübre oranlar'!H$2</f>
        <v>0</v>
      </c>
      <c r="F341">
        <f>'Kullanılan gübre'!F341*'Gübre oranlar'!I$2</f>
        <v>57.330000000000005</v>
      </c>
      <c r="G341">
        <f>'Kullanılan gübre'!G341*'Gübre oranlar'!J$2</f>
        <v>85.816500000000005</v>
      </c>
      <c r="H341">
        <f>'Kullanılan gübre'!H341*'Gübre oranlar'!K$2</f>
        <v>44.712000000000003</v>
      </c>
      <c r="I341">
        <f>'Kullanılan gübre'!I341*'Gübre oranlar'!L$2</f>
        <v>0</v>
      </c>
      <c r="J341">
        <f>'Kullanılan gübre'!J341*'Gübre oranlar'!M$2</f>
        <v>33.147000000000006</v>
      </c>
      <c r="K341">
        <f>'Kullanılan gübre'!K341*'Gübre oranlar'!N$2</f>
        <v>13.590000000000002</v>
      </c>
      <c r="L341">
        <f>'Kullanılan gübre'!L341*'Gübre oranlar'!O$2</f>
        <v>7.6099999999999994</v>
      </c>
      <c r="M341">
        <f>'Kullanılan gübre'!M341*'Gübre oranlar'!P$2</f>
        <v>0</v>
      </c>
      <c r="N341">
        <f>'Kullanılan gübre'!N341*'Gübre oranlar'!Q$2</f>
        <v>8.1</v>
      </c>
      <c r="O341">
        <f>'Kullanılan gübre'!O341*'Gübre oranlar'!R$2</f>
        <v>0</v>
      </c>
      <c r="P341">
        <f>'Kullanılan gübre'!P341*'Gübre oranlar'!S$2</f>
        <v>0</v>
      </c>
      <c r="Q341">
        <f>'Kullanılan gübre'!Q341*'Gübre oranlar'!T$2</f>
        <v>0</v>
      </c>
      <c r="R341">
        <f>'Kullanılan gübre'!R341*'Gübre oranlar'!U$2</f>
        <v>0</v>
      </c>
      <c r="S341">
        <f>'Kullanılan gübre'!S341*'Gübre oranlar'!V$2</f>
        <v>0</v>
      </c>
      <c r="T341">
        <f>'Kullanılan gübre'!T341*'Gübre oranlar'!W$2</f>
        <v>0</v>
      </c>
      <c r="U341">
        <f>'Kullanılan gübre'!U341*'Gübre oranlar'!X$2</f>
        <v>0</v>
      </c>
      <c r="V341">
        <f>'Kullanılan gübre'!V341*'Gübre oranlar'!Y$2</f>
        <v>0</v>
      </c>
      <c r="W341">
        <f>'Kullanılan gübre'!W341*'Gübre oranlar'!Z$2</f>
        <v>0</v>
      </c>
      <c r="X341">
        <f>'Kullanılan gübre'!X341*'Gübre oranlar'!AA$2</f>
        <v>0</v>
      </c>
      <c r="Y341">
        <f>'Kullanılan gübre'!Y341*'Gübre oranlar'!AB$2</f>
        <v>0</v>
      </c>
      <c r="Z341">
        <f>'Kullanılan gübre'!Z341*'Gübre oranlar'!AC$2</f>
        <v>0</v>
      </c>
      <c r="AA341">
        <f>'Kullanılan gübre'!AA341*'Gübre oranlar'!AD$2</f>
        <v>0</v>
      </c>
      <c r="AB341">
        <f>'Kullanılan gübre'!AB341*'Gübre oranlar'!AE$2</f>
        <v>0</v>
      </c>
      <c r="AC341">
        <f>'Kullanılan gübre'!AC341*'Gübre oranlar'!AF$2</f>
        <v>0</v>
      </c>
      <c r="AD341">
        <f>'Kullanılan gübre'!AD341*'Gübre oranlar'!AG$2</f>
        <v>0</v>
      </c>
      <c r="AE341">
        <f>'Kullanılan gübre'!AE341*'Gübre oranlar'!AH$2</f>
        <v>0</v>
      </c>
      <c r="AF341">
        <f>'Kullanılan gübre'!AF341*'Gübre oranlar'!AI$2</f>
        <v>0</v>
      </c>
      <c r="AG341">
        <f>'Kullanılan gübre'!AG341*'Gübre oranlar'!AJ$2</f>
        <v>0</v>
      </c>
      <c r="AH341">
        <f>'Kullanılan gübre'!AH341*'Gübre oranlar'!AK$2</f>
        <v>0</v>
      </c>
      <c r="AI341">
        <f>'Kullanılan gübre'!AI341*'Gübre oranlar'!AL$2</f>
        <v>0</v>
      </c>
      <c r="AJ341">
        <f>'Kullanılan gübre'!AJ341*'Gübre oranlar'!AM$2</f>
        <v>0</v>
      </c>
      <c r="AK341">
        <f>'Kullanılan gübre'!AK341*'Gübre oranlar'!AN$2</f>
        <v>0</v>
      </c>
      <c r="AL341">
        <f>'Kullanılan gübre'!AL341*'Gübre oranlar'!AO$2</f>
        <v>0</v>
      </c>
      <c r="AM341">
        <f>'Kullanılan gübre'!AM341*'Gübre oranlar'!AP$2</f>
        <v>0</v>
      </c>
      <c r="AN341">
        <f>'Kullanılan gübre'!AN341*'Gübre oranlar'!AQ$2</f>
        <v>0</v>
      </c>
      <c r="AO341">
        <f>'Kullanılan gübre'!AO341*'Gübre oranlar'!AR$2</f>
        <v>0</v>
      </c>
      <c r="AP341">
        <f>'Kullanılan gübre'!AP341*'Gübre oranlar'!AS$2</f>
        <v>0</v>
      </c>
      <c r="AQ341">
        <f>'Kullanılan gübre'!AQ341*'Gübre oranlar'!AT$2</f>
        <v>0</v>
      </c>
      <c r="AR341">
        <f>'Kullanılan gübre'!AR341*'Gübre oranlar'!AU$2</f>
        <v>0</v>
      </c>
      <c r="AS341">
        <f>'Kullanılan gübre'!AS341*'Gübre oranlar'!AV$2</f>
        <v>0</v>
      </c>
      <c r="AT341">
        <f>'Kullanılan gübre'!AT341*'Gübre oranlar'!AW$2</f>
        <v>0</v>
      </c>
      <c r="AU341">
        <f>'Kullanılan gübre'!AU341*'Gübre oranlar'!AX$2</f>
        <v>0</v>
      </c>
      <c r="AV341">
        <f>'Kullanılan gübre'!AV341*'Gübre oranlar'!AY$2</f>
        <v>0</v>
      </c>
      <c r="AW341">
        <f t="shared" si="5"/>
        <v>250.30549999999997</v>
      </c>
    </row>
    <row r="342" spans="1:49" hidden="1" x14ac:dyDescent="0.25">
      <c r="A342" t="str">
        <f>'Kullanılan gübre'!A342</f>
        <v>YI</v>
      </c>
      <c r="B342" t="str">
        <f>'Kullanılan gübre'!B342</f>
        <v>TOKAT</v>
      </c>
      <c r="C342" t="str">
        <f>'Kullanılan gübre'!C342</f>
        <v>ZILE</v>
      </c>
      <c r="D342">
        <f>'Kullanılan gübre'!D342</f>
        <v>2011</v>
      </c>
      <c r="E342">
        <f>'Kullanılan gübre'!E342*'Gübre oranlar'!H$2</f>
        <v>67.338599999999985</v>
      </c>
      <c r="F342">
        <f>'Kullanılan gübre'!F342*'Gübre oranlar'!I$2</f>
        <v>885.32600000000014</v>
      </c>
      <c r="G342">
        <f>'Kullanılan gübre'!G342*'Gübre oranlar'!J$2</f>
        <v>463.79850000000005</v>
      </c>
      <c r="H342">
        <f>'Kullanılan gübre'!H342*'Gübre oranlar'!K$2</f>
        <v>555.31200000000001</v>
      </c>
      <c r="I342">
        <f>'Kullanılan gübre'!I342*'Gübre oranlar'!L$2</f>
        <v>0</v>
      </c>
      <c r="J342">
        <f>'Kullanılan gübre'!J342*'Gübre oranlar'!M$2</f>
        <v>278.36099999999999</v>
      </c>
      <c r="K342">
        <f>'Kullanılan gübre'!K342*'Gübre oranlar'!N$2</f>
        <v>635.73</v>
      </c>
      <c r="L342">
        <f>'Kullanılan gübre'!L342*'Gübre oranlar'!O$2</f>
        <v>389.58000000000004</v>
      </c>
      <c r="M342">
        <f>'Kullanılan gübre'!M342*'Gübre oranlar'!P$2</f>
        <v>23.482500000000002</v>
      </c>
      <c r="N342">
        <f>'Kullanılan gübre'!N342*'Gübre oranlar'!Q$2</f>
        <v>3.7124999999999999</v>
      </c>
      <c r="O342">
        <f>'Kullanılan gübre'!O342*'Gübre oranlar'!R$2</f>
        <v>0</v>
      </c>
      <c r="P342">
        <f>'Kullanılan gübre'!P342*'Gübre oranlar'!S$2</f>
        <v>0</v>
      </c>
      <c r="Q342">
        <f>'Kullanılan gübre'!Q342*'Gübre oranlar'!T$2</f>
        <v>0</v>
      </c>
      <c r="R342">
        <f>'Kullanılan gübre'!R342*'Gübre oranlar'!U$2</f>
        <v>0</v>
      </c>
      <c r="S342">
        <f>'Kullanılan gübre'!S342*'Gübre oranlar'!V$2</f>
        <v>0</v>
      </c>
      <c r="T342">
        <f>'Kullanılan gübre'!T342*'Gübre oranlar'!W$2</f>
        <v>0</v>
      </c>
      <c r="U342">
        <f>'Kullanılan gübre'!U342*'Gübre oranlar'!X$2</f>
        <v>0</v>
      </c>
      <c r="V342">
        <f>'Kullanılan gübre'!V342*'Gübre oranlar'!Y$2</f>
        <v>0</v>
      </c>
      <c r="W342">
        <f>'Kullanılan gübre'!W342*'Gübre oranlar'!Z$2</f>
        <v>0</v>
      </c>
      <c r="X342">
        <f>'Kullanılan gübre'!X342*'Gübre oranlar'!AA$2</f>
        <v>0</v>
      </c>
      <c r="Y342">
        <f>'Kullanılan gübre'!Y342*'Gübre oranlar'!AB$2</f>
        <v>0</v>
      </c>
      <c r="Z342">
        <f>'Kullanılan gübre'!Z342*'Gübre oranlar'!AC$2</f>
        <v>0</v>
      </c>
      <c r="AA342">
        <f>'Kullanılan gübre'!AA342*'Gübre oranlar'!AD$2</f>
        <v>0</v>
      </c>
      <c r="AB342">
        <f>'Kullanılan gübre'!AB342*'Gübre oranlar'!AE$2</f>
        <v>0</v>
      </c>
      <c r="AC342">
        <f>'Kullanılan gübre'!AC342*'Gübre oranlar'!AF$2</f>
        <v>0</v>
      </c>
      <c r="AD342">
        <f>'Kullanılan gübre'!AD342*'Gübre oranlar'!AG$2</f>
        <v>0</v>
      </c>
      <c r="AE342">
        <f>'Kullanılan gübre'!AE342*'Gübre oranlar'!AH$2</f>
        <v>0</v>
      </c>
      <c r="AF342">
        <f>'Kullanılan gübre'!AF342*'Gübre oranlar'!AI$2</f>
        <v>0</v>
      </c>
      <c r="AG342">
        <f>'Kullanılan gübre'!AG342*'Gübre oranlar'!AJ$2</f>
        <v>0</v>
      </c>
      <c r="AH342">
        <f>'Kullanılan gübre'!AH342*'Gübre oranlar'!AK$2</f>
        <v>0</v>
      </c>
      <c r="AI342">
        <f>'Kullanılan gübre'!AI342*'Gübre oranlar'!AL$2</f>
        <v>0</v>
      </c>
      <c r="AJ342">
        <f>'Kullanılan gübre'!AJ342*'Gübre oranlar'!AM$2</f>
        <v>0</v>
      </c>
      <c r="AK342">
        <f>'Kullanılan gübre'!AK342*'Gübre oranlar'!AN$2</f>
        <v>0</v>
      </c>
      <c r="AL342">
        <f>'Kullanılan gübre'!AL342*'Gübre oranlar'!AO$2</f>
        <v>0</v>
      </c>
      <c r="AM342">
        <f>'Kullanılan gübre'!AM342*'Gübre oranlar'!AP$2</f>
        <v>0</v>
      </c>
      <c r="AN342">
        <f>'Kullanılan gübre'!AN342*'Gübre oranlar'!AQ$2</f>
        <v>0</v>
      </c>
      <c r="AO342">
        <f>'Kullanılan gübre'!AO342*'Gübre oranlar'!AR$2</f>
        <v>0</v>
      </c>
      <c r="AP342">
        <f>'Kullanılan gübre'!AP342*'Gübre oranlar'!AS$2</f>
        <v>0</v>
      </c>
      <c r="AQ342">
        <f>'Kullanılan gübre'!AQ342*'Gübre oranlar'!AT$2</f>
        <v>0</v>
      </c>
      <c r="AR342">
        <f>'Kullanılan gübre'!AR342*'Gübre oranlar'!AU$2</f>
        <v>0</v>
      </c>
      <c r="AS342">
        <f>'Kullanılan gübre'!AS342*'Gübre oranlar'!AV$2</f>
        <v>0</v>
      </c>
      <c r="AT342">
        <f>'Kullanılan gübre'!AT342*'Gübre oranlar'!AW$2</f>
        <v>0</v>
      </c>
      <c r="AU342">
        <f>'Kullanılan gübre'!AU342*'Gübre oranlar'!AX$2</f>
        <v>0</v>
      </c>
      <c r="AV342">
        <f>'Kullanılan gübre'!AV342*'Gübre oranlar'!AY$2</f>
        <v>0</v>
      </c>
      <c r="AW342">
        <f t="shared" si="5"/>
        <v>3302.6411000000003</v>
      </c>
    </row>
    <row r="343" spans="1:49" hidden="1" x14ac:dyDescent="0.25">
      <c r="A343" t="str">
        <f>'Kullanılan gübre'!A343</f>
        <v>YI</v>
      </c>
      <c r="B343" t="str">
        <f>'Kullanılan gübre'!B343</f>
        <v>TOKAT</v>
      </c>
      <c r="C343" t="str">
        <f>'Kullanılan gübre'!C343</f>
        <v>MERKEZ</v>
      </c>
      <c r="D343">
        <f>'Kullanılan gübre'!D343</f>
        <v>2012</v>
      </c>
      <c r="E343">
        <f>'Kullanılan gübre'!E343*'Gübre oranlar'!H$2</f>
        <v>42.997500000000002</v>
      </c>
      <c r="F343">
        <f>'Kullanılan gübre'!F343*'Gübre oranlar'!I$2</f>
        <v>260.32500000000005</v>
      </c>
      <c r="G343">
        <f>'Kullanılan gübre'!G343*'Gübre oranlar'!J$2</f>
        <v>624.07950000000005</v>
      </c>
      <c r="H343">
        <f>'Kullanılan gübre'!H343*'Gübre oranlar'!K$2</f>
        <v>379.36200000000002</v>
      </c>
      <c r="I343">
        <f>'Kullanılan gübre'!I343*'Gübre oranlar'!L$2</f>
        <v>0</v>
      </c>
      <c r="J343">
        <f>'Kullanılan gübre'!J343*'Gübre oranlar'!M$2</f>
        <v>149.166</v>
      </c>
      <c r="K343">
        <f>'Kullanılan gübre'!K343*'Gübre oranlar'!N$2</f>
        <v>47.17</v>
      </c>
      <c r="L343">
        <f>'Kullanılan gübre'!L343*'Gübre oranlar'!O$2</f>
        <v>61.650000000000006</v>
      </c>
      <c r="M343">
        <f>'Kullanılan gübre'!M343*'Gübre oranlar'!P$2</f>
        <v>45.120000000000012</v>
      </c>
      <c r="N343">
        <f>'Kullanılan gübre'!N343*'Gübre oranlar'!Q$2</f>
        <v>39.232500000000002</v>
      </c>
      <c r="O343">
        <f>'Kullanılan gübre'!O343*'Gübre oranlar'!R$2</f>
        <v>0</v>
      </c>
      <c r="P343">
        <f>'Kullanılan gübre'!P343*'Gübre oranlar'!S$2</f>
        <v>7.8454999999999995</v>
      </c>
      <c r="Q343">
        <f>'Kullanılan gübre'!Q343*'Gübre oranlar'!T$2</f>
        <v>2.52</v>
      </c>
      <c r="R343">
        <f>'Kullanılan gübre'!R343*'Gübre oranlar'!U$2</f>
        <v>0</v>
      </c>
      <c r="S343">
        <f>'Kullanılan gübre'!S343*'Gübre oranlar'!V$2</f>
        <v>0</v>
      </c>
      <c r="T343">
        <f>'Kullanılan gübre'!T343*'Gübre oranlar'!W$2</f>
        <v>0</v>
      </c>
      <c r="U343">
        <f>'Kullanılan gübre'!U343*'Gübre oranlar'!X$2</f>
        <v>0</v>
      </c>
      <c r="V343">
        <f>'Kullanılan gübre'!V343*'Gübre oranlar'!Y$2</f>
        <v>0</v>
      </c>
      <c r="W343">
        <f>'Kullanılan gübre'!W343*'Gübre oranlar'!Z$2</f>
        <v>0</v>
      </c>
      <c r="X343">
        <f>'Kullanılan gübre'!X343*'Gübre oranlar'!AA$2</f>
        <v>0</v>
      </c>
      <c r="Y343">
        <f>'Kullanılan gübre'!Y343*'Gübre oranlar'!AB$2</f>
        <v>0</v>
      </c>
      <c r="Z343">
        <f>'Kullanılan gübre'!Z343*'Gübre oranlar'!AC$2</f>
        <v>0</v>
      </c>
      <c r="AA343">
        <f>'Kullanılan gübre'!AA343*'Gübre oranlar'!AD$2</f>
        <v>0</v>
      </c>
      <c r="AB343">
        <f>'Kullanılan gübre'!AB343*'Gübre oranlar'!AE$2</f>
        <v>0</v>
      </c>
      <c r="AC343">
        <f>'Kullanılan gübre'!AC343*'Gübre oranlar'!AF$2</f>
        <v>0</v>
      </c>
      <c r="AD343">
        <f>'Kullanılan gübre'!AD343*'Gübre oranlar'!AG$2</f>
        <v>0</v>
      </c>
      <c r="AE343">
        <f>'Kullanılan gübre'!AE343*'Gübre oranlar'!AH$2</f>
        <v>0</v>
      </c>
      <c r="AF343">
        <f>'Kullanılan gübre'!AF343*'Gübre oranlar'!AI$2</f>
        <v>0</v>
      </c>
      <c r="AG343">
        <f>'Kullanılan gübre'!AG343*'Gübre oranlar'!AJ$2</f>
        <v>0</v>
      </c>
      <c r="AH343">
        <f>'Kullanılan gübre'!AH343*'Gübre oranlar'!AK$2</f>
        <v>0</v>
      </c>
      <c r="AI343">
        <f>'Kullanılan gübre'!AI343*'Gübre oranlar'!AL$2</f>
        <v>0</v>
      </c>
      <c r="AJ343">
        <f>'Kullanılan gübre'!AJ343*'Gübre oranlar'!AM$2</f>
        <v>0</v>
      </c>
      <c r="AK343">
        <f>'Kullanılan gübre'!AK343*'Gübre oranlar'!AN$2</f>
        <v>0</v>
      </c>
      <c r="AL343">
        <f>'Kullanılan gübre'!AL343*'Gübre oranlar'!AO$2</f>
        <v>0</v>
      </c>
      <c r="AM343">
        <f>'Kullanılan gübre'!AM343*'Gübre oranlar'!AP$2</f>
        <v>0</v>
      </c>
      <c r="AN343">
        <f>'Kullanılan gübre'!AN343*'Gübre oranlar'!AQ$2</f>
        <v>0</v>
      </c>
      <c r="AO343">
        <f>'Kullanılan gübre'!AO343*'Gübre oranlar'!AR$2</f>
        <v>0</v>
      </c>
      <c r="AP343">
        <f>'Kullanılan gübre'!AP343*'Gübre oranlar'!AS$2</f>
        <v>0</v>
      </c>
      <c r="AQ343">
        <f>'Kullanılan gübre'!AQ343*'Gübre oranlar'!AT$2</f>
        <v>0</v>
      </c>
      <c r="AR343">
        <f>'Kullanılan gübre'!AR343*'Gübre oranlar'!AU$2</f>
        <v>0</v>
      </c>
      <c r="AS343">
        <f>'Kullanılan gübre'!AS343*'Gübre oranlar'!AV$2</f>
        <v>0</v>
      </c>
      <c r="AT343">
        <f>'Kullanılan gübre'!AT343*'Gübre oranlar'!AW$2</f>
        <v>0</v>
      </c>
      <c r="AU343">
        <f>'Kullanılan gübre'!AU343*'Gübre oranlar'!AX$2</f>
        <v>0</v>
      </c>
      <c r="AV343">
        <f>'Kullanılan gübre'!AV343*'Gübre oranlar'!AY$2</f>
        <v>0</v>
      </c>
      <c r="AW343">
        <f t="shared" si="5"/>
        <v>1659.4680000000003</v>
      </c>
    </row>
    <row r="344" spans="1:49" hidden="1" x14ac:dyDescent="0.25">
      <c r="A344" t="str">
        <f>'Kullanılan gübre'!A344</f>
        <v>YI</v>
      </c>
      <c r="B344" t="str">
        <f>'Kullanılan gübre'!B344</f>
        <v>TOKAT</v>
      </c>
      <c r="C344" t="str">
        <f>'Kullanılan gübre'!C344</f>
        <v>ALMUS</v>
      </c>
      <c r="D344">
        <f>'Kullanılan gübre'!D344</f>
        <v>2012</v>
      </c>
      <c r="E344">
        <f>'Kullanılan gübre'!E344*'Gübre oranlar'!H$2</f>
        <v>0</v>
      </c>
      <c r="F344">
        <f>'Kullanılan gübre'!F344*'Gübre oranlar'!I$2</f>
        <v>7.8000000000000007</v>
      </c>
      <c r="G344">
        <f>'Kullanılan gübre'!G344*'Gübre oranlar'!J$2</f>
        <v>58.410000000000004</v>
      </c>
      <c r="H344">
        <f>'Kullanılan gübre'!H344*'Gübre oranlar'!K$2</f>
        <v>46.253</v>
      </c>
      <c r="I344">
        <f>'Kullanılan gübre'!I344*'Gübre oranlar'!L$2</f>
        <v>0</v>
      </c>
      <c r="J344">
        <f>'Kullanılan gübre'!J344*'Gübre oranlar'!M$2</f>
        <v>8.1809999999999992</v>
      </c>
      <c r="K344">
        <f>'Kullanılan gübre'!K344*'Gübre oranlar'!N$2</f>
        <v>1.7000000000000002</v>
      </c>
      <c r="L344">
        <f>'Kullanılan gübre'!L344*'Gübre oranlar'!O$2</f>
        <v>0</v>
      </c>
      <c r="M344">
        <f>'Kullanılan gübre'!M344*'Gübre oranlar'!P$2</f>
        <v>0</v>
      </c>
      <c r="N344">
        <f>'Kullanılan gübre'!N344*'Gübre oranlar'!Q$2</f>
        <v>0</v>
      </c>
      <c r="O344">
        <f>'Kullanılan gübre'!O344*'Gübre oranlar'!R$2</f>
        <v>0</v>
      </c>
      <c r="P344">
        <f>'Kullanılan gübre'!P344*'Gübre oranlar'!S$2</f>
        <v>0</v>
      </c>
      <c r="Q344">
        <f>'Kullanılan gübre'!Q344*'Gübre oranlar'!T$2</f>
        <v>0</v>
      </c>
      <c r="R344">
        <f>'Kullanılan gübre'!R344*'Gübre oranlar'!U$2</f>
        <v>0</v>
      </c>
      <c r="S344">
        <f>'Kullanılan gübre'!S344*'Gübre oranlar'!V$2</f>
        <v>0</v>
      </c>
      <c r="T344">
        <f>'Kullanılan gübre'!T344*'Gübre oranlar'!W$2</f>
        <v>0</v>
      </c>
      <c r="U344">
        <f>'Kullanılan gübre'!U344*'Gübre oranlar'!X$2</f>
        <v>0</v>
      </c>
      <c r="V344">
        <f>'Kullanılan gübre'!V344*'Gübre oranlar'!Y$2</f>
        <v>0</v>
      </c>
      <c r="W344">
        <f>'Kullanılan gübre'!W344*'Gübre oranlar'!Z$2</f>
        <v>0</v>
      </c>
      <c r="X344">
        <f>'Kullanılan gübre'!X344*'Gübre oranlar'!AA$2</f>
        <v>0</v>
      </c>
      <c r="Y344">
        <f>'Kullanılan gübre'!Y344*'Gübre oranlar'!AB$2</f>
        <v>0</v>
      </c>
      <c r="Z344">
        <f>'Kullanılan gübre'!Z344*'Gübre oranlar'!AC$2</f>
        <v>0</v>
      </c>
      <c r="AA344">
        <f>'Kullanılan gübre'!AA344*'Gübre oranlar'!AD$2</f>
        <v>0</v>
      </c>
      <c r="AB344">
        <f>'Kullanılan gübre'!AB344*'Gübre oranlar'!AE$2</f>
        <v>0</v>
      </c>
      <c r="AC344">
        <f>'Kullanılan gübre'!AC344*'Gübre oranlar'!AF$2</f>
        <v>0</v>
      </c>
      <c r="AD344">
        <f>'Kullanılan gübre'!AD344*'Gübre oranlar'!AG$2</f>
        <v>0</v>
      </c>
      <c r="AE344">
        <f>'Kullanılan gübre'!AE344*'Gübre oranlar'!AH$2</f>
        <v>0</v>
      </c>
      <c r="AF344">
        <f>'Kullanılan gübre'!AF344*'Gübre oranlar'!AI$2</f>
        <v>0</v>
      </c>
      <c r="AG344">
        <f>'Kullanılan gübre'!AG344*'Gübre oranlar'!AJ$2</f>
        <v>0</v>
      </c>
      <c r="AH344">
        <f>'Kullanılan gübre'!AH344*'Gübre oranlar'!AK$2</f>
        <v>0</v>
      </c>
      <c r="AI344">
        <f>'Kullanılan gübre'!AI344*'Gübre oranlar'!AL$2</f>
        <v>0</v>
      </c>
      <c r="AJ344">
        <f>'Kullanılan gübre'!AJ344*'Gübre oranlar'!AM$2</f>
        <v>0</v>
      </c>
      <c r="AK344">
        <f>'Kullanılan gübre'!AK344*'Gübre oranlar'!AN$2</f>
        <v>0</v>
      </c>
      <c r="AL344">
        <f>'Kullanılan gübre'!AL344*'Gübre oranlar'!AO$2</f>
        <v>0</v>
      </c>
      <c r="AM344">
        <f>'Kullanılan gübre'!AM344*'Gübre oranlar'!AP$2</f>
        <v>0</v>
      </c>
      <c r="AN344">
        <f>'Kullanılan gübre'!AN344*'Gübre oranlar'!AQ$2</f>
        <v>0</v>
      </c>
      <c r="AO344">
        <f>'Kullanılan gübre'!AO344*'Gübre oranlar'!AR$2</f>
        <v>0</v>
      </c>
      <c r="AP344">
        <f>'Kullanılan gübre'!AP344*'Gübre oranlar'!AS$2</f>
        <v>0</v>
      </c>
      <c r="AQ344">
        <f>'Kullanılan gübre'!AQ344*'Gübre oranlar'!AT$2</f>
        <v>0</v>
      </c>
      <c r="AR344">
        <f>'Kullanılan gübre'!AR344*'Gübre oranlar'!AU$2</f>
        <v>0</v>
      </c>
      <c r="AS344">
        <f>'Kullanılan gübre'!AS344*'Gübre oranlar'!AV$2</f>
        <v>0</v>
      </c>
      <c r="AT344">
        <f>'Kullanılan gübre'!AT344*'Gübre oranlar'!AW$2</f>
        <v>0</v>
      </c>
      <c r="AU344">
        <f>'Kullanılan gübre'!AU344*'Gübre oranlar'!AX$2</f>
        <v>0</v>
      </c>
      <c r="AV344">
        <f>'Kullanılan gübre'!AV344*'Gübre oranlar'!AY$2</f>
        <v>0</v>
      </c>
      <c r="AW344">
        <f t="shared" si="5"/>
        <v>122.34400000000001</v>
      </c>
    </row>
    <row r="345" spans="1:49" hidden="1" x14ac:dyDescent="0.25">
      <c r="A345" t="str">
        <f>'Kullanılan gübre'!A345</f>
        <v>YI</v>
      </c>
      <c r="B345" t="str">
        <f>'Kullanılan gübre'!B345</f>
        <v>TOKAT</v>
      </c>
      <c r="C345" t="str">
        <f>'Kullanılan gübre'!C345</f>
        <v>ARTOVA</v>
      </c>
      <c r="D345">
        <f>'Kullanılan gübre'!D345</f>
        <v>2012</v>
      </c>
      <c r="E345">
        <f>'Kullanılan gübre'!E345*'Gübre oranlar'!H$2</f>
        <v>21.588000000000001</v>
      </c>
      <c r="F345">
        <f>'Kullanılan gübre'!F345*'Gübre oranlar'!I$2</f>
        <v>94.445000000000007</v>
      </c>
      <c r="G345">
        <f>'Kullanılan gübre'!G345*'Gübre oranlar'!J$2</f>
        <v>41.580000000000005</v>
      </c>
      <c r="H345">
        <f>'Kullanılan gübre'!H345*'Gübre oranlar'!K$2</f>
        <v>6.7390000000000008</v>
      </c>
      <c r="I345">
        <f>'Kullanılan gübre'!I345*'Gübre oranlar'!L$2</f>
        <v>0</v>
      </c>
      <c r="J345">
        <f>'Kullanılan gübre'!J345*'Gübre oranlar'!M$2</f>
        <v>28.215</v>
      </c>
      <c r="K345">
        <f>'Kullanılan gübre'!K345*'Gübre oranlar'!N$2</f>
        <v>13.810000000000002</v>
      </c>
      <c r="L345">
        <f>'Kullanılan gübre'!L345*'Gübre oranlar'!O$2</f>
        <v>14.57</v>
      </c>
      <c r="M345">
        <f>'Kullanılan gübre'!M345*'Gübre oranlar'!P$2</f>
        <v>5.0999999999999996</v>
      </c>
      <c r="N345">
        <f>'Kullanılan gübre'!N345*'Gübre oranlar'!Q$2</f>
        <v>8.64</v>
      </c>
      <c r="O345">
        <f>'Kullanılan gübre'!O345*'Gübre oranlar'!R$2</f>
        <v>0</v>
      </c>
      <c r="P345">
        <f>'Kullanılan gübre'!P345*'Gübre oranlar'!S$2</f>
        <v>0</v>
      </c>
      <c r="Q345">
        <f>'Kullanılan gübre'!Q345*'Gübre oranlar'!T$2</f>
        <v>0</v>
      </c>
      <c r="R345">
        <f>'Kullanılan gübre'!R345*'Gübre oranlar'!U$2</f>
        <v>0</v>
      </c>
      <c r="S345">
        <f>'Kullanılan gübre'!S345*'Gübre oranlar'!V$2</f>
        <v>0</v>
      </c>
      <c r="T345">
        <f>'Kullanılan gübre'!T345*'Gübre oranlar'!W$2</f>
        <v>0</v>
      </c>
      <c r="U345">
        <f>'Kullanılan gübre'!U345*'Gübre oranlar'!X$2</f>
        <v>0</v>
      </c>
      <c r="V345">
        <f>'Kullanılan gübre'!V345*'Gübre oranlar'!Y$2</f>
        <v>0</v>
      </c>
      <c r="W345">
        <f>'Kullanılan gübre'!W345*'Gübre oranlar'!Z$2</f>
        <v>0</v>
      </c>
      <c r="X345">
        <f>'Kullanılan gübre'!X345*'Gübre oranlar'!AA$2</f>
        <v>0</v>
      </c>
      <c r="Y345">
        <f>'Kullanılan gübre'!Y345*'Gübre oranlar'!AB$2</f>
        <v>0</v>
      </c>
      <c r="Z345">
        <f>'Kullanılan gübre'!Z345*'Gübre oranlar'!AC$2</f>
        <v>0</v>
      </c>
      <c r="AA345">
        <f>'Kullanılan gübre'!AA345*'Gübre oranlar'!AD$2</f>
        <v>0</v>
      </c>
      <c r="AB345">
        <f>'Kullanılan gübre'!AB345*'Gübre oranlar'!AE$2</f>
        <v>0</v>
      </c>
      <c r="AC345">
        <f>'Kullanılan gübre'!AC345*'Gübre oranlar'!AF$2</f>
        <v>0</v>
      </c>
      <c r="AD345">
        <f>'Kullanılan gübre'!AD345*'Gübre oranlar'!AG$2</f>
        <v>0</v>
      </c>
      <c r="AE345">
        <f>'Kullanılan gübre'!AE345*'Gübre oranlar'!AH$2</f>
        <v>0</v>
      </c>
      <c r="AF345">
        <f>'Kullanılan gübre'!AF345*'Gübre oranlar'!AI$2</f>
        <v>0</v>
      </c>
      <c r="AG345">
        <f>'Kullanılan gübre'!AG345*'Gübre oranlar'!AJ$2</f>
        <v>0</v>
      </c>
      <c r="AH345">
        <f>'Kullanılan gübre'!AH345*'Gübre oranlar'!AK$2</f>
        <v>0</v>
      </c>
      <c r="AI345">
        <f>'Kullanılan gübre'!AI345*'Gübre oranlar'!AL$2</f>
        <v>0</v>
      </c>
      <c r="AJ345">
        <f>'Kullanılan gübre'!AJ345*'Gübre oranlar'!AM$2</f>
        <v>0</v>
      </c>
      <c r="AK345">
        <f>'Kullanılan gübre'!AK345*'Gübre oranlar'!AN$2</f>
        <v>0</v>
      </c>
      <c r="AL345">
        <f>'Kullanılan gübre'!AL345*'Gübre oranlar'!AO$2</f>
        <v>0</v>
      </c>
      <c r="AM345">
        <f>'Kullanılan gübre'!AM345*'Gübre oranlar'!AP$2</f>
        <v>0</v>
      </c>
      <c r="AN345">
        <f>'Kullanılan gübre'!AN345*'Gübre oranlar'!AQ$2</f>
        <v>0</v>
      </c>
      <c r="AO345">
        <f>'Kullanılan gübre'!AO345*'Gübre oranlar'!AR$2</f>
        <v>0</v>
      </c>
      <c r="AP345">
        <f>'Kullanılan gübre'!AP345*'Gübre oranlar'!AS$2</f>
        <v>0</v>
      </c>
      <c r="AQ345">
        <f>'Kullanılan gübre'!AQ345*'Gübre oranlar'!AT$2</f>
        <v>0</v>
      </c>
      <c r="AR345">
        <f>'Kullanılan gübre'!AR345*'Gübre oranlar'!AU$2</f>
        <v>0</v>
      </c>
      <c r="AS345">
        <f>'Kullanılan gübre'!AS345*'Gübre oranlar'!AV$2</f>
        <v>0</v>
      </c>
      <c r="AT345">
        <f>'Kullanılan gübre'!AT345*'Gübre oranlar'!AW$2</f>
        <v>0</v>
      </c>
      <c r="AU345">
        <f>'Kullanılan gübre'!AU345*'Gübre oranlar'!AX$2</f>
        <v>0</v>
      </c>
      <c r="AV345">
        <f>'Kullanılan gübre'!AV345*'Gübre oranlar'!AY$2</f>
        <v>0</v>
      </c>
      <c r="AW345">
        <f t="shared" si="5"/>
        <v>234.68700000000001</v>
      </c>
    </row>
    <row r="346" spans="1:49" hidden="1" x14ac:dyDescent="0.25">
      <c r="A346" t="str">
        <f>'Kullanılan gübre'!A346</f>
        <v>YI</v>
      </c>
      <c r="B346" t="str">
        <f>'Kullanılan gübre'!B346</f>
        <v>TOKAT</v>
      </c>
      <c r="C346" t="str">
        <f>'Kullanılan gübre'!C346</f>
        <v>BASCIFTLIK</v>
      </c>
      <c r="D346">
        <f>'Kullanılan gübre'!D346</f>
        <v>2012</v>
      </c>
      <c r="E346">
        <f>'Kullanılan gübre'!E346*'Gübre oranlar'!H$2</f>
        <v>0</v>
      </c>
      <c r="F346">
        <f>'Kullanılan gübre'!F346*'Gübre oranlar'!I$2</f>
        <v>0</v>
      </c>
      <c r="G346">
        <f>'Kullanılan gübre'!G346*'Gübre oranlar'!J$2</f>
        <v>0</v>
      </c>
      <c r="H346">
        <f>'Kullanılan gübre'!H346*'Gübre oranlar'!K$2</f>
        <v>0</v>
      </c>
      <c r="I346">
        <f>'Kullanılan gübre'!I346*'Gübre oranlar'!L$2</f>
        <v>0</v>
      </c>
      <c r="J346">
        <f>'Kullanılan gübre'!J346*'Gübre oranlar'!M$2</f>
        <v>0</v>
      </c>
      <c r="K346">
        <f>'Kullanılan gübre'!K346*'Gübre oranlar'!N$2</f>
        <v>0</v>
      </c>
      <c r="L346">
        <f>'Kullanılan gübre'!L346*'Gübre oranlar'!O$2</f>
        <v>0</v>
      </c>
      <c r="M346">
        <f>'Kullanılan gübre'!M346*'Gübre oranlar'!P$2</f>
        <v>0</v>
      </c>
      <c r="N346">
        <f>'Kullanılan gübre'!N346*'Gübre oranlar'!Q$2</f>
        <v>0</v>
      </c>
      <c r="O346">
        <f>'Kullanılan gübre'!O346*'Gübre oranlar'!R$2</f>
        <v>0</v>
      </c>
      <c r="P346">
        <f>'Kullanılan gübre'!P346*'Gübre oranlar'!S$2</f>
        <v>0</v>
      </c>
      <c r="Q346">
        <f>'Kullanılan gübre'!Q346*'Gübre oranlar'!T$2</f>
        <v>0</v>
      </c>
      <c r="R346">
        <f>'Kullanılan gübre'!R346*'Gübre oranlar'!U$2</f>
        <v>0</v>
      </c>
      <c r="S346">
        <f>'Kullanılan gübre'!S346*'Gübre oranlar'!V$2</f>
        <v>0</v>
      </c>
      <c r="T346">
        <f>'Kullanılan gübre'!T346*'Gübre oranlar'!W$2</f>
        <v>0</v>
      </c>
      <c r="U346">
        <f>'Kullanılan gübre'!U346*'Gübre oranlar'!X$2</f>
        <v>0</v>
      </c>
      <c r="V346">
        <f>'Kullanılan gübre'!V346*'Gübre oranlar'!Y$2</f>
        <v>0</v>
      </c>
      <c r="W346">
        <f>'Kullanılan gübre'!W346*'Gübre oranlar'!Z$2</f>
        <v>0</v>
      </c>
      <c r="X346">
        <f>'Kullanılan gübre'!X346*'Gübre oranlar'!AA$2</f>
        <v>0</v>
      </c>
      <c r="Y346">
        <f>'Kullanılan gübre'!Y346*'Gübre oranlar'!AB$2</f>
        <v>0</v>
      </c>
      <c r="Z346">
        <f>'Kullanılan gübre'!Z346*'Gübre oranlar'!AC$2</f>
        <v>0</v>
      </c>
      <c r="AA346">
        <f>'Kullanılan gübre'!AA346*'Gübre oranlar'!AD$2</f>
        <v>0</v>
      </c>
      <c r="AB346">
        <f>'Kullanılan gübre'!AB346*'Gübre oranlar'!AE$2</f>
        <v>0</v>
      </c>
      <c r="AC346">
        <f>'Kullanılan gübre'!AC346*'Gübre oranlar'!AF$2</f>
        <v>0</v>
      </c>
      <c r="AD346">
        <f>'Kullanılan gübre'!AD346*'Gübre oranlar'!AG$2</f>
        <v>0</v>
      </c>
      <c r="AE346">
        <f>'Kullanılan gübre'!AE346*'Gübre oranlar'!AH$2</f>
        <v>0</v>
      </c>
      <c r="AF346">
        <f>'Kullanılan gübre'!AF346*'Gübre oranlar'!AI$2</f>
        <v>0</v>
      </c>
      <c r="AG346">
        <f>'Kullanılan gübre'!AG346*'Gübre oranlar'!AJ$2</f>
        <v>0</v>
      </c>
      <c r="AH346">
        <f>'Kullanılan gübre'!AH346*'Gübre oranlar'!AK$2</f>
        <v>0</v>
      </c>
      <c r="AI346">
        <f>'Kullanılan gübre'!AI346*'Gübre oranlar'!AL$2</f>
        <v>0</v>
      </c>
      <c r="AJ346">
        <f>'Kullanılan gübre'!AJ346*'Gübre oranlar'!AM$2</f>
        <v>0</v>
      </c>
      <c r="AK346">
        <f>'Kullanılan gübre'!AK346*'Gübre oranlar'!AN$2</f>
        <v>0</v>
      </c>
      <c r="AL346">
        <f>'Kullanılan gübre'!AL346*'Gübre oranlar'!AO$2</f>
        <v>0</v>
      </c>
      <c r="AM346">
        <f>'Kullanılan gübre'!AM346*'Gübre oranlar'!AP$2</f>
        <v>0</v>
      </c>
      <c r="AN346">
        <f>'Kullanılan gübre'!AN346*'Gübre oranlar'!AQ$2</f>
        <v>0</v>
      </c>
      <c r="AO346">
        <f>'Kullanılan gübre'!AO346*'Gübre oranlar'!AR$2</f>
        <v>0</v>
      </c>
      <c r="AP346">
        <f>'Kullanılan gübre'!AP346*'Gübre oranlar'!AS$2</f>
        <v>0</v>
      </c>
      <c r="AQ346">
        <f>'Kullanılan gübre'!AQ346*'Gübre oranlar'!AT$2</f>
        <v>0</v>
      </c>
      <c r="AR346">
        <f>'Kullanılan gübre'!AR346*'Gübre oranlar'!AU$2</f>
        <v>0</v>
      </c>
      <c r="AS346">
        <f>'Kullanılan gübre'!AS346*'Gübre oranlar'!AV$2</f>
        <v>0</v>
      </c>
      <c r="AT346">
        <f>'Kullanılan gübre'!AT346*'Gübre oranlar'!AW$2</f>
        <v>0</v>
      </c>
      <c r="AU346">
        <f>'Kullanılan gübre'!AU346*'Gübre oranlar'!AX$2</f>
        <v>0</v>
      </c>
      <c r="AV346">
        <f>'Kullanılan gübre'!AV346*'Gübre oranlar'!AY$2</f>
        <v>0</v>
      </c>
      <c r="AW346">
        <f t="shared" si="5"/>
        <v>0</v>
      </c>
    </row>
    <row r="347" spans="1:49" hidden="1" x14ac:dyDescent="0.25">
      <c r="A347" t="str">
        <f>'Kullanılan gübre'!A347</f>
        <v>YI</v>
      </c>
      <c r="B347" t="str">
        <f>'Kullanılan gübre'!B347</f>
        <v>TOKAT</v>
      </c>
      <c r="C347" t="str">
        <f>'Kullanılan gübre'!C347</f>
        <v>ERBAA</v>
      </c>
      <c r="D347">
        <f>'Kullanılan gübre'!D347</f>
        <v>2012</v>
      </c>
      <c r="E347">
        <f>'Kullanılan gübre'!E347*'Gübre oranlar'!H$2</f>
        <v>75.295500000000004</v>
      </c>
      <c r="F347">
        <f>'Kullanılan gübre'!F347*'Gübre oranlar'!I$2</f>
        <v>285.55799999999999</v>
      </c>
      <c r="G347">
        <f>'Kullanılan gübre'!G347*'Gübre oranlar'!J$2</f>
        <v>521.28450000000009</v>
      </c>
      <c r="H347">
        <f>'Kullanılan gübre'!H347*'Gübre oranlar'!K$2</f>
        <v>181.14800000000002</v>
      </c>
      <c r="I347">
        <f>'Kullanılan gübre'!I347*'Gübre oranlar'!L$2</f>
        <v>0</v>
      </c>
      <c r="J347">
        <f>'Kullanılan gübre'!J347*'Gübre oranlar'!M$2</f>
        <v>39.088800000000006</v>
      </c>
      <c r="K347">
        <f>'Kullanılan gübre'!K347*'Gübre oranlar'!N$2</f>
        <v>107.67000000000002</v>
      </c>
      <c r="L347">
        <f>'Kullanılan gübre'!L347*'Gübre oranlar'!O$2</f>
        <v>0.33</v>
      </c>
      <c r="M347">
        <f>'Kullanılan gübre'!M347*'Gübre oranlar'!P$2</f>
        <v>115.94999999999999</v>
      </c>
      <c r="N347">
        <f>'Kullanılan gübre'!N347*'Gübre oranlar'!Q$2</f>
        <v>10.042499999999999</v>
      </c>
      <c r="O347">
        <f>'Kullanılan gübre'!O347*'Gübre oranlar'!R$2</f>
        <v>0</v>
      </c>
      <c r="P347">
        <f>'Kullanılan gübre'!P347*'Gübre oranlar'!S$2</f>
        <v>0</v>
      </c>
      <c r="Q347">
        <f>'Kullanılan gübre'!Q347*'Gübre oranlar'!T$2</f>
        <v>0</v>
      </c>
      <c r="R347">
        <f>'Kullanılan gübre'!R347*'Gübre oranlar'!U$2</f>
        <v>0</v>
      </c>
      <c r="S347">
        <f>'Kullanılan gübre'!S347*'Gübre oranlar'!V$2</f>
        <v>0</v>
      </c>
      <c r="T347">
        <f>'Kullanılan gübre'!T347*'Gübre oranlar'!W$2</f>
        <v>0</v>
      </c>
      <c r="U347">
        <f>'Kullanılan gübre'!U347*'Gübre oranlar'!X$2</f>
        <v>0</v>
      </c>
      <c r="V347">
        <f>'Kullanılan gübre'!V347*'Gübre oranlar'!Y$2</f>
        <v>0</v>
      </c>
      <c r="W347">
        <f>'Kullanılan gübre'!W347*'Gübre oranlar'!Z$2</f>
        <v>0</v>
      </c>
      <c r="X347">
        <f>'Kullanılan gübre'!X347*'Gübre oranlar'!AA$2</f>
        <v>0</v>
      </c>
      <c r="Y347">
        <f>'Kullanılan gübre'!Y347*'Gübre oranlar'!AB$2</f>
        <v>0</v>
      </c>
      <c r="Z347">
        <f>'Kullanılan gübre'!Z347*'Gübre oranlar'!AC$2</f>
        <v>0</v>
      </c>
      <c r="AA347">
        <f>'Kullanılan gübre'!AA347*'Gübre oranlar'!AD$2</f>
        <v>0</v>
      </c>
      <c r="AB347">
        <f>'Kullanılan gübre'!AB347*'Gübre oranlar'!AE$2</f>
        <v>0</v>
      </c>
      <c r="AC347">
        <f>'Kullanılan gübre'!AC347*'Gübre oranlar'!AF$2</f>
        <v>0</v>
      </c>
      <c r="AD347">
        <f>'Kullanılan gübre'!AD347*'Gübre oranlar'!AG$2</f>
        <v>0</v>
      </c>
      <c r="AE347">
        <f>'Kullanılan gübre'!AE347*'Gübre oranlar'!AH$2</f>
        <v>0</v>
      </c>
      <c r="AF347">
        <f>'Kullanılan gübre'!AF347*'Gübre oranlar'!AI$2</f>
        <v>0</v>
      </c>
      <c r="AG347">
        <f>'Kullanılan gübre'!AG347*'Gübre oranlar'!AJ$2</f>
        <v>0</v>
      </c>
      <c r="AH347">
        <f>'Kullanılan gübre'!AH347*'Gübre oranlar'!AK$2</f>
        <v>0</v>
      </c>
      <c r="AI347">
        <f>'Kullanılan gübre'!AI347*'Gübre oranlar'!AL$2</f>
        <v>0</v>
      </c>
      <c r="AJ347">
        <f>'Kullanılan gübre'!AJ347*'Gübre oranlar'!AM$2</f>
        <v>0</v>
      </c>
      <c r="AK347">
        <f>'Kullanılan gübre'!AK347*'Gübre oranlar'!AN$2</f>
        <v>0</v>
      </c>
      <c r="AL347">
        <f>'Kullanılan gübre'!AL347*'Gübre oranlar'!AO$2</f>
        <v>0</v>
      </c>
      <c r="AM347">
        <f>'Kullanılan gübre'!AM347*'Gübre oranlar'!AP$2</f>
        <v>0</v>
      </c>
      <c r="AN347">
        <f>'Kullanılan gübre'!AN347*'Gübre oranlar'!AQ$2</f>
        <v>0</v>
      </c>
      <c r="AO347">
        <f>'Kullanılan gübre'!AO347*'Gübre oranlar'!AR$2</f>
        <v>0</v>
      </c>
      <c r="AP347">
        <f>'Kullanılan gübre'!AP347*'Gübre oranlar'!AS$2</f>
        <v>0</v>
      </c>
      <c r="AQ347">
        <f>'Kullanılan gübre'!AQ347*'Gübre oranlar'!AT$2</f>
        <v>0</v>
      </c>
      <c r="AR347">
        <f>'Kullanılan gübre'!AR347*'Gübre oranlar'!AU$2</f>
        <v>0</v>
      </c>
      <c r="AS347">
        <f>'Kullanılan gübre'!AS347*'Gübre oranlar'!AV$2</f>
        <v>0</v>
      </c>
      <c r="AT347">
        <f>'Kullanılan gübre'!AT347*'Gübre oranlar'!AW$2</f>
        <v>0</v>
      </c>
      <c r="AU347">
        <f>'Kullanılan gübre'!AU347*'Gübre oranlar'!AX$2</f>
        <v>0</v>
      </c>
      <c r="AV347">
        <f>'Kullanılan gübre'!AV347*'Gübre oranlar'!AY$2</f>
        <v>0</v>
      </c>
      <c r="AW347">
        <f t="shared" si="5"/>
        <v>1336.3673000000001</v>
      </c>
    </row>
    <row r="348" spans="1:49" hidden="1" x14ac:dyDescent="0.25">
      <c r="A348" t="str">
        <f>'Kullanılan gübre'!A348</f>
        <v>YI</v>
      </c>
      <c r="B348" t="str">
        <f>'Kullanılan gübre'!B348</f>
        <v>TOKAT</v>
      </c>
      <c r="C348" t="str">
        <f>'Kullanılan gübre'!C348</f>
        <v>NIKSAR</v>
      </c>
      <c r="D348">
        <f>'Kullanılan gübre'!D348</f>
        <v>2012</v>
      </c>
      <c r="E348">
        <f>'Kullanılan gübre'!E348*'Gübre oranlar'!H$2</f>
        <v>52.363499999999995</v>
      </c>
      <c r="F348">
        <f>'Kullanılan gübre'!F348*'Gübre oranlar'!I$2</f>
        <v>71.980999999999995</v>
      </c>
      <c r="G348">
        <f>'Kullanılan gübre'!G348*'Gübre oranlar'!J$2</f>
        <v>229.66350000000006</v>
      </c>
      <c r="H348">
        <f>'Kullanılan gübre'!H348*'Gübre oranlar'!K$2</f>
        <v>154.767</v>
      </c>
      <c r="I348">
        <f>'Kullanılan gübre'!I348*'Gübre oranlar'!L$2</f>
        <v>0</v>
      </c>
      <c r="J348">
        <f>'Kullanılan gübre'!J348*'Gübre oranlar'!M$2</f>
        <v>46.007999999999996</v>
      </c>
      <c r="K348">
        <f>'Kullanılan gübre'!K348*'Gübre oranlar'!N$2</f>
        <v>58.760000000000005</v>
      </c>
      <c r="L348">
        <f>'Kullanılan gübre'!L348*'Gübre oranlar'!O$2</f>
        <v>14.600000000000001</v>
      </c>
      <c r="M348">
        <f>'Kullanılan gübre'!M348*'Gübre oranlar'!P$2</f>
        <v>43.1175</v>
      </c>
      <c r="N348">
        <f>'Kullanılan gübre'!N348*'Gübre oranlar'!Q$2</f>
        <v>33.914999999999999</v>
      </c>
      <c r="O348">
        <f>'Kullanılan gübre'!O348*'Gübre oranlar'!R$2</f>
        <v>0</v>
      </c>
      <c r="P348">
        <f>'Kullanılan gübre'!P348*'Gübre oranlar'!S$2</f>
        <v>0</v>
      </c>
      <c r="Q348">
        <f>'Kullanılan gübre'!Q348*'Gübre oranlar'!T$2</f>
        <v>0</v>
      </c>
      <c r="R348">
        <f>'Kullanılan gübre'!R348*'Gübre oranlar'!U$2</f>
        <v>0</v>
      </c>
      <c r="S348">
        <f>'Kullanılan gübre'!S348*'Gübre oranlar'!V$2</f>
        <v>0</v>
      </c>
      <c r="T348">
        <f>'Kullanılan gübre'!T348*'Gübre oranlar'!W$2</f>
        <v>0</v>
      </c>
      <c r="U348">
        <f>'Kullanılan gübre'!U348*'Gübre oranlar'!X$2</f>
        <v>0</v>
      </c>
      <c r="V348">
        <f>'Kullanılan gübre'!V348*'Gübre oranlar'!Y$2</f>
        <v>0</v>
      </c>
      <c r="W348">
        <f>'Kullanılan gübre'!W348*'Gübre oranlar'!Z$2</f>
        <v>0</v>
      </c>
      <c r="X348">
        <f>'Kullanılan gübre'!X348*'Gübre oranlar'!AA$2</f>
        <v>0</v>
      </c>
      <c r="Y348">
        <f>'Kullanılan gübre'!Y348*'Gübre oranlar'!AB$2</f>
        <v>0</v>
      </c>
      <c r="Z348">
        <f>'Kullanılan gübre'!Z348*'Gübre oranlar'!AC$2</f>
        <v>0</v>
      </c>
      <c r="AA348">
        <f>'Kullanılan gübre'!AA348*'Gübre oranlar'!AD$2</f>
        <v>0</v>
      </c>
      <c r="AB348">
        <f>'Kullanılan gübre'!AB348*'Gübre oranlar'!AE$2</f>
        <v>0</v>
      </c>
      <c r="AC348">
        <f>'Kullanılan gübre'!AC348*'Gübre oranlar'!AF$2</f>
        <v>0</v>
      </c>
      <c r="AD348">
        <f>'Kullanılan gübre'!AD348*'Gübre oranlar'!AG$2</f>
        <v>0</v>
      </c>
      <c r="AE348">
        <f>'Kullanılan gübre'!AE348*'Gübre oranlar'!AH$2</f>
        <v>0</v>
      </c>
      <c r="AF348">
        <f>'Kullanılan gübre'!AF348*'Gübre oranlar'!AI$2</f>
        <v>0</v>
      </c>
      <c r="AG348">
        <f>'Kullanılan gübre'!AG348*'Gübre oranlar'!AJ$2</f>
        <v>0</v>
      </c>
      <c r="AH348">
        <f>'Kullanılan gübre'!AH348*'Gübre oranlar'!AK$2</f>
        <v>0</v>
      </c>
      <c r="AI348">
        <f>'Kullanılan gübre'!AI348*'Gübre oranlar'!AL$2</f>
        <v>0</v>
      </c>
      <c r="AJ348">
        <f>'Kullanılan gübre'!AJ348*'Gübre oranlar'!AM$2</f>
        <v>0</v>
      </c>
      <c r="AK348">
        <f>'Kullanılan gübre'!AK348*'Gübre oranlar'!AN$2</f>
        <v>0</v>
      </c>
      <c r="AL348">
        <f>'Kullanılan gübre'!AL348*'Gübre oranlar'!AO$2</f>
        <v>0</v>
      </c>
      <c r="AM348">
        <f>'Kullanılan gübre'!AM348*'Gübre oranlar'!AP$2</f>
        <v>0</v>
      </c>
      <c r="AN348">
        <f>'Kullanılan gübre'!AN348*'Gübre oranlar'!AQ$2</f>
        <v>0</v>
      </c>
      <c r="AO348">
        <f>'Kullanılan gübre'!AO348*'Gübre oranlar'!AR$2</f>
        <v>0</v>
      </c>
      <c r="AP348">
        <f>'Kullanılan gübre'!AP348*'Gübre oranlar'!AS$2</f>
        <v>0</v>
      </c>
      <c r="AQ348">
        <f>'Kullanılan gübre'!AQ348*'Gübre oranlar'!AT$2</f>
        <v>0</v>
      </c>
      <c r="AR348">
        <f>'Kullanılan gübre'!AR348*'Gübre oranlar'!AU$2</f>
        <v>0</v>
      </c>
      <c r="AS348">
        <f>'Kullanılan gübre'!AS348*'Gübre oranlar'!AV$2</f>
        <v>0</v>
      </c>
      <c r="AT348">
        <f>'Kullanılan gübre'!AT348*'Gübre oranlar'!AW$2</f>
        <v>0</v>
      </c>
      <c r="AU348">
        <f>'Kullanılan gübre'!AU348*'Gübre oranlar'!AX$2</f>
        <v>0</v>
      </c>
      <c r="AV348">
        <f>'Kullanılan gübre'!AV348*'Gübre oranlar'!AY$2</f>
        <v>0</v>
      </c>
      <c r="AW348">
        <f t="shared" si="5"/>
        <v>705.17549999999994</v>
      </c>
    </row>
    <row r="349" spans="1:49" hidden="1" x14ac:dyDescent="0.25">
      <c r="A349" t="str">
        <f>'Kullanılan gübre'!A349</f>
        <v>YI</v>
      </c>
      <c r="B349" t="str">
        <f>'Kullanılan gübre'!B349</f>
        <v>TOKAT</v>
      </c>
      <c r="C349" t="str">
        <f>'Kullanılan gübre'!C349</f>
        <v>PAZAR</v>
      </c>
      <c r="D349">
        <f>'Kullanılan gübre'!D349</f>
        <v>2012</v>
      </c>
      <c r="E349">
        <f>'Kullanılan gübre'!E349*'Gübre oranlar'!H$2</f>
        <v>13.765499999999999</v>
      </c>
      <c r="F349">
        <f>'Kullanılan gübre'!F349*'Gübre oranlar'!I$2</f>
        <v>10.790000000000001</v>
      </c>
      <c r="G349">
        <f>'Kullanılan gübre'!G349*'Gübre oranlar'!J$2</f>
        <v>94.660499999999999</v>
      </c>
      <c r="H349">
        <f>'Kullanılan gübre'!H349*'Gübre oranlar'!K$2</f>
        <v>299.483</v>
      </c>
      <c r="I349">
        <f>'Kullanılan gübre'!I349*'Gübre oranlar'!L$2</f>
        <v>0</v>
      </c>
      <c r="J349">
        <f>'Kullanılan gübre'!J349*'Gübre oranlar'!M$2</f>
        <v>37.943999999999996</v>
      </c>
      <c r="K349">
        <f>'Kullanılan gübre'!K349*'Gübre oranlar'!N$2</f>
        <v>8.9800000000000022</v>
      </c>
      <c r="L349">
        <f>'Kullanılan gübre'!L349*'Gübre oranlar'!O$2</f>
        <v>16.170000000000002</v>
      </c>
      <c r="M349">
        <f>'Kullanılan gübre'!M349*'Gübre oranlar'!P$2</f>
        <v>12.3375</v>
      </c>
      <c r="N349">
        <f>'Kullanılan gübre'!N349*'Gübre oranlar'!Q$2</f>
        <v>10.072499999999998</v>
      </c>
      <c r="O349">
        <f>'Kullanılan gübre'!O349*'Gübre oranlar'!R$2</f>
        <v>0</v>
      </c>
      <c r="P349">
        <f>'Kullanılan gübre'!P349*'Gübre oranlar'!S$2</f>
        <v>1.0374000000000001</v>
      </c>
      <c r="Q349">
        <f>'Kullanılan gübre'!Q349*'Gübre oranlar'!T$2</f>
        <v>64.8</v>
      </c>
      <c r="R349">
        <f>'Kullanılan gübre'!R349*'Gübre oranlar'!U$2</f>
        <v>0</v>
      </c>
      <c r="S349">
        <f>'Kullanılan gübre'!S349*'Gübre oranlar'!V$2</f>
        <v>0</v>
      </c>
      <c r="T349">
        <f>'Kullanılan gübre'!T349*'Gübre oranlar'!W$2</f>
        <v>0</v>
      </c>
      <c r="U349">
        <f>'Kullanılan gübre'!U349*'Gübre oranlar'!X$2</f>
        <v>0</v>
      </c>
      <c r="V349">
        <f>'Kullanılan gübre'!V349*'Gübre oranlar'!Y$2</f>
        <v>0</v>
      </c>
      <c r="W349">
        <f>'Kullanılan gübre'!W349*'Gübre oranlar'!Z$2</f>
        <v>0</v>
      </c>
      <c r="X349">
        <f>'Kullanılan gübre'!X349*'Gübre oranlar'!AA$2</f>
        <v>0</v>
      </c>
      <c r="Y349">
        <f>'Kullanılan gübre'!Y349*'Gübre oranlar'!AB$2</f>
        <v>0</v>
      </c>
      <c r="Z349">
        <f>'Kullanılan gübre'!Z349*'Gübre oranlar'!AC$2</f>
        <v>0</v>
      </c>
      <c r="AA349">
        <f>'Kullanılan gübre'!AA349*'Gübre oranlar'!AD$2</f>
        <v>0</v>
      </c>
      <c r="AB349">
        <f>'Kullanılan gübre'!AB349*'Gübre oranlar'!AE$2</f>
        <v>0</v>
      </c>
      <c r="AC349">
        <f>'Kullanılan gübre'!AC349*'Gübre oranlar'!AF$2</f>
        <v>0</v>
      </c>
      <c r="AD349">
        <f>'Kullanılan gübre'!AD349*'Gübre oranlar'!AG$2</f>
        <v>0</v>
      </c>
      <c r="AE349">
        <f>'Kullanılan gübre'!AE349*'Gübre oranlar'!AH$2</f>
        <v>0</v>
      </c>
      <c r="AF349">
        <f>'Kullanılan gübre'!AF349*'Gübre oranlar'!AI$2</f>
        <v>0</v>
      </c>
      <c r="AG349">
        <f>'Kullanılan gübre'!AG349*'Gübre oranlar'!AJ$2</f>
        <v>0</v>
      </c>
      <c r="AH349">
        <f>'Kullanılan gübre'!AH349*'Gübre oranlar'!AK$2</f>
        <v>0</v>
      </c>
      <c r="AI349">
        <f>'Kullanılan gübre'!AI349*'Gübre oranlar'!AL$2</f>
        <v>0</v>
      </c>
      <c r="AJ349">
        <f>'Kullanılan gübre'!AJ349*'Gübre oranlar'!AM$2</f>
        <v>0</v>
      </c>
      <c r="AK349">
        <f>'Kullanılan gübre'!AK349*'Gübre oranlar'!AN$2</f>
        <v>0</v>
      </c>
      <c r="AL349">
        <f>'Kullanılan gübre'!AL349*'Gübre oranlar'!AO$2</f>
        <v>0</v>
      </c>
      <c r="AM349">
        <f>'Kullanılan gübre'!AM349*'Gübre oranlar'!AP$2</f>
        <v>0</v>
      </c>
      <c r="AN349">
        <f>'Kullanılan gübre'!AN349*'Gübre oranlar'!AQ$2</f>
        <v>0</v>
      </c>
      <c r="AO349">
        <f>'Kullanılan gübre'!AO349*'Gübre oranlar'!AR$2</f>
        <v>0</v>
      </c>
      <c r="AP349">
        <f>'Kullanılan gübre'!AP349*'Gübre oranlar'!AS$2</f>
        <v>0</v>
      </c>
      <c r="AQ349">
        <f>'Kullanılan gübre'!AQ349*'Gübre oranlar'!AT$2</f>
        <v>0</v>
      </c>
      <c r="AR349">
        <f>'Kullanılan gübre'!AR349*'Gübre oranlar'!AU$2</f>
        <v>0</v>
      </c>
      <c r="AS349">
        <f>'Kullanılan gübre'!AS349*'Gübre oranlar'!AV$2</f>
        <v>0</v>
      </c>
      <c r="AT349">
        <f>'Kullanılan gübre'!AT349*'Gübre oranlar'!AW$2</f>
        <v>0</v>
      </c>
      <c r="AU349">
        <f>'Kullanılan gübre'!AU349*'Gübre oranlar'!AX$2</f>
        <v>0</v>
      </c>
      <c r="AV349">
        <f>'Kullanılan gübre'!AV349*'Gübre oranlar'!AY$2</f>
        <v>0</v>
      </c>
      <c r="AW349">
        <f t="shared" si="5"/>
        <v>570.04039999999998</v>
      </c>
    </row>
    <row r="350" spans="1:49" hidden="1" x14ac:dyDescent="0.25">
      <c r="A350" t="str">
        <f>'Kullanılan gübre'!A350</f>
        <v>YI</v>
      </c>
      <c r="B350" t="str">
        <f>'Kullanılan gübre'!B350</f>
        <v>TOKAT</v>
      </c>
      <c r="C350" t="str">
        <f>'Kullanılan gübre'!C350</f>
        <v>RESADIYE</v>
      </c>
      <c r="D350">
        <f>'Kullanılan gübre'!D350</f>
        <v>2012</v>
      </c>
      <c r="E350">
        <f>'Kullanılan gübre'!E350*'Gübre oranlar'!H$2</f>
        <v>0</v>
      </c>
      <c r="F350">
        <f>'Kullanılan gübre'!F350*'Gübre oranlar'!I$2</f>
        <v>11.062999999999999</v>
      </c>
      <c r="G350">
        <f>'Kullanılan gübre'!G350*'Gübre oranlar'!J$2</f>
        <v>56.727000000000004</v>
      </c>
      <c r="H350">
        <f>'Kullanılan gübre'!H350*'Gübre oranlar'!K$2</f>
        <v>22.080000000000002</v>
      </c>
      <c r="I350">
        <f>'Kullanılan gübre'!I350*'Gübre oranlar'!L$2</f>
        <v>0</v>
      </c>
      <c r="J350">
        <f>'Kullanılan gübre'!J350*'Gübre oranlar'!M$2</f>
        <v>10.466999999999999</v>
      </c>
      <c r="K350">
        <f>'Kullanılan gübre'!K350*'Gübre oranlar'!N$2</f>
        <v>2</v>
      </c>
      <c r="L350">
        <f>'Kullanılan gübre'!L350*'Gübre oranlar'!O$2</f>
        <v>0</v>
      </c>
      <c r="M350">
        <f>'Kullanılan gübre'!M350*'Gübre oranlar'!P$2</f>
        <v>0</v>
      </c>
      <c r="N350">
        <f>'Kullanılan gübre'!N350*'Gübre oranlar'!Q$2</f>
        <v>0</v>
      </c>
      <c r="O350">
        <f>'Kullanılan gübre'!O350*'Gübre oranlar'!R$2</f>
        <v>0</v>
      </c>
      <c r="P350">
        <f>'Kullanılan gübre'!P350*'Gübre oranlar'!S$2</f>
        <v>0</v>
      </c>
      <c r="Q350">
        <f>'Kullanılan gübre'!Q350*'Gübre oranlar'!T$2</f>
        <v>0</v>
      </c>
      <c r="R350">
        <f>'Kullanılan gübre'!R350*'Gübre oranlar'!U$2</f>
        <v>0</v>
      </c>
      <c r="S350">
        <f>'Kullanılan gübre'!S350*'Gübre oranlar'!V$2</f>
        <v>0</v>
      </c>
      <c r="T350">
        <f>'Kullanılan gübre'!T350*'Gübre oranlar'!W$2</f>
        <v>0</v>
      </c>
      <c r="U350">
        <f>'Kullanılan gübre'!U350*'Gübre oranlar'!X$2</f>
        <v>0</v>
      </c>
      <c r="V350">
        <f>'Kullanılan gübre'!V350*'Gübre oranlar'!Y$2</f>
        <v>0</v>
      </c>
      <c r="W350">
        <f>'Kullanılan gübre'!W350*'Gübre oranlar'!Z$2</f>
        <v>0</v>
      </c>
      <c r="X350">
        <f>'Kullanılan gübre'!X350*'Gübre oranlar'!AA$2</f>
        <v>0</v>
      </c>
      <c r="Y350">
        <f>'Kullanılan gübre'!Y350*'Gübre oranlar'!AB$2</f>
        <v>0</v>
      </c>
      <c r="Z350">
        <f>'Kullanılan gübre'!Z350*'Gübre oranlar'!AC$2</f>
        <v>0</v>
      </c>
      <c r="AA350">
        <f>'Kullanılan gübre'!AA350*'Gübre oranlar'!AD$2</f>
        <v>0</v>
      </c>
      <c r="AB350">
        <f>'Kullanılan gübre'!AB350*'Gübre oranlar'!AE$2</f>
        <v>0</v>
      </c>
      <c r="AC350">
        <f>'Kullanılan gübre'!AC350*'Gübre oranlar'!AF$2</f>
        <v>0</v>
      </c>
      <c r="AD350">
        <f>'Kullanılan gübre'!AD350*'Gübre oranlar'!AG$2</f>
        <v>0</v>
      </c>
      <c r="AE350">
        <f>'Kullanılan gübre'!AE350*'Gübre oranlar'!AH$2</f>
        <v>0</v>
      </c>
      <c r="AF350">
        <f>'Kullanılan gübre'!AF350*'Gübre oranlar'!AI$2</f>
        <v>0</v>
      </c>
      <c r="AG350">
        <f>'Kullanılan gübre'!AG350*'Gübre oranlar'!AJ$2</f>
        <v>0</v>
      </c>
      <c r="AH350">
        <f>'Kullanılan gübre'!AH350*'Gübre oranlar'!AK$2</f>
        <v>0</v>
      </c>
      <c r="AI350">
        <f>'Kullanılan gübre'!AI350*'Gübre oranlar'!AL$2</f>
        <v>0</v>
      </c>
      <c r="AJ350">
        <f>'Kullanılan gübre'!AJ350*'Gübre oranlar'!AM$2</f>
        <v>0</v>
      </c>
      <c r="AK350">
        <f>'Kullanılan gübre'!AK350*'Gübre oranlar'!AN$2</f>
        <v>0</v>
      </c>
      <c r="AL350">
        <f>'Kullanılan gübre'!AL350*'Gübre oranlar'!AO$2</f>
        <v>0</v>
      </c>
      <c r="AM350">
        <f>'Kullanılan gübre'!AM350*'Gübre oranlar'!AP$2</f>
        <v>0</v>
      </c>
      <c r="AN350">
        <f>'Kullanılan gübre'!AN350*'Gübre oranlar'!AQ$2</f>
        <v>0</v>
      </c>
      <c r="AO350">
        <f>'Kullanılan gübre'!AO350*'Gübre oranlar'!AR$2</f>
        <v>0</v>
      </c>
      <c r="AP350">
        <f>'Kullanılan gübre'!AP350*'Gübre oranlar'!AS$2</f>
        <v>0</v>
      </c>
      <c r="AQ350">
        <f>'Kullanılan gübre'!AQ350*'Gübre oranlar'!AT$2</f>
        <v>0</v>
      </c>
      <c r="AR350">
        <f>'Kullanılan gübre'!AR350*'Gübre oranlar'!AU$2</f>
        <v>0</v>
      </c>
      <c r="AS350">
        <f>'Kullanılan gübre'!AS350*'Gübre oranlar'!AV$2</f>
        <v>0</v>
      </c>
      <c r="AT350">
        <f>'Kullanılan gübre'!AT350*'Gübre oranlar'!AW$2</f>
        <v>0</v>
      </c>
      <c r="AU350">
        <f>'Kullanılan gübre'!AU350*'Gübre oranlar'!AX$2</f>
        <v>0</v>
      </c>
      <c r="AV350">
        <f>'Kullanılan gübre'!AV350*'Gübre oranlar'!AY$2</f>
        <v>0</v>
      </c>
      <c r="AW350">
        <f t="shared" si="5"/>
        <v>102.337</v>
      </c>
    </row>
    <row r="351" spans="1:49" hidden="1" x14ac:dyDescent="0.25">
      <c r="A351" t="str">
        <f>'Kullanılan gübre'!A351</f>
        <v>YI</v>
      </c>
      <c r="B351" t="str">
        <f>'Kullanılan gübre'!B351</f>
        <v>TOKAT</v>
      </c>
      <c r="C351" t="str">
        <f>'Kullanılan gübre'!C351</f>
        <v>SULUSARAY</v>
      </c>
      <c r="D351">
        <f>'Kullanılan gübre'!D351</f>
        <v>2012</v>
      </c>
      <c r="E351">
        <f>'Kullanılan gübre'!E351*'Gübre oranlar'!H$2</f>
        <v>1.8059999999999998</v>
      </c>
      <c r="F351">
        <f>'Kullanılan gübre'!F351*'Gübre oranlar'!I$2</f>
        <v>244.85759999999996</v>
      </c>
      <c r="G351">
        <f>'Kullanılan gübre'!G351*'Gübre oranlar'!J$2</f>
        <v>215.77050000000003</v>
      </c>
      <c r="H351">
        <f>'Kullanılan gübre'!H351*'Gübre oranlar'!K$2</f>
        <v>2.4380000000000002</v>
      </c>
      <c r="I351">
        <f>'Kullanılan gübre'!I351*'Gübre oranlar'!L$2</f>
        <v>0</v>
      </c>
      <c r="J351">
        <f>'Kullanılan gübre'!J351*'Gübre oranlar'!M$2</f>
        <v>52.676999999999992</v>
      </c>
      <c r="K351">
        <f>'Kullanılan gübre'!K351*'Gübre oranlar'!N$2</f>
        <v>35.206000000000003</v>
      </c>
      <c r="L351">
        <f>'Kullanılan gübre'!L351*'Gübre oranlar'!O$2</f>
        <v>77.610000000000014</v>
      </c>
      <c r="M351">
        <f>'Kullanılan gübre'!M351*'Gübre oranlar'!P$2</f>
        <v>0</v>
      </c>
      <c r="N351">
        <f>'Kullanılan gübre'!N351*'Gübre oranlar'!Q$2</f>
        <v>0</v>
      </c>
      <c r="O351">
        <f>'Kullanılan gübre'!O351*'Gübre oranlar'!R$2</f>
        <v>0</v>
      </c>
      <c r="P351">
        <f>'Kullanılan gübre'!P351*'Gübre oranlar'!S$2</f>
        <v>0</v>
      </c>
      <c r="Q351">
        <f>'Kullanılan gübre'!Q351*'Gübre oranlar'!T$2</f>
        <v>0</v>
      </c>
      <c r="R351">
        <f>'Kullanılan gübre'!R351*'Gübre oranlar'!U$2</f>
        <v>0</v>
      </c>
      <c r="S351">
        <f>'Kullanılan gübre'!S351*'Gübre oranlar'!V$2</f>
        <v>0</v>
      </c>
      <c r="T351">
        <f>'Kullanılan gübre'!T351*'Gübre oranlar'!W$2</f>
        <v>0</v>
      </c>
      <c r="U351">
        <f>'Kullanılan gübre'!U351*'Gübre oranlar'!X$2</f>
        <v>0</v>
      </c>
      <c r="V351">
        <f>'Kullanılan gübre'!V351*'Gübre oranlar'!Y$2</f>
        <v>0</v>
      </c>
      <c r="W351">
        <f>'Kullanılan gübre'!W351*'Gübre oranlar'!Z$2</f>
        <v>0</v>
      </c>
      <c r="X351">
        <f>'Kullanılan gübre'!X351*'Gübre oranlar'!AA$2</f>
        <v>0</v>
      </c>
      <c r="Y351">
        <f>'Kullanılan gübre'!Y351*'Gübre oranlar'!AB$2</f>
        <v>0</v>
      </c>
      <c r="Z351">
        <f>'Kullanılan gübre'!Z351*'Gübre oranlar'!AC$2</f>
        <v>0</v>
      </c>
      <c r="AA351">
        <f>'Kullanılan gübre'!AA351*'Gübre oranlar'!AD$2</f>
        <v>0</v>
      </c>
      <c r="AB351">
        <f>'Kullanılan gübre'!AB351*'Gübre oranlar'!AE$2</f>
        <v>0</v>
      </c>
      <c r="AC351">
        <f>'Kullanılan gübre'!AC351*'Gübre oranlar'!AF$2</f>
        <v>0</v>
      </c>
      <c r="AD351">
        <f>'Kullanılan gübre'!AD351*'Gübre oranlar'!AG$2</f>
        <v>0</v>
      </c>
      <c r="AE351">
        <f>'Kullanılan gübre'!AE351*'Gübre oranlar'!AH$2</f>
        <v>0</v>
      </c>
      <c r="AF351">
        <f>'Kullanılan gübre'!AF351*'Gübre oranlar'!AI$2</f>
        <v>0</v>
      </c>
      <c r="AG351">
        <f>'Kullanılan gübre'!AG351*'Gübre oranlar'!AJ$2</f>
        <v>0</v>
      </c>
      <c r="AH351">
        <f>'Kullanılan gübre'!AH351*'Gübre oranlar'!AK$2</f>
        <v>0</v>
      </c>
      <c r="AI351">
        <f>'Kullanılan gübre'!AI351*'Gübre oranlar'!AL$2</f>
        <v>0</v>
      </c>
      <c r="AJ351">
        <f>'Kullanılan gübre'!AJ351*'Gübre oranlar'!AM$2</f>
        <v>0</v>
      </c>
      <c r="AK351">
        <f>'Kullanılan gübre'!AK351*'Gübre oranlar'!AN$2</f>
        <v>0</v>
      </c>
      <c r="AL351">
        <f>'Kullanılan gübre'!AL351*'Gübre oranlar'!AO$2</f>
        <v>0</v>
      </c>
      <c r="AM351">
        <f>'Kullanılan gübre'!AM351*'Gübre oranlar'!AP$2</f>
        <v>0</v>
      </c>
      <c r="AN351">
        <f>'Kullanılan gübre'!AN351*'Gübre oranlar'!AQ$2</f>
        <v>0</v>
      </c>
      <c r="AO351">
        <f>'Kullanılan gübre'!AO351*'Gübre oranlar'!AR$2</f>
        <v>0</v>
      </c>
      <c r="AP351">
        <f>'Kullanılan gübre'!AP351*'Gübre oranlar'!AS$2</f>
        <v>0</v>
      </c>
      <c r="AQ351">
        <f>'Kullanılan gübre'!AQ351*'Gübre oranlar'!AT$2</f>
        <v>0</v>
      </c>
      <c r="AR351">
        <f>'Kullanılan gübre'!AR351*'Gübre oranlar'!AU$2</f>
        <v>0</v>
      </c>
      <c r="AS351">
        <f>'Kullanılan gübre'!AS351*'Gübre oranlar'!AV$2</f>
        <v>0</v>
      </c>
      <c r="AT351">
        <f>'Kullanılan gübre'!AT351*'Gübre oranlar'!AW$2</f>
        <v>0</v>
      </c>
      <c r="AU351">
        <f>'Kullanılan gübre'!AU351*'Gübre oranlar'!AX$2</f>
        <v>0</v>
      </c>
      <c r="AV351">
        <f>'Kullanılan gübre'!AV351*'Gübre oranlar'!AY$2</f>
        <v>0</v>
      </c>
      <c r="AW351">
        <f t="shared" si="5"/>
        <v>630.36509999999998</v>
      </c>
    </row>
    <row r="352" spans="1:49" hidden="1" x14ac:dyDescent="0.25">
      <c r="A352" t="str">
        <f>'Kullanılan gübre'!A352</f>
        <v>YI</v>
      </c>
      <c r="B352" t="str">
        <f>'Kullanılan gübre'!B352</f>
        <v>TOKAT</v>
      </c>
      <c r="C352" t="str">
        <f>'Kullanılan gübre'!C352</f>
        <v>TURHAL</v>
      </c>
      <c r="D352">
        <f>'Kullanılan gübre'!D352</f>
        <v>2012</v>
      </c>
      <c r="E352">
        <f>'Kullanılan gübre'!E352*'Gübre oranlar'!H$2</f>
        <v>26.082000000000001</v>
      </c>
      <c r="F352">
        <f>'Kullanılan gübre'!F352*'Gübre oranlar'!I$2</f>
        <v>241.358</v>
      </c>
      <c r="G352">
        <f>'Kullanılan gübre'!G352*'Gübre oranlar'!J$2</f>
        <v>447.61199999999997</v>
      </c>
      <c r="H352">
        <f>'Kullanılan gübre'!H352*'Gübre oranlar'!K$2</f>
        <v>525.68799999999999</v>
      </c>
      <c r="I352">
        <f>'Kullanılan gübre'!I352*'Gübre oranlar'!L$2</f>
        <v>0</v>
      </c>
      <c r="J352">
        <f>'Kullanılan gübre'!J352*'Gübre oranlar'!M$2</f>
        <v>39.573</v>
      </c>
      <c r="K352">
        <f>'Kullanılan gübre'!K352*'Gübre oranlar'!N$2</f>
        <v>26.709999999999997</v>
      </c>
      <c r="L352">
        <f>'Kullanılan gübre'!L352*'Gübre oranlar'!O$2</f>
        <v>23.54</v>
      </c>
      <c r="M352">
        <f>'Kullanılan gübre'!M352*'Gübre oranlar'!P$2</f>
        <v>0.75749999999999995</v>
      </c>
      <c r="N352">
        <f>'Kullanılan gübre'!N352*'Gübre oranlar'!Q$2</f>
        <v>9.9975000000000005</v>
      </c>
      <c r="O352">
        <f>'Kullanılan gübre'!O352*'Gübre oranlar'!R$2</f>
        <v>0</v>
      </c>
      <c r="P352">
        <f>'Kullanılan gübre'!P352*'Gübre oranlar'!S$2</f>
        <v>2.2294999999999998</v>
      </c>
      <c r="Q352">
        <f>'Kullanılan gübre'!Q352*'Gübre oranlar'!T$2</f>
        <v>78</v>
      </c>
      <c r="R352">
        <f>'Kullanılan gübre'!R352*'Gübre oranlar'!U$2</f>
        <v>0</v>
      </c>
      <c r="S352">
        <f>'Kullanılan gübre'!S352*'Gübre oranlar'!V$2</f>
        <v>0</v>
      </c>
      <c r="T352">
        <f>'Kullanılan gübre'!T352*'Gübre oranlar'!W$2</f>
        <v>0</v>
      </c>
      <c r="U352">
        <f>'Kullanılan gübre'!U352*'Gübre oranlar'!X$2</f>
        <v>0</v>
      </c>
      <c r="V352">
        <f>'Kullanılan gübre'!V352*'Gübre oranlar'!Y$2</f>
        <v>0</v>
      </c>
      <c r="W352">
        <f>'Kullanılan gübre'!W352*'Gübre oranlar'!Z$2</f>
        <v>0</v>
      </c>
      <c r="X352">
        <f>'Kullanılan gübre'!X352*'Gübre oranlar'!AA$2</f>
        <v>0</v>
      </c>
      <c r="Y352">
        <f>'Kullanılan gübre'!Y352*'Gübre oranlar'!AB$2</f>
        <v>0</v>
      </c>
      <c r="Z352">
        <f>'Kullanılan gübre'!Z352*'Gübre oranlar'!AC$2</f>
        <v>0</v>
      </c>
      <c r="AA352">
        <f>'Kullanılan gübre'!AA352*'Gübre oranlar'!AD$2</f>
        <v>0</v>
      </c>
      <c r="AB352">
        <f>'Kullanılan gübre'!AB352*'Gübre oranlar'!AE$2</f>
        <v>0</v>
      </c>
      <c r="AC352">
        <f>'Kullanılan gübre'!AC352*'Gübre oranlar'!AF$2</f>
        <v>0</v>
      </c>
      <c r="AD352">
        <f>'Kullanılan gübre'!AD352*'Gübre oranlar'!AG$2</f>
        <v>0</v>
      </c>
      <c r="AE352">
        <f>'Kullanılan gübre'!AE352*'Gübre oranlar'!AH$2</f>
        <v>0</v>
      </c>
      <c r="AF352">
        <f>'Kullanılan gübre'!AF352*'Gübre oranlar'!AI$2</f>
        <v>0</v>
      </c>
      <c r="AG352">
        <f>'Kullanılan gübre'!AG352*'Gübre oranlar'!AJ$2</f>
        <v>0</v>
      </c>
      <c r="AH352">
        <f>'Kullanılan gübre'!AH352*'Gübre oranlar'!AK$2</f>
        <v>0</v>
      </c>
      <c r="AI352">
        <f>'Kullanılan gübre'!AI352*'Gübre oranlar'!AL$2</f>
        <v>0</v>
      </c>
      <c r="AJ352">
        <f>'Kullanılan gübre'!AJ352*'Gübre oranlar'!AM$2</f>
        <v>0</v>
      </c>
      <c r="AK352">
        <f>'Kullanılan gübre'!AK352*'Gübre oranlar'!AN$2</f>
        <v>0</v>
      </c>
      <c r="AL352">
        <f>'Kullanılan gübre'!AL352*'Gübre oranlar'!AO$2</f>
        <v>0</v>
      </c>
      <c r="AM352">
        <f>'Kullanılan gübre'!AM352*'Gübre oranlar'!AP$2</f>
        <v>0</v>
      </c>
      <c r="AN352">
        <f>'Kullanılan gübre'!AN352*'Gübre oranlar'!AQ$2</f>
        <v>0</v>
      </c>
      <c r="AO352">
        <f>'Kullanılan gübre'!AO352*'Gübre oranlar'!AR$2</f>
        <v>0</v>
      </c>
      <c r="AP352">
        <f>'Kullanılan gübre'!AP352*'Gübre oranlar'!AS$2</f>
        <v>0</v>
      </c>
      <c r="AQ352">
        <f>'Kullanılan gübre'!AQ352*'Gübre oranlar'!AT$2</f>
        <v>0</v>
      </c>
      <c r="AR352">
        <f>'Kullanılan gübre'!AR352*'Gübre oranlar'!AU$2</f>
        <v>0</v>
      </c>
      <c r="AS352">
        <f>'Kullanılan gübre'!AS352*'Gübre oranlar'!AV$2</f>
        <v>0</v>
      </c>
      <c r="AT352">
        <f>'Kullanılan gübre'!AT352*'Gübre oranlar'!AW$2</f>
        <v>0</v>
      </c>
      <c r="AU352">
        <f>'Kullanılan gübre'!AU352*'Gübre oranlar'!AX$2</f>
        <v>0</v>
      </c>
      <c r="AV352">
        <f>'Kullanılan gübre'!AV352*'Gübre oranlar'!AY$2</f>
        <v>0</v>
      </c>
      <c r="AW352">
        <f t="shared" si="5"/>
        <v>1421.5474999999997</v>
      </c>
    </row>
    <row r="353" spans="1:49" hidden="1" x14ac:dyDescent="0.25">
      <c r="A353" t="str">
        <f>'Kullanılan gübre'!A353</f>
        <v>YI</v>
      </c>
      <c r="B353" t="str">
        <f>'Kullanılan gübre'!B353</f>
        <v>TOKAT</v>
      </c>
      <c r="C353" t="str">
        <f>'Kullanılan gübre'!C353</f>
        <v>YESILYURT</v>
      </c>
      <c r="D353">
        <f>'Kullanılan gübre'!D353</f>
        <v>2012</v>
      </c>
      <c r="E353">
        <f>'Kullanılan gübre'!E353*'Gübre oranlar'!H$2</f>
        <v>0.21</v>
      </c>
      <c r="F353">
        <f>'Kullanılan gübre'!F353*'Gübre oranlar'!I$2</f>
        <v>49.647000000000006</v>
      </c>
      <c r="G353">
        <f>'Kullanılan gübre'!G353*'Gübre oranlar'!J$2</f>
        <v>65.009999999999991</v>
      </c>
      <c r="H353">
        <f>'Kullanılan gübre'!H353*'Gübre oranlar'!K$2</f>
        <v>26.68</v>
      </c>
      <c r="I353">
        <f>'Kullanılan gübre'!I353*'Gübre oranlar'!L$2</f>
        <v>0</v>
      </c>
      <c r="J353">
        <f>'Kullanılan gübre'!J353*'Gübre oranlar'!M$2</f>
        <v>8.6669999999999998</v>
      </c>
      <c r="K353">
        <f>'Kullanılan gübre'!K353*'Gübre oranlar'!N$2</f>
        <v>5.25</v>
      </c>
      <c r="L353">
        <f>'Kullanılan gübre'!L353*'Gübre oranlar'!O$2</f>
        <v>0.5</v>
      </c>
      <c r="M353">
        <f>'Kullanılan gübre'!M353*'Gübre oranlar'!P$2</f>
        <v>5.25</v>
      </c>
      <c r="N353">
        <f>'Kullanılan gübre'!N353*'Gübre oranlar'!Q$2</f>
        <v>10.3575</v>
      </c>
      <c r="O353">
        <f>'Kullanılan gübre'!O353*'Gübre oranlar'!R$2</f>
        <v>0</v>
      </c>
      <c r="P353">
        <f>'Kullanılan gübre'!P353*'Gübre oranlar'!S$2</f>
        <v>0</v>
      </c>
      <c r="Q353">
        <f>'Kullanılan gübre'!Q353*'Gübre oranlar'!T$2</f>
        <v>0</v>
      </c>
      <c r="R353">
        <f>'Kullanılan gübre'!R353*'Gübre oranlar'!U$2</f>
        <v>0</v>
      </c>
      <c r="S353">
        <f>'Kullanılan gübre'!S353*'Gübre oranlar'!V$2</f>
        <v>0</v>
      </c>
      <c r="T353">
        <f>'Kullanılan gübre'!T353*'Gübre oranlar'!W$2</f>
        <v>0</v>
      </c>
      <c r="U353">
        <f>'Kullanılan gübre'!U353*'Gübre oranlar'!X$2</f>
        <v>0</v>
      </c>
      <c r="V353">
        <f>'Kullanılan gübre'!V353*'Gübre oranlar'!Y$2</f>
        <v>0</v>
      </c>
      <c r="W353">
        <f>'Kullanılan gübre'!W353*'Gübre oranlar'!Z$2</f>
        <v>0</v>
      </c>
      <c r="X353">
        <f>'Kullanılan gübre'!X353*'Gübre oranlar'!AA$2</f>
        <v>0</v>
      </c>
      <c r="Y353">
        <f>'Kullanılan gübre'!Y353*'Gübre oranlar'!AB$2</f>
        <v>0</v>
      </c>
      <c r="Z353">
        <f>'Kullanılan gübre'!Z353*'Gübre oranlar'!AC$2</f>
        <v>0</v>
      </c>
      <c r="AA353">
        <f>'Kullanılan gübre'!AA353*'Gübre oranlar'!AD$2</f>
        <v>0</v>
      </c>
      <c r="AB353">
        <f>'Kullanılan gübre'!AB353*'Gübre oranlar'!AE$2</f>
        <v>0</v>
      </c>
      <c r="AC353">
        <f>'Kullanılan gübre'!AC353*'Gübre oranlar'!AF$2</f>
        <v>0</v>
      </c>
      <c r="AD353">
        <f>'Kullanılan gübre'!AD353*'Gübre oranlar'!AG$2</f>
        <v>0</v>
      </c>
      <c r="AE353">
        <f>'Kullanılan gübre'!AE353*'Gübre oranlar'!AH$2</f>
        <v>0</v>
      </c>
      <c r="AF353">
        <f>'Kullanılan gübre'!AF353*'Gübre oranlar'!AI$2</f>
        <v>0</v>
      </c>
      <c r="AG353">
        <f>'Kullanılan gübre'!AG353*'Gübre oranlar'!AJ$2</f>
        <v>0</v>
      </c>
      <c r="AH353">
        <f>'Kullanılan gübre'!AH353*'Gübre oranlar'!AK$2</f>
        <v>0</v>
      </c>
      <c r="AI353">
        <f>'Kullanılan gübre'!AI353*'Gübre oranlar'!AL$2</f>
        <v>0</v>
      </c>
      <c r="AJ353">
        <f>'Kullanılan gübre'!AJ353*'Gübre oranlar'!AM$2</f>
        <v>0</v>
      </c>
      <c r="AK353">
        <f>'Kullanılan gübre'!AK353*'Gübre oranlar'!AN$2</f>
        <v>0</v>
      </c>
      <c r="AL353">
        <f>'Kullanılan gübre'!AL353*'Gübre oranlar'!AO$2</f>
        <v>0</v>
      </c>
      <c r="AM353">
        <f>'Kullanılan gübre'!AM353*'Gübre oranlar'!AP$2</f>
        <v>0</v>
      </c>
      <c r="AN353">
        <f>'Kullanılan gübre'!AN353*'Gübre oranlar'!AQ$2</f>
        <v>0</v>
      </c>
      <c r="AO353">
        <f>'Kullanılan gübre'!AO353*'Gübre oranlar'!AR$2</f>
        <v>0</v>
      </c>
      <c r="AP353">
        <f>'Kullanılan gübre'!AP353*'Gübre oranlar'!AS$2</f>
        <v>0</v>
      </c>
      <c r="AQ353">
        <f>'Kullanılan gübre'!AQ353*'Gübre oranlar'!AT$2</f>
        <v>0</v>
      </c>
      <c r="AR353">
        <f>'Kullanılan gübre'!AR353*'Gübre oranlar'!AU$2</f>
        <v>0</v>
      </c>
      <c r="AS353">
        <f>'Kullanılan gübre'!AS353*'Gübre oranlar'!AV$2</f>
        <v>0</v>
      </c>
      <c r="AT353">
        <f>'Kullanılan gübre'!AT353*'Gübre oranlar'!AW$2</f>
        <v>0</v>
      </c>
      <c r="AU353">
        <f>'Kullanılan gübre'!AU353*'Gübre oranlar'!AX$2</f>
        <v>0</v>
      </c>
      <c r="AV353">
        <f>'Kullanılan gübre'!AV353*'Gübre oranlar'!AY$2</f>
        <v>0</v>
      </c>
      <c r="AW353">
        <f t="shared" si="5"/>
        <v>171.57149999999999</v>
      </c>
    </row>
    <row r="354" spans="1:49" hidden="1" x14ac:dyDescent="0.25">
      <c r="A354" t="str">
        <f>'Kullanılan gübre'!A354</f>
        <v>YI</v>
      </c>
      <c r="B354" t="str">
        <f>'Kullanılan gübre'!B354</f>
        <v>TOKAT</v>
      </c>
      <c r="C354" t="str">
        <f>'Kullanılan gübre'!C354</f>
        <v>ZILE</v>
      </c>
      <c r="D354">
        <f>'Kullanılan gübre'!D354</f>
        <v>2012</v>
      </c>
      <c r="E354">
        <f>'Kullanılan gübre'!E354*'Gübre oranlar'!H$2</f>
        <v>45.341099999999997</v>
      </c>
      <c r="F354">
        <f>'Kullanılan gübre'!F354*'Gübre oranlar'!I$2</f>
        <v>893.94500000000005</v>
      </c>
      <c r="G354">
        <f>'Kullanılan gübre'!G354*'Gübre oranlar'!J$2</f>
        <v>566.28</v>
      </c>
      <c r="H354">
        <f>'Kullanılan gübre'!H354*'Gübre oranlar'!K$2</f>
        <v>591.74399999999991</v>
      </c>
      <c r="I354">
        <f>'Kullanılan gübre'!I354*'Gübre oranlar'!L$2</f>
        <v>0</v>
      </c>
      <c r="J354">
        <f>'Kullanılan gübre'!J354*'Gübre oranlar'!M$2</f>
        <v>125.41500000000002</v>
      </c>
      <c r="K354">
        <f>'Kullanılan gübre'!K354*'Gübre oranlar'!N$2</f>
        <v>356.59000000000003</v>
      </c>
      <c r="L354">
        <f>'Kullanılan gübre'!L354*'Gübre oranlar'!O$2</f>
        <v>175.94</v>
      </c>
      <c r="M354">
        <f>'Kullanılan gübre'!M354*'Gübre oranlar'!P$2</f>
        <v>41.385000000000005</v>
      </c>
      <c r="N354">
        <f>'Kullanılan gübre'!N354*'Gübre oranlar'!Q$2</f>
        <v>32.43</v>
      </c>
      <c r="O354">
        <f>'Kullanılan gübre'!O354*'Gübre oranlar'!R$2</f>
        <v>0</v>
      </c>
      <c r="P354">
        <f>'Kullanılan gübre'!P354*'Gübre oranlar'!S$2</f>
        <v>0</v>
      </c>
      <c r="Q354">
        <f>'Kullanılan gübre'!Q354*'Gübre oranlar'!T$2</f>
        <v>0</v>
      </c>
      <c r="R354">
        <f>'Kullanılan gübre'!R354*'Gübre oranlar'!U$2</f>
        <v>0</v>
      </c>
      <c r="S354">
        <f>'Kullanılan gübre'!S354*'Gübre oranlar'!V$2</f>
        <v>0</v>
      </c>
      <c r="T354">
        <f>'Kullanılan gübre'!T354*'Gübre oranlar'!W$2</f>
        <v>0</v>
      </c>
      <c r="U354">
        <f>'Kullanılan gübre'!U354*'Gübre oranlar'!X$2</f>
        <v>0</v>
      </c>
      <c r="V354">
        <f>'Kullanılan gübre'!V354*'Gübre oranlar'!Y$2</f>
        <v>0</v>
      </c>
      <c r="W354">
        <f>'Kullanılan gübre'!W354*'Gübre oranlar'!Z$2</f>
        <v>0</v>
      </c>
      <c r="X354">
        <f>'Kullanılan gübre'!X354*'Gübre oranlar'!AA$2</f>
        <v>0</v>
      </c>
      <c r="Y354">
        <f>'Kullanılan gübre'!Y354*'Gübre oranlar'!AB$2</f>
        <v>0</v>
      </c>
      <c r="Z354">
        <f>'Kullanılan gübre'!Z354*'Gübre oranlar'!AC$2</f>
        <v>0</v>
      </c>
      <c r="AA354">
        <f>'Kullanılan gübre'!AA354*'Gübre oranlar'!AD$2</f>
        <v>0</v>
      </c>
      <c r="AB354">
        <f>'Kullanılan gübre'!AB354*'Gübre oranlar'!AE$2</f>
        <v>0</v>
      </c>
      <c r="AC354">
        <f>'Kullanılan gübre'!AC354*'Gübre oranlar'!AF$2</f>
        <v>0</v>
      </c>
      <c r="AD354">
        <f>'Kullanılan gübre'!AD354*'Gübre oranlar'!AG$2</f>
        <v>0</v>
      </c>
      <c r="AE354">
        <f>'Kullanılan gübre'!AE354*'Gübre oranlar'!AH$2</f>
        <v>0</v>
      </c>
      <c r="AF354">
        <f>'Kullanılan gübre'!AF354*'Gübre oranlar'!AI$2</f>
        <v>0</v>
      </c>
      <c r="AG354">
        <f>'Kullanılan gübre'!AG354*'Gübre oranlar'!AJ$2</f>
        <v>0</v>
      </c>
      <c r="AH354">
        <f>'Kullanılan gübre'!AH354*'Gübre oranlar'!AK$2</f>
        <v>0</v>
      </c>
      <c r="AI354">
        <f>'Kullanılan gübre'!AI354*'Gübre oranlar'!AL$2</f>
        <v>0</v>
      </c>
      <c r="AJ354">
        <f>'Kullanılan gübre'!AJ354*'Gübre oranlar'!AM$2</f>
        <v>0</v>
      </c>
      <c r="AK354">
        <f>'Kullanılan gübre'!AK354*'Gübre oranlar'!AN$2</f>
        <v>0</v>
      </c>
      <c r="AL354">
        <f>'Kullanılan gübre'!AL354*'Gübre oranlar'!AO$2</f>
        <v>0</v>
      </c>
      <c r="AM354">
        <f>'Kullanılan gübre'!AM354*'Gübre oranlar'!AP$2</f>
        <v>0</v>
      </c>
      <c r="AN354">
        <f>'Kullanılan gübre'!AN354*'Gübre oranlar'!AQ$2</f>
        <v>0</v>
      </c>
      <c r="AO354">
        <f>'Kullanılan gübre'!AO354*'Gübre oranlar'!AR$2</f>
        <v>0</v>
      </c>
      <c r="AP354">
        <f>'Kullanılan gübre'!AP354*'Gübre oranlar'!AS$2</f>
        <v>0</v>
      </c>
      <c r="AQ354">
        <f>'Kullanılan gübre'!AQ354*'Gübre oranlar'!AT$2</f>
        <v>0</v>
      </c>
      <c r="AR354">
        <f>'Kullanılan gübre'!AR354*'Gübre oranlar'!AU$2</f>
        <v>0</v>
      </c>
      <c r="AS354">
        <f>'Kullanılan gübre'!AS354*'Gübre oranlar'!AV$2</f>
        <v>0</v>
      </c>
      <c r="AT354">
        <f>'Kullanılan gübre'!AT354*'Gübre oranlar'!AW$2</f>
        <v>0</v>
      </c>
      <c r="AU354">
        <f>'Kullanılan gübre'!AU354*'Gübre oranlar'!AX$2</f>
        <v>0</v>
      </c>
      <c r="AV354">
        <f>'Kullanılan gübre'!AV354*'Gübre oranlar'!AY$2</f>
        <v>0</v>
      </c>
      <c r="AW354">
        <f t="shared" si="5"/>
        <v>2829.0700999999999</v>
      </c>
    </row>
    <row r="355" spans="1:49" hidden="1" x14ac:dyDescent="0.25">
      <c r="A355" t="str">
        <f>'Kullanılan gübre'!A355</f>
        <v>YI</v>
      </c>
      <c r="B355" t="str">
        <f>'Kullanılan gübre'!B355</f>
        <v>TOKAT</v>
      </c>
      <c r="C355" t="str">
        <f>'Kullanılan gübre'!C355</f>
        <v>MERKEZ</v>
      </c>
      <c r="D355">
        <f>'Kullanılan gübre'!D355</f>
        <v>2013</v>
      </c>
      <c r="E355">
        <f>'Kullanılan gübre'!E355*'Gübre oranlar'!H$2</f>
        <v>49.665000000000006</v>
      </c>
      <c r="F355">
        <f>'Kullanılan gübre'!F355*'Gübre oranlar'!I$2</f>
        <v>275.86</v>
      </c>
      <c r="G355">
        <f>'Kullanılan gübre'!G355*'Gübre oranlar'!J$2</f>
        <v>7955.3759999999993</v>
      </c>
      <c r="H355">
        <f>'Kullanılan gübre'!H355*'Gübre oranlar'!K$2</f>
        <v>409.33099999999996</v>
      </c>
      <c r="I355">
        <f>'Kullanılan gübre'!I355*'Gübre oranlar'!L$2</f>
        <v>0</v>
      </c>
      <c r="J355">
        <f>'Kullanılan gübre'!J355*'Gübre oranlar'!M$2</f>
        <v>104.16600000000001</v>
      </c>
      <c r="K355">
        <f>'Kullanılan gübre'!K355*'Gübre oranlar'!N$2</f>
        <v>54.68</v>
      </c>
      <c r="L355">
        <f>'Kullanılan gübre'!L355*'Gübre oranlar'!O$2</f>
        <v>60.070000000000007</v>
      </c>
      <c r="M355">
        <f>'Kullanılan gübre'!M355*'Gübre oranlar'!P$2</f>
        <v>26.257499999999997</v>
      </c>
      <c r="N355">
        <f>'Kullanılan gübre'!N355*'Gübre oranlar'!Q$2</f>
        <v>36.660000000000004</v>
      </c>
      <c r="O355">
        <f>'Kullanılan gübre'!O355*'Gübre oranlar'!R$2</f>
        <v>0</v>
      </c>
      <c r="P355">
        <f>'Kullanılan gübre'!P355*'Gübre oranlar'!S$2</f>
        <v>1.9305000000000001</v>
      </c>
      <c r="Q355">
        <f>'Kullanılan gübre'!Q355*'Gübre oranlar'!T$2</f>
        <v>0</v>
      </c>
      <c r="R355">
        <f>'Kullanılan gübre'!R355*'Gübre oranlar'!U$2</f>
        <v>0</v>
      </c>
      <c r="S355">
        <f>'Kullanılan gübre'!S355*'Gübre oranlar'!V$2</f>
        <v>0</v>
      </c>
      <c r="T355">
        <f>'Kullanılan gübre'!T355*'Gübre oranlar'!W$2</f>
        <v>0</v>
      </c>
      <c r="U355">
        <f>'Kullanılan gübre'!U355*'Gübre oranlar'!X$2</f>
        <v>0</v>
      </c>
      <c r="V355">
        <f>'Kullanılan gübre'!V355*'Gübre oranlar'!Y$2</f>
        <v>0</v>
      </c>
      <c r="W355">
        <f>'Kullanılan gübre'!W355*'Gübre oranlar'!Z$2</f>
        <v>0</v>
      </c>
      <c r="X355">
        <f>'Kullanılan gübre'!X355*'Gübre oranlar'!AA$2</f>
        <v>0</v>
      </c>
      <c r="Y355">
        <f>'Kullanılan gübre'!Y355*'Gübre oranlar'!AB$2</f>
        <v>0</v>
      </c>
      <c r="Z355">
        <f>'Kullanılan gübre'!Z355*'Gübre oranlar'!AC$2</f>
        <v>0</v>
      </c>
      <c r="AA355">
        <f>'Kullanılan gübre'!AA355*'Gübre oranlar'!AD$2</f>
        <v>0</v>
      </c>
      <c r="AB355">
        <f>'Kullanılan gübre'!AB355*'Gübre oranlar'!AE$2</f>
        <v>0</v>
      </c>
      <c r="AC355">
        <f>'Kullanılan gübre'!AC355*'Gübre oranlar'!AF$2</f>
        <v>0</v>
      </c>
      <c r="AD355">
        <f>'Kullanılan gübre'!AD355*'Gübre oranlar'!AG$2</f>
        <v>0</v>
      </c>
      <c r="AE355">
        <f>'Kullanılan gübre'!AE355*'Gübre oranlar'!AH$2</f>
        <v>0</v>
      </c>
      <c r="AF355">
        <f>'Kullanılan gübre'!AF355*'Gübre oranlar'!AI$2</f>
        <v>0</v>
      </c>
      <c r="AG355">
        <f>'Kullanılan gübre'!AG355*'Gübre oranlar'!AJ$2</f>
        <v>0</v>
      </c>
      <c r="AH355">
        <f>'Kullanılan gübre'!AH355*'Gübre oranlar'!AK$2</f>
        <v>0</v>
      </c>
      <c r="AI355">
        <f>'Kullanılan gübre'!AI355*'Gübre oranlar'!AL$2</f>
        <v>0</v>
      </c>
      <c r="AJ355">
        <f>'Kullanılan gübre'!AJ355*'Gübre oranlar'!AM$2</f>
        <v>0</v>
      </c>
      <c r="AK355">
        <f>'Kullanılan gübre'!AK355*'Gübre oranlar'!AN$2</f>
        <v>0</v>
      </c>
      <c r="AL355">
        <f>'Kullanılan gübre'!AL355*'Gübre oranlar'!AO$2</f>
        <v>0</v>
      </c>
      <c r="AM355">
        <f>'Kullanılan gübre'!AM355*'Gübre oranlar'!AP$2</f>
        <v>0</v>
      </c>
      <c r="AN355">
        <f>'Kullanılan gübre'!AN355*'Gübre oranlar'!AQ$2</f>
        <v>0</v>
      </c>
      <c r="AO355">
        <f>'Kullanılan gübre'!AO355*'Gübre oranlar'!AR$2</f>
        <v>0</v>
      </c>
      <c r="AP355">
        <f>'Kullanılan gübre'!AP355*'Gübre oranlar'!AS$2</f>
        <v>0</v>
      </c>
      <c r="AQ355">
        <f>'Kullanılan gübre'!AQ355*'Gübre oranlar'!AT$2</f>
        <v>0</v>
      </c>
      <c r="AR355">
        <f>'Kullanılan gübre'!AR355*'Gübre oranlar'!AU$2</f>
        <v>0</v>
      </c>
      <c r="AS355">
        <f>'Kullanılan gübre'!AS355*'Gübre oranlar'!AV$2</f>
        <v>0</v>
      </c>
      <c r="AT355">
        <f>'Kullanılan gübre'!AT355*'Gübre oranlar'!AW$2</f>
        <v>0</v>
      </c>
      <c r="AU355">
        <f>'Kullanılan gübre'!AU355*'Gübre oranlar'!AX$2</f>
        <v>0</v>
      </c>
      <c r="AV355">
        <f>'Kullanılan gübre'!AV355*'Gübre oranlar'!AY$2</f>
        <v>0</v>
      </c>
      <c r="AW355">
        <f t="shared" si="5"/>
        <v>8973.9959999999992</v>
      </c>
    </row>
    <row r="356" spans="1:49" hidden="1" x14ac:dyDescent="0.25">
      <c r="A356" t="str">
        <f>'Kullanılan gübre'!A356</f>
        <v>YI</v>
      </c>
      <c r="B356" t="str">
        <f>'Kullanılan gübre'!B356</f>
        <v>TOKAT</v>
      </c>
      <c r="C356" t="str">
        <f>'Kullanılan gübre'!C356</f>
        <v>ALMUS</v>
      </c>
      <c r="D356">
        <f>'Kullanılan gübre'!D356</f>
        <v>2013</v>
      </c>
      <c r="E356">
        <f>'Kullanılan gübre'!E356*'Gübre oranlar'!H$2</f>
        <v>0</v>
      </c>
      <c r="F356">
        <f>'Kullanılan gübre'!F356*'Gübre oranlar'!I$2</f>
        <v>13.52</v>
      </c>
      <c r="G356">
        <f>'Kullanılan gübre'!G356*'Gübre oranlar'!J$2</f>
        <v>51.496500000000005</v>
      </c>
      <c r="H356">
        <f>'Kullanılan gübre'!H356*'Gübre oranlar'!K$2</f>
        <v>5.3820000000000006</v>
      </c>
      <c r="I356">
        <f>'Kullanılan gübre'!I356*'Gübre oranlar'!L$2</f>
        <v>0</v>
      </c>
      <c r="J356">
        <f>'Kullanılan gübre'!J356*'Gübre oranlar'!M$2</f>
        <v>16.11</v>
      </c>
      <c r="K356">
        <f>'Kullanılan gübre'!K356*'Gübre oranlar'!N$2</f>
        <v>3.0100000000000002</v>
      </c>
      <c r="L356">
        <f>'Kullanılan gübre'!L356*'Gübre oranlar'!O$2</f>
        <v>0</v>
      </c>
      <c r="M356">
        <f>'Kullanılan gübre'!M356*'Gübre oranlar'!P$2</f>
        <v>0</v>
      </c>
      <c r="N356">
        <f>'Kullanılan gübre'!N356*'Gübre oranlar'!Q$2</f>
        <v>0</v>
      </c>
      <c r="O356">
        <f>'Kullanılan gübre'!O356*'Gübre oranlar'!R$2</f>
        <v>0</v>
      </c>
      <c r="P356">
        <f>'Kullanılan gübre'!P356*'Gübre oranlar'!S$2</f>
        <v>0</v>
      </c>
      <c r="Q356">
        <f>'Kullanılan gübre'!Q356*'Gübre oranlar'!T$2</f>
        <v>0</v>
      </c>
      <c r="R356">
        <f>'Kullanılan gübre'!R356*'Gübre oranlar'!U$2</f>
        <v>0</v>
      </c>
      <c r="S356">
        <f>'Kullanılan gübre'!S356*'Gübre oranlar'!V$2</f>
        <v>0</v>
      </c>
      <c r="T356">
        <f>'Kullanılan gübre'!T356*'Gübre oranlar'!W$2</f>
        <v>0</v>
      </c>
      <c r="U356">
        <f>'Kullanılan gübre'!U356*'Gübre oranlar'!X$2</f>
        <v>0</v>
      </c>
      <c r="V356">
        <f>'Kullanılan gübre'!V356*'Gübre oranlar'!Y$2</f>
        <v>0</v>
      </c>
      <c r="W356">
        <f>'Kullanılan gübre'!W356*'Gübre oranlar'!Z$2</f>
        <v>0</v>
      </c>
      <c r="X356">
        <f>'Kullanılan gübre'!X356*'Gübre oranlar'!AA$2</f>
        <v>0</v>
      </c>
      <c r="Y356">
        <f>'Kullanılan gübre'!Y356*'Gübre oranlar'!AB$2</f>
        <v>0</v>
      </c>
      <c r="Z356">
        <f>'Kullanılan gübre'!Z356*'Gübre oranlar'!AC$2</f>
        <v>0</v>
      </c>
      <c r="AA356">
        <f>'Kullanılan gübre'!AA356*'Gübre oranlar'!AD$2</f>
        <v>0</v>
      </c>
      <c r="AB356">
        <f>'Kullanılan gübre'!AB356*'Gübre oranlar'!AE$2</f>
        <v>0</v>
      </c>
      <c r="AC356">
        <f>'Kullanılan gübre'!AC356*'Gübre oranlar'!AF$2</f>
        <v>0</v>
      </c>
      <c r="AD356">
        <f>'Kullanılan gübre'!AD356*'Gübre oranlar'!AG$2</f>
        <v>0</v>
      </c>
      <c r="AE356">
        <f>'Kullanılan gübre'!AE356*'Gübre oranlar'!AH$2</f>
        <v>0</v>
      </c>
      <c r="AF356">
        <f>'Kullanılan gübre'!AF356*'Gübre oranlar'!AI$2</f>
        <v>0</v>
      </c>
      <c r="AG356">
        <f>'Kullanılan gübre'!AG356*'Gübre oranlar'!AJ$2</f>
        <v>0</v>
      </c>
      <c r="AH356">
        <f>'Kullanılan gübre'!AH356*'Gübre oranlar'!AK$2</f>
        <v>0</v>
      </c>
      <c r="AI356">
        <f>'Kullanılan gübre'!AI356*'Gübre oranlar'!AL$2</f>
        <v>0</v>
      </c>
      <c r="AJ356">
        <f>'Kullanılan gübre'!AJ356*'Gübre oranlar'!AM$2</f>
        <v>0</v>
      </c>
      <c r="AK356">
        <f>'Kullanılan gübre'!AK356*'Gübre oranlar'!AN$2</f>
        <v>0</v>
      </c>
      <c r="AL356">
        <f>'Kullanılan gübre'!AL356*'Gübre oranlar'!AO$2</f>
        <v>0</v>
      </c>
      <c r="AM356">
        <f>'Kullanılan gübre'!AM356*'Gübre oranlar'!AP$2</f>
        <v>0</v>
      </c>
      <c r="AN356">
        <f>'Kullanılan gübre'!AN356*'Gübre oranlar'!AQ$2</f>
        <v>0</v>
      </c>
      <c r="AO356">
        <f>'Kullanılan gübre'!AO356*'Gübre oranlar'!AR$2</f>
        <v>0</v>
      </c>
      <c r="AP356">
        <f>'Kullanılan gübre'!AP356*'Gübre oranlar'!AS$2</f>
        <v>0</v>
      </c>
      <c r="AQ356">
        <f>'Kullanılan gübre'!AQ356*'Gübre oranlar'!AT$2</f>
        <v>0</v>
      </c>
      <c r="AR356">
        <f>'Kullanılan gübre'!AR356*'Gübre oranlar'!AU$2</f>
        <v>0</v>
      </c>
      <c r="AS356">
        <f>'Kullanılan gübre'!AS356*'Gübre oranlar'!AV$2</f>
        <v>0</v>
      </c>
      <c r="AT356">
        <f>'Kullanılan gübre'!AT356*'Gübre oranlar'!AW$2</f>
        <v>0</v>
      </c>
      <c r="AU356">
        <f>'Kullanılan gübre'!AU356*'Gübre oranlar'!AX$2</f>
        <v>0</v>
      </c>
      <c r="AV356">
        <f>'Kullanılan gübre'!AV356*'Gübre oranlar'!AY$2</f>
        <v>0</v>
      </c>
      <c r="AW356">
        <f t="shared" si="5"/>
        <v>89.518500000000017</v>
      </c>
    </row>
    <row r="357" spans="1:49" hidden="1" x14ac:dyDescent="0.25">
      <c r="A357" t="str">
        <f>'Kullanılan gübre'!A357</f>
        <v>YI</v>
      </c>
      <c r="B357" t="str">
        <f>'Kullanılan gübre'!B357</f>
        <v>TOKAT</v>
      </c>
      <c r="C357" t="str">
        <f>'Kullanılan gübre'!C357</f>
        <v>ARTOVA</v>
      </c>
      <c r="D357">
        <f>'Kullanılan gübre'!D357</f>
        <v>2013</v>
      </c>
      <c r="E357">
        <f>'Kullanılan gübre'!E357*'Gübre oranlar'!H$2</f>
        <v>2.5514999999999994</v>
      </c>
      <c r="F357">
        <f>'Kullanılan gübre'!F357*'Gübre oranlar'!I$2</f>
        <v>92.664000000000016</v>
      </c>
      <c r="G357">
        <f>'Kullanılan gübre'!G357*'Gübre oranlar'!J$2</f>
        <v>56.991000000000007</v>
      </c>
      <c r="H357">
        <f>'Kullanılan gübre'!H357*'Gübre oranlar'!K$2</f>
        <v>12.419999999999998</v>
      </c>
      <c r="I357">
        <f>'Kullanılan gübre'!I357*'Gübre oranlar'!L$2</f>
        <v>0</v>
      </c>
      <c r="J357">
        <f>'Kullanılan gübre'!J357*'Gübre oranlar'!M$2</f>
        <v>32.147999999999996</v>
      </c>
      <c r="K357">
        <f>'Kullanılan gübre'!K357*'Gübre oranlar'!N$2</f>
        <v>3.59</v>
      </c>
      <c r="L357">
        <f>'Kullanılan gübre'!L357*'Gübre oranlar'!O$2</f>
        <v>45.28</v>
      </c>
      <c r="M357">
        <f>'Kullanılan gübre'!M357*'Gübre oranlar'!P$2</f>
        <v>0</v>
      </c>
      <c r="N357">
        <f>'Kullanılan gübre'!N357*'Gübre oranlar'!Q$2</f>
        <v>17.25</v>
      </c>
      <c r="O357">
        <f>'Kullanılan gübre'!O357*'Gübre oranlar'!R$2</f>
        <v>0</v>
      </c>
      <c r="P357">
        <f>'Kullanılan gübre'!P357*'Gübre oranlar'!S$2</f>
        <v>0</v>
      </c>
      <c r="Q357">
        <f>'Kullanılan gübre'!Q357*'Gübre oranlar'!T$2</f>
        <v>0</v>
      </c>
      <c r="R357">
        <f>'Kullanılan gübre'!R357*'Gübre oranlar'!U$2</f>
        <v>0</v>
      </c>
      <c r="S357">
        <f>'Kullanılan gübre'!S357*'Gübre oranlar'!V$2</f>
        <v>0</v>
      </c>
      <c r="T357">
        <f>'Kullanılan gübre'!T357*'Gübre oranlar'!W$2</f>
        <v>0</v>
      </c>
      <c r="U357">
        <f>'Kullanılan gübre'!U357*'Gübre oranlar'!X$2</f>
        <v>0</v>
      </c>
      <c r="V357">
        <f>'Kullanılan gübre'!V357*'Gübre oranlar'!Y$2</f>
        <v>0</v>
      </c>
      <c r="W357">
        <f>'Kullanılan gübre'!W357*'Gübre oranlar'!Z$2</f>
        <v>0</v>
      </c>
      <c r="X357">
        <f>'Kullanılan gübre'!X357*'Gübre oranlar'!AA$2</f>
        <v>0</v>
      </c>
      <c r="Y357">
        <f>'Kullanılan gübre'!Y357*'Gübre oranlar'!AB$2</f>
        <v>0</v>
      </c>
      <c r="Z357">
        <f>'Kullanılan gübre'!Z357*'Gübre oranlar'!AC$2</f>
        <v>0</v>
      </c>
      <c r="AA357">
        <f>'Kullanılan gübre'!AA357*'Gübre oranlar'!AD$2</f>
        <v>0</v>
      </c>
      <c r="AB357">
        <f>'Kullanılan gübre'!AB357*'Gübre oranlar'!AE$2</f>
        <v>0</v>
      </c>
      <c r="AC357">
        <f>'Kullanılan gübre'!AC357*'Gübre oranlar'!AF$2</f>
        <v>0</v>
      </c>
      <c r="AD357">
        <f>'Kullanılan gübre'!AD357*'Gübre oranlar'!AG$2</f>
        <v>0</v>
      </c>
      <c r="AE357">
        <f>'Kullanılan gübre'!AE357*'Gübre oranlar'!AH$2</f>
        <v>0</v>
      </c>
      <c r="AF357">
        <f>'Kullanılan gübre'!AF357*'Gübre oranlar'!AI$2</f>
        <v>0</v>
      </c>
      <c r="AG357">
        <f>'Kullanılan gübre'!AG357*'Gübre oranlar'!AJ$2</f>
        <v>0</v>
      </c>
      <c r="AH357">
        <f>'Kullanılan gübre'!AH357*'Gübre oranlar'!AK$2</f>
        <v>0</v>
      </c>
      <c r="AI357">
        <f>'Kullanılan gübre'!AI357*'Gübre oranlar'!AL$2</f>
        <v>0</v>
      </c>
      <c r="AJ357">
        <f>'Kullanılan gübre'!AJ357*'Gübre oranlar'!AM$2</f>
        <v>0</v>
      </c>
      <c r="AK357">
        <f>'Kullanılan gübre'!AK357*'Gübre oranlar'!AN$2</f>
        <v>0</v>
      </c>
      <c r="AL357">
        <f>'Kullanılan gübre'!AL357*'Gübre oranlar'!AO$2</f>
        <v>0</v>
      </c>
      <c r="AM357">
        <f>'Kullanılan gübre'!AM357*'Gübre oranlar'!AP$2</f>
        <v>0</v>
      </c>
      <c r="AN357">
        <f>'Kullanılan gübre'!AN357*'Gübre oranlar'!AQ$2</f>
        <v>0</v>
      </c>
      <c r="AO357">
        <f>'Kullanılan gübre'!AO357*'Gübre oranlar'!AR$2</f>
        <v>0</v>
      </c>
      <c r="AP357">
        <f>'Kullanılan gübre'!AP357*'Gübre oranlar'!AS$2</f>
        <v>0</v>
      </c>
      <c r="AQ357">
        <f>'Kullanılan gübre'!AQ357*'Gübre oranlar'!AT$2</f>
        <v>0</v>
      </c>
      <c r="AR357">
        <f>'Kullanılan gübre'!AR357*'Gübre oranlar'!AU$2</f>
        <v>0</v>
      </c>
      <c r="AS357">
        <f>'Kullanılan gübre'!AS357*'Gübre oranlar'!AV$2</f>
        <v>0</v>
      </c>
      <c r="AT357">
        <f>'Kullanılan gübre'!AT357*'Gübre oranlar'!AW$2</f>
        <v>0</v>
      </c>
      <c r="AU357">
        <f>'Kullanılan gübre'!AU357*'Gübre oranlar'!AX$2</f>
        <v>0</v>
      </c>
      <c r="AV357">
        <f>'Kullanılan gübre'!AV357*'Gübre oranlar'!AY$2</f>
        <v>0</v>
      </c>
      <c r="AW357">
        <f t="shared" si="5"/>
        <v>262.89449999999999</v>
      </c>
    </row>
    <row r="358" spans="1:49" hidden="1" x14ac:dyDescent="0.25">
      <c r="A358" t="str">
        <f>'Kullanılan gübre'!A358</f>
        <v>YI</v>
      </c>
      <c r="B358" t="str">
        <f>'Kullanılan gübre'!B358</f>
        <v>TOKAT</v>
      </c>
      <c r="C358" t="str">
        <f>'Kullanılan gübre'!C358</f>
        <v>BASCIFTLIK</v>
      </c>
      <c r="D358">
        <f>'Kullanılan gübre'!D358</f>
        <v>2013</v>
      </c>
      <c r="E358">
        <f>'Kullanılan gübre'!E358*'Gübre oranlar'!H$2</f>
        <v>0</v>
      </c>
      <c r="F358">
        <f>'Kullanılan gübre'!F358*'Gübre oranlar'!I$2</f>
        <v>0</v>
      </c>
      <c r="G358">
        <f>'Kullanılan gübre'!G358*'Gübre oranlar'!J$2</f>
        <v>0</v>
      </c>
      <c r="H358">
        <f>'Kullanılan gübre'!H358*'Gübre oranlar'!K$2</f>
        <v>0</v>
      </c>
      <c r="I358">
        <f>'Kullanılan gübre'!I358*'Gübre oranlar'!L$2</f>
        <v>0</v>
      </c>
      <c r="J358">
        <f>'Kullanılan gübre'!J358*'Gübre oranlar'!M$2</f>
        <v>0</v>
      </c>
      <c r="K358">
        <f>'Kullanılan gübre'!K358*'Gübre oranlar'!N$2</f>
        <v>0</v>
      </c>
      <c r="L358">
        <f>'Kullanılan gübre'!L358*'Gübre oranlar'!O$2</f>
        <v>0</v>
      </c>
      <c r="M358">
        <f>'Kullanılan gübre'!M358*'Gübre oranlar'!P$2</f>
        <v>0</v>
      </c>
      <c r="N358">
        <f>'Kullanılan gübre'!N358*'Gübre oranlar'!Q$2</f>
        <v>0</v>
      </c>
      <c r="O358">
        <f>'Kullanılan gübre'!O358*'Gübre oranlar'!R$2</f>
        <v>0</v>
      </c>
      <c r="P358">
        <f>'Kullanılan gübre'!P358*'Gübre oranlar'!S$2</f>
        <v>0</v>
      </c>
      <c r="Q358">
        <f>'Kullanılan gübre'!Q358*'Gübre oranlar'!T$2</f>
        <v>0</v>
      </c>
      <c r="R358">
        <f>'Kullanılan gübre'!R358*'Gübre oranlar'!U$2</f>
        <v>0</v>
      </c>
      <c r="S358">
        <f>'Kullanılan gübre'!S358*'Gübre oranlar'!V$2</f>
        <v>0</v>
      </c>
      <c r="T358">
        <f>'Kullanılan gübre'!T358*'Gübre oranlar'!W$2</f>
        <v>0</v>
      </c>
      <c r="U358">
        <f>'Kullanılan gübre'!U358*'Gübre oranlar'!X$2</f>
        <v>0</v>
      </c>
      <c r="V358">
        <f>'Kullanılan gübre'!V358*'Gübre oranlar'!Y$2</f>
        <v>0</v>
      </c>
      <c r="W358">
        <f>'Kullanılan gübre'!W358*'Gübre oranlar'!Z$2</f>
        <v>0</v>
      </c>
      <c r="X358">
        <f>'Kullanılan gübre'!X358*'Gübre oranlar'!AA$2</f>
        <v>0</v>
      </c>
      <c r="Y358">
        <f>'Kullanılan gübre'!Y358*'Gübre oranlar'!AB$2</f>
        <v>0</v>
      </c>
      <c r="Z358">
        <f>'Kullanılan gübre'!Z358*'Gübre oranlar'!AC$2</f>
        <v>0</v>
      </c>
      <c r="AA358">
        <f>'Kullanılan gübre'!AA358*'Gübre oranlar'!AD$2</f>
        <v>0</v>
      </c>
      <c r="AB358">
        <f>'Kullanılan gübre'!AB358*'Gübre oranlar'!AE$2</f>
        <v>0</v>
      </c>
      <c r="AC358">
        <f>'Kullanılan gübre'!AC358*'Gübre oranlar'!AF$2</f>
        <v>0</v>
      </c>
      <c r="AD358">
        <f>'Kullanılan gübre'!AD358*'Gübre oranlar'!AG$2</f>
        <v>0</v>
      </c>
      <c r="AE358">
        <f>'Kullanılan gübre'!AE358*'Gübre oranlar'!AH$2</f>
        <v>0</v>
      </c>
      <c r="AF358">
        <f>'Kullanılan gübre'!AF358*'Gübre oranlar'!AI$2</f>
        <v>0</v>
      </c>
      <c r="AG358">
        <f>'Kullanılan gübre'!AG358*'Gübre oranlar'!AJ$2</f>
        <v>0</v>
      </c>
      <c r="AH358">
        <f>'Kullanılan gübre'!AH358*'Gübre oranlar'!AK$2</f>
        <v>0</v>
      </c>
      <c r="AI358">
        <f>'Kullanılan gübre'!AI358*'Gübre oranlar'!AL$2</f>
        <v>0</v>
      </c>
      <c r="AJ358">
        <f>'Kullanılan gübre'!AJ358*'Gübre oranlar'!AM$2</f>
        <v>0</v>
      </c>
      <c r="AK358">
        <f>'Kullanılan gübre'!AK358*'Gübre oranlar'!AN$2</f>
        <v>0</v>
      </c>
      <c r="AL358">
        <f>'Kullanılan gübre'!AL358*'Gübre oranlar'!AO$2</f>
        <v>0</v>
      </c>
      <c r="AM358">
        <f>'Kullanılan gübre'!AM358*'Gübre oranlar'!AP$2</f>
        <v>0</v>
      </c>
      <c r="AN358">
        <f>'Kullanılan gübre'!AN358*'Gübre oranlar'!AQ$2</f>
        <v>0</v>
      </c>
      <c r="AO358">
        <f>'Kullanılan gübre'!AO358*'Gübre oranlar'!AR$2</f>
        <v>0</v>
      </c>
      <c r="AP358">
        <f>'Kullanılan gübre'!AP358*'Gübre oranlar'!AS$2</f>
        <v>0</v>
      </c>
      <c r="AQ358">
        <f>'Kullanılan gübre'!AQ358*'Gübre oranlar'!AT$2</f>
        <v>0</v>
      </c>
      <c r="AR358">
        <f>'Kullanılan gübre'!AR358*'Gübre oranlar'!AU$2</f>
        <v>0</v>
      </c>
      <c r="AS358">
        <f>'Kullanılan gübre'!AS358*'Gübre oranlar'!AV$2</f>
        <v>0</v>
      </c>
      <c r="AT358">
        <f>'Kullanılan gübre'!AT358*'Gübre oranlar'!AW$2</f>
        <v>0</v>
      </c>
      <c r="AU358">
        <f>'Kullanılan gübre'!AU358*'Gübre oranlar'!AX$2</f>
        <v>0</v>
      </c>
      <c r="AV358">
        <f>'Kullanılan gübre'!AV358*'Gübre oranlar'!AY$2</f>
        <v>0</v>
      </c>
      <c r="AW358">
        <f t="shared" si="5"/>
        <v>0</v>
      </c>
    </row>
    <row r="359" spans="1:49" hidden="1" x14ac:dyDescent="0.25">
      <c r="A359" t="str">
        <f>'Kullanılan gübre'!A359</f>
        <v>YI</v>
      </c>
      <c r="B359" t="str">
        <f>'Kullanılan gübre'!B359</f>
        <v>TOKAT</v>
      </c>
      <c r="C359" t="str">
        <f>'Kullanılan gübre'!C359</f>
        <v>ERBAA</v>
      </c>
      <c r="D359">
        <f>'Kullanılan gübre'!D359</f>
        <v>2013</v>
      </c>
      <c r="E359">
        <f>'Kullanılan gübre'!E359*'Gübre oranlar'!H$2</f>
        <v>24.580499999999997</v>
      </c>
      <c r="F359">
        <f>'Kullanılan gübre'!F359*'Gübre oranlar'!I$2</f>
        <v>58.214000000000006</v>
      </c>
      <c r="G359">
        <f>'Kullanılan gübre'!G359*'Gübre oranlar'!J$2</f>
        <v>211.06799999999998</v>
      </c>
      <c r="H359">
        <f>'Kullanılan gübre'!H359*'Gübre oranlar'!K$2</f>
        <v>82.087000000000003</v>
      </c>
      <c r="I359">
        <f>'Kullanılan gübre'!I359*'Gübre oranlar'!L$2</f>
        <v>0</v>
      </c>
      <c r="J359">
        <f>'Kullanılan gübre'!J359*'Gübre oranlar'!M$2</f>
        <v>14.552999999999999</v>
      </c>
      <c r="K359">
        <f>'Kullanılan gübre'!K359*'Gübre oranlar'!N$2</f>
        <v>16.169999999999998</v>
      </c>
      <c r="L359">
        <f>'Kullanılan gübre'!L359*'Gübre oranlar'!O$2</f>
        <v>3.35</v>
      </c>
      <c r="M359">
        <f>'Kullanılan gübre'!M359*'Gübre oranlar'!P$2</f>
        <v>23.625</v>
      </c>
      <c r="N359">
        <f>'Kullanılan gübre'!N359*'Gübre oranlar'!Q$2</f>
        <v>39.734999999999992</v>
      </c>
      <c r="O359">
        <f>'Kullanılan gübre'!O359*'Gübre oranlar'!R$2</f>
        <v>0</v>
      </c>
      <c r="P359">
        <f>'Kullanılan gübre'!P359*'Gübre oranlar'!S$2</f>
        <v>0</v>
      </c>
      <c r="Q359">
        <f>'Kullanılan gübre'!Q359*'Gübre oranlar'!T$2</f>
        <v>0</v>
      </c>
      <c r="R359">
        <f>'Kullanılan gübre'!R359*'Gübre oranlar'!U$2</f>
        <v>0</v>
      </c>
      <c r="S359">
        <f>'Kullanılan gübre'!S359*'Gübre oranlar'!V$2</f>
        <v>0</v>
      </c>
      <c r="T359">
        <f>'Kullanılan gübre'!T359*'Gübre oranlar'!W$2</f>
        <v>0</v>
      </c>
      <c r="U359">
        <f>'Kullanılan gübre'!U359*'Gübre oranlar'!X$2</f>
        <v>0</v>
      </c>
      <c r="V359">
        <f>'Kullanılan gübre'!V359*'Gübre oranlar'!Y$2</f>
        <v>0</v>
      </c>
      <c r="W359">
        <f>'Kullanılan gübre'!W359*'Gübre oranlar'!Z$2</f>
        <v>0</v>
      </c>
      <c r="X359">
        <f>'Kullanılan gübre'!X359*'Gübre oranlar'!AA$2</f>
        <v>0</v>
      </c>
      <c r="Y359">
        <f>'Kullanılan gübre'!Y359*'Gübre oranlar'!AB$2</f>
        <v>0</v>
      </c>
      <c r="Z359">
        <f>'Kullanılan gübre'!Z359*'Gübre oranlar'!AC$2</f>
        <v>0</v>
      </c>
      <c r="AA359">
        <f>'Kullanılan gübre'!AA359*'Gübre oranlar'!AD$2</f>
        <v>0</v>
      </c>
      <c r="AB359">
        <f>'Kullanılan gübre'!AB359*'Gübre oranlar'!AE$2</f>
        <v>0</v>
      </c>
      <c r="AC359">
        <f>'Kullanılan gübre'!AC359*'Gübre oranlar'!AF$2</f>
        <v>0</v>
      </c>
      <c r="AD359">
        <f>'Kullanılan gübre'!AD359*'Gübre oranlar'!AG$2</f>
        <v>0</v>
      </c>
      <c r="AE359">
        <f>'Kullanılan gübre'!AE359*'Gübre oranlar'!AH$2</f>
        <v>0</v>
      </c>
      <c r="AF359">
        <f>'Kullanılan gübre'!AF359*'Gübre oranlar'!AI$2</f>
        <v>0</v>
      </c>
      <c r="AG359">
        <f>'Kullanılan gübre'!AG359*'Gübre oranlar'!AJ$2</f>
        <v>0</v>
      </c>
      <c r="AH359">
        <f>'Kullanılan gübre'!AH359*'Gübre oranlar'!AK$2</f>
        <v>0</v>
      </c>
      <c r="AI359">
        <f>'Kullanılan gübre'!AI359*'Gübre oranlar'!AL$2</f>
        <v>0</v>
      </c>
      <c r="AJ359">
        <f>'Kullanılan gübre'!AJ359*'Gübre oranlar'!AM$2</f>
        <v>0</v>
      </c>
      <c r="AK359">
        <f>'Kullanılan gübre'!AK359*'Gübre oranlar'!AN$2</f>
        <v>0</v>
      </c>
      <c r="AL359">
        <f>'Kullanılan gübre'!AL359*'Gübre oranlar'!AO$2</f>
        <v>0</v>
      </c>
      <c r="AM359">
        <f>'Kullanılan gübre'!AM359*'Gübre oranlar'!AP$2</f>
        <v>0</v>
      </c>
      <c r="AN359">
        <f>'Kullanılan gübre'!AN359*'Gübre oranlar'!AQ$2</f>
        <v>0</v>
      </c>
      <c r="AO359">
        <f>'Kullanılan gübre'!AO359*'Gübre oranlar'!AR$2</f>
        <v>0</v>
      </c>
      <c r="AP359">
        <f>'Kullanılan gübre'!AP359*'Gübre oranlar'!AS$2</f>
        <v>0</v>
      </c>
      <c r="AQ359">
        <f>'Kullanılan gübre'!AQ359*'Gübre oranlar'!AT$2</f>
        <v>0</v>
      </c>
      <c r="AR359">
        <f>'Kullanılan gübre'!AR359*'Gübre oranlar'!AU$2</f>
        <v>0</v>
      </c>
      <c r="AS359">
        <f>'Kullanılan gübre'!AS359*'Gübre oranlar'!AV$2</f>
        <v>0</v>
      </c>
      <c r="AT359">
        <f>'Kullanılan gübre'!AT359*'Gübre oranlar'!AW$2</f>
        <v>0</v>
      </c>
      <c r="AU359">
        <f>'Kullanılan gübre'!AU359*'Gübre oranlar'!AX$2</f>
        <v>0</v>
      </c>
      <c r="AV359">
        <f>'Kullanılan gübre'!AV359*'Gübre oranlar'!AY$2</f>
        <v>0</v>
      </c>
      <c r="AW359">
        <f t="shared" si="5"/>
        <v>473.38249999999999</v>
      </c>
    </row>
    <row r="360" spans="1:49" hidden="1" x14ac:dyDescent="0.25">
      <c r="A360" t="str">
        <f>'Kullanılan gübre'!A360</f>
        <v>YI</v>
      </c>
      <c r="B360" t="str">
        <f>'Kullanılan gübre'!B360</f>
        <v>TOKAT</v>
      </c>
      <c r="C360" t="str">
        <f>'Kullanılan gübre'!C360</f>
        <v>NIKSAR</v>
      </c>
      <c r="D360">
        <f>'Kullanılan gübre'!D360</f>
        <v>2013</v>
      </c>
      <c r="E360">
        <f>'Kullanılan gübre'!E360*'Gübre oranlar'!H$2</f>
        <v>15.411899999999999</v>
      </c>
      <c r="F360">
        <f>'Kullanılan gübre'!F360*'Gübre oranlar'!I$2</f>
        <v>60.84</v>
      </c>
      <c r="G360">
        <f>'Kullanılan gübre'!G360*'Gübre oranlar'!J$2</f>
        <v>191.84550000000002</v>
      </c>
      <c r="H360">
        <f>'Kullanılan gübre'!H360*'Gübre oranlar'!K$2</f>
        <v>254.61</v>
      </c>
      <c r="I360">
        <f>'Kullanılan gübre'!I360*'Gübre oranlar'!L$2</f>
        <v>0</v>
      </c>
      <c r="J360">
        <f>'Kullanılan gübre'!J360*'Gübre oranlar'!M$2</f>
        <v>70.424999999999997</v>
      </c>
      <c r="K360">
        <f>'Kullanılan gübre'!K360*'Gübre oranlar'!N$2</f>
        <v>52.03</v>
      </c>
      <c r="L360">
        <f>'Kullanılan gübre'!L360*'Gübre oranlar'!O$2</f>
        <v>46.79</v>
      </c>
      <c r="M360">
        <f>'Kullanılan gübre'!M360*'Gübre oranlar'!P$2</f>
        <v>35.167500000000004</v>
      </c>
      <c r="N360">
        <f>'Kullanılan gübre'!N360*'Gübre oranlar'!Q$2</f>
        <v>70.634999999999991</v>
      </c>
      <c r="O360">
        <f>'Kullanılan gübre'!O360*'Gübre oranlar'!R$2</f>
        <v>0</v>
      </c>
      <c r="P360">
        <f>'Kullanılan gübre'!P360*'Gübre oranlar'!S$2</f>
        <v>0</v>
      </c>
      <c r="Q360">
        <f>'Kullanılan gübre'!Q360*'Gübre oranlar'!T$2</f>
        <v>0</v>
      </c>
      <c r="R360">
        <f>'Kullanılan gübre'!R360*'Gübre oranlar'!U$2</f>
        <v>0</v>
      </c>
      <c r="S360">
        <f>'Kullanılan gübre'!S360*'Gübre oranlar'!V$2</f>
        <v>0</v>
      </c>
      <c r="T360">
        <f>'Kullanılan gübre'!T360*'Gübre oranlar'!W$2</f>
        <v>0</v>
      </c>
      <c r="U360">
        <f>'Kullanılan gübre'!U360*'Gübre oranlar'!X$2</f>
        <v>0</v>
      </c>
      <c r="V360">
        <f>'Kullanılan gübre'!V360*'Gübre oranlar'!Y$2</f>
        <v>0</v>
      </c>
      <c r="W360">
        <f>'Kullanılan gübre'!W360*'Gübre oranlar'!Z$2</f>
        <v>0</v>
      </c>
      <c r="X360">
        <f>'Kullanılan gübre'!X360*'Gübre oranlar'!AA$2</f>
        <v>0</v>
      </c>
      <c r="Y360">
        <f>'Kullanılan gübre'!Y360*'Gübre oranlar'!AB$2</f>
        <v>0</v>
      </c>
      <c r="Z360">
        <f>'Kullanılan gübre'!Z360*'Gübre oranlar'!AC$2</f>
        <v>0</v>
      </c>
      <c r="AA360">
        <f>'Kullanılan gübre'!AA360*'Gübre oranlar'!AD$2</f>
        <v>0</v>
      </c>
      <c r="AB360">
        <f>'Kullanılan gübre'!AB360*'Gübre oranlar'!AE$2</f>
        <v>0</v>
      </c>
      <c r="AC360">
        <f>'Kullanılan gübre'!AC360*'Gübre oranlar'!AF$2</f>
        <v>0</v>
      </c>
      <c r="AD360">
        <f>'Kullanılan gübre'!AD360*'Gübre oranlar'!AG$2</f>
        <v>0</v>
      </c>
      <c r="AE360">
        <f>'Kullanılan gübre'!AE360*'Gübre oranlar'!AH$2</f>
        <v>0</v>
      </c>
      <c r="AF360">
        <f>'Kullanılan gübre'!AF360*'Gübre oranlar'!AI$2</f>
        <v>0</v>
      </c>
      <c r="AG360">
        <f>'Kullanılan gübre'!AG360*'Gübre oranlar'!AJ$2</f>
        <v>0</v>
      </c>
      <c r="AH360">
        <f>'Kullanılan gübre'!AH360*'Gübre oranlar'!AK$2</f>
        <v>0</v>
      </c>
      <c r="AI360">
        <f>'Kullanılan gübre'!AI360*'Gübre oranlar'!AL$2</f>
        <v>0</v>
      </c>
      <c r="AJ360">
        <f>'Kullanılan gübre'!AJ360*'Gübre oranlar'!AM$2</f>
        <v>0</v>
      </c>
      <c r="AK360">
        <f>'Kullanılan gübre'!AK360*'Gübre oranlar'!AN$2</f>
        <v>0</v>
      </c>
      <c r="AL360">
        <f>'Kullanılan gübre'!AL360*'Gübre oranlar'!AO$2</f>
        <v>0</v>
      </c>
      <c r="AM360">
        <f>'Kullanılan gübre'!AM360*'Gübre oranlar'!AP$2</f>
        <v>0</v>
      </c>
      <c r="AN360">
        <f>'Kullanılan gübre'!AN360*'Gübre oranlar'!AQ$2</f>
        <v>0</v>
      </c>
      <c r="AO360">
        <f>'Kullanılan gübre'!AO360*'Gübre oranlar'!AR$2</f>
        <v>0</v>
      </c>
      <c r="AP360">
        <f>'Kullanılan gübre'!AP360*'Gübre oranlar'!AS$2</f>
        <v>0</v>
      </c>
      <c r="AQ360">
        <f>'Kullanılan gübre'!AQ360*'Gübre oranlar'!AT$2</f>
        <v>0</v>
      </c>
      <c r="AR360">
        <f>'Kullanılan gübre'!AR360*'Gübre oranlar'!AU$2</f>
        <v>0</v>
      </c>
      <c r="AS360">
        <f>'Kullanılan gübre'!AS360*'Gübre oranlar'!AV$2</f>
        <v>0</v>
      </c>
      <c r="AT360">
        <f>'Kullanılan gübre'!AT360*'Gübre oranlar'!AW$2</f>
        <v>0</v>
      </c>
      <c r="AU360">
        <f>'Kullanılan gübre'!AU360*'Gübre oranlar'!AX$2</f>
        <v>0</v>
      </c>
      <c r="AV360">
        <f>'Kullanılan gübre'!AV360*'Gübre oranlar'!AY$2</f>
        <v>0</v>
      </c>
      <c r="AW360">
        <f t="shared" si="5"/>
        <v>797.75489999999991</v>
      </c>
    </row>
    <row r="361" spans="1:49" hidden="1" x14ac:dyDescent="0.25">
      <c r="A361" t="str">
        <f>'Kullanılan gübre'!A361</f>
        <v>YI</v>
      </c>
      <c r="B361" t="str">
        <f>'Kullanılan gübre'!B361</f>
        <v>TOKAT</v>
      </c>
      <c r="C361" t="str">
        <f>'Kullanılan gübre'!C361</f>
        <v>PAZAR</v>
      </c>
      <c r="D361">
        <f>'Kullanılan gübre'!D361</f>
        <v>2013</v>
      </c>
      <c r="E361">
        <f>'Kullanılan gübre'!E361*'Gübre oranlar'!H$2</f>
        <v>8.2635000000000005</v>
      </c>
      <c r="F361">
        <f>'Kullanılan gübre'!F361*'Gübre oranlar'!I$2</f>
        <v>12.635999999999999</v>
      </c>
      <c r="G361">
        <f>'Kullanılan gübre'!G361*'Gübre oranlar'!J$2</f>
        <v>111.8535</v>
      </c>
      <c r="H361">
        <f>'Kullanılan gübre'!H361*'Gübre oranlar'!K$2</f>
        <v>287.13200000000006</v>
      </c>
      <c r="I361">
        <f>'Kullanılan gübre'!I361*'Gübre oranlar'!L$2</f>
        <v>0</v>
      </c>
      <c r="J361">
        <f>'Kullanılan gübre'!J361*'Gübre oranlar'!M$2</f>
        <v>30.402000000000005</v>
      </c>
      <c r="K361">
        <f>'Kullanılan gübre'!K361*'Gübre oranlar'!N$2</f>
        <v>2.5300000000000002</v>
      </c>
      <c r="L361">
        <f>'Kullanılan gübre'!L361*'Gübre oranlar'!O$2</f>
        <v>5.1400000000000006</v>
      </c>
      <c r="M361">
        <f>'Kullanılan gübre'!M361*'Gübre oranlar'!P$2</f>
        <v>0</v>
      </c>
      <c r="N361">
        <f>'Kullanılan gübre'!N361*'Gübre oranlar'!Q$2</f>
        <v>25.349999999999998</v>
      </c>
      <c r="O361">
        <f>'Kullanılan gübre'!O361*'Gübre oranlar'!R$2</f>
        <v>0</v>
      </c>
      <c r="P361">
        <f>'Kullanılan gübre'!P361*'Gübre oranlar'!S$2</f>
        <v>0.7631</v>
      </c>
      <c r="Q361">
        <f>'Kullanılan gübre'!Q361*'Gübre oranlar'!T$2</f>
        <v>36</v>
      </c>
      <c r="R361">
        <f>'Kullanılan gübre'!R361*'Gübre oranlar'!U$2</f>
        <v>0</v>
      </c>
      <c r="S361">
        <f>'Kullanılan gübre'!S361*'Gübre oranlar'!V$2</f>
        <v>0</v>
      </c>
      <c r="T361">
        <f>'Kullanılan gübre'!T361*'Gübre oranlar'!W$2</f>
        <v>0</v>
      </c>
      <c r="U361">
        <f>'Kullanılan gübre'!U361*'Gübre oranlar'!X$2</f>
        <v>0</v>
      </c>
      <c r="V361">
        <f>'Kullanılan gübre'!V361*'Gübre oranlar'!Y$2</f>
        <v>0</v>
      </c>
      <c r="W361">
        <f>'Kullanılan gübre'!W361*'Gübre oranlar'!Z$2</f>
        <v>0</v>
      </c>
      <c r="X361">
        <f>'Kullanılan gübre'!X361*'Gübre oranlar'!AA$2</f>
        <v>0</v>
      </c>
      <c r="Y361">
        <f>'Kullanılan gübre'!Y361*'Gübre oranlar'!AB$2</f>
        <v>0</v>
      </c>
      <c r="Z361">
        <f>'Kullanılan gübre'!Z361*'Gübre oranlar'!AC$2</f>
        <v>0</v>
      </c>
      <c r="AA361">
        <f>'Kullanılan gübre'!AA361*'Gübre oranlar'!AD$2</f>
        <v>0</v>
      </c>
      <c r="AB361">
        <f>'Kullanılan gübre'!AB361*'Gübre oranlar'!AE$2</f>
        <v>0</v>
      </c>
      <c r="AC361">
        <f>'Kullanılan gübre'!AC361*'Gübre oranlar'!AF$2</f>
        <v>0</v>
      </c>
      <c r="AD361">
        <f>'Kullanılan gübre'!AD361*'Gübre oranlar'!AG$2</f>
        <v>0</v>
      </c>
      <c r="AE361">
        <f>'Kullanılan gübre'!AE361*'Gübre oranlar'!AH$2</f>
        <v>0</v>
      </c>
      <c r="AF361">
        <f>'Kullanılan gübre'!AF361*'Gübre oranlar'!AI$2</f>
        <v>0</v>
      </c>
      <c r="AG361">
        <f>'Kullanılan gübre'!AG361*'Gübre oranlar'!AJ$2</f>
        <v>0</v>
      </c>
      <c r="AH361">
        <f>'Kullanılan gübre'!AH361*'Gübre oranlar'!AK$2</f>
        <v>0</v>
      </c>
      <c r="AI361">
        <f>'Kullanılan gübre'!AI361*'Gübre oranlar'!AL$2</f>
        <v>0</v>
      </c>
      <c r="AJ361">
        <f>'Kullanılan gübre'!AJ361*'Gübre oranlar'!AM$2</f>
        <v>0</v>
      </c>
      <c r="AK361">
        <f>'Kullanılan gübre'!AK361*'Gübre oranlar'!AN$2</f>
        <v>0</v>
      </c>
      <c r="AL361">
        <f>'Kullanılan gübre'!AL361*'Gübre oranlar'!AO$2</f>
        <v>0</v>
      </c>
      <c r="AM361">
        <f>'Kullanılan gübre'!AM361*'Gübre oranlar'!AP$2</f>
        <v>0</v>
      </c>
      <c r="AN361">
        <f>'Kullanılan gübre'!AN361*'Gübre oranlar'!AQ$2</f>
        <v>0</v>
      </c>
      <c r="AO361">
        <f>'Kullanılan gübre'!AO361*'Gübre oranlar'!AR$2</f>
        <v>0</v>
      </c>
      <c r="AP361">
        <f>'Kullanılan gübre'!AP361*'Gübre oranlar'!AS$2</f>
        <v>0</v>
      </c>
      <c r="AQ361">
        <f>'Kullanılan gübre'!AQ361*'Gübre oranlar'!AT$2</f>
        <v>0</v>
      </c>
      <c r="AR361">
        <f>'Kullanılan gübre'!AR361*'Gübre oranlar'!AU$2</f>
        <v>0</v>
      </c>
      <c r="AS361">
        <f>'Kullanılan gübre'!AS361*'Gübre oranlar'!AV$2</f>
        <v>0</v>
      </c>
      <c r="AT361">
        <f>'Kullanılan gübre'!AT361*'Gübre oranlar'!AW$2</f>
        <v>0</v>
      </c>
      <c r="AU361">
        <f>'Kullanılan gübre'!AU361*'Gübre oranlar'!AX$2</f>
        <v>0</v>
      </c>
      <c r="AV361">
        <f>'Kullanılan gübre'!AV361*'Gübre oranlar'!AY$2</f>
        <v>0</v>
      </c>
      <c r="AW361">
        <f t="shared" si="5"/>
        <v>520.07010000000002</v>
      </c>
    </row>
    <row r="362" spans="1:49" hidden="1" x14ac:dyDescent="0.25">
      <c r="A362" t="str">
        <f>'Kullanılan gübre'!A362</f>
        <v>YI</v>
      </c>
      <c r="B362" t="str">
        <f>'Kullanılan gübre'!B362</f>
        <v>TOKAT</v>
      </c>
      <c r="C362" t="str">
        <f>'Kullanılan gübre'!C362</f>
        <v>RESADIYE</v>
      </c>
      <c r="D362">
        <f>'Kullanılan gübre'!D362</f>
        <v>2013</v>
      </c>
      <c r="E362">
        <f>'Kullanılan gübre'!E362*'Gübre oranlar'!H$2</f>
        <v>0</v>
      </c>
      <c r="F362">
        <f>'Kullanılan gübre'!F362*'Gübre oranlar'!I$2</f>
        <v>6.24</v>
      </c>
      <c r="G362">
        <f>'Kullanılan gübre'!G362*'Gübre oranlar'!J$2</f>
        <v>34.072500000000005</v>
      </c>
      <c r="H362">
        <f>'Kullanılan gübre'!H362*'Gübre oranlar'!K$2</f>
        <v>20.585000000000001</v>
      </c>
      <c r="I362">
        <f>'Kullanılan gübre'!I362*'Gübre oranlar'!L$2</f>
        <v>0</v>
      </c>
      <c r="J362">
        <f>'Kullanılan gübre'!J362*'Gübre oranlar'!M$2</f>
        <v>16.695</v>
      </c>
      <c r="K362">
        <f>'Kullanılan gübre'!K362*'Gübre oranlar'!N$2</f>
        <v>0</v>
      </c>
      <c r="L362">
        <f>'Kullanılan gübre'!L362*'Gübre oranlar'!O$2</f>
        <v>0</v>
      </c>
      <c r="M362">
        <f>'Kullanılan gübre'!M362*'Gübre oranlar'!P$2</f>
        <v>0</v>
      </c>
      <c r="N362">
        <f>'Kullanılan gübre'!N362*'Gübre oranlar'!Q$2</f>
        <v>0</v>
      </c>
      <c r="O362">
        <f>'Kullanılan gübre'!O362*'Gübre oranlar'!R$2</f>
        <v>0</v>
      </c>
      <c r="P362">
        <f>'Kullanılan gübre'!P362*'Gübre oranlar'!S$2</f>
        <v>0</v>
      </c>
      <c r="Q362">
        <f>'Kullanılan gübre'!Q362*'Gübre oranlar'!T$2</f>
        <v>0</v>
      </c>
      <c r="R362">
        <f>'Kullanılan gübre'!R362*'Gübre oranlar'!U$2</f>
        <v>0</v>
      </c>
      <c r="S362">
        <f>'Kullanılan gübre'!S362*'Gübre oranlar'!V$2</f>
        <v>0</v>
      </c>
      <c r="T362">
        <f>'Kullanılan gübre'!T362*'Gübre oranlar'!W$2</f>
        <v>0</v>
      </c>
      <c r="U362">
        <f>'Kullanılan gübre'!U362*'Gübre oranlar'!X$2</f>
        <v>0</v>
      </c>
      <c r="V362">
        <f>'Kullanılan gübre'!V362*'Gübre oranlar'!Y$2</f>
        <v>0</v>
      </c>
      <c r="W362">
        <f>'Kullanılan gübre'!W362*'Gübre oranlar'!Z$2</f>
        <v>0</v>
      </c>
      <c r="X362">
        <f>'Kullanılan gübre'!X362*'Gübre oranlar'!AA$2</f>
        <v>0</v>
      </c>
      <c r="Y362">
        <f>'Kullanılan gübre'!Y362*'Gübre oranlar'!AB$2</f>
        <v>0</v>
      </c>
      <c r="Z362">
        <f>'Kullanılan gübre'!Z362*'Gübre oranlar'!AC$2</f>
        <v>0</v>
      </c>
      <c r="AA362">
        <f>'Kullanılan gübre'!AA362*'Gübre oranlar'!AD$2</f>
        <v>0</v>
      </c>
      <c r="AB362">
        <f>'Kullanılan gübre'!AB362*'Gübre oranlar'!AE$2</f>
        <v>0</v>
      </c>
      <c r="AC362">
        <f>'Kullanılan gübre'!AC362*'Gübre oranlar'!AF$2</f>
        <v>0</v>
      </c>
      <c r="AD362">
        <f>'Kullanılan gübre'!AD362*'Gübre oranlar'!AG$2</f>
        <v>0</v>
      </c>
      <c r="AE362">
        <f>'Kullanılan gübre'!AE362*'Gübre oranlar'!AH$2</f>
        <v>0</v>
      </c>
      <c r="AF362">
        <f>'Kullanılan gübre'!AF362*'Gübre oranlar'!AI$2</f>
        <v>0</v>
      </c>
      <c r="AG362">
        <f>'Kullanılan gübre'!AG362*'Gübre oranlar'!AJ$2</f>
        <v>0</v>
      </c>
      <c r="AH362">
        <f>'Kullanılan gübre'!AH362*'Gübre oranlar'!AK$2</f>
        <v>0</v>
      </c>
      <c r="AI362">
        <f>'Kullanılan gübre'!AI362*'Gübre oranlar'!AL$2</f>
        <v>0</v>
      </c>
      <c r="AJ362">
        <f>'Kullanılan gübre'!AJ362*'Gübre oranlar'!AM$2</f>
        <v>0</v>
      </c>
      <c r="AK362">
        <f>'Kullanılan gübre'!AK362*'Gübre oranlar'!AN$2</f>
        <v>0</v>
      </c>
      <c r="AL362">
        <f>'Kullanılan gübre'!AL362*'Gübre oranlar'!AO$2</f>
        <v>0</v>
      </c>
      <c r="AM362">
        <f>'Kullanılan gübre'!AM362*'Gübre oranlar'!AP$2</f>
        <v>0</v>
      </c>
      <c r="AN362">
        <f>'Kullanılan gübre'!AN362*'Gübre oranlar'!AQ$2</f>
        <v>0</v>
      </c>
      <c r="AO362">
        <f>'Kullanılan gübre'!AO362*'Gübre oranlar'!AR$2</f>
        <v>0</v>
      </c>
      <c r="AP362">
        <f>'Kullanılan gübre'!AP362*'Gübre oranlar'!AS$2</f>
        <v>0</v>
      </c>
      <c r="AQ362">
        <f>'Kullanılan gübre'!AQ362*'Gübre oranlar'!AT$2</f>
        <v>0</v>
      </c>
      <c r="AR362">
        <f>'Kullanılan gübre'!AR362*'Gübre oranlar'!AU$2</f>
        <v>0</v>
      </c>
      <c r="AS362">
        <f>'Kullanılan gübre'!AS362*'Gübre oranlar'!AV$2</f>
        <v>0</v>
      </c>
      <c r="AT362">
        <f>'Kullanılan gübre'!AT362*'Gübre oranlar'!AW$2</f>
        <v>0</v>
      </c>
      <c r="AU362">
        <f>'Kullanılan gübre'!AU362*'Gübre oranlar'!AX$2</f>
        <v>0</v>
      </c>
      <c r="AV362">
        <f>'Kullanılan gübre'!AV362*'Gübre oranlar'!AY$2</f>
        <v>0</v>
      </c>
      <c r="AW362">
        <f t="shared" si="5"/>
        <v>77.592500000000001</v>
      </c>
    </row>
    <row r="363" spans="1:49" hidden="1" x14ac:dyDescent="0.25">
      <c r="A363" t="str">
        <f>'Kullanılan gübre'!A363</f>
        <v>YI</v>
      </c>
      <c r="B363" t="str">
        <f>'Kullanılan gübre'!B363</f>
        <v>TOKAT</v>
      </c>
      <c r="C363" t="str">
        <f>'Kullanılan gübre'!C363</f>
        <v>SULUSARAY</v>
      </c>
      <c r="D363">
        <f>'Kullanılan gübre'!D363</f>
        <v>2013</v>
      </c>
      <c r="E363">
        <f>'Kullanılan gübre'!E363*'Gübre oranlar'!H$2</f>
        <v>0</v>
      </c>
      <c r="F363">
        <f>'Kullanılan gübre'!F363*'Gübre oranlar'!I$2</f>
        <v>78.871000000000009</v>
      </c>
      <c r="G363">
        <f>'Kullanılan gübre'!G363*'Gübre oranlar'!J$2</f>
        <v>125.8125</v>
      </c>
      <c r="H363">
        <f>'Kullanılan gübre'!H363*'Gübre oranlar'!K$2</f>
        <v>13.754000000000001</v>
      </c>
      <c r="I363">
        <f>'Kullanılan gübre'!I363*'Gübre oranlar'!L$2</f>
        <v>0</v>
      </c>
      <c r="J363">
        <f>'Kullanılan gübre'!J363*'Gübre oranlar'!M$2</f>
        <v>39.527999999999992</v>
      </c>
      <c r="K363">
        <f>'Kullanılan gübre'!K363*'Gübre oranlar'!N$2</f>
        <v>7.01</v>
      </c>
      <c r="L363">
        <f>'Kullanılan gübre'!L363*'Gübre oranlar'!O$2</f>
        <v>23.400000000000002</v>
      </c>
      <c r="M363">
        <f>'Kullanılan gübre'!M363*'Gübre oranlar'!P$2</f>
        <v>0</v>
      </c>
      <c r="N363">
        <f>'Kullanılan gübre'!N363*'Gübre oranlar'!Q$2</f>
        <v>0</v>
      </c>
      <c r="O363">
        <f>'Kullanılan gübre'!O363*'Gübre oranlar'!R$2</f>
        <v>0</v>
      </c>
      <c r="P363">
        <f>'Kullanılan gübre'!P363*'Gübre oranlar'!S$2</f>
        <v>0</v>
      </c>
      <c r="Q363">
        <f>'Kullanılan gübre'!Q363*'Gübre oranlar'!T$2</f>
        <v>0</v>
      </c>
      <c r="R363">
        <f>'Kullanılan gübre'!R363*'Gübre oranlar'!U$2</f>
        <v>0</v>
      </c>
      <c r="S363">
        <f>'Kullanılan gübre'!S363*'Gübre oranlar'!V$2</f>
        <v>0</v>
      </c>
      <c r="T363">
        <f>'Kullanılan gübre'!T363*'Gübre oranlar'!W$2</f>
        <v>0</v>
      </c>
      <c r="U363">
        <f>'Kullanılan gübre'!U363*'Gübre oranlar'!X$2</f>
        <v>0</v>
      </c>
      <c r="V363">
        <f>'Kullanılan gübre'!V363*'Gübre oranlar'!Y$2</f>
        <v>0</v>
      </c>
      <c r="W363">
        <f>'Kullanılan gübre'!W363*'Gübre oranlar'!Z$2</f>
        <v>0</v>
      </c>
      <c r="X363">
        <f>'Kullanılan gübre'!X363*'Gübre oranlar'!AA$2</f>
        <v>0</v>
      </c>
      <c r="Y363">
        <f>'Kullanılan gübre'!Y363*'Gübre oranlar'!AB$2</f>
        <v>0</v>
      </c>
      <c r="Z363">
        <f>'Kullanılan gübre'!Z363*'Gübre oranlar'!AC$2</f>
        <v>0</v>
      </c>
      <c r="AA363">
        <f>'Kullanılan gübre'!AA363*'Gübre oranlar'!AD$2</f>
        <v>0</v>
      </c>
      <c r="AB363">
        <f>'Kullanılan gübre'!AB363*'Gübre oranlar'!AE$2</f>
        <v>0</v>
      </c>
      <c r="AC363">
        <f>'Kullanılan gübre'!AC363*'Gübre oranlar'!AF$2</f>
        <v>0</v>
      </c>
      <c r="AD363">
        <f>'Kullanılan gübre'!AD363*'Gübre oranlar'!AG$2</f>
        <v>0</v>
      </c>
      <c r="AE363">
        <f>'Kullanılan gübre'!AE363*'Gübre oranlar'!AH$2</f>
        <v>0</v>
      </c>
      <c r="AF363">
        <f>'Kullanılan gübre'!AF363*'Gübre oranlar'!AI$2</f>
        <v>0</v>
      </c>
      <c r="AG363">
        <f>'Kullanılan gübre'!AG363*'Gübre oranlar'!AJ$2</f>
        <v>0</v>
      </c>
      <c r="AH363">
        <f>'Kullanılan gübre'!AH363*'Gübre oranlar'!AK$2</f>
        <v>0</v>
      </c>
      <c r="AI363">
        <f>'Kullanılan gübre'!AI363*'Gübre oranlar'!AL$2</f>
        <v>0</v>
      </c>
      <c r="AJ363">
        <f>'Kullanılan gübre'!AJ363*'Gübre oranlar'!AM$2</f>
        <v>0</v>
      </c>
      <c r="AK363">
        <f>'Kullanılan gübre'!AK363*'Gübre oranlar'!AN$2</f>
        <v>0</v>
      </c>
      <c r="AL363">
        <f>'Kullanılan gübre'!AL363*'Gübre oranlar'!AO$2</f>
        <v>0</v>
      </c>
      <c r="AM363">
        <f>'Kullanılan gübre'!AM363*'Gübre oranlar'!AP$2</f>
        <v>0</v>
      </c>
      <c r="AN363">
        <f>'Kullanılan gübre'!AN363*'Gübre oranlar'!AQ$2</f>
        <v>0</v>
      </c>
      <c r="AO363">
        <f>'Kullanılan gübre'!AO363*'Gübre oranlar'!AR$2</f>
        <v>0</v>
      </c>
      <c r="AP363">
        <f>'Kullanılan gübre'!AP363*'Gübre oranlar'!AS$2</f>
        <v>0</v>
      </c>
      <c r="AQ363">
        <f>'Kullanılan gübre'!AQ363*'Gübre oranlar'!AT$2</f>
        <v>0</v>
      </c>
      <c r="AR363">
        <f>'Kullanılan gübre'!AR363*'Gübre oranlar'!AU$2</f>
        <v>0</v>
      </c>
      <c r="AS363">
        <f>'Kullanılan gübre'!AS363*'Gübre oranlar'!AV$2</f>
        <v>0</v>
      </c>
      <c r="AT363">
        <f>'Kullanılan gübre'!AT363*'Gübre oranlar'!AW$2</f>
        <v>0</v>
      </c>
      <c r="AU363">
        <f>'Kullanılan gübre'!AU363*'Gübre oranlar'!AX$2</f>
        <v>0</v>
      </c>
      <c r="AV363">
        <f>'Kullanılan gübre'!AV363*'Gübre oranlar'!AY$2</f>
        <v>0</v>
      </c>
      <c r="AW363">
        <f t="shared" si="5"/>
        <v>288.37549999999999</v>
      </c>
    </row>
    <row r="364" spans="1:49" hidden="1" x14ac:dyDescent="0.25">
      <c r="A364" t="str">
        <f>'Kullanılan gübre'!A364</f>
        <v>YI</v>
      </c>
      <c r="B364" t="str">
        <f>'Kullanılan gübre'!B364</f>
        <v>TOKAT</v>
      </c>
      <c r="C364" t="str">
        <f>'Kullanılan gübre'!C364</f>
        <v>TURHAL</v>
      </c>
      <c r="D364">
        <f>'Kullanılan gübre'!D364</f>
        <v>2013</v>
      </c>
      <c r="E364">
        <f>'Kullanılan gübre'!E364*'Gübre oranlar'!H$2</f>
        <v>16.579499999999999</v>
      </c>
      <c r="F364">
        <f>'Kullanılan gübre'!F364*'Gübre oranlar'!I$2</f>
        <v>169.702</v>
      </c>
      <c r="G364">
        <f>'Kullanılan gübre'!G364*'Gübre oranlar'!J$2</f>
        <v>479.80349999999999</v>
      </c>
      <c r="H364">
        <f>'Kullanılan gübre'!H364*'Gübre oranlar'!K$2</f>
        <v>594.82600000000002</v>
      </c>
      <c r="I364">
        <f>'Kullanılan gübre'!I364*'Gübre oranlar'!L$2</f>
        <v>0</v>
      </c>
      <c r="J364">
        <f>'Kullanılan gübre'!J364*'Gübre oranlar'!M$2</f>
        <v>103.39200000000001</v>
      </c>
      <c r="K364">
        <f>'Kullanılan gübre'!K364*'Gübre oranlar'!N$2</f>
        <v>17.8</v>
      </c>
      <c r="L364">
        <f>'Kullanılan gübre'!L364*'Gübre oranlar'!O$2</f>
        <v>84.240000000000009</v>
      </c>
      <c r="M364">
        <f>'Kullanılan gübre'!M364*'Gübre oranlar'!P$2</f>
        <v>2.1374999999999997</v>
      </c>
      <c r="N364">
        <f>'Kullanılan gübre'!N364*'Gübre oranlar'!Q$2</f>
        <v>53.677499999999995</v>
      </c>
      <c r="O364">
        <f>'Kullanılan gübre'!O364*'Gübre oranlar'!R$2</f>
        <v>0</v>
      </c>
      <c r="P364">
        <f>'Kullanılan gübre'!P364*'Gübre oranlar'!S$2</f>
        <v>1.417</v>
      </c>
      <c r="Q364">
        <f>'Kullanılan gübre'!Q364*'Gübre oranlar'!T$2</f>
        <v>36</v>
      </c>
      <c r="R364">
        <f>'Kullanılan gübre'!R364*'Gübre oranlar'!U$2</f>
        <v>0</v>
      </c>
      <c r="S364">
        <f>'Kullanılan gübre'!S364*'Gübre oranlar'!V$2</f>
        <v>0</v>
      </c>
      <c r="T364">
        <f>'Kullanılan gübre'!T364*'Gübre oranlar'!W$2</f>
        <v>0</v>
      </c>
      <c r="U364">
        <f>'Kullanılan gübre'!U364*'Gübre oranlar'!X$2</f>
        <v>0</v>
      </c>
      <c r="V364">
        <f>'Kullanılan gübre'!V364*'Gübre oranlar'!Y$2</f>
        <v>0</v>
      </c>
      <c r="W364">
        <f>'Kullanılan gübre'!W364*'Gübre oranlar'!Z$2</f>
        <v>0</v>
      </c>
      <c r="X364">
        <f>'Kullanılan gübre'!X364*'Gübre oranlar'!AA$2</f>
        <v>0</v>
      </c>
      <c r="Y364">
        <f>'Kullanılan gübre'!Y364*'Gübre oranlar'!AB$2</f>
        <v>0</v>
      </c>
      <c r="Z364">
        <f>'Kullanılan gübre'!Z364*'Gübre oranlar'!AC$2</f>
        <v>0</v>
      </c>
      <c r="AA364">
        <f>'Kullanılan gübre'!AA364*'Gübre oranlar'!AD$2</f>
        <v>0</v>
      </c>
      <c r="AB364">
        <f>'Kullanılan gübre'!AB364*'Gübre oranlar'!AE$2</f>
        <v>0</v>
      </c>
      <c r="AC364">
        <f>'Kullanılan gübre'!AC364*'Gübre oranlar'!AF$2</f>
        <v>0</v>
      </c>
      <c r="AD364">
        <f>'Kullanılan gübre'!AD364*'Gübre oranlar'!AG$2</f>
        <v>0</v>
      </c>
      <c r="AE364">
        <f>'Kullanılan gübre'!AE364*'Gübre oranlar'!AH$2</f>
        <v>0</v>
      </c>
      <c r="AF364">
        <f>'Kullanılan gübre'!AF364*'Gübre oranlar'!AI$2</f>
        <v>0</v>
      </c>
      <c r="AG364">
        <f>'Kullanılan gübre'!AG364*'Gübre oranlar'!AJ$2</f>
        <v>0</v>
      </c>
      <c r="AH364">
        <f>'Kullanılan gübre'!AH364*'Gübre oranlar'!AK$2</f>
        <v>0</v>
      </c>
      <c r="AI364">
        <f>'Kullanılan gübre'!AI364*'Gübre oranlar'!AL$2</f>
        <v>0</v>
      </c>
      <c r="AJ364">
        <f>'Kullanılan gübre'!AJ364*'Gübre oranlar'!AM$2</f>
        <v>0</v>
      </c>
      <c r="AK364">
        <f>'Kullanılan gübre'!AK364*'Gübre oranlar'!AN$2</f>
        <v>0</v>
      </c>
      <c r="AL364">
        <f>'Kullanılan gübre'!AL364*'Gübre oranlar'!AO$2</f>
        <v>0</v>
      </c>
      <c r="AM364">
        <f>'Kullanılan gübre'!AM364*'Gübre oranlar'!AP$2</f>
        <v>0</v>
      </c>
      <c r="AN364">
        <f>'Kullanılan gübre'!AN364*'Gübre oranlar'!AQ$2</f>
        <v>0</v>
      </c>
      <c r="AO364">
        <f>'Kullanılan gübre'!AO364*'Gübre oranlar'!AR$2</f>
        <v>0</v>
      </c>
      <c r="AP364">
        <f>'Kullanılan gübre'!AP364*'Gübre oranlar'!AS$2</f>
        <v>0</v>
      </c>
      <c r="AQ364">
        <f>'Kullanılan gübre'!AQ364*'Gübre oranlar'!AT$2</f>
        <v>0</v>
      </c>
      <c r="AR364">
        <f>'Kullanılan gübre'!AR364*'Gübre oranlar'!AU$2</f>
        <v>0</v>
      </c>
      <c r="AS364">
        <f>'Kullanılan gübre'!AS364*'Gübre oranlar'!AV$2</f>
        <v>0</v>
      </c>
      <c r="AT364">
        <f>'Kullanılan gübre'!AT364*'Gübre oranlar'!AW$2</f>
        <v>0</v>
      </c>
      <c r="AU364">
        <f>'Kullanılan gübre'!AU364*'Gübre oranlar'!AX$2</f>
        <v>0</v>
      </c>
      <c r="AV364">
        <f>'Kullanılan gübre'!AV364*'Gübre oranlar'!AY$2</f>
        <v>0</v>
      </c>
      <c r="AW364">
        <f t="shared" si="5"/>
        <v>1559.575</v>
      </c>
    </row>
    <row r="365" spans="1:49" hidden="1" x14ac:dyDescent="0.25">
      <c r="A365" t="str">
        <f>'Kullanılan gübre'!A365</f>
        <v>YI</v>
      </c>
      <c r="B365" t="str">
        <f>'Kullanılan gübre'!B365</f>
        <v>TOKAT</v>
      </c>
      <c r="C365" t="str">
        <f>'Kullanılan gübre'!C365</f>
        <v>YESILYURT</v>
      </c>
      <c r="D365">
        <f>'Kullanılan gübre'!D365</f>
        <v>2013</v>
      </c>
      <c r="E365">
        <f>'Kullanılan gübre'!E365*'Gübre oranlar'!H$2</f>
        <v>0</v>
      </c>
      <c r="F365">
        <f>'Kullanılan gübre'!F365*'Gübre oranlar'!I$2</f>
        <v>61.49</v>
      </c>
      <c r="G365">
        <f>'Kullanılan gübre'!G365*'Gübre oranlar'!J$2</f>
        <v>62.089500000000008</v>
      </c>
      <c r="H365">
        <f>'Kullanılan gübre'!H365*'Gübre oranlar'!K$2</f>
        <v>45.011000000000003</v>
      </c>
      <c r="I365">
        <f>'Kullanılan gübre'!I365*'Gübre oranlar'!L$2</f>
        <v>0</v>
      </c>
      <c r="J365">
        <f>'Kullanılan gübre'!J365*'Gübre oranlar'!M$2</f>
        <v>13.662000000000001</v>
      </c>
      <c r="K365">
        <f>'Kullanılan gübre'!K365*'Gübre oranlar'!N$2</f>
        <v>10.030000000000001</v>
      </c>
      <c r="L365">
        <f>'Kullanılan gübre'!L365*'Gübre oranlar'!O$2</f>
        <v>29.880000000000003</v>
      </c>
      <c r="M365">
        <f>'Kullanılan gübre'!M365*'Gübre oranlar'!P$2</f>
        <v>0</v>
      </c>
      <c r="N365">
        <f>'Kullanılan gübre'!N365*'Gübre oranlar'!Q$2</f>
        <v>0</v>
      </c>
      <c r="O365">
        <f>'Kullanılan gübre'!O365*'Gübre oranlar'!R$2</f>
        <v>0</v>
      </c>
      <c r="P365">
        <f>'Kullanılan gübre'!P365*'Gübre oranlar'!S$2</f>
        <v>0</v>
      </c>
      <c r="Q365">
        <f>'Kullanılan gübre'!Q365*'Gübre oranlar'!T$2</f>
        <v>0</v>
      </c>
      <c r="R365">
        <f>'Kullanılan gübre'!R365*'Gübre oranlar'!U$2</f>
        <v>0</v>
      </c>
      <c r="S365">
        <f>'Kullanılan gübre'!S365*'Gübre oranlar'!V$2</f>
        <v>0</v>
      </c>
      <c r="T365">
        <f>'Kullanılan gübre'!T365*'Gübre oranlar'!W$2</f>
        <v>0</v>
      </c>
      <c r="U365">
        <f>'Kullanılan gübre'!U365*'Gübre oranlar'!X$2</f>
        <v>0</v>
      </c>
      <c r="V365">
        <f>'Kullanılan gübre'!V365*'Gübre oranlar'!Y$2</f>
        <v>0</v>
      </c>
      <c r="W365">
        <f>'Kullanılan gübre'!W365*'Gübre oranlar'!Z$2</f>
        <v>0</v>
      </c>
      <c r="X365">
        <f>'Kullanılan gübre'!X365*'Gübre oranlar'!AA$2</f>
        <v>0</v>
      </c>
      <c r="Y365">
        <f>'Kullanılan gübre'!Y365*'Gübre oranlar'!AB$2</f>
        <v>0</v>
      </c>
      <c r="Z365">
        <f>'Kullanılan gübre'!Z365*'Gübre oranlar'!AC$2</f>
        <v>0</v>
      </c>
      <c r="AA365">
        <f>'Kullanılan gübre'!AA365*'Gübre oranlar'!AD$2</f>
        <v>0</v>
      </c>
      <c r="AB365">
        <f>'Kullanılan gübre'!AB365*'Gübre oranlar'!AE$2</f>
        <v>0</v>
      </c>
      <c r="AC365">
        <f>'Kullanılan gübre'!AC365*'Gübre oranlar'!AF$2</f>
        <v>0</v>
      </c>
      <c r="AD365">
        <f>'Kullanılan gübre'!AD365*'Gübre oranlar'!AG$2</f>
        <v>0</v>
      </c>
      <c r="AE365">
        <f>'Kullanılan gübre'!AE365*'Gübre oranlar'!AH$2</f>
        <v>0</v>
      </c>
      <c r="AF365">
        <f>'Kullanılan gübre'!AF365*'Gübre oranlar'!AI$2</f>
        <v>0</v>
      </c>
      <c r="AG365">
        <f>'Kullanılan gübre'!AG365*'Gübre oranlar'!AJ$2</f>
        <v>0</v>
      </c>
      <c r="AH365">
        <f>'Kullanılan gübre'!AH365*'Gübre oranlar'!AK$2</f>
        <v>0</v>
      </c>
      <c r="AI365">
        <f>'Kullanılan gübre'!AI365*'Gübre oranlar'!AL$2</f>
        <v>0</v>
      </c>
      <c r="AJ365">
        <f>'Kullanılan gübre'!AJ365*'Gübre oranlar'!AM$2</f>
        <v>0</v>
      </c>
      <c r="AK365">
        <f>'Kullanılan gübre'!AK365*'Gübre oranlar'!AN$2</f>
        <v>0</v>
      </c>
      <c r="AL365">
        <f>'Kullanılan gübre'!AL365*'Gübre oranlar'!AO$2</f>
        <v>0</v>
      </c>
      <c r="AM365">
        <f>'Kullanılan gübre'!AM365*'Gübre oranlar'!AP$2</f>
        <v>0</v>
      </c>
      <c r="AN365">
        <f>'Kullanılan gübre'!AN365*'Gübre oranlar'!AQ$2</f>
        <v>0</v>
      </c>
      <c r="AO365">
        <f>'Kullanılan gübre'!AO365*'Gübre oranlar'!AR$2</f>
        <v>0</v>
      </c>
      <c r="AP365">
        <f>'Kullanılan gübre'!AP365*'Gübre oranlar'!AS$2</f>
        <v>0</v>
      </c>
      <c r="AQ365">
        <f>'Kullanılan gübre'!AQ365*'Gübre oranlar'!AT$2</f>
        <v>0</v>
      </c>
      <c r="AR365">
        <f>'Kullanılan gübre'!AR365*'Gübre oranlar'!AU$2</f>
        <v>0</v>
      </c>
      <c r="AS365">
        <f>'Kullanılan gübre'!AS365*'Gübre oranlar'!AV$2</f>
        <v>0</v>
      </c>
      <c r="AT365">
        <f>'Kullanılan gübre'!AT365*'Gübre oranlar'!AW$2</f>
        <v>0</v>
      </c>
      <c r="AU365">
        <f>'Kullanılan gübre'!AU365*'Gübre oranlar'!AX$2</f>
        <v>0</v>
      </c>
      <c r="AV365">
        <f>'Kullanılan gübre'!AV365*'Gübre oranlar'!AY$2</f>
        <v>0</v>
      </c>
      <c r="AW365">
        <f t="shared" si="5"/>
        <v>222.16250000000002</v>
      </c>
    </row>
    <row r="366" spans="1:49" hidden="1" x14ac:dyDescent="0.25">
      <c r="A366" t="str">
        <f>'Kullanılan gübre'!A366</f>
        <v>YI</v>
      </c>
      <c r="B366" t="str">
        <f>'Kullanılan gübre'!B366</f>
        <v>TOKAT</v>
      </c>
      <c r="C366" t="str">
        <f>'Kullanılan gübre'!C366</f>
        <v>ZILE</v>
      </c>
      <c r="D366">
        <f>'Kullanılan gübre'!D366</f>
        <v>2013</v>
      </c>
      <c r="E366">
        <f>'Kullanılan gübre'!E366*'Gübre oranlar'!H$2</f>
        <v>48.163499999999999</v>
      </c>
      <c r="F366">
        <f>'Kullanılan gübre'!F366*'Gübre oranlar'!I$2</f>
        <v>823.78400000000011</v>
      </c>
      <c r="G366">
        <f>'Kullanılan gübre'!G366*'Gübre oranlar'!J$2</f>
        <v>597.77850000000001</v>
      </c>
      <c r="H366">
        <f>'Kullanılan gübre'!H366*'Gübre oranlar'!K$2</f>
        <v>831.79500000000007</v>
      </c>
      <c r="I366">
        <f>'Kullanılan gübre'!I366*'Gübre oranlar'!L$2</f>
        <v>0</v>
      </c>
      <c r="J366">
        <f>'Kullanılan gübre'!J366*'Gübre oranlar'!M$2</f>
        <v>219.47399999999999</v>
      </c>
      <c r="K366">
        <f>'Kullanılan gübre'!K366*'Gübre oranlar'!N$2</f>
        <v>471.63000000000005</v>
      </c>
      <c r="L366">
        <f>'Kullanılan gübre'!L366*'Gübre oranlar'!O$2</f>
        <v>184.5</v>
      </c>
      <c r="M366">
        <f>'Kullanılan gübre'!M366*'Gübre oranlar'!P$2</f>
        <v>74.790000000000006</v>
      </c>
      <c r="N366">
        <f>'Kullanılan gübre'!N366*'Gübre oranlar'!Q$2</f>
        <v>21.337499999999999</v>
      </c>
      <c r="O366">
        <f>'Kullanılan gübre'!O366*'Gübre oranlar'!R$2</f>
        <v>0</v>
      </c>
      <c r="P366">
        <f>'Kullanılan gübre'!P366*'Gübre oranlar'!S$2</f>
        <v>0</v>
      </c>
      <c r="Q366">
        <f>'Kullanılan gübre'!Q366*'Gübre oranlar'!T$2</f>
        <v>0</v>
      </c>
      <c r="R366">
        <f>'Kullanılan gübre'!R366*'Gübre oranlar'!U$2</f>
        <v>0</v>
      </c>
      <c r="S366">
        <f>'Kullanılan gübre'!S366*'Gübre oranlar'!V$2</f>
        <v>0</v>
      </c>
      <c r="T366">
        <f>'Kullanılan gübre'!T366*'Gübre oranlar'!W$2</f>
        <v>0</v>
      </c>
      <c r="U366">
        <f>'Kullanılan gübre'!U366*'Gübre oranlar'!X$2</f>
        <v>0</v>
      </c>
      <c r="V366">
        <f>'Kullanılan gübre'!V366*'Gübre oranlar'!Y$2</f>
        <v>0</v>
      </c>
      <c r="W366">
        <f>'Kullanılan gübre'!W366*'Gübre oranlar'!Z$2</f>
        <v>0</v>
      </c>
      <c r="X366">
        <f>'Kullanılan gübre'!X366*'Gübre oranlar'!AA$2</f>
        <v>0</v>
      </c>
      <c r="Y366">
        <f>'Kullanılan gübre'!Y366*'Gübre oranlar'!AB$2</f>
        <v>0</v>
      </c>
      <c r="Z366">
        <f>'Kullanılan gübre'!Z366*'Gübre oranlar'!AC$2</f>
        <v>0</v>
      </c>
      <c r="AA366">
        <f>'Kullanılan gübre'!AA366*'Gübre oranlar'!AD$2</f>
        <v>0</v>
      </c>
      <c r="AB366">
        <f>'Kullanılan gübre'!AB366*'Gübre oranlar'!AE$2</f>
        <v>0</v>
      </c>
      <c r="AC366">
        <f>'Kullanılan gübre'!AC366*'Gübre oranlar'!AF$2</f>
        <v>0</v>
      </c>
      <c r="AD366">
        <f>'Kullanılan gübre'!AD366*'Gübre oranlar'!AG$2</f>
        <v>0</v>
      </c>
      <c r="AE366">
        <f>'Kullanılan gübre'!AE366*'Gübre oranlar'!AH$2</f>
        <v>0</v>
      </c>
      <c r="AF366">
        <f>'Kullanılan gübre'!AF366*'Gübre oranlar'!AI$2</f>
        <v>0</v>
      </c>
      <c r="AG366">
        <f>'Kullanılan gübre'!AG366*'Gübre oranlar'!AJ$2</f>
        <v>0</v>
      </c>
      <c r="AH366">
        <f>'Kullanılan gübre'!AH366*'Gübre oranlar'!AK$2</f>
        <v>0</v>
      </c>
      <c r="AI366">
        <f>'Kullanılan gübre'!AI366*'Gübre oranlar'!AL$2</f>
        <v>0</v>
      </c>
      <c r="AJ366">
        <f>'Kullanılan gübre'!AJ366*'Gübre oranlar'!AM$2</f>
        <v>0</v>
      </c>
      <c r="AK366">
        <f>'Kullanılan gübre'!AK366*'Gübre oranlar'!AN$2</f>
        <v>0</v>
      </c>
      <c r="AL366">
        <f>'Kullanılan gübre'!AL366*'Gübre oranlar'!AO$2</f>
        <v>0</v>
      </c>
      <c r="AM366">
        <f>'Kullanılan gübre'!AM366*'Gübre oranlar'!AP$2</f>
        <v>0</v>
      </c>
      <c r="AN366">
        <f>'Kullanılan gübre'!AN366*'Gübre oranlar'!AQ$2</f>
        <v>0</v>
      </c>
      <c r="AO366">
        <f>'Kullanılan gübre'!AO366*'Gübre oranlar'!AR$2</f>
        <v>0</v>
      </c>
      <c r="AP366">
        <f>'Kullanılan gübre'!AP366*'Gübre oranlar'!AS$2</f>
        <v>0</v>
      </c>
      <c r="AQ366">
        <f>'Kullanılan gübre'!AQ366*'Gübre oranlar'!AT$2</f>
        <v>0</v>
      </c>
      <c r="AR366">
        <f>'Kullanılan gübre'!AR366*'Gübre oranlar'!AU$2</f>
        <v>0</v>
      </c>
      <c r="AS366">
        <f>'Kullanılan gübre'!AS366*'Gübre oranlar'!AV$2</f>
        <v>0</v>
      </c>
      <c r="AT366">
        <f>'Kullanılan gübre'!AT366*'Gübre oranlar'!AW$2</f>
        <v>0</v>
      </c>
      <c r="AU366">
        <f>'Kullanılan gübre'!AU366*'Gübre oranlar'!AX$2</f>
        <v>0</v>
      </c>
      <c r="AV366">
        <f>'Kullanılan gübre'!AV366*'Gübre oranlar'!AY$2</f>
        <v>0</v>
      </c>
      <c r="AW366">
        <f t="shared" si="5"/>
        <v>3273.2525000000005</v>
      </c>
    </row>
    <row r="367" spans="1:49" hidden="1" x14ac:dyDescent="0.25">
      <c r="A367" t="str">
        <f>'Kullanılan gübre'!A367</f>
        <v>YI</v>
      </c>
      <c r="B367" t="str">
        <f>'Kullanılan gübre'!B367</f>
        <v>TOKAT</v>
      </c>
      <c r="C367" t="str">
        <f>'Kullanılan gübre'!C367</f>
        <v>MERKEZ</v>
      </c>
      <c r="D367">
        <f>'Kullanılan gübre'!D367</f>
        <v>2014</v>
      </c>
      <c r="E367">
        <f>'Kullanılan gübre'!E367*'Gübre oranlar'!H$2</f>
        <v>16.621500000000001</v>
      </c>
      <c r="F367">
        <f>'Kullanılan gübre'!F367*'Gübre oranlar'!I$2</f>
        <v>194.94800000000004</v>
      </c>
      <c r="G367">
        <f>'Kullanılan gübre'!G367*'Gübre oranlar'!J$2</f>
        <v>553.55850000000009</v>
      </c>
      <c r="H367">
        <f>'Kullanılan gübre'!H367*'Gübre oranlar'!K$2</f>
        <v>714.6790000000002</v>
      </c>
      <c r="I367">
        <f>'Kullanılan gübre'!I367*'Gübre oranlar'!L$2</f>
        <v>0</v>
      </c>
      <c r="J367">
        <f>'Kullanılan gübre'!J367*'Gübre oranlar'!M$2</f>
        <v>166.42799999999997</v>
      </c>
      <c r="K367">
        <f>'Kullanılan gübre'!K367*'Gübre oranlar'!N$2</f>
        <v>58.550000000000004</v>
      </c>
      <c r="L367">
        <f>'Kullanılan gübre'!L367*'Gübre oranlar'!O$2</f>
        <v>60.360000000000007</v>
      </c>
      <c r="M367">
        <f>'Kullanılan gübre'!M367*'Gübre oranlar'!P$2</f>
        <v>12.217499999999999</v>
      </c>
      <c r="N367">
        <f>'Kullanılan gübre'!N367*'Gübre oranlar'!Q$2</f>
        <v>25.432500000000005</v>
      </c>
      <c r="O367">
        <f>'Kullanılan gübre'!O367*'Gübre oranlar'!R$2</f>
        <v>0</v>
      </c>
      <c r="P367">
        <f>'Kullanılan gübre'!P367*'Gübre oranlar'!S$2</f>
        <v>0.75075000000000003</v>
      </c>
      <c r="Q367">
        <f>'Kullanılan gübre'!Q367*'Gübre oranlar'!T$2</f>
        <v>93.6</v>
      </c>
      <c r="R367">
        <f>'Kullanılan gübre'!R367*'Gübre oranlar'!U$2</f>
        <v>0</v>
      </c>
      <c r="S367">
        <f>'Kullanılan gübre'!S367*'Gübre oranlar'!V$2</f>
        <v>0</v>
      </c>
      <c r="T367">
        <f>'Kullanılan gübre'!T367*'Gübre oranlar'!W$2</f>
        <v>0</v>
      </c>
      <c r="U367">
        <f>'Kullanılan gübre'!U367*'Gübre oranlar'!X$2</f>
        <v>0</v>
      </c>
      <c r="V367">
        <f>'Kullanılan gübre'!V367*'Gübre oranlar'!Y$2</f>
        <v>0</v>
      </c>
      <c r="W367">
        <f>'Kullanılan gübre'!W367*'Gübre oranlar'!Z$2</f>
        <v>0</v>
      </c>
      <c r="X367">
        <f>'Kullanılan gübre'!X367*'Gübre oranlar'!AA$2</f>
        <v>0</v>
      </c>
      <c r="Y367">
        <f>'Kullanılan gübre'!Y367*'Gübre oranlar'!AB$2</f>
        <v>0</v>
      </c>
      <c r="Z367">
        <f>'Kullanılan gübre'!Z367*'Gübre oranlar'!AC$2</f>
        <v>0</v>
      </c>
      <c r="AA367">
        <f>'Kullanılan gübre'!AA367*'Gübre oranlar'!AD$2</f>
        <v>0</v>
      </c>
      <c r="AB367">
        <f>'Kullanılan gübre'!AB367*'Gübre oranlar'!AE$2</f>
        <v>0</v>
      </c>
      <c r="AC367">
        <f>'Kullanılan gübre'!AC367*'Gübre oranlar'!AF$2</f>
        <v>0</v>
      </c>
      <c r="AD367">
        <f>'Kullanılan gübre'!AD367*'Gübre oranlar'!AG$2</f>
        <v>0</v>
      </c>
      <c r="AE367">
        <f>'Kullanılan gübre'!AE367*'Gübre oranlar'!AH$2</f>
        <v>0</v>
      </c>
      <c r="AF367">
        <f>'Kullanılan gübre'!AF367*'Gübre oranlar'!AI$2</f>
        <v>0</v>
      </c>
      <c r="AG367">
        <f>'Kullanılan gübre'!AG367*'Gübre oranlar'!AJ$2</f>
        <v>0</v>
      </c>
      <c r="AH367">
        <f>'Kullanılan gübre'!AH367*'Gübre oranlar'!AK$2</f>
        <v>0</v>
      </c>
      <c r="AI367">
        <f>'Kullanılan gübre'!AI367*'Gübre oranlar'!AL$2</f>
        <v>0</v>
      </c>
      <c r="AJ367">
        <f>'Kullanılan gübre'!AJ367*'Gübre oranlar'!AM$2</f>
        <v>0</v>
      </c>
      <c r="AK367">
        <f>'Kullanılan gübre'!AK367*'Gübre oranlar'!AN$2</f>
        <v>0</v>
      </c>
      <c r="AL367">
        <f>'Kullanılan gübre'!AL367*'Gübre oranlar'!AO$2</f>
        <v>0</v>
      </c>
      <c r="AM367">
        <f>'Kullanılan gübre'!AM367*'Gübre oranlar'!AP$2</f>
        <v>0</v>
      </c>
      <c r="AN367">
        <f>'Kullanılan gübre'!AN367*'Gübre oranlar'!AQ$2</f>
        <v>0</v>
      </c>
      <c r="AO367">
        <f>'Kullanılan gübre'!AO367*'Gübre oranlar'!AR$2</f>
        <v>0</v>
      </c>
      <c r="AP367">
        <f>'Kullanılan gübre'!AP367*'Gübre oranlar'!AS$2</f>
        <v>0</v>
      </c>
      <c r="AQ367">
        <f>'Kullanılan gübre'!AQ367*'Gübre oranlar'!AT$2</f>
        <v>0</v>
      </c>
      <c r="AR367">
        <f>'Kullanılan gübre'!AR367*'Gübre oranlar'!AU$2</f>
        <v>0</v>
      </c>
      <c r="AS367">
        <f>'Kullanılan gübre'!AS367*'Gübre oranlar'!AV$2</f>
        <v>0</v>
      </c>
      <c r="AT367">
        <f>'Kullanılan gübre'!AT367*'Gübre oranlar'!AW$2</f>
        <v>0</v>
      </c>
      <c r="AU367">
        <f>'Kullanılan gübre'!AU367*'Gübre oranlar'!AX$2</f>
        <v>0</v>
      </c>
      <c r="AV367">
        <f>'Kullanılan gübre'!AV367*'Gübre oranlar'!AY$2</f>
        <v>0</v>
      </c>
      <c r="AW367">
        <f t="shared" si="5"/>
        <v>1897.1457499999999</v>
      </c>
    </row>
    <row r="368" spans="1:49" hidden="1" x14ac:dyDescent="0.25">
      <c r="A368" t="str">
        <f>'Kullanılan gübre'!A368</f>
        <v>YI</v>
      </c>
      <c r="B368" t="str">
        <f>'Kullanılan gübre'!B368</f>
        <v>TOKAT</v>
      </c>
      <c r="C368" t="str">
        <f>'Kullanılan gübre'!C368</f>
        <v>ALMUS</v>
      </c>
      <c r="D368">
        <f>'Kullanılan gübre'!D368</f>
        <v>2014</v>
      </c>
      <c r="E368">
        <f>'Kullanılan gübre'!E368*'Gübre oranlar'!H$2</f>
        <v>0</v>
      </c>
      <c r="F368">
        <f>'Kullanılan gübre'!F368*'Gübre oranlar'!I$2</f>
        <v>6.76</v>
      </c>
      <c r="G368">
        <f>'Kullanılan gübre'!G368*'Gübre oranlar'!J$2</f>
        <v>54.878999999999998</v>
      </c>
      <c r="H368">
        <f>'Kullanılan gübre'!H368*'Gübre oranlar'!K$2</f>
        <v>29.325000000000003</v>
      </c>
      <c r="I368">
        <f>'Kullanılan gübre'!I368*'Gübre oranlar'!L$2</f>
        <v>0</v>
      </c>
      <c r="J368">
        <f>'Kullanılan gübre'!J368*'Gübre oranlar'!M$2</f>
        <v>4.5269999999999992</v>
      </c>
      <c r="K368">
        <f>'Kullanılan gübre'!K368*'Gübre oranlar'!N$2</f>
        <v>1.3900000000000001</v>
      </c>
      <c r="L368">
        <f>'Kullanılan gübre'!L368*'Gübre oranlar'!O$2</f>
        <v>0</v>
      </c>
      <c r="M368">
        <f>'Kullanılan gübre'!M368*'Gübre oranlar'!P$2</f>
        <v>0</v>
      </c>
      <c r="N368">
        <f>'Kullanılan gübre'!N368*'Gübre oranlar'!Q$2</f>
        <v>0</v>
      </c>
      <c r="O368">
        <f>'Kullanılan gübre'!O368*'Gübre oranlar'!R$2</f>
        <v>0</v>
      </c>
      <c r="P368">
        <f>'Kullanılan gübre'!P368*'Gübre oranlar'!S$2</f>
        <v>0</v>
      </c>
      <c r="Q368">
        <f>'Kullanılan gübre'!Q368*'Gübre oranlar'!T$2</f>
        <v>0</v>
      </c>
      <c r="R368">
        <f>'Kullanılan gübre'!R368*'Gübre oranlar'!U$2</f>
        <v>0</v>
      </c>
      <c r="S368">
        <f>'Kullanılan gübre'!S368*'Gübre oranlar'!V$2</f>
        <v>0</v>
      </c>
      <c r="T368">
        <f>'Kullanılan gübre'!T368*'Gübre oranlar'!W$2</f>
        <v>0</v>
      </c>
      <c r="U368">
        <f>'Kullanılan gübre'!U368*'Gübre oranlar'!X$2</f>
        <v>0</v>
      </c>
      <c r="V368">
        <f>'Kullanılan gübre'!V368*'Gübre oranlar'!Y$2</f>
        <v>0</v>
      </c>
      <c r="W368">
        <f>'Kullanılan gübre'!W368*'Gübre oranlar'!Z$2</f>
        <v>0</v>
      </c>
      <c r="X368">
        <f>'Kullanılan gübre'!X368*'Gübre oranlar'!AA$2</f>
        <v>0</v>
      </c>
      <c r="Y368">
        <f>'Kullanılan gübre'!Y368*'Gübre oranlar'!AB$2</f>
        <v>0</v>
      </c>
      <c r="Z368">
        <f>'Kullanılan gübre'!Z368*'Gübre oranlar'!AC$2</f>
        <v>0</v>
      </c>
      <c r="AA368">
        <f>'Kullanılan gübre'!AA368*'Gübre oranlar'!AD$2</f>
        <v>0</v>
      </c>
      <c r="AB368">
        <f>'Kullanılan gübre'!AB368*'Gübre oranlar'!AE$2</f>
        <v>0</v>
      </c>
      <c r="AC368">
        <f>'Kullanılan gübre'!AC368*'Gübre oranlar'!AF$2</f>
        <v>0</v>
      </c>
      <c r="AD368">
        <f>'Kullanılan gübre'!AD368*'Gübre oranlar'!AG$2</f>
        <v>0</v>
      </c>
      <c r="AE368">
        <f>'Kullanılan gübre'!AE368*'Gübre oranlar'!AH$2</f>
        <v>0</v>
      </c>
      <c r="AF368">
        <f>'Kullanılan gübre'!AF368*'Gübre oranlar'!AI$2</f>
        <v>0</v>
      </c>
      <c r="AG368">
        <f>'Kullanılan gübre'!AG368*'Gübre oranlar'!AJ$2</f>
        <v>0</v>
      </c>
      <c r="AH368">
        <f>'Kullanılan gübre'!AH368*'Gübre oranlar'!AK$2</f>
        <v>0</v>
      </c>
      <c r="AI368">
        <f>'Kullanılan gübre'!AI368*'Gübre oranlar'!AL$2</f>
        <v>0</v>
      </c>
      <c r="AJ368">
        <f>'Kullanılan gübre'!AJ368*'Gübre oranlar'!AM$2</f>
        <v>0</v>
      </c>
      <c r="AK368">
        <f>'Kullanılan gübre'!AK368*'Gübre oranlar'!AN$2</f>
        <v>0</v>
      </c>
      <c r="AL368">
        <f>'Kullanılan gübre'!AL368*'Gübre oranlar'!AO$2</f>
        <v>0</v>
      </c>
      <c r="AM368">
        <f>'Kullanılan gübre'!AM368*'Gübre oranlar'!AP$2</f>
        <v>0</v>
      </c>
      <c r="AN368">
        <f>'Kullanılan gübre'!AN368*'Gübre oranlar'!AQ$2</f>
        <v>0</v>
      </c>
      <c r="AO368">
        <f>'Kullanılan gübre'!AO368*'Gübre oranlar'!AR$2</f>
        <v>0</v>
      </c>
      <c r="AP368">
        <f>'Kullanılan gübre'!AP368*'Gübre oranlar'!AS$2</f>
        <v>0</v>
      </c>
      <c r="AQ368">
        <f>'Kullanılan gübre'!AQ368*'Gübre oranlar'!AT$2</f>
        <v>0</v>
      </c>
      <c r="AR368">
        <f>'Kullanılan gübre'!AR368*'Gübre oranlar'!AU$2</f>
        <v>0</v>
      </c>
      <c r="AS368">
        <f>'Kullanılan gübre'!AS368*'Gübre oranlar'!AV$2</f>
        <v>0</v>
      </c>
      <c r="AT368">
        <f>'Kullanılan gübre'!AT368*'Gübre oranlar'!AW$2</f>
        <v>0</v>
      </c>
      <c r="AU368">
        <f>'Kullanılan gübre'!AU368*'Gübre oranlar'!AX$2</f>
        <v>0</v>
      </c>
      <c r="AV368">
        <f>'Kullanılan gübre'!AV368*'Gübre oranlar'!AY$2</f>
        <v>0</v>
      </c>
      <c r="AW368">
        <f t="shared" si="5"/>
        <v>96.881</v>
      </c>
    </row>
    <row r="369" spans="1:49" hidden="1" x14ac:dyDescent="0.25">
      <c r="A369" t="str">
        <f>'Kullanılan gübre'!A369</f>
        <v>YI</v>
      </c>
      <c r="B369" t="str">
        <f>'Kullanılan gübre'!B369</f>
        <v>TOKAT</v>
      </c>
      <c r="C369" t="str">
        <f>'Kullanılan gübre'!C369</f>
        <v>ARTOVA</v>
      </c>
      <c r="D369">
        <f>'Kullanılan gübre'!D369</f>
        <v>2014</v>
      </c>
      <c r="E369">
        <f>'Kullanılan gübre'!E369*'Gübre oranlar'!H$2</f>
        <v>2.2574999999999998</v>
      </c>
      <c r="F369">
        <f>'Kullanılan gübre'!F369*'Gübre oranlar'!I$2</f>
        <v>42.548999999999999</v>
      </c>
      <c r="G369">
        <f>'Kullanılan gübre'!G369*'Gübre oranlar'!J$2</f>
        <v>40.01250000000001</v>
      </c>
      <c r="H369">
        <f>'Kullanılan gübre'!H369*'Gübre oranlar'!K$2</f>
        <v>22.747</v>
      </c>
      <c r="I369">
        <f>'Kullanılan gübre'!I369*'Gübre oranlar'!L$2</f>
        <v>0</v>
      </c>
      <c r="J369">
        <f>'Kullanılan gübre'!J369*'Gübre oranlar'!M$2</f>
        <v>31.553999999999995</v>
      </c>
      <c r="K369">
        <f>'Kullanılan gübre'!K369*'Gübre oranlar'!N$2</f>
        <v>0</v>
      </c>
      <c r="L369">
        <f>'Kullanılan gübre'!L369*'Gübre oranlar'!O$2</f>
        <v>23.97</v>
      </c>
      <c r="M369">
        <f>'Kullanılan gübre'!M369*'Gübre oranlar'!P$2</f>
        <v>0</v>
      </c>
      <c r="N369">
        <f>'Kullanılan gübre'!N369*'Gübre oranlar'!Q$2</f>
        <v>1.77</v>
      </c>
      <c r="O369">
        <f>'Kullanılan gübre'!O369*'Gübre oranlar'!R$2</f>
        <v>0</v>
      </c>
      <c r="P369">
        <f>'Kullanılan gübre'!P369*'Gübre oranlar'!S$2</f>
        <v>0</v>
      </c>
      <c r="Q369">
        <f>'Kullanılan gübre'!Q369*'Gübre oranlar'!T$2</f>
        <v>0</v>
      </c>
      <c r="R369">
        <f>'Kullanılan gübre'!R369*'Gübre oranlar'!U$2</f>
        <v>0</v>
      </c>
      <c r="S369">
        <f>'Kullanılan gübre'!S369*'Gübre oranlar'!V$2</f>
        <v>0</v>
      </c>
      <c r="T369">
        <f>'Kullanılan gübre'!T369*'Gübre oranlar'!W$2</f>
        <v>0</v>
      </c>
      <c r="U369">
        <f>'Kullanılan gübre'!U369*'Gübre oranlar'!X$2</f>
        <v>0</v>
      </c>
      <c r="V369">
        <f>'Kullanılan gübre'!V369*'Gübre oranlar'!Y$2</f>
        <v>0</v>
      </c>
      <c r="W369">
        <f>'Kullanılan gübre'!W369*'Gübre oranlar'!Z$2</f>
        <v>0</v>
      </c>
      <c r="X369">
        <f>'Kullanılan gübre'!X369*'Gübre oranlar'!AA$2</f>
        <v>0</v>
      </c>
      <c r="Y369">
        <f>'Kullanılan gübre'!Y369*'Gübre oranlar'!AB$2</f>
        <v>0</v>
      </c>
      <c r="Z369">
        <f>'Kullanılan gübre'!Z369*'Gübre oranlar'!AC$2</f>
        <v>0</v>
      </c>
      <c r="AA369">
        <f>'Kullanılan gübre'!AA369*'Gübre oranlar'!AD$2</f>
        <v>0</v>
      </c>
      <c r="AB369">
        <f>'Kullanılan gübre'!AB369*'Gübre oranlar'!AE$2</f>
        <v>0</v>
      </c>
      <c r="AC369">
        <f>'Kullanılan gübre'!AC369*'Gübre oranlar'!AF$2</f>
        <v>0</v>
      </c>
      <c r="AD369">
        <f>'Kullanılan gübre'!AD369*'Gübre oranlar'!AG$2</f>
        <v>0</v>
      </c>
      <c r="AE369">
        <f>'Kullanılan gübre'!AE369*'Gübre oranlar'!AH$2</f>
        <v>0</v>
      </c>
      <c r="AF369">
        <f>'Kullanılan gübre'!AF369*'Gübre oranlar'!AI$2</f>
        <v>0</v>
      </c>
      <c r="AG369">
        <f>'Kullanılan gübre'!AG369*'Gübre oranlar'!AJ$2</f>
        <v>0</v>
      </c>
      <c r="AH369">
        <f>'Kullanılan gübre'!AH369*'Gübre oranlar'!AK$2</f>
        <v>0</v>
      </c>
      <c r="AI369">
        <f>'Kullanılan gübre'!AI369*'Gübre oranlar'!AL$2</f>
        <v>0</v>
      </c>
      <c r="AJ369">
        <f>'Kullanılan gübre'!AJ369*'Gübre oranlar'!AM$2</f>
        <v>0</v>
      </c>
      <c r="AK369">
        <f>'Kullanılan gübre'!AK369*'Gübre oranlar'!AN$2</f>
        <v>0</v>
      </c>
      <c r="AL369">
        <f>'Kullanılan gübre'!AL369*'Gübre oranlar'!AO$2</f>
        <v>0</v>
      </c>
      <c r="AM369">
        <f>'Kullanılan gübre'!AM369*'Gübre oranlar'!AP$2</f>
        <v>0</v>
      </c>
      <c r="AN369">
        <f>'Kullanılan gübre'!AN369*'Gübre oranlar'!AQ$2</f>
        <v>0</v>
      </c>
      <c r="AO369">
        <f>'Kullanılan gübre'!AO369*'Gübre oranlar'!AR$2</f>
        <v>0</v>
      </c>
      <c r="AP369">
        <f>'Kullanılan gübre'!AP369*'Gübre oranlar'!AS$2</f>
        <v>0</v>
      </c>
      <c r="AQ369">
        <f>'Kullanılan gübre'!AQ369*'Gübre oranlar'!AT$2</f>
        <v>0</v>
      </c>
      <c r="AR369">
        <f>'Kullanılan gübre'!AR369*'Gübre oranlar'!AU$2</f>
        <v>0</v>
      </c>
      <c r="AS369">
        <f>'Kullanılan gübre'!AS369*'Gübre oranlar'!AV$2</f>
        <v>0</v>
      </c>
      <c r="AT369">
        <f>'Kullanılan gübre'!AT369*'Gübre oranlar'!AW$2</f>
        <v>0</v>
      </c>
      <c r="AU369">
        <f>'Kullanılan gübre'!AU369*'Gübre oranlar'!AX$2</f>
        <v>0</v>
      </c>
      <c r="AV369">
        <f>'Kullanılan gübre'!AV369*'Gübre oranlar'!AY$2</f>
        <v>0</v>
      </c>
      <c r="AW369">
        <f t="shared" si="5"/>
        <v>164.86</v>
      </c>
    </row>
    <row r="370" spans="1:49" hidden="1" x14ac:dyDescent="0.25">
      <c r="A370" t="str">
        <f>'Kullanılan gübre'!A370</f>
        <v>YI</v>
      </c>
      <c r="B370" t="str">
        <f>'Kullanılan gübre'!B370</f>
        <v>TOKAT</v>
      </c>
      <c r="C370" t="str">
        <f>'Kullanılan gübre'!C370</f>
        <v>BASCIFTLIK</v>
      </c>
      <c r="D370">
        <f>'Kullanılan gübre'!D370</f>
        <v>2014</v>
      </c>
      <c r="E370">
        <f>'Kullanılan gübre'!E370*'Gübre oranlar'!H$2</f>
        <v>0</v>
      </c>
      <c r="F370">
        <f>'Kullanılan gübre'!F370*'Gübre oranlar'!I$2</f>
        <v>0</v>
      </c>
      <c r="G370">
        <f>'Kullanılan gübre'!G370*'Gübre oranlar'!J$2</f>
        <v>0</v>
      </c>
      <c r="H370">
        <f>'Kullanılan gübre'!H370*'Gübre oranlar'!K$2</f>
        <v>0</v>
      </c>
      <c r="I370">
        <f>'Kullanılan gübre'!I370*'Gübre oranlar'!L$2</f>
        <v>0</v>
      </c>
      <c r="J370">
        <f>'Kullanılan gübre'!J370*'Gübre oranlar'!M$2</f>
        <v>0</v>
      </c>
      <c r="K370">
        <f>'Kullanılan gübre'!K370*'Gübre oranlar'!N$2</f>
        <v>0</v>
      </c>
      <c r="L370">
        <f>'Kullanılan gübre'!L370*'Gübre oranlar'!O$2</f>
        <v>0</v>
      </c>
      <c r="M370">
        <f>'Kullanılan gübre'!M370*'Gübre oranlar'!P$2</f>
        <v>0</v>
      </c>
      <c r="N370">
        <f>'Kullanılan gübre'!N370*'Gübre oranlar'!Q$2</f>
        <v>0</v>
      </c>
      <c r="O370">
        <f>'Kullanılan gübre'!O370*'Gübre oranlar'!R$2</f>
        <v>0</v>
      </c>
      <c r="P370">
        <f>'Kullanılan gübre'!P370*'Gübre oranlar'!S$2</f>
        <v>0</v>
      </c>
      <c r="Q370">
        <f>'Kullanılan gübre'!Q370*'Gübre oranlar'!T$2</f>
        <v>0</v>
      </c>
      <c r="R370">
        <f>'Kullanılan gübre'!R370*'Gübre oranlar'!U$2</f>
        <v>0</v>
      </c>
      <c r="S370">
        <f>'Kullanılan gübre'!S370*'Gübre oranlar'!V$2</f>
        <v>0</v>
      </c>
      <c r="T370">
        <f>'Kullanılan gübre'!T370*'Gübre oranlar'!W$2</f>
        <v>0</v>
      </c>
      <c r="U370">
        <f>'Kullanılan gübre'!U370*'Gübre oranlar'!X$2</f>
        <v>0</v>
      </c>
      <c r="V370">
        <f>'Kullanılan gübre'!V370*'Gübre oranlar'!Y$2</f>
        <v>0</v>
      </c>
      <c r="W370">
        <f>'Kullanılan gübre'!W370*'Gübre oranlar'!Z$2</f>
        <v>0</v>
      </c>
      <c r="X370">
        <f>'Kullanılan gübre'!X370*'Gübre oranlar'!AA$2</f>
        <v>0</v>
      </c>
      <c r="Y370">
        <f>'Kullanılan gübre'!Y370*'Gübre oranlar'!AB$2</f>
        <v>0</v>
      </c>
      <c r="Z370">
        <f>'Kullanılan gübre'!Z370*'Gübre oranlar'!AC$2</f>
        <v>0</v>
      </c>
      <c r="AA370">
        <f>'Kullanılan gübre'!AA370*'Gübre oranlar'!AD$2</f>
        <v>0</v>
      </c>
      <c r="AB370">
        <f>'Kullanılan gübre'!AB370*'Gübre oranlar'!AE$2</f>
        <v>0</v>
      </c>
      <c r="AC370">
        <f>'Kullanılan gübre'!AC370*'Gübre oranlar'!AF$2</f>
        <v>0</v>
      </c>
      <c r="AD370">
        <f>'Kullanılan gübre'!AD370*'Gübre oranlar'!AG$2</f>
        <v>0</v>
      </c>
      <c r="AE370">
        <f>'Kullanılan gübre'!AE370*'Gübre oranlar'!AH$2</f>
        <v>0</v>
      </c>
      <c r="AF370">
        <f>'Kullanılan gübre'!AF370*'Gübre oranlar'!AI$2</f>
        <v>0</v>
      </c>
      <c r="AG370">
        <f>'Kullanılan gübre'!AG370*'Gübre oranlar'!AJ$2</f>
        <v>0</v>
      </c>
      <c r="AH370">
        <f>'Kullanılan gübre'!AH370*'Gübre oranlar'!AK$2</f>
        <v>0</v>
      </c>
      <c r="AI370">
        <f>'Kullanılan gübre'!AI370*'Gübre oranlar'!AL$2</f>
        <v>0</v>
      </c>
      <c r="AJ370">
        <f>'Kullanılan gübre'!AJ370*'Gübre oranlar'!AM$2</f>
        <v>0</v>
      </c>
      <c r="AK370">
        <f>'Kullanılan gübre'!AK370*'Gübre oranlar'!AN$2</f>
        <v>0</v>
      </c>
      <c r="AL370">
        <f>'Kullanılan gübre'!AL370*'Gübre oranlar'!AO$2</f>
        <v>0</v>
      </c>
      <c r="AM370">
        <f>'Kullanılan gübre'!AM370*'Gübre oranlar'!AP$2</f>
        <v>0</v>
      </c>
      <c r="AN370">
        <f>'Kullanılan gübre'!AN370*'Gübre oranlar'!AQ$2</f>
        <v>0</v>
      </c>
      <c r="AO370">
        <f>'Kullanılan gübre'!AO370*'Gübre oranlar'!AR$2</f>
        <v>0</v>
      </c>
      <c r="AP370">
        <f>'Kullanılan gübre'!AP370*'Gübre oranlar'!AS$2</f>
        <v>0</v>
      </c>
      <c r="AQ370">
        <f>'Kullanılan gübre'!AQ370*'Gübre oranlar'!AT$2</f>
        <v>0</v>
      </c>
      <c r="AR370">
        <f>'Kullanılan gübre'!AR370*'Gübre oranlar'!AU$2</f>
        <v>0</v>
      </c>
      <c r="AS370">
        <f>'Kullanılan gübre'!AS370*'Gübre oranlar'!AV$2</f>
        <v>0</v>
      </c>
      <c r="AT370">
        <f>'Kullanılan gübre'!AT370*'Gübre oranlar'!AW$2</f>
        <v>0</v>
      </c>
      <c r="AU370">
        <f>'Kullanılan gübre'!AU370*'Gübre oranlar'!AX$2</f>
        <v>0</v>
      </c>
      <c r="AV370">
        <f>'Kullanılan gübre'!AV370*'Gübre oranlar'!AY$2</f>
        <v>0</v>
      </c>
      <c r="AW370">
        <f t="shared" si="5"/>
        <v>0</v>
      </c>
    </row>
    <row r="371" spans="1:49" hidden="1" x14ac:dyDescent="0.25">
      <c r="A371" t="str">
        <f>'Kullanılan gübre'!A371</f>
        <v>YI</v>
      </c>
      <c r="B371" t="str">
        <f>'Kullanılan gübre'!B371</f>
        <v>TOKAT</v>
      </c>
      <c r="C371" t="str">
        <f>'Kullanılan gübre'!C371</f>
        <v>ERBAA</v>
      </c>
      <c r="D371">
        <f>'Kullanılan gübre'!D371</f>
        <v>2014</v>
      </c>
      <c r="E371">
        <f>'Kullanılan gübre'!E371*'Gübre oranlar'!H$2</f>
        <v>8.9459999999999997</v>
      </c>
      <c r="F371">
        <f>'Kullanılan gübre'!F371*'Gübre oranlar'!I$2</f>
        <v>8.254999999999999</v>
      </c>
      <c r="G371">
        <f>'Kullanılan gübre'!G371*'Gübre oranlar'!J$2</f>
        <v>122.21549999999999</v>
      </c>
      <c r="H371">
        <f>'Kullanılan gübre'!H371*'Gübre oranlar'!K$2</f>
        <v>24.513400000000001</v>
      </c>
      <c r="I371">
        <f>'Kullanılan gübre'!I371*'Gübre oranlar'!L$2</f>
        <v>0</v>
      </c>
      <c r="J371">
        <f>'Kullanılan gübre'!J371*'Gübre oranlar'!M$2</f>
        <v>50.148000000000003</v>
      </c>
      <c r="K371">
        <f>'Kullanılan gübre'!K371*'Gübre oranlar'!N$2</f>
        <v>15.4</v>
      </c>
      <c r="L371">
        <f>'Kullanılan gübre'!L371*'Gübre oranlar'!O$2</f>
        <v>2.484</v>
      </c>
      <c r="M371">
        <f>'Kullanılan gübre'!M371*'Gübre oranlar'!P$2</f>
        <v>14.295</v>
      </c>
      <c r="N371">
        <f>'Kullanılan gübre'!N371*'Gübre oranlar'!Q$2</f>
        <v>41.76</v>
      </c>
      <c r="O371">
        <f>'Kullanılan gübre'!O371*'Gübre oranlar'!R$2</f>
        <v>0</v>
      </c>
      <c r="P371">
        <f>'Kullanılan gübre'!P371*'Gübre oranlar'!S$2</f>
        <v>7.4750000000000011E-2</v>
      </c>
      <c r="Q371">
        <f>'Kullanılan gübre'!Q371*'Gübre oranlar'!T$2</f>
        <v>0</v>
      </c>
      <c r="R371">
        <f>'Kullanılan gübre'!R371*'Gübre oranlar'!U$2</f>
        <v>0</v>
      </c>
      <c r="S371">
        <f>'Kullanılan gübre'!S371*'Gübre oranlar'!V$2</f>
        <v>0</v>
      </c>
      <c r="T371">
        <f>'Kullanılan gübre'!T371*'Gübre oranlar'!W$2</f>
        <v>0</v>
      </c>
      <c r="U371">
        <f>'Kullanılan gübre'!U371*'Gübre oranlar'!X$2</f>
        <v>0</v>
      </c>
      <c r="V371">
        <f>'Kullanılan gübre'!V371*'Gübre oranlar'!Y$2</f>
        <v>0</v>
      </c>
      <c r="W371">
        <f>'Kullanılan gübre'!W371*'Gübre oranlar'!Z$2</f>
        <v>0</v>
      </c>
      <c r="X371">
        <f>'Kullanılan gübre'!X371*'Gübre oranlar'!AA$2</f>
        <v>0</v>
      </c>
      <c r="Y371">
        <f>'Kullanılan gübre'!Y371*'Gübre oranlar'!AB$2</f>
        <v>0</v>
      </c>
      <c r="Z371">
        <f>'Kullanılan gübre'!Z371*'Gübre oranlar'!AC$2</f>
        <v>0</v>
      </c>
      <c r="AA371">
        <f>'Kullanılan gübre'!AA371*'Gübre oranlar'!AD$2</f>
        <v>0</v>
      </c>
      <c r="AB371">
        <f>'Kullanılan gübre'!AB371*'Gübre oranlar'!AE$2</f>
        <v>0</v>
      </c>
      <c r="AC371">
        <f>'Kullanılan gübre'!AC371*'Gübre oranlar'!AF$2</f>
        <v>0</v>
      </c>
      <c r="AD371">
        <f>'Kullanılan gübre'!AD371*'Gübre oranlar'!AG$2</f>
        <v>0</v>
      </c>
      <c r="AE371">
        <f>'Kullanılan gübre'!AE371*'Gübre oranlar'!AH$2</f>
        <v>0</v>
      </c>
      <c r="AF371">
        <f>'Kullanılan gübre'!AF371*'Gübre oranlar'!AI$2</f>
        <v>0</v>
      </c>
      <c r="AG371">
        <f>'Kullanılan gübre'!AG371*'Gübre oranlar'!AJ$2</f>
        <v>0</v>
      </c>
      <c r="AH371">
        <f>'Kullanılan gübre'!AH371*'Gübre oranlar'!AK$2</f>
        <v>0</v>
      </c>
      <c r="AI371">
        <f>'Kullanılan gübre'!AI371*'Gübre oranlar'!AL$2</f>
        <v>0</v>
      </c>
      <c r="AJ371">
        <f>'Kullanılan gübre'!AJ371*'Gübre oranlar'!AM$2</f>
        <v>0</v>
      </c>
      <c r="AK371">
        <f>'Kullanılan gübre'!AK371*'Gübre oranlar'!AN$2</f>
        <v>0</v>
      </c>
      <c r="AL371">
        <f>'Kullanılan gübre'!AL371*'Gübre oranlar'!AO$2</f>
        <v>0</v>
      </c>
      <c r="AM371">
        <f>'Kullanılan gübre'!AM371*'Gübre oranlar'!AP$2</f>
        <v>0</v>
      </c>
      <c r="AN371">
        <f>'Kullanılan gübre'!AN371*'Gübre oranlar'!AQ$2</f>
        <v>0</v>
      </c>
      <c r="AO371">
        <f>'Kullanılan gübre'!AO371*'Gübre oranlar'!AR$2</f>
        <v>0</v>
      </c>
      <c r="AP371">
        <f>'Kullanılan gübre'!AP371*'Gübre oranlar'!AS$2</f>
        <v>0</v>
      </c>
      <c r="AQ371">
        <f>'Kullanılan gübre'!AQ371*'Gübre oranlar'!AT$2</f>
        <v>0</v>
      </c>
      <c r="AR371">
        <f>'Kullanılan gübre'!AR371*'Gübre oranlar'!AU$2</f>
        <v>0</v>
      </c>
      <c r="AS371">
        <f>'Kullanılan gübre'!AS371*'Gübre oranlar'!AV$2</f>
        <v>0</v>
      </c>
      <c r="AT371">
        <f>'Kullanılan gübre'!AT371*'Gübre oranlar'!AW$2</f>
        <v>0</v>
      </c>
      <c r="AU371">
        <f>'Kullanılan gübre'!AU371*'Gübre oranlar'!AX$2</f>
        <v>0</v>
      </c>
      <c r="AV371">
        <f>'Kullanılan gübre'!AV371*'Gübre oranlar'!AY$2</f>
        <v>0</v>
      </c>
      <c r="AW371">
        <f t="shared" si="5"/>
        <v>288.09164999999996</v>
      </c>
    </row>
    <row r="372" spans="1:49" hidden="1" x14ac:dyDescent="0.25">
      <c r="A372" t="str">
        <f>'Kullanılan gübre'!A372</f>
        <v>YI</v>
      </c>
      <c r="B372" t="str">
        <f>'Kullanılan gübre'!B372</f>
        <v>TOKAT</v>
      </c>
      <c r="C372" t="str">
        <f>'Kullanılan gübre'!C372</f>
        <v>NIKSAR</v>
      </c>
      <c r="D372">
        <f>'Kullanılan gübre'!D372</f>
        <v>2014</v>
      </c>
      <c r="E372">
        <f>'Kullanılan gübre'!E372*'Gübre oranlar'!H$2</f>
        <v>22.522500000000001</v>
      </c>
      <c r="F372">
        <f>'Kullanılan gübre'!F372*'Gübre oranlar'!I$2</f>
        <v>54.209999999999994</v>
      </c>
      <c r="G372">
        <f>'Kullanılan gübre'!G372*'Gübre oranlar'!J$2</f>
        <v>201.00299999999999</v>
      </c>
      <c r="H372">
        <f>'Kullanılan gübre'!H372*'Gübre oranlar'!K$2</f>
        <v>1861.6660000000002</v>
      </c>
      <c r="I372">
        <f>'Kullanılan gübre'!I372*'Gübre oranlar'!L$2</f>
        <v>0</v>
      </c>
      <c r="J372">
        <f>'Kullanılan gübre'!J372*'Gübre oranlar'!M$2</f>
        <v>69.417000000000002</v>
      </c>
      <c r="K372">
        <f>'Kullanılan gübre'!K372*'Gübre oranlar'!N$2</f>
        <v>36.71</v>
      </c>
      <c r="L372">
        <f>'Kullanılan gübre'!L372*'Gübre oranlar'!O$2</f>
        <v>39.729999999999997</v>
      </c>
      <c r="M372">
        <f>'Kullanılan gübre'!M372*'Gübre oranlar'!P$2</f>
        <v>12.1425</v>
      </c>
      <c r="N372">
        <f>'Kullanılan gübre'!N372*'Gübre oranlar'!Q$2</f>
        <v>58.2</v>
      </c>
      <c r="O372">
        <f>'Kullanılan gübre'!O372*'Gübre oranlar'!R$2</f>
        <v>0</v>
      </c>
      <c r="P372">
        <f>'Kullanılan gübre'!P372*'Gübre oranlar'!S$2</f>
        <v>0.39974999999999999</v>
      </c>
      <c r="Q372">
        <f>'Kullanılan gübre'!Q372*'Gübre oranlar'!T$2</f>
        <v>0</v>
      </c>
      <c r="R372">
        <f>'Kullanılan gübre'!R372*'Gübre oranlar'!U$2</f>
        <v>0</v>
      </c>
      <c r="S372">
        <f>'Kullanılan gübre'!S372*'Gübre oranlar'!V$2</f>
        <v>0</v>
      </c>
      <c r="T372">
        <f>'Kullanılan gübre'!T372*'Gübre oranlar'!W$2</f>
        <v>0</v>
      </c>
      <c r="U372">
        <f>'Kullanılan gübre'!U372*'Gübre oranlar'!X$2</f>
        <v>0</v>
      </c>
      <c r="V372">
        <f>'Kullanılan gübre'!V372*'Gübre oranlar'!Y$2</f>
        <v>0</v>
      </c>
      <c r="W372">
        <f>'Kullanılan gübre'!W372*'Gübre oranlar'!Z$2</f>
        <v>0</v>
      </c>
      <c r="X372">
        <f>'Kullanılan gübre'!X372*'Gübre oranlar'!AA$2</f>
        <v>0</v>
      </c>
      <c r="Y372">
        <f>'Kullanılan gübre'!Y372*'Gübre oranlar'!AB$2</f>
        <v>0</v>
      </c>
      <c r="Z372">
        <f>'Kullanılan gübre'!Z372*'Gübre oranlar'!AC$2</f>
        <v>0</v>
      </c>
      <c r="AA372">
        <f>'Kullanılan gübre'!AA372*'Gübre oranlar'!AD$2</f>
        <v>0</v>
      </c>
      <c r="AB372">
        <f>'Kullanılan gübre'!AB372*'Gübre oranlar'!AE$2</f>
        <v>0</v>
      </c>
      <c r="AC372">
        <f>'Kullanılan gübre'!AC372*'Gübre oranlar'!AF$2</f>
        <v>0</v>
      </c>
      <c r="AD372">
        <f>'Kullanılan gübre'!AD372*'Gübre oranlar'!AG$2</f>
        <v>0</v>
      </c>
      <c r="AE372">
        <f>'Kullanılan gübre'!AE372*'Gübre oranlar'!AH$2</f>
        <v>0</v>
      </c>
      <c r="AF372">
        <f>'Kullanılan gübre'!AF372*'Gübre oranlar'!AI$2</f>
        <v>0</v>
      </c>
      <c r="AG372">
        <f>'Kullanılan gübre'!AG372*'Gübre oranlar'!AJ$2</f>
        <v>0</v>
      </c>
      <c r="AH372">
        <f>'Kullanılan gübre'!AH372*'Gübre oranlar'!AK$2</f>
        <v>0</v>
      </c>
      <c r="AI372">
        <f>'Kullanılan gübre'!AI372*'Gübre oranlar'!AL$2</f>
        <v>0</v>
      </c>
      <c r="AJ372">
        <f>'Kullanılan gübre'!AJ372*'Gübre oranlar'!AM$2</f>
        <v>0</v>
      </c>
      <c r="AK372">
        <f>'Kullanılan gübre'!AK372*'Gübre oranlar'!AN$2</f>
        <v>0</v>
      </c>
      <c r="AL372">
        <f>'Kullanılan gübre'!AL372*'Gübre oranlar'!AO$2</f>
        <v>0</v>
      </c>
      <c r="AM372">
        <f>'Kullanılan gübre'!AM372*'Gübre oranlar'!AP$2</f>
        <v>0</v>
      </c>
      <c r="AN372">
        <f>'Kullanılan gübre'!AN372*'Gübre oranlar'!AQ$2</f>
        <v>0</v>
      </c>
      <c r="AO372">
        <f>'Kullanılan gübre'!AO372*'Gübre oranlar'!AR$2</f>
        <v>0</v>
      </c>
      <c r="AP372">
        <f>'Kullanılan gübre'!AP372*'Gübre oranlar'!AS$2</f>
        <v>0</v>
      </c>
      <c r="AQ372">
        <f>'Kullanılan gübre'!AQ372*'Gübre oranlar'!AT$2</f>
        <v>0</v>
      </c>
      <c r="AR372">
        <f>'Kullanılan gübre'!AR372*'Gübre oranlar'!AU$2</f>
        <v>0</v>
      </c>
      <c r="AS372">
        <f>'Kullanılan gübre'!AS372*'Gübre oranlar'!AV$2</f>
        <v>0</v>
      </c>
      <c r="AT372">
        <f>'Kullanılan gübre'!AT372*'Gübre oranlar'!AW$2</f>
        <v>0</v>
      </c>
      <c r="AU372">
        <f>'Kullanılan gübre'!AU372*'Gübre oranlar'!AX$2</f>
        <v>0</v>
      </c>
      <c r="AV372">
        <f>'Kullanılan gübre'!AV372*'Gübre oranlar'!AY$2</f>
        <v>0</v>
      </c>
      <c r="AW372">
        <f t="shared" si="5"/>
        <v>2356.0007499999997</v>
      </c>
    </row>
    <row r="373" spans="1:49" hidden="1" x14ac:dyDescent="0.25">
      <c r="A373" t="str">
        <f>'Kullanılan gübre'!A373</f>
        <v>YI</v>
      </c>
      <c r="B373" t="str">
        <f>'Kullanılan gübre'!B373</f>
        <v>TOKAT</v>
      </c>
      <c r="C373" t="str">
        <f>'Kullanılan gübre'!C373</f>
        <v>PAZAR</v>
      </c>
      <c r="D373">
        <f>'Kullanılan gübre'!D373</f>
        <v>2014</v>
      </c>
      <c r="E373">
        <f>'Kullanılan gübre'!E373*'Gübre oranlar'!H$2</f>
        <v>10.431750000000001</v>
      </c>
      <c r="F373">
        <f>'Kullanılan gübre'!F373*'Gübre oranlar'!I$2</f>
        <v>8.1640000000000015</v>
      </c>
      <c r="G373">
        <f>'Kullanılan gübre'!G373*'Gübre oranlar'!J$2</f>
        <v>97.28400000000002</v>
      </c>
      <c r="H373">
        <f>'Kullanılan gübre'!H373*'Gübre oranlar'!K$2</f>
        <v>369.95500000000004</v>
      </c>
      <c r="I373">
        <f>'Kullanılan gübre'!I373*'Gübre oranlar'!L$2</f>
        <v>0</v>
      </c>
      <c r="J373">
        <f>'Kullanılan gübre'!J373*'Gübre oranlar'!M$2</f>
        <v>53.495999999999995</v>
      </c>
      <c r="K373">
        <f>'Kullanılan gübre'!K373*'Gübre oranlar'!N$2</f>
        <v>16.440000000000001</v>
      </c>
      <c r="L373">
        <f>'Kullanılan gübre'!L373*'Gübre oranlar'!O$2</f>
        <v>27.185000000000002</v>
      </c>
      <c r="M373">
        <f>'Kullanılan gübre'!M373*'Gübre oranlar'!P$2</f>
        <v>4.875</v>
      </c>
      <c r="N373">
        <f>'Kullanılan gübre'!N373*'Gübre oranlar'!Q$2</f>
        <v>25.680000000000003</v>
      </c>
      <c r="O373">
        <f>'Kullanılan gübre'!O373*'Gübre oranlar'!R$2</f>
        <v>0</v>
      </c>
      <c r="P373">
        <f>'Kullanılan gübre'!P373*'Gübre oranlar'!S$2</f>
        <v>10.146500000000001</v>
      </c>
      <c r="Q373">
        <f>'Kullanılan gübre'!Q373*'Gübre oranlar'!T$2</f>
        <v>69.12</v>
      </c>
      <c r="R373">
        <f>'Kullanılan gübre'!R373*'Gübre oranlar'!U$2</f>
        <v>0</v>
      </c>
      <c r="S373">
        <f>'Kullanılan gübre'!S373*'Gübre oranlar'!V$2</f>
        <v>0</v>
      </c>
      <c r="T373">
        <f>'Kullanılan gübre'!T373*'Gübre oranlar'!W$2</f>
        <v>0</v>
      </c>
      <c r="U373">
        <f>'Kullanılan gübre'!U373*'Gübre oranlar'!X$2</f>
        <v>0</v>
      </c>
      <c r="V373">
        <f>'Kullanılan gübre'!V373*'Gübre oranlar'!Y$2</f>
        <v>0</v>
      </c>
      <c r="W373">
        <f>'Kullanılan gübre'!W373*'Gübre oranlar'!Z$2</f>
        <v>0</v>
      </c>
      <c r="X373">
        <f>'Kullanılan gübre'!X373*'Gübre oranlar'!AA$2</f>
        <v>0</v>
      </c>
      <c r="Y373">
        <f>'Kullanılan gübre'!Y373*'Gübre oranlar'!AB$2</f>
        <v>0</v>
      </c>
      <c r="Z373">
        <f>'Kullanılan gübre'!Z373*'Gübre oranlar'!AC$2</f>
        <v>0</v>
      </c>
      <c r="AA373">
        <f>'Kullanılan gübre'!AA373*'Gübre oranlar'!AD$2</f>
        <v>0</v>
      </c>
      <c r="AB373">
        <f>'Kullanılan gübre'!AB373*'Gübre oranlar'!AE$2</f>
        <v>0</v>
      </c>
      <c r="AC373">
        <f>'Kullanılan gübre'!AC373*'Gübre oranlar'!AF$2</f>
        <v>0</v>
      </c>
      <c r="AD373">
        <f>'Kullanılan gübre'!AD373*'Gübre oranlar'!AG$2</f>
        <v>0</v>
      </c>
      <c r="AE373">
        <f>'Kullanılan gübre'!AE373*'Gübre oranlar'!AH$2</f>
        <v>0</v>
      </c>
      <c r="AF373">
        <f>'Kullanılan gübre'!AF373*'Gübre oranlar'!AI$2</f>
        <v>0</v>
      </c>
      <c r="AG373">
        <f>'Kullanılan gübre'!AG373*'Gübre oranlar'!AJ$2</f>
        <v>0</v>
      </c>
      <c r="AH373">
        <f>'Kullanılan gübre'!AH373*'Gübre oranlar'!AK$2</f>
        <v>0</v>
      </c>
      <c r="AI373">
        <f>'Kullanılan gübre'!AI373*'Gübre oranlar'!AL$2</f>
        <v>0</v>
      </c>
      <c r="AJ373">
        <f>'Kullanılan gübre'!AJ373*'Gübre oranlar'!AM$2</f>
        <v>0</v>
      </c>
      <c r="AK373">
        <f>'Kullanılan gübre'!AK373*'Gübre oranlar'!AN$2</f>
        <v>0</v>
      </c>
      <c r="AL373">
        <f>'Kullanılan gübre'!AL373*'Gübre oranlar'!AO$2</f>
        <v>0</v>
      </c>
      <c r="AM373">
        <f>'Kullanılan gübre'!AM373*'Gübre oranlar'!AP$2</f>
        <v>0</v>
      </c>
      <c r="AN373">
        <f>'Kullanılan gübre'!AN373*'Gübre oranlar'!AQ$2</f>
        <v>0</v>
      </c>
      <c r="AO373">
        <f>'Kullanılan gübre'!AO373*'Gübre oranlar'!AR$2</f>
        <v>0</v>
      </c>
      <c r="AP373">
        <f>'Kullanılan gübre'!AP373*'Gübre oranlar'!AS$2</f>
        <v>0</v>
      </c>
      <c r="AQ373">
        <f>'Kullanılan gübre'!AQ373*'Gübre oranlar'!AT$2</f>
        <v>0</v>
      </c>
      <c r="AR373">
        <f>'Kullanılan gübre'!AR373*'Gübre oranlar'!AU$2</f>
        <v>0</v>
      </c>
      <c r="AS373">
        <f>'Kullanılan gübre'!AS373*'Gübre oranlar'!AV$2</f>
        <v>0</v>
      </c>
      <c r="AT373">
        <f>'Kullanılan gübre'!AT373*'Gübre oranlar'!AW$2</f>
        <v>0</v>
      </c>
      <c r="AU373">
        <f>'Kullanılan gübre'!AU373*'Gübre oranlar'!AX$2</f>
        <v>0</v>
      </c>
      <c r="AV373">
        <f>'Kullanılan gübre'!AV373*'Gübre oranlar'!AY$2</f>
        <v>0</v>
      </c>
      <c r="AW373">
        <f t="shared" si="5"/>
        <v>692.77724999999998</v>
      </c>
    </row>
    <row r="374" spans="1:49" hidden="1" x14ac:dyDescent="0.25">
      <c r="A374" t="str">
        <f>'Kullanılan gübre'!A374</f>
        <v>YI</v>
      </c>
      <c r="B374" t="str">
        <f>'Kullanılan gübre'!B374</f>
        <v>TOKAT</v>
      </c>
      <c r="C374" t="str">
        <f>'Kullanılan gübre'!C374</f>
        <v>RESADIYE</v>
      </c>
      <c r="D374">
        <f>'Kullanılan gübre'!D374</f>
        <v>2014</v>
      </c>
      <c r="E374">
        <f>'Kullanılan gübre'!E374*'Gübre oranlar'!H$2</f>
        <v>0</v>
      </c>
      <c r="F374">
        <f>'Kullanılan gübre'!F374*'Gübre oranlar'!I$2</f>
        <v>5.7980000000000009</v>
      </c>
      <c r="G374">
        <f>'Kullanılan gübre'!G374*'Gübre oranlar'!J$2</f>
        <v>40.557000000000002</v>
      </c>
      <c r="H374">
        <f>'Kullanılan gübre'!H374*'Gübre oranlar'!K$2</f>
        <v>14.467000000000001</v>
      </c>
      <c r="I374">
        <f>'Kullanılan gübre'!I374*'Gübre oranlar'!L$2</f>
        <v>0</v>
      </c>
      <c r="J374">
        <f>'Kullanılan gübre'!J374*'Gübre oranlar'!M$2</f>
        <v>7.3619999999999992</v>
      </c>
      <c r="K374">
        <f>'Kullanılan gübre'!K374*'Gübre oranlar'!N$2</f>
        <v>0</v>
      </c>
      <c r="L374">
        <f>'Kullanılan gübre'!L374*'Gübre oranlar'!O$2</f>
        <v>0</v>
      </c>
      <c r="M374">
        <f>'Kullanılan gübre'!M374*'Gübre oranlar'!P$2</f>
        <v>1.4999999999999999E-2</v>
      </c>
      <c r="N374">
        <f>'Kullanılan gübre'!N374*'Gübre oranlar'!Q$2</f>
        <v>0</v>
      </c>
      <c r="O374">
        <f>'Kullanılan gübre'!O374*'Gübre oranlar'!R$2</f>
        <v>0</v>
      </c>
      <c r="P374">
        <f>'Kullanılan gübre'!P374*'Gübre oranlar'!S$2</f>
        <v>0</v>
      </c>
      <c r="Q374">
        <f>'Kullanılan gübre'!Q374*'Gübre oranlar'!T$2</f>
        <v>0</v>
      </c>
      <c r="R374">
        <f>'Kullanılan gübre'!R374*'Gübre oranlar'!U$2</f>
        <v>0</v>
      </c>
      <c r="S374">
        <f>'Kullanılan gübre'!S374*'Gübre oranlar'!V$2</f>
        <v>0</v>
      </c>
      <c r="T374">
        <f>'Kullanılan gübre'!T374*'Gübre oranlar'!W$2</f>
        <v>0</v>
      </c>
      <c r="U374">
        <f>'Kullanılan gübre'!U374*'Gübre oranlar'!X$2</f>
        <v>0</v>
      </c>
      <c r="V374">
        <f>'Kullanılan gübre'!V374*'Gübre oranlar'!Y$2</f>
        <v>0</v>
      </c>
      <c r="W374">
        <f>'Kullanılan gübre'!W374*'Gübre oranlar'!Z$2</f>
        <v>0</v>
      </c>
      <c r="X374">
        <f>'Kullanılan gübre'!X374*'Gübre oranlar'!AA$2</f>
        <v>0</v>
      </c>
      <c r="Y374">
        <f>'Kullanılan gübre'!Y374*'Gübre oranlar'!AB$2</f>
        <v>0</v>
      </c>
      <c r="Z374">
        <f>'Kullanılan gübre'!Z374*'Gübre oranlar'!AC$2</f>
        <v>0</v>
      </c>
      <c r="AA374">
        <f>'Kullanılan gübre'!AA374*'Gübre oranlar'!AD$2</f>
        <v>0</v>
      </c>
      <c r="AB374">
        <f>'Kullanılan gübre'!AB374*'Gübre oranlar'!AE$2</f>
        <v>0</v>
      </c>
      <c r="AC374">
        <f>'Kullanılan gübre'!AC374*'Gübre oranlar'!AF$2</f>
        <v>0</v>
      </c>
      <c r="AD374">
        <f>'Kullanılan gübre'!AD374*'Gübre oranlar'!AG$2</f>
        <v>0</v>
      </c>
      <c r="AE374">
        <f>'Kullanılan gübre'!AE374*'Gübre oranlar'!AH$2</f>
        <v>0</v>
      </c>
      <c r="AF374">
        <f>'Kullanılan gübre'!AF374*'Gübre oranlar'!AI$2</f>
        <v>0</v>
      </c>
      <c r="AG374">
        <f>'Kullanılan gübre'!AG374*'Gübre oranlar'!AJ$2</f>
        <v>0</v>
      </c>
      <c r="AH374">
        <f>'Kullanılan gübre'!AH374*'Gübre oranlar'!AK$2</f>
        <v>0</v>
      </c>
      <c r="AI374">
        <f>'Kullanılan gübre'!AI374*'Gübre oranlar'!AL$2</f>
        <v>0</v>
      </c>
      <c r="AJ374">
        <f>'Kullanılan gübre'!AJ374*'Gübre oranlar'!AM$2</f>
        <v>0</v>
      </c>
      <c r="AK374">
        <f>'Kullanılan gübre'!AK374*'Gübre oranlar'!AN$2</f>
        <v>0</v>
      </c>
      <c r="AL374">
        <f>'Kullanılan gübre'!AL374*'Gübre oranlar'!AO$2</f>
        <v>0</v>
      </c>
      <c r="AM374">
        <f>'Kullanılan gübre'!AM374*'Gübre oranlar'!AP$2</f>
        <v>0</v>
      </c>
      <c r="AN374">
        <f>'Kullanılan gübre'!AN374*'Gübre oranlar'!AQ$2</f>
        <v>0</v>
      </c>
      <c r="AO374">
        <f>'Kullanılan gübre'!AO374*'Gübre oranlar'!AR$2</f>
        <v>0</v>
      </c>
      <c r="AP374">
        <f>'Kullanılan gübre'!AP374*'Gübre oranlar'!AS$2</f>
        <v>0</v>
      </c>
      <c r="AQ374">
        <f>'Kullanılan gübre'!AQ374*'Gübre oranlar'!AT$2</f>
        <v>0</v>
      </c>
      <c r="AR374">
        <f>'Kullanılan gübre'!AR374*'Gübre oranlar'!AU$2</f>
        <v>0</v>
      </c>
      <c r="AS374">
        <f>'Kullanılan gübre'!AS374*'Gübre oranlar'!AV$2</f>
        <v>0</v>
      </c>
      <c r="AT374">
        <f>'Kullanılan gübre'!AT374*'Gübre oranlar'!AW$2</f>
        <v>0</v>
      </c>
      <c r="AU374">
        <f>'Kullanılan gübre'!AU374*'Gübre oranlar'!AX$2</f>
        <v>0</v>
      </c>
      <c r="AV374">
        <f>'Kullanılan gübre'!AV374*'Gübre oranlar'!AY$2</f>
        <v>0</v>
      </c>
      <c r="AW374">
        <f t="shared" si="5"/>
        <v>68.198999999999998</v>
      </c>
    </row>
    <row r="375" spans="1:49" hidden="1" x14ac:dyDescent="0.25">
      <c r="A375" t="str">
        <f>'Kullanılan gübre'!A375</f>
        <v>YI</v>
      </c>
      <c r="B375" t="str">
        <f>'Kullanılan gübre'!B375</f>
        <v>TOKAT</v>
      </c>
      <c r="C375" t="str">
        <f>'Kullanılan gübre'!C375</f>
        <v>SULUSARAY</v>
      </c>
      <c r="D375">
        <f>'Kullanılan gübre'!D375</f>
        <v>2014</v>
      </c>
      <c r="E375">
        <f>'Kullanılan gübre'!E375*'Gübre oranlar'!H$2</f>
        <v>0</v>
      </c>
      <c r="F375">
        <f>'Kullanılan gübre'!F375*'Gübre oranlar'!I$2</f>
        <v>41.020200000000003</v>
      </c>
      <c r="G375">
        <f>'Kullanılan gübre'!G375*'Gübre oranlar'!J$2</f>
        <v>104.56050000000002</v>
      </c>
      <c r="H375">
        <f>'Kullanılan gübre'!H375*'Gübre oranlar'!K$2</f>
        <v>5.4050000000000002</v>
      </c>
      <c r="I375">
        <f>'Kullanılan gübre'!I375*'Gübre oranlar'!L$2</f>
        <v>0</v>
      </c>
      <c r="J375">
        <f>'Kullanılan gübre'!J375*'Gübre oranlar'!M$2</f>
        <v>39.915000000000006</v>
      </c>
      <c r="K375">
        <f>'Kullanılan gübre'!K375*'Gübre oranlar'!N$2</f>
        <v>4.9400000000000004</v>
      </c>
      <c r="L375">
        <f>'Kullanılan gübre'!L375*'Gübre oranlar'!O$2</f>
        <v>17.48</v>
      </c>
      <c r="M375">
        <f>'Kullanılan gübre'!M375*'Gübre oranlar'!P$2</f>
        <v>0</v>
      </c>
      <c r="N375">
        <f>'Kullanılan gübre'!N375*'Gübre oranlar'!Q$2</f>
        <v>0</v>
      </c>
      <c r="O375">
        <f>'Kullanılan gübre'!O375*'Gübre oranlar'!R$2</f>
        <v>0</v>
      </c>
      <c r="P375">
        <f>'Kullanılan gübre'!P375*'Gübre oranlar'!S$2</f>
        <v>0</v>
      </c>
      <c r="Q375">
        <f>'Kullanılan gübre'!Q375*'Gübre oranlar'!T$2</f>
        <v>0</v>
      </c>
      <c r="R375">
        <f>'Kullanılan gübre'!R375*'Gübre oranlar'!U$2</f>
        <v>0</v>
      </c>
      <c r="S375">
        <f>'Kullanılan gübre'!S375*'Gübre oranlar'!V$2</f>
        <v>0</v>
      </c>
      <c r="T375">
        <f>'Kullanılan gübre'!T375*'Gübre oranlar'!W$2</f>
        <v>0</v>
      </c>
      <c r="U375">
        <f>'Kullanılan gübre'!U375*'Gübre oranlar'!X$2</f>
        <v>0</v>
      </c>
      <c r="V375">
        <f>'Kullanılan gübre'!V375*'Gübre oranlar'!Y$2</f>
        <v>0</v>
      </c>
      <c r="W375">
        <f>'Kullanılan gübre'!W375*'Gübre oranlar'!Z$2</f>
        <v>0</v>
      </c>
      <c r="X375">
        <f>'Kullanılan gübre'!X375*'Gübre oranlar'!AA$2</f>
        <v>0</v>
      </c>
      <c r="Y375">
        <f>'Kullanılan gübre'!Y375*'Gübre oranlar'!AB$2</f>
        <v>0</v>
      </c>
      <c r="Z375">
        <f>'Kullanılan gübre'!Z375*'Gübre oranlar'!AC$2</f>
        <v>0</v>
      </c>
      <c r="AA375">
        <f>'Kullanılan gübre'!AA375*'Gübre oranlar'!AD$2</f>
        <v>0</v>
      </c>
      <c r="AB375">
        <f>'Kullanılan gübre'!AB375*'Gübre oranlar'!AE$2</f>
        <v>0</v>
      </c>
      <c r="AC375">
        <f>'Kullanılan gübre'!AC375*'Gübre oranlar'!AF$2</f>
        <v>0</v>
      </c>
      <c r="AD375">
        <f>'Kullanılan gübre'!AD375*'Gübre oranlar'!AG$2</f>
        <v>0</v>
      </c>
      <c r="AE375">
        <f>'Kullanılan gübre'!AE375*'Gübre oranlar'!AH$2</f>
        <v>0</v>
      </c>
      <c r="AF375">
        <f>'Kullanılan gübre'!AF375*'Gübre oranlar'!AI$2</f>
        <v>0</v>
      </c>
      <c r="AG375">
        <f>'Kullanılan gübre'!AG375*'Gübre oranlar'!AJ$2</f>
        <v>0</v>
      </c>
      <c r="AH375">
        <f>'Kullanılan gübre'!AH375*'Gübre oranlar'!AK$2</f>
        <v>0</v>
      </c>
      <c r="AI375">
        <f>'Kullanılan gübre'!AI375*'Gübre oranlar'!AL$2</f>
        <v>0</v>
      </c>
      <c r="AJ375">
        <f>'Kullanılan gübre'!AJ375*'Gübre oranlar'!AM$2</f>
        <v>0</v>
      </c>
      <c r="AK375">
        <f>'Kullanılan gübre'!AK375*'Gübre oranlar'!AN$2</f>
        <v>0</v>
      </c>
      <c r="AL375">
        <f>'Kullanılan gübre'!AL375*'Gübre oranlar'!AO$2</f>
        <v>0</v>
      </c>
      <c r="AM375">
        <f>'Kullanılan gübre'!AM375*'Gübre oranlar'!AP$2</f>
        <v>0</v>
      </c>
      <c r="AN375">
        <f>'Kullanılan gübre'!AN375*'Gübre oranlar'!AQ$2</f>
        <v>0</v>
      </c>
      <c r="AO375">
        <f>'Kullanılan gübre'!AO375*'Gübre oranlar'!AR$2</f>
        <v>0</v>
      </c>
      <c r="AP375">
        <f>'Kullanılan gübre'!AP375*'Gübre oranlar'!AS$2</f>
        <v>0</v>
      </c>
      <c r="AQ375">
        <f>'Kullanılan gübre'!AQ375*'Gübre oranlar'!AT$2</f>
        <v>0</v>
      </c>
      <c r="AR375">
        <f>'Kullanılan gübre'!AR375*'Gübre oranlar'!AU$2</f>
        <v>0</v>
      </c>
      <c r="AS375">
        <f>'Kullanılan gübre'!AS375*'Gübre oranlar'!AV$2</f>
        <v>0</v>
      </c>
      <c r="AT375">
        <f>'Kullanılan gübre'!AT375*'Gübre oranlar'!AW$2</f>
        <v>0</v>
      </c>
      <c r="AU375">
        <f>'Kullanılan gübre'!AU375*'Gübre oranlar'!AX$2</f>
        <v>0</v>
      </c>
      <c r="AV375">
        <f>'Kullanılan gübre'!AV375*'Gübre oranlar'!AY$2</f>
        <v>0</v>
      </c>
      <c r="AW375">
        <f t="shared" si="5"/>
        <v>213.32070000000002</v>
      </c>
    </row>
    <row r="376" spans="1:49" hidden="1" x14ac:dyDescent="0.25">
      <c r="A376" t="str">
        <f>'Kullanılan gübre'!A376</f>
        <v>YI</v>
      </c>
      <c r="B376" t="str">
        <f>'Kullanılan gübre'!B376</f>
        <v>TOKAT</v>
      </c>
      <c r="C376" t="str">
        <f>'Kullanılan gübre'!C376</f>
        <v>TURHAL</v>
      </c>
      <c r="D376">
        <f>'Kullanılan gübre'!D376</f>
        <v>2014</v>
      </c>
      <c r="E376">
        <f>'Kullanılan gübre'!E376*'Gübre oranlar'!H$2</f>
        <v>8.9774999999999991</v>
      </c>
      <c r="F376">
        <f>'Kullanılan gübre'!F376*'Gübre oranlar'!I$2</f>
        <v>146.83499999999998</v>
      </c>
      <c r="G376">
        <f>'Kullanılan gübre'!G376*'Gübre oranlar'!J$2</f>
        <v>268.29000000000002</v>
      </c>
      <c r="H376">
        <f>'Kullanılan gübre'!H376*'Gübre oranlar'!K$2</f>
        <v>521.89300000000003</v>
      </c>
      <c r="I376">
        <f>'Kullanılan gübre'!I376*'Gübre oranlar'!L$2</f>
        <v>0</v>
      </c>
      <c r="J376">
        <f>'Kullanılan gübre'!J376*'Gübre oranlar'!M$2</f>
        <v>82.475999999999999</v>
      </c>
      <c r="K376">
        <f>'Kullanılan gübre'!K376*'Gübre oranlar'!N$2</f>
        <v>20.100000000000001</v>
      </c>
      <c r="L376">
        <f>'Kullanılan gübre'!L376*'Gübre oranlar'!O$2</f>
        <v>63.260000000000005</v>
      </c>
      <c r="M376">
        <f>'Kullanılan gübre'!M376*'Gübre oranlar'!P$2</f>
        <v>6.3074999999999992</v>
      </c>
      <c r="N376">
        <f>'Kullanılan gübre'!N376*'Gübre oranlar'!Q$2</f>
        <v>7.4924999999999997</v>
      </c>
      <c r="O376">
        <f>'Kullanılan gübre'!O376*'Gübre oranlar'!R$2</f>
        <v>0</v>
      </c>
      <c r="P376">
        <f>'Kullanılan gübre'!P376*'Gübre oranlar'!S$2</f>
        <v>6.9874999999999998</v>
      </c>
      <c r="Q376">
        <f>'Kullanılan gübre'!Q376*'Gübre oranlar'!T$2</f>
        <v>72</v>
      </c>
      <c r="R376">
        <f>'Kullanılan gübre'!R376*'Gübre oranlar'!U$2</f>
        <v>0</v>
      </c>
      <c r="S376">
        <f>'Kullanılan gübre'!S376*'Gübre oranlar'!V$2</f>
        <v>0</v>
      </c>
      <c r="T376">
        <f>'Kullanılan gübre'!T376*'Gübre oranlar'!W$2</f>
        <v>0</v>
      </c>
      <c r="U376">
        <f>'Kullanılan gübre'!U376*'Gübre oranlar'!X$2</f>
        <v>0</v>
      </c>
      <c r="V376">
        <f>'Kullanılan gübre'!V376*'Gübre oranlar'!Y$2</f>
        <v>0</v>
      </c>
      <c r="W376">
        <f>'Kullanılan gübre'!W376*'Gübre oranlar'!Z$2</f>
        <v>0</v>
      </c>
      <c r="X376">
        <f>'Kullanılan gübre'!X376*'Gübre oranlar'!AA$2</f>
        <v>0</v>
      </c>
      <c r="Y376">
        <f>'Kullanılan gübre'!Y376*'Gübre oranlar'!AB$2</f>
        <v>0</v>
      </c>
      <c r="Z376">
        <f>'Kullanılan gübre'!Z376*'Gübre oranlar'!AC$2</f>
        <v>0</v>
      </c>
      <c r="AA376">
        <f>'Kullanılan gübre'!AA376*'Gübre oranlar'!AD$2</f>
        <v>0</v>
      </c>
      <c r="AB376">
        <f>'Kullanılan gübre'!AB376*'Gübre oranlar'!AE$2</f>
        <v>0</v>
      </c>
      <c r="AC376">
        <f>'Kullanılan gübre'!AC376*'Gübre oranlar'!AF$2</f>
        <v>0</v>
      </c>
      <c r="AD376">
        <f>'Kullanılan gübre'!AD376*'Gübre oranlar'!AG$2</f>
        <v>0</v>
      </c>
      <c r="AE376">
        <f>'Kullanılan gübre'!AE376*'Gübre oranlar'!AH$2</f>
        <v>0</v>
      </c>
      <c r="AF376">
        <f>'Kullanılan gübre'!AF376*'Gübre oranlar'!AI$2</f>
        <v>0</v>
      </c>
      <c r="AG376">
        <f>'Kullanılan gübre'!AG376*'Gübre oranlar'!AJ$2</f>
        <v>0</v>
      </c>
      <c r="AH376">
        <f>'Kullanılan gübre'!AH376*'Gübre oranlar'!AK$2</f>
        <v>0</v>
      </c>
      <c r="AI376">
        <f>'Kullanılan gübre'!AI376*'Gübre oranlar'!AL$2</f>
        <v>0</v>
      </c>
      <c r="AJ376">
        <f>'Kullanılan gübre'!AJ376*'Gübre oranlar'!AM$2</f>
        <v>0</v>
      </c>
      <c r="AK376">
        <f>'Kullanılan gübre'!AK376*'Gübre oranlar'!AN$2</f>
        <v>0</v>
      </c>
      <c r="AL376">
        <f>'Kullanılan gübre'!AL376*'Gübre oranlar'!AO$2</f>
        <v>0</v>
      </c>
      <c r="AM376">
        <f>'Kullanılan gübre'!AM376*'Gübre oranlar'!AP$2</f>
        <v>0</v>
      </c>
      <c r="AN376">
        <f>'Kullanılan gübre'!AN376*'Gübre oranlar'!AQ$2</f>
        <v>0</v>
      </c>
      <c r="AO376">
        <f>'Kullanılan gübre'!AO376*'Gübre oranlar'!AR$2</f>
        <v>0</v>
      </c>
      <c r="AP376">
        <f>'Kullanılan gübre'!AP376*'Gübre oranlar'!AS$2</f>
        <v>0</v>
      </c>
      <c r="AQ376">
        <f>'Kullanılan gübre'!AQ376*'Gübre oranlar'!AT$2</f>
        <v>0</v>
      </c>
      <c r="AR376">
        <f>'Kullanılan gübre'!AR376*'Gübre oranlar'!AU$2</f>
        <v>0</v>
      </c>
      <c r="AS376">
        <f>'Kullanılan gübre'!AS376*'Gübre oranlar'!AV$2</f>
        <v>0</v>
      </c>
      <c r="AT376">
        <f>'Kullanılan gübre'!AT376*'Gübre oranlar'!AW$2</f>
        <v>0</v>
      </c>
      <c r="AU376">
        <f>'Kullanılan gübre'!AU376*'Gübre oranlar'!AX$2</f>
        <v>0</v>
      </c>
      <c r="AV376">
        <f>'Kullanılan gübre'!AV376*'Gübre oranlar'!AY$2</f>
        <v>0</v>
      </c>
      <c r="AW376">
        <f t="shared" si="5"/>
        <v>1204.6189999999999</v>
      </c>
    </row>
    <row r="377" spans="1:49" hidden="1" x14ac:dyDescent="0.25">
      <c r="A377" t="str">
        <f>'Kullanılan gübre'!A377</f>
        <v>YI</v>
      </c>
      <c r="B377" t="str">
        <f>'Kullanılan gübre'!B377</f>
        <v>TOKAT</v>
      </c>
      <c r="C377" t="str">
        <f>'Kullanılan gübre'!C377</f>
        <v>YESILYURT</v>
      </c>
      <c r="D377">
        <f>'Kullanılan gübre'!D377</f>
        <v>2014</v>
      </c>
      <c r="E377">
        <f>'Kullanılan gübre'!E377*'Gübre oranlar'!H$2</f>
        <v>0</v>
      </c>
      <c r="F377">
        <f>'Kullanılan gübre'!F377*'Gübre oranlar'!I$2</f>
        <v>63.699999999999996</v>
      </c>
      <c r="G377">
        <f>'Kullanılan gübre'!G377*'Gübre oranlar'!J$2</f>
        <v>70.405500000000018</v>
      </c>
      <c r="H377">
        <f>'Kullanılan gübre'!H377*'Gübre oranlar'!K$2</f>
        <v>24.931999999999999</v>
      </c>
      <c r="I377">
        <f>'Kullanılan gübre'!I377*'Gübre oranlar'!L$2</f>
        <v>0</v>
      </c>
      <c r="J377">
        <f>'Kullanılan gübre'!J377*'Gübre oranlar'!M$2</f>
        <v>14.930999999999999</v>
      </c>
      <c r="K377">
        <f>'Kullanılan gübre'!K377*'Gübre oranlar'!N$2</f>
        <v>10.770000000000003</v>
      </c>
      <c r="L377">
        <f>'Kullanılan gübre'!L377*'Gübre oranlar'!O$2</f>
        <v>19.72</v>
      </c>
      <c r="M377">
        <f>'Kullanılan gübre'!M377*'Gübre oranlar'!P$2</f>
        <v>0</v>
      </c>
      <c r="N377">
        <f>'Kullanılan gübre'!N377*'Gübre oranlar'!Q$2</f>
        <v>3.75</v>
      </c>
      <c r="O377">
        <f>'Kullanılan gübre'!O377*'Gübre oranlar'!R$2</f>
        <v>0</v>
      </c>
      <c r="P377">
        <f>'Kullanılan gübre'!P377*'Gübre oranlar'!S$2</f>
        <v>0</v>
      </c>
      <c r="Q377">
        <f>'Kullanılan gübre'!Q377*'Gübre oranlar'!T$2</f>
        <v>0</v>
      </c>
      <c r="R377">
        <f>'Kullanılan gübre'!R377*'Gübre oranlar'!U$2</f>
        <v>0</v>
      </c>
      <c r="S377">
        <f>'Kullanılan gübre'!S377*'Gübre oranlar'!V$2</f>
        <v>0</v>
      </c>
      <c r="T377">
        <f>'Kullanılan gübre'!T377*'Gübre oranlar'!W$2</f>
        <v>0</v>
      </c>
      <c r="U377">
        <f>'Kullanılan gübre'!U377*'Gübre oranlar'!X$2</f>
        <v>0</v>
      </c>
      <c r="V377">
        <f>'Kullanılan gübre'!V377*'Gübre oranlar'!Y$2</f>
        <v>0</v>
      </c>
      <c r="W377">
        <f>'Kullanılan gübre'!W377*'Gübre oranlar'!Z$2</f>
        <v>0</v>
      </c>
      <c r="X377">
        <f>'Kullanılan gübre'!X377*'Gübre oranlar'!AA$2</f>
        <v>0</v>
      </c>
      <c r="Y377">
        <f>'Kullanılan gübre'!Y377*'Gübre oranlar'!AB$2</f>
        <v>0</v>
      </c>
      <c r="Z377">
        <f>'Kullanılan gübre'!Z377*'Gübre oranlar'!AC$2</f>
        <v>0</v>
      </c>
      <c r="AA377">
        <f>'Kullanılan gübre'!AA377*'Gübre oranlar'!AD$2</f>
        <v>0</v>
      </c>
      <c r="AB377">
        <f>'Kullanılan gübre'!AB377*'Gübre oranlar'!AE$2</f>
        <v>0</v>
      </c>
      <c r="AC377">
        <f>'Kullanılan gübre'!AC377*'Gübre oranlar'!AF$2</f>
        <v>0</v>
      </c>
      <c r="AD377">
        <f>'Kullanılan gübre'!AD377*'Gübre oranlar'!AG$2</f>
        <v>0</v>
      </c>
      <c r="AE377">
        <f>'Kullanılan gübre'!AE377*'Gübre oranlar'!AH$2</f>
        <v>0</v>
      </c>
      <c r="AF377">
        <f>'Kullanılan gübre'!AF377*'Gübre oranlar'!AI$2</f>
        <v>0</v>
      </c>
      <c r="AG377">
        <f>'Kullanılan gübre'!AG377*'Gübre oranlar'!AJ$2</f>
        <v>0</v>
      </c>
      <c r="AH377">
        <f>'Kullanılan gübre'!AH377*'Gübre oranlar'!AK$2</f>
        <v>0</v>
      </c>
      <c r="AI377">
        <f>'Kullanılan gübre'!AI377*'Gübre oranlar'!AL$2</f>
        <v>0</v>
      </c>
      <c r="AJ377">
        <f>'Kullanılan gübre'!AJ377*'Gübre oranlar'!AM$2</f>
        <v>0</v>
      </c>
      <c r="AK377">
        <f>'Kullanılan gübre'!AK377*'Gübre oranlar'!AN$2</f>
        <v>0</v>
      </c>
      <c r="AL377">
        <f>'Kullanılan gübre'!AL377*'Gübre oranlar'!AO$2</f>
        <v>0</v>
      </c>
      <c r="AM377">
        <f>'Kullanılan gübre'!AM377*'Gübre oranlar'!AP$2</f>
        <v>0</v>
      </c>
      <c r="AN377">
        <f>'Kullanılan gübre'!AN377*'Gübre oranlar'!AQ$2</f>
        <v>0</v>
      </c>
      <c r="AO377">
        <f>'Kullanılan gübre'!AO377*'Gübre oranlar'!AR$2</f>
        <v>0</v>
      </c>
      <c r="AP377">
        <f>'Kullanılan gübre'!AP377*'Gübre oranlar'!AS$2</f>
        <v>0</v>
      </c>
      <c r="AQ377">
        <f>'Kullanılan gübre'!AQ377*'Gübre oranlar'!AT$2</f>
        <v>0</v>
      </c>
      <c r="AR377">
        <f>'Kullanılan gübre'!AR377*'Gübre oranlar'!AU$2</f>
        <v>0</v>
      </c>
      <c r="AS377">
        <f>'Kullanılan gübre'!AS377*'Gübre oranlar'!AV$2</f>
        <v>0</v>
      </c>
      <c r="AT377">
        <f>'Kullanılan gübre'!AT377*'Gübre oranlar'!AW$2</f>
        <v>0</v>
      </c>
      <c r="AU377">
        <f>'Kullanılan gübre'!AU377*'Gübre oranlar'!AX$2</f>
        <v>0</v>
      </c>
      <c r="AV377">
        <f>'Kullanılan gübre'!AV377*'Gübre oranlar'!AY$2</f>
        <v>0</v>
      </c>
      <c r="AW377">
        <f t="shared" si="5"/>
        <v>208.20850000000002</v>
      </c>
    </row>
    <row r="378" spans="1:49" hidden="1" x14ac:dyDescent="0.25">
      <c r="A378" t="str">
        <f>'Kullanılan gübre'!A378</f>
        <v>YI</v>
      </c>
      <c r="B378" t="str">
        <f>'Kullanılan gübre'!B378</f>
        <v>TOKAT</v>
      </c>
      <c r="C378" t="str">
        <f>'Kullanılan gübre'!C378</f>
        <v>ZILE</v>
      </c>
      <c r="D378">
        <f>'Kullanılan gübre'!D378</f>
        <v>2014</v>
      </c>
      <c r="E378">
        <f>'Kullanılan gübre'!E378*'Gübre oranlar'!H$2</f>
        <v>71.116500000000002</v>
      </c>
      <c r="F378">
        <f>'Kullanılan gübre'!F378*'Gübre oranlar'!I$2</f>
        <v>1116.9911999999999</v>
      </c>
      <c r="G378">
        <f>'Kullanılan gübre'!G378*'Gübre oranlar'!J$2</f>
        <v>745.71750000000009</v>
      </c>
      <c r="H378">
        <f>'Kullanılan gübre'!H378*'Gübre oranlar'!K$2</f>
        <v>869.55179999999984</v>
      </c>
      <c r="I378">
        <f>'Kullanılan gübre'!I378*'Gübre oranlar'!L$2</f>
        <v>0</v>
      </c>
      <c r="J378">
        <f>'Kullanılan gübre'!J378*'Gübre oranlar'!M$2</f>
        <v>297.05760000000004</v>
      </c>
      <c r="K378">
        <f>'Kullanılan gübre'!K378*'Gübre oranlar'!N$2</f>
        <v>572.5680000000001</v>
      </c>
      <c r="L378">
        <f>'Kullanılan gübre'!L378*'Gübre oranlar'!O$2</f>
        <v>241.62000000000003</v>
      </c>
      <c r="M378">
        <f>'Kullanılan gübre'!M378*'Gübre oranlar'!P$2</f>
        <v>17.88</v>
      </c>
      <c r="N378">
        <f>'Kullanılan gübre'!N378*'Gübre oranlar'!Q$2</f>
        <v>33.524999999999999</v>
      </c>
      <c r="O378">
        <f>'Kullanılan gübre'!O378*'Gübre oranlar'!R$2</f>
        <v>0</v>
      </c>
      <c r="P378">
        <f>'Kullanılan gübre'!P378*'Gübre oranlar'!S$2</f>
        <v>0</v>
      </c>
      <c r="Q378">
        <f>'Kullanılan gübre'!Q378*'Gübre oranlar'!T$2</f>
        <v>0</v>
      </c>
      <c r="R378">
        <f>'Kullanılan gübre'!R378*'Gübre oranlar'!U$2</f>
        <v>0</v>
      </c>
      <c r="S378">
        <f>'Kullanılan gübre'!S378*'Gübre oranlar'!V$2</f>
        <v>0</v>
      </c>
      <c r="T378">
        <f>'Kullanılan gübre'!T378*'Gübre oranlar'!W$2</f>
        <v>0</v>
      </c>
      <c r="U378">
        <f>'Kullanılan gübre'!U378*'Gübre oranlar'!X$2</f>
        <v>0</v>
      </c>
      <c r="V378">
        <f>'Kullanılan gübre'!V378*'Gübre oranlar'!Y$2</f>
        <v>0</v>
      </c>
      <c r="W378">
        <f>'Kullanılan gübre'!W378*'Gübre oranlar'!Z$2</f>
        <v>0</v>
      </c>
      <c r="X378">
        <f>'Kullanılan gübre'!X378*'Gübre oranlar'!AA$2</f>
        <v>0</v>
      </c>
      <c r="Y378">
        <f>'Kullanılan gübre'!Y378*'Gübre oranlar'!AB$2</f>
        <v>0</v>
      </c>
      <c r="Z378">
        <f>'Kullanılan gübre'!Z378*'Gübre oranlar'!AC$2</f>
        <v>0</v>
      </c>
      <c r="AA378">
        <f>'Kullanılan gübre'!AA378*'Gübre oranlar'!AD$2</f>
        <v>0</v>
      </c>
      <c r="AB378">
        <f>'Kullanılan gübre'!AB378*'Gübre oranlar'!AE$2</f>
        <v>0</v>
      </c>
      <c r="AC378">
        <f>'Kullanılan gübre'!AC378*'Gübre oranlar'!AF$2</f>
        <v>0</v>
      </c>
      <c r="AD378">
        <f>'Kullanılan gübre'!AD378*'Gübre oranlar'!AG$2</f>
        <v>0</v>
      </c>
      <c r="AE378">
        <f>'Kullanılan gübre'!AE378*'Gübre oranlar'!AH$2</f>
        <v>0</v>
      </c>
      <c r="AF378">
        <f>'Kullanılan gübre'!AF378*'Gübre oranlar'!AI$2</f>
        <v>0</v>
      </c>
      <c r="AG378">
        <f>'Kullanılan gübre'!AG378*'Gübre oranlar'!AJ$2</f>
        <v>0</v>
      </c>
      <c r="AH378">
        <f>'Kullanılan gübre'!AH378*'Gübre oranlar'!AK$2</f>
        <v>0</v>
      </c>
      <c r="AI378">
        <f>'Kullanılan gübre'!AI378*'Gübre oranlar'!AL$2</f>
        <v>0</v>
      </c>
      <c r="AJ378">
        <f>'Kullanılan gübre'!AJ378*'Gübre oranlar'!AM$2</f>
        <v>0</v>
      </c>
      <c r="AK378">
        <f>'Kullanılan gübre'!AK378*'Gübre oranlar'!AN$2</f>
        <v>0</v>
      </c>
      <c r="AL378">
        <f>'Kullanılan gübre'!AL378*'Gübre oranlar'!AO$2</f>
        <v>0</v>
      </c>
      <c r="AM378">
        <f>'Kullanılan gübre'!AM378*'Gübre oranlar'!AP$2</f>
        <v>0</v>
      </c>
      <c r="AN378">
        <f>'Kullanılan gübre'!AN378*'Gübre oranlar'!AQ$2</f>
        <v>0</v>
      </c>
      <c r="AO378">
        <f>'Kullanılan gübre'!AO378*'Gübre oranlar'!AR$2</f>
        <v>0</v>
      </c>
      <c r="AP378">
        <f>'Kullanılan gübre'!AP378*'Gübre oranlar'!AS$2</f>
        <v>0</v>
      </c>
      <c r="AQ378">
        <f>'Kullanılan gübre'!AQ378*'Gübre oranlar'!AT$2</f>
        <v>0</v>
      </c>
      <c r="AR378">
        <f>'Kullanılan gübre'!AR378*'Gübre oranlar'!AU$2</f>
        <v>0</v>
      </c>
      <c r="AS378">
        <f>'Kullanılan gübre'!AS378*'Gübre oranlar'!AV$2</f>
        <v>0</v>
      </c>
      <c r="AT378">
        <f>'Kullanılan gübre'!AT378*'Gübre oranlar'!AW$2</f>
        <v>0</v>
      </c>
      <c r="AU378">
        <f>'Kullanılan gübre'!AU378*'Gübre oranlar'!AX$2</f>
        <v>0</v>
      </c>
      <c r="AV378">
        <f>'Kullanılan gübre'!AV378*'Gübre oranlar'!AY$2</f>
        <v>0</v>
      </c>
      <c r="AW378">
        <f t="shared" si="5"/>
        <v>3966.0276000000003</v>
      </c>
    </row>
    <row r="379" spans="1:49" hidden="1" x14ac:dyDescent="0.25">
      <c r="A379" t="str">
        <f>'Kullanılan gübre'!A379</f>
        <v>YI</v>
      </c>
      <c r="B379" t="str">
        <f>'Kullanılan gübre'!B379</f>
        <v>TOKAT</v>
      </c>
      <c r="C379" t="str">
        <f>'Kullanılan gübre'!C379</f>
        <v>MERKEZ</v>
      </c>
      <c r="D379">
        <f>'Kullanılan gübre'!D379</f>
        <v>2015</v>
      </c>
      <c r="E379">
        <f>'Kullanılan gübre'!E379*'Gübre oranlar'!H$2</f>
        <v>44.981999999999999</v>
      </c>
      <c r="F379">
        <f>'Kullanılan gübre'!F379*'Gübre oranlar'!I$2</f>
        <v>572.23400000000004</v>
      </c>
      <c r="G379">
        <f>'Kullanılan gübre'!G379*'Gübre oranlar'!J$2</f>
        <v>1873.9050000000002</v>
      </c>
      <c r="H379">
        <f>'Kullanılan gübre'!H379*'Gübre oranlar'!K$2</f>
        <v>566.49459999999999</v>
      </c>
      <c r="I379">
        <f>'Kullanılan gübre'!I379*'Gübre oranlar'!L$2</f>
        <v>0</v>
      </c>
      <c r="J379">
        <f>'Kullanılan gübre'!J379*'Gübre oranlar'!M$2</f>
        <v>364.13099999999997</v>
      </c>
      <c r="K379">
        <f>'Kullanılan gübre'!K379*'Gübre oranlar'!N$2</f>
        <v>57.410000000000004</v>
      </c>
      <c r="L379">
        <f>'Kullanılan gübre'!L379*'Gübre oranlar'!O$2</f>
        <v>63.06</v>
      </c>
      <c r="M379">
        <f>'Kullanılan gübre'!M379*'Gübre oranlar'!P$2</f>
        <v>14.955</v>
      </c>
      <c r="N379">
        <f>'Kullanılan gübre'!N379*'Gübre oranlar'!Q$2</f>
        <v>51.667499999999997</v>
      </c>
      <c r="O379">
        <f>'Kullanılan gübre'!O379*'Gübre oranlar'!R$2</f>
        <v>0</v>
      </c>
      <c r="P379">
        <f>'Kullanılan gübre'!P379*'Gübre oranlar'!S$2</f>
        <v>4.8399000000000001</v>
      </c>
      <c r="Q379">
        <f>'Kullanılan gübre'!Q379*'Gübre oranlar'!T$2</f>
        <v>22.56</v>
      </c>
      <c r="R379">
        <f>'Kullanılan gübre'!R379*'Gübre oranlar'!U$2</f>
        <v>0</v>
      </c>
      <c r="S379">
        <f>'Kullanılan gübre'!S379*'Gübre oranlar'!V$2</f>
        <v>0</v>
      </c>
      <c r="T379">
        <f>'Kullanılan gübre'!T379*'Gübre oranlar'!W$2</f>
        <v>0</v>
      </c>
      <c r="U379">
        <f>'Kullanılan gübre'!U379*'Gübre oranlar'!X$2</f>
        <v>0</v>
      </c>
      <c r="V379">
        <f>'Kullanılan gübre'!V379*'Gübre oranlar'!Y$2</f>
        <v>0</v>
      </c>
      <c r="W379">
        <f>'Kullanılan gübre'!W379*'Gübre oranlar'!Z$2</f>
        <v>0</v>
      </c>
      <c r="X379">
        <f>'Kullanılan gübre'!X379*'Gübre oranlar'!AA$2</f>
        <v>0</v>
      </c>
      <c r="Y379">
        <f>'Kullanılan gübre'!Y379*'Gübre oranlar'!AB$2</f>
        <v>0</v>
      </c>
      <c r="Z379">
        <f>'Kullanılan gübre'!Z379*'Gübre oranlar'!AC$2</f>
        <v>0</v>
      </c>
      <c r="AA379">
        <f>'Kullanılan gübre'!AA379*'Gübre oranlar'!AD$2</f>
        <v>0</v>
      </c>
      <c r="AB379">
        <f>'Kullanılan gübre'!AB379*'Gübre oranlar'!AE$2</f>
        <v>0</v>
      </c>
      <c r="AC379">
        <f>'Kullanılan gübre'!AC379*'Gübre oranlar'!AF$2</f>
        <v>0</v>
      </c>
      <c r="AD379">
        <f>'Kullanılan gübre'!AD379*'Gübre oranlar'!AG$2</f>
        <v>0</v>
      </c>
      <c r="AE379">
        <f>'Kullanılan gübre'!AE379*'Gübre oranlar'!AH$2</f>
        <v>0</v>
      </c>
      <c r="AF379">
        <f>'Kullanılan gübre'!AF379*'Gübre oranlar'!AI$2</f>
        <v>0</v>
      </c>
      <c r="AG379">
        <f>'Kullanılan gübre'!AG379*'Gübre oranlar'!AJ$2</f>
        <v>0</v>
      </c>
      <c r="AH379">
        <f>'Kullanılan gübre'!AH379*'Gübre oranlar'!AK$2</f>
        <v>0</v>
      </c>
      <c r="AI379">
        <f>'Kullanılan gübre'!AI379*'Gübre oranlar'!AL$2</f>
        <v>0</v>
      </c>
      <c r="AJ379">
        <f>'Kullanılan gübre'!AJ379*'Gübre oranlar'!AM$2</f>
        <v>0</v>
      </c>
      <c r="AK379">
        <f>'Kullanılan gübre'!AK379*'Gübre oranlar'!AN$2</f>
        <v>0</v>
      </c>
      <c r="AL379">
        <f>'Kullanılan gübre'!AL379*'Gübre oranlar'!AO$2</f>
        <v>0</v>
      </c>
      <c r="AM379">
        <f>'Kullanılan gübre'!AM379*'Gübre oranlar'!AP$2</f>
        <v>0</v>
      </c>
      <c r="AN379">
        <f>'Kullanılan gübre'!AN379*'Gübre oranlar'!AQ$2</f>
        <v>0</v>
      </c>
      <c r="AO379">
        <f>'Kullanılan gübre'!AO379*'Gübre oranlar'!AR$2</f>
        <v>0</v>
      </c>
      <c r="AP379">
        <f>'Kullanılan gübre'!AP379*'Gübre oranlar'!AS$2</f>
        <v>0</v>
      </c>
      <c r="AQ379">
        <f>'Kullanılan gübre'!AQ379*'Gübre oranlar'!AT$2</f>
        <v>0</v>
      </c>
      <c r="AR379">
        <f>'Kullanılan gübre'!AR379*'Gübre oranlar'!AU$2</f>
        <v>0</v>
      </c>
      <c r="AS379">
        <f>'Kullanılan gübre'!AS379*'Gübre oranlar'!AV$2</f>
        <v>0</v>
      </c>
      <c r="AT379">
        <f>'Kullanılan gübre'!AT379*'Gübre oranlar'!AW$2</f>
        <v>0</v>
      </c>
      <c r="AU379">
        <f>'Kullanılan gübre'!AU379*'Gübre oranlar'!AX$2</f>
        <v>0</v>
      </c>
      <c r="AV379">
        <f>'Kullanılan gübre'!AV379*'Gübre oranlar'!AY$2</f>
        <v>0</v>
      </c>
      <c r="AW379">
        <f t="shared" si="5"/>
        <v>3636.2389999999996</v>
      </c>
    </row>
    <row r="380" spans="1:49" hidden="1" x14ac:dyDescent="0.25">
      <c r="A380" t="str">
        <f>'Kullanılan gübre'!A380</f>
        <v>YI</v>
      </c>
      <c r="B380" t="str">
        <f>'Kullanılan gübre'!B380</f>
        <v>TOKAT</v>
      </c>
      <c r="C380" t="str">
        <f>'Kullanılan gübre'!C380</f>
        <v>ALMUS</v>
      </c>
      <c r="D380">
        <f>'Kullanılan gübre'!D380</f>
        <v>2015</v>
      </c>
      <c r="E380">
        <f>'Kullanılan gübre'!E380*'Gübre oranlar'!H$2</f>
        <v>0</v>
      </c>
      <c r="F380">
        <f>'Kullanılan gübre'!F380*'Gübre oranlar'!I$2</f>
        <v>7.0200000000000005</v>
      </c>
      <c r="G380">
        <f>'Kullanılan gübre'!G380*'Gübre oranlar'!J$2</f>
        <v>37.240499999999997</v>
      </c>
      <c r="H380">
        <f>'Kullanılan gübre'!H380*'Gübre oranlar'!K$2</f>
        <v>27.025000000000002</v>
      </c>
      <c r="I380">
        <f>'Kullanılan gübre'!I380*'Gübre oranlar'!L$2</f>
        <v>0</v>
      </c>
      <c r="J380">
        <f>'Kullanılan gübre'!J380*'Gübre oranlar'!M$2</f>
        <v>5.6340000000000003</v>
      </c>
      <c r="K380">
        <f>'Kullanılan gübre'!K380*'Gübre oranlar'!N$2</f>
        <v>0</v>
      </c>
      <c r="L380">
        <f>'Kullanılan gübre'!L380*'Gübre oranlar'!O$2</f>
        <v>0</v>
      </c>
      <c r="M380">
        <f>'Kullanılan gübre'!M380*'Gübre oranlar'!P$2</f>
        <v>0</v>
      </c>
      <c r="N380">
        <f>'Kullanılan gübre'!N380*'Gübre oranlar'!Q$2</f>
        <v>0</v>
      </c>
      <c r="O380">
        <f>'Kullanılan gübre'!O380*'Gübre oranlar'!R$2</f>
        <v>0</v>
      </c>
      <c r="P380">
        <f>'Kullanılan gübre'!P380*'Gübre oranlar'!S$2</f>
        <v>0</v>
      </c>
      <c r="Q380">
        <f>'Kullanılan gübre'!Q380*'Gübre oranlar'!T$2</f>
        <v>0</v>
      </c>
      <c r="R380">
        <f>'Kullanılan gübre'!R380*'Gübre oranlar'!U$2</f>
        <v>0</v>
      </c>
      <c r="S380">
        <f>'Kullanılan gübre'!S380*'Gübre oranlar'!V$2</f>
        <v>0</v>
      </c>
      <c r="T380">
        <f>'Kullanılan gübre'!T380*'Gübre oranlar'!W$2</f>
        <v>0</v>
      </c>
      <c r="U380">
        <f>'Kullanılan gübre'!U380*'Gübre oranlar'!X$2</f>
        <v>0</v>
      </c>
      <c r="V380">
        <f>'Kullanılan gübre'!V380*'Gübre oranlar'!Y$2</f>
        <v>0</v>
      </c>
      <c r="W380">
        <f>'Kullanılan gübre'!W380*'Gübre oranlar'!Z$2</f>
        <v>0</v>
      </c>
      <c r="X380">
        <f>'Kullanılan gübre'!X380*'Gübre oranlar'!AA$2</f>
        <v>0</v>
      </c>
      <c r="Y380">
        <f>'Kullanılan gübre'!Y380*'Gübre oranlar'!AB$2</f>
        <v>0</v>
      </c>
      <c r="Z380">
        <f>'Kullanılan gübre'!Z380*'Gübre oranlar'!AC$2</f>
        <v>0</v>
      </c>
      <c r="AA380">
        <f>'Kullanılan gübre'!AA380*'Gübre oranlar'!AD$2</f>
        <v>0</v>
      </c>
      <c r="AB380">
        <f>'Kullanılan gübre'!AB380*'Gübre oranlar'!AE$2</f>
        <v>0</v>
      </c>
      <c r="AC380">
        <f>'Kullanılan gübre'!AC380*'Gübre oranlar'!AF$2</f>
        <v>0</v>
      </c>
      <c r="AD380">
        <f>'Kullanılan gübre'!AD380*'Gübre oranlar'!AG$2</f>
        <v>0</v>
      </c>
      <c r="AE380">
        <f>'Kullanılan gübre'!AE380*'Gübre oranlar'!AH$2</f>
        <v>0</v>
      </c>
      <c r="AF380">
        <f>'Kullanılan gübre'!AF380*'Gübre oranlar'!AI$2</f>
        <v>0</v>
      </c>
      <c r="AG380">
        <f>'Kullanılan gübre'!AG380*'Gübre oranlar'!AJ$2</f>
        <v>0</v>
      </c>
      <c r="AH380">
        <f>'Kullanılan gübre'!AH380*'Gübre oranlar'!AK$2</f>
        <v>0</v>
      </c>
      <c r="AI380">
        <f>'Kullanılan gübre'!AI380*'Gübre oranlar'!AL$2</f>
        <v>0</v>
      </c>
      <c r="AJ380">
        <f>'Kullanılan gübre'!AJ380*'Gübre oranlar'!AM$2</f>
        <v>0</v>
      </c>
      <c r="AK380">
        <f>'Kullanılan gübre'!AK380*'Gübre oranlar'!AN$2</f>
        <v>0</v>
      </c>
      <c r="AL380">
        <f>'Kullanılan gübre'!AL380*'Gübre oranlar'!AO$2</f>
        <v>0</v>
      </c>
      <c r="AM380">
        <f>'Kullanılan gübre'!AM380*'Gübre oranlar'!AP$2</f>
        <v>0</v>
      </c>
      <c r="AN380">
        <f>'Kullanılan gübre'!AN380*'Gübre oranlar'!AQ$2</f>
        <v>0</v>
      </c>
      <c r="AO380">
        <f>'Kullanılan gübre'!AO380*'Gübre oranlar'!AR$2</f>
        <v>0</v>
      </c>
      <c r="AP380">
        <f>'Kullanılan gübre'!AP380*'Gübre oranlar'!AS$2</f>
        <v>0</v>
      </c>
      <c r="AQ380">
        <f>'Kullanılan gübre'!AQ380*'Gübre oranlar'!AT$2</f>
        <v>0</v>
      </c>
      <c r="AR380">
        <f>'Kullanılan gübre'!AR380*'Gübre oranlar'!AU$2</f>
        <v>0</v>
      </c>
      <c r="AS380">
        <f>'Kullanılan gübre'!AS380*'Gübre oranlar'!AV$2</f>
        <v>0</v>
      </c>
      <c r="AT380">
        <f>'Kullanılan gübre'!AT380*'Gübre oranlar'!AW$2</f>
        <v>0</v>
      </c>
      <c r="AU380">
        <f>'Kullanılan gübre'!AU380*'Gübre oranlar'!AX$2</f>
        <v>0</v>
      </c>
      <c r="AV380">
        <f>'Kullanılan gübre'!AV380*'Gübre oranlar'!AY$2</f>
        <v>0</v>
      </c>
      <c r="AW380">
        <f t="shared" si="5"/>
        <v>76.919499999999999</v>
      </c>
    </row>
    <row r="381" spans="1:49" hidden="1" x14ac:dyDescent="0.25">
      <c r="A381" t="str">
        <f>'Kullanılan gübre'!A381</f>
        <v>YI</v>
      </c>
      <c r="B381" t="str">
        <f>'Kullanılan gübre'!B381</f>
        <v>TOKAT</v>
      </c>
      <c r="C381" t="str">
        <f>'Kullanılan gübre'!C381</f>
        <v>ARTOVA</v>
      </c>
      <c r="D381">
        <f>'Kullanılan gübre'!D381</f>
        <v>2015</v>
      </c>
      <c r="E381">
        <f>'Kullanılan gübre'!E381*'Gübre oranlar'!H$2</f>
        <v>3.3810000000000002</v>
      </c>
      <c r="F381">
        <f>'Kullanılan gübre'!F381*'Gübre oranlar'!I$2</f>
        <v>78.351000000000013</v>
      </c>
      <c r="G381">
        <f>'Kullanılan gübre'!G381*'Gübre oranlar'!J$2</f>
        <v>76.097999999999999</v>
      </c>
      <c r="H381">
        <f>'Kullanılan gübre'!H381*'Gübre oranlar'!K$2</f>
        <v>17.318999999999999</v>
      </c>
      <c r="I381">
        <f>'Kullanılan gübre'!I381*'Gübre oranlar'!L$2</f>
        <v>0</v>
      </c>
      <c r="J381">
        <f>'Kullanılan gübre'!J381*'Gübre oranlar'!M$2</f>
        <v>24.552</v>
      </c>
      <c r="K381">
        <f>'Kullanılan gübre'!K381*'Gübre oranlar'!N$2</f>
        <v>14.780000000000001</v>
      </c>
      <c r="L381">
        <f>'Kullanılan gübre'!L381*'Gübre oranlar'!O$2</f>
        <v>5.49</v>
      </c>
      <c r="M381">
        <f>'Kullanılan gübre'!M381*'Gübre oranlar'!P$2</f>
        <v>1.3125</v>
      </c>
      <c r="N381">
        <f>'Kullanılan gübre'!N381*'Gübre oranlar'!Q$2</f>
        <v>0</v>
      </c>
      <c r="O381">
        <f>'Kullanılan gübre'!O381*'Gübre oranlar'!R$2</f>
        <v>0</v>
      </c>
      <c r="P381">
        <f>'Kullanılan gübre'!P381*'Gübre oranlar'!S$2</f>
        <v>0</v>
      </c>
      <c r="Q381">
        <f>'Kullanılan gübre'!Q381*'Gübre oranlar'!T$2</f>
        <v>0</v>
      </c>
      <c r="R381">
        <f>'Kullanılan gübre'!R381*'Gübre oranlar'!U$2</f>
        <v>0</v>
      </c>
      <c r="S381">
        <f>'Kullanılan gübre'!S381*'Gübre oranlar'!V$2</f>
        <v>0</v>
      </c>
      <c r="T381">
        <f>'Kullanılan gübre'!T381*'Gübre oranlar'!W$2</f>
        <v>0</v>
      </c>
      <c r="U381">
        <f>'Kullanılan gübre'!U381*'Gübre oranlar'!X$2</f>
        <v>0</v>
      </c>
      <c r="V381">
        <f>'Kullanılan gübre'!V381*'Gübre oranlar'!Y$2</f>
        <v>0</v>
      </c>
      <c r="W381">
        <f>'Kullanılan gübre'!W381*'Gübre oranlar'!Z$2</f>
        <v>0</v>
      </c>
      <c r="X381">
        <f>'Kullanılan gübre'!X381*'Gübre oranlar'!AA$2</f>
        <v>0</v>
      </c>
      <c r="Y381">
        <f>'Kullanılan gübre'!Y381*'Gübre oranlar'!AB$2</f>
        <v>0</v>
      </c>
      <c r="Z381">
        <f>'Kullanılan gübre'!Z381*'Gübre oranlar'!AC$2</f>
        <v>0</v>
      </c>
      <c r="AA381">
        <f>'Kullanılan gübre'!AA381*'Gübre oranlar'!AD$2</f>
        <v>0</v>
      </c>
      <c r="AB381">
        <f>'Kullanılan gübre'!AB381*'Gübre oranlar'!AE$2</f>
        <v>0</v>
      </c>
      <c r="AC381">
        <f>'Kullanılan gübre'!AC381*'Gübre oranlar'!AF$2</f>
        <v>0</v>
      </c>
      <c r="AD381">
        <f>'Kullanılan gübre'!AD381*'Gübre oranlar'!AG$2</f>
        <v>0</v>
      </c>
      <c r="AE381">
        <f>'Kullanılan gübre'!AE381*'Gübre oranlar'!AH$2</f>
        <v>0</v>
      </c>
      <c r="AF381">
        <f>'Kullanılan gübre'!AF381*'Gübre oranlar'!AI$2</f>
        <v>0</v>
      </c>
      <c r="AG381">
        <f>'Kullanılan gübre'!AG381*'Gübre oranlar'!AJ$2</f>
        <v>0</v>
      </c>
      <c r="AH381">
        <f>'Kullanılan gübre'!AH381*'Gübre oranlar'!AK$2</f>
        <v>0</v>
      </c>
      <c r="AI381">
        <f>'Kullanılan gübre'!AI381*'Gübre oranlar'!AL$2</f>
        <v>0</v>
      </c>
      <c r="AJ381">
        <f>'Kullanılan gübre'!AJ381*'Gübre oranlar'!AM$2</f>
        <v>0</v>
      </c>
      <c r="AK381">
        <f>'Kullanılan gübre'!AK381*'Gübre oranlar'!AN$2</f>
        <v>0</v>
      </c>
      <c r="AL381">
        <f>'Kullanılan gübre'!AL381*'Gübre oranlar'!AO$2</f>
        <v>0</v>
      </c>
      <c r="AM381">
        <f>'Kullanılan gübre'!AM381*'Gübre oranlar'!AP$2</f>
        <v>0</v>
      </c>
      <c r="AN381">
        <f>'Kullanılan gübre'!AN381*'Gübre oranlar'!AQ$2</f>
        <v>0</v>
      </c>
      <c r="AO381">
        <f>'Kullanılan gübre'!AO381*'Gübre oranlar'!AR$2</f>
        <v>0</v>
      </c>
      <c r="AP381">
        <f>'Kullanılan gübre'!AP381*'Gübre oranlar'!AS$2</f>
        <v>0</v>
      </c>
      <c r="AQ381">
        <f>'Kullanılan gübre'!AQ381*'Gübre oranlar'!AT$2</f>
        <v>0</v>
      </c>
      <c r="AR381">
        <f>'Kullanılan gübre'!AR381*'Gübre oranlar'!AU$2</f>
        <v>0</v>
      </c>
      <c r="AS381">
        <f>'Kullanılan gübre'!AS381*'Gübre oranlar'!AV$2</f>
        <v>0</v>
      </c>
      <c r="AT381">
        <f>'Kullanılan gübre'!AT381*'Gübre oranlar'!AW$2</f>
        <v>0</v>
      </c>
      <c r="AU381">
        <f>'Kullanılan gübre'!AU381*'Gübre oranlar'!AX$2</f>
        <v>0</v>
      </c>
      <c r="AV381">
        <f>'Kullanılan gübre'!AV381*'Gübre oranlar'!AY$2</f>
        <v>0</v>
      </c>
      <c r="AW381">
        <f t="shared" si="5"/>
        <v>221.2835</v>
      </c>
    </row>
    <row r="382" spans="1:49" hidden="1" x14ac:dyDescent="0.25">
      <c r="A382" t="str">
        <f>'Kullanılan gübre'!A382</f>
        <v>YI</v>
      </c>
      <c r="B382" t="str">
        <f>'Kullanılan gübre'!B382</f>
        <v>TOKAT</v>
      </c>
      <c r="C382" t="str">
        <f>'Kullanılan gübre'!C382</f>
        <v>BASCIFTLIK</v>
      </c>
      <c r="D382">
        <f>'Kullanılan gübre'!D382</f>
        <v>2015</v>
      </c>
      <c r="E382">
        <f>'Kullanılan gübre'!E382*'Gübre oranlar'!H$2</f>
        <v>0</v>
      </c>
      <c r="F382">
        <f>'Kullanılan gübre'!F382*'Gübre oranlar'!I$2</f>
        <v>0</v>
      </c>
      <c r="G382">
        <f>'Kullanılan gübre'!G382*'Gübre oranlar'!J$2</f>
        <v>0</v>
      </c>
      <c r="H382">
        <f>'Kullanılan gübre'!H382*'Gübre oranlar'!K$2</f>
        <v>0</v>
      </c>
      <c r="I382">
        <f>'Kullanılan gübre'!I382*'Gübre oranlar'!L$2</f>
        <v>0</v>
      </c>
      <c r="J382">
        <f>'Kullanılan gübre'!J382*'Gübre oranlar'!M$2</f>
        <v>0</v>
      </c>
      <c r="K382">
        <f>'Kullanılan gübre'!K382*'Gübre oranlar'!N$2</f>
        <v>0</v>
      </c>
      <c r="L382">
        <f>'Kullanılan gübre'!L382*'Gübre oranlar'!O$2</f>
        <v>0</v>
      </c>
      <c r="M382">
        <f>'Kullanılan gübre'!M382*'Gübre oranlar'!P$2</f>
        <v>0</v>
      </c>
      <c r="N382">
        <f>'Kullanılan gübre'!N382*'Gübre oranlar'!Q$2</f>
        <v>0</v>
      </c>
      <c r="O382">
        <f>'Kullanılan gübre'!O382*'Gübre oranlar'!R$2</f>
        <v>0</v>
      </c>
      <c r="P382">
        <f>'Kullanılan gübre'!P382*'Gübre oranlar'!S$2</f>
        <v>0</v>
      </c>
      <c r="Q382">
        <f>'Kullanılan gübre'!Q382*'Gübre oranlar'!T$2</f>
        <v>0</v>
      </c>
      <c r="R382">
        <f>'Kullanılan gübre'!R382*'Gübre oranlar'!U$2</f>
        <v>0</v>
      </c>
      <c r="S382">
        <f>'Kullanılan gübre'!S382*'Gübre oranlar'!V$2</f>
        <v>0</v>
      </c>
      <c r="T382">
        <f>'Kullanılan gübre'!T382*'Gübre oranlar'!W$2</f>
        <v>0</v>
      </c>
      <c r="U382">
        <f>'Kullanılan gübre'!U382*'Gübre oranlar'!X$2</f>
        <v>0</v>
      </c>
      <c r="V382">
        <f>'Kullanılan gübre'!V382*'Gübre oranlar'!Y$2</f>
        <v>0</v>
      </c>
      <c r="W382">
        <f>'Kullanılan gübre'!W382*'Gübre oranlar'!Z$2</f>
        <v>0</v>
      </c>
      <c r="X382">
        <f>'Kullanılan gübre'!X382*'Gübre oranlar'!AA$2</f>
        <v>0</v>
      </c>
      <c r="Y382">
        <f>'Kullanılan gübre'!Y382*'Gübre oranlar'!AB$2</f>
        <v>0</v>
      </c>
      <c r="Z382">
        <f>'Kullanılan gübre'!Z382*'Gübre oranlar'!AC$2</f>
        <v>0</v>
      </c>
      <c r="AA382">
        <f>'Kullanılan gübre'!AA382*'Gübre oranlar'!AD$2</f>
        <v>0</v>
      </c>
      <c r="AB382">
        <f>'Kullanılan gübre'!AB382*'Gübre oranlar'!AE$2</f>
        <v>0</v>
      </c>
      <c r="AC382">
        <f>'Kullanılan gübre'!AC382*'Gübre oranlar'!AF$2</f>
        <v>0</v>
      </c>
      <c r="AD382">
        <f>'Kullanılan gübre'!AD382*'Gübre oranlar'!AG$2</f>
        <v>0</v>
      </c>
      <c r="AE382">
        <f>'Kullanılan gübre'!AE382*'Gübre oranlar'!AH$2</f>
        <v>0</v>
      </c>
      <c r="AF382">
        <f>'Kullanılan gübre'!AF382*'Gübre oranlar'!AI$2</f>
        <v>0</v>
      </c>
      <c r="AG382">
        <f>'Kullanılan gübre'!AG382*'Gübre oranlar'!AJ$2</f>
        <v>0</v>
      </c>
      <c r="AH382">
        <f>'Kullanılan gübre'!AH382*'Gübre oranlar'!AK$2</f>
        <v>0</v>
      </c>
      <c r="AI382">
        <f>'Kullanılan gübre'!AI382*'Gübre oranlar'!AL$2</f>
        <v>0</v>
      </c>
      <c r="AJ382">
        <f>'Kullanılan gübre'!AJ382*'Gübre oranlar'!AM$2</f>
        <v>0</v>
      </c>
      <c r="AK382">
        <f>'Kullanılan gübre'!AK382*'Gübre oranlar'!AN$2</f>
        <v>0</v>
      </c>
      <c r="AL382">
        <f>'Kullanılan gübre'!AL382*'Gübre oranlar'!AO$2</f>
        <v>0</v>
      </c>
      <c r="AM382">
        <f>'Kullanılan gübre'!AM382*'Gübre oranlar'!AP$2</f>
        <v>0</v>
      </c>
      <c r="AN382">
        <f>'Kullanılan gübre'!AN382*'Gübre oranlar'!AQ$2</f>
        <v>0</v>
      </c>
      <c r="AO382">
        <f>'Kullanılan gübre'!AO382*'Gübre oranlar'!AR$2</f>
        <v>0</v>
      </c>
      <c r="AP382">
        <f>'Kullanılan gübre'!AP382*'Gübre oranlar'!AS$2</f>
        <v>0</v>
      </c>
      <c r="AQ382">
        <f>'Kullanılan gübre'!AQ382*'Gübre oranlar'!AT$2</f>
        <v>0</v>
      </c>
      <c r="AR382">
        <f>'Kullanılan gübre'!AR382*'Gübre oranlar'!AU$2</f>
        <v>0</v>
      </c>
      <c r="AS382">
        <f>'Kullanılan gübre'!AS382*'Gübre oranlar'!AV$2</f>
        <v>0</v>
      </c>
      <c r="AT382">
        <f>'Kullanılan gübre'!AT382*'Gübre oranlar'!AW$2</f>
        <v>0</v>
      </c>
      <c r="AU382">
        <f>'Kullanılan gübre'!AU382*'Gübre oranlar'!AX$2</f>
        <v>0</v>
      </c>
      <c r="AV382">
        <f>'Kullanılan gübre'!AV382*'Gübre oranlar'!AY$2</f>
        <v>0</v>
      </c>
      <c r="AW382">
        <f t="shared" si="5"/>
        <v>0</v>
      </c>
    </row>
    <row r="383" spans="1:49" hidden="1" x14ac:dyDescent="0.25">
      <c r="A383" t="str">
        <f>'Kullanılan gübre'!A383</f>
        <v>YI</v>
      </c>
      <c r="B383" t="str">
        <f>'Kullanılan gübre'!B383</f>
        <v>TOKAT</v>
      </c>
      <c r="C383" t="str">
        <f>'Kullanılan gübre'!C383</f>
        <v>ERBAA</v>
      </c>
      <c r="D383">
        <f>'Kullanılan gübre'!D383</f>
        <v>2015</v>
      </c>
      <c r="E383">
        <f>'Kullanılan gübre'!E383*'Gübre oranlar'!H$2</f>
        <v>7.3395000000000001</v>
      </c>
      <c r="F383">
        <f>'Kullanılan gübre'!F383*'Gübre oranlar'!I$2</f>
        <v>22.9528</v>
      </c>
      <c r="G383">
        <f>'Kullanılan gübre'!G383*'Gübre oranlar'!J$2</f>
        <v>168.77850000000001</v>
      </c>
      <c r="H383">
        <f>'Kullanılan gübre'!H383*'Gübre oranlar'!K$2</f>
        <v>95.013000000000005</v>
      </c>
      <c r="I383">
        <f>'Kullanılan gübre'!I383*'Gübre oranlar'!L$2</f>
        <v>0</v>
      </c>
      <c r="J383">
        <f>'Kullanılan gübre'!J383*'Gübre oranlar'!M$2</f>
        <v>52.5456</v>
      </c>
      <c r="K383">
        <f>'Kullanılan gübre'!K383*'Gübre oranlar'!N$2</f>
        <v>99.62</v>
      </c>
      <c r="L383">
        <f>'Kullanılan gübre'!L383*'Gübre oranlar'!O$2</f>
        <v>23.57</v>
      </c>
      <c r="M383">
        <f>'Kullanılan gübre'!M383*'Gübre oranlar'!P$2</f>
        <v>42.322499999999998</v>
      </c>
      <c r="N383">
        <f>'Kullanılan gübre'!N383*'Gübre oranlar'!Q$2</f>
        <v>50.265000000000001</v>
      </c>
      <c r="O383">
        <f>'Kullanılan gübre'!O383*'Gübre oranlar'!R$2</f>
        <v>0</v>
      </c>
      <c r="P383">
        <f>'Kullanılan gübre'!P383*'Gübre oranlar'!S$2</f>
        <v>0.88400000000000001</v>
      </c>
      <c r="Q383">
        <f>'Kullanılan gübre'!Q383*'Gübre oranlar'!T$2</f>
        <v>0</v>
      </c>
      <c r="R383">
        <f>'Kullanılan gübre'!R383*'Gübre oranlar'!U$2</f>
        <v>0</v>
      </c>
      <c r="S383">
        <f>'Kullanılan gübre'!S383*'Gübre oranlar'!V$2</f>
        <v>0</v>
      </c>
      <c r="T383">
        <f>'Kullanılan gübre'!T383*'Gübre oranlar'!W$2</f>
        <v>0</v>
      </c>
      <c r="U383">
        <f>'Kullanılan gübre'!U383*'Gübre oranlar'!X$2</f>
        <v>0</v>
      </c>
      <c r="V383">
        <f>'Kullanılan gübre'!V383*'Gübre oranlar'!Y$2</f>
        <v>0</v>
      </c>
      <c r="W383">
        <f>'Kullanılan gübre'!W383*'Gübre oranlar'!Z$2</f>
        <v>0</v>
      </c>
      <c r="X383">
        <f>'Kullanılan gübre'!X383*'Gübre oranlar'!AA$2</f>
        <v>0</v>
      </c>
      <c r="Y383">
        <f>'Kullanılan gübre'!Y383*'Gübre oranlar'!AB$2</f>
        <v>0</v>
      </c>
      <c r="Z383">
        <f>'Kullanılan gübre'!Z383*'Gübre oranlar'!AC$2</f>
        <v>0</v>
      </c>
      <c r="AA383">
        <f>'Kullanılan gübre'!AA383*'Gübre oranlar'!AD$2</f>
        <v>0</v>
      </c>
      <c r="AB383">
        <f>'Kullanılan gübre'!AB383*'Gübre oranlar'!AE$2</f>
        <v>0</v>
      </c>
      <c r="AC383">
        <f>'Kullanılan gübre'!AC383*'Gübre oranlar'!AF$2</f>
        <v>0</v>
      </c>
      <c r="AD383">
        <f>'Kullanılan gübre'!AD383*'Gübre oranlar'!AG$2</f>
        <v>0</v>
      </c>
      <c r="AE383">
        <f>'Kullanılan gübre'!AE383*'Gübre oranlar'!AH$2</f>
        <v>0</v>
      </c>
      <c r="AF383">
        <f>'Kullanılan gübre'!AF383*'Gübre oranlar'!AI$2</f>
        <v>0</v>
      </c>
      <c r="AG383">
        <f>'Kullanılan gübre'!AG383*'Gübre oranlar'!AJ$2</f>
        <v>0</v>
      </c>
      <c r="AH383">
        <f>'Kullanılan gübre'!AH383*'Gübre oranlar'!AK$2</f>
        <v>0</v>
      </c>
      <c r="AI383">
        <f>'Kullanılan gübre'!AI383*'Gübre oranlar'!AL$2</f>
        <v>0</v>
      </c>
      <c r="AJ383">
        <f>'Kullanılan gübre'!AJ383*'Gübre oranlar'!AM$2</f>
        <v>0</v>
      </c>
      <c r="AK383">
        <f>'Kullanılan gübre'!AK383*'Gübre oranlar'!AN$2</f>
        <v>0</v>
      </c>
      <c r="AL383">
        <f>'Kullanılan gübre'!AL383*'Gübre oranlar'!AO$2</f>
        <v>0</v>
      </c>
      <c r="AM383">
        <f>'Kullanılan gübre'!AM383*'Gübre oranlar'!AP$2</f>
        <v>0</v>
      </c>
      <c r="AN383">
        <f>'Kullanılan gübre'!AN383*'Gübre oranlar'!AQ$2</f>
        <v>0</v>
      </c>
      <c r="AO383">
        <f>'Kullanılan gübre'!AO383*'Gübre oranlar'!AR$2</f>
        <v>0</v>
      </c>
      <c r="AP383">
        <f>'Kullanılan gübre'!AP383*'Gübre oranlar'!AS$2</f>
        <v>0</v>
      </c>
      <c r="AQ383">
        <f>'Kullanılan gübre'!AQ383*'Gübre oranlar'!AT$2</f>
        <v>0</v>
      </c>
      <c r="AR383">
        <f>'Kullanılan gübre'!AR383*'Gübre oranlar'!AU$2</f>
        <v>0</v>
      </c>
      <c r="AS383">
        <f>'Kullanılan gübre'!AS383*'Gübre oranlar'!AV$2</f>
        <v>0</v>
      </c>
      <c r="AT383">
        <f>'Kullanılan gübre'!AT383*'Gübre oranlar'!AW$2</f>
        <v>0</v>
      </c>
      <c r="AU383">
        <f>'Kullanılan gübre'!AU383*'Gübre oranlar'!AX$2</f>
        <v>0</v>
      </c>
      <c r="AV383">
        <f>'Kullanılan gübre'!AV383*'Gübre oranlar'!AY$2</f>
        <v>0</v>
      </c>
      <c r="AW383">
        <f t="shared" si="5"/>
        <v>563.29089999999997</v>
      </c>
    </row>
    <row r="384" spans="1:49" hidden="1" x14ac:dyDescent="0.25">
      <c r="A384" t="str">
        <f>'Kullanılan gübre'!A384</f>
        <v>YI</v>
      </c>
      <c r="B384" t="str">
        <f>'Kullanılan gübre'!B384</f>
        <v>TOKAT</v>
      </c>
      <c r="C384" t="str">
        <f>'Kullanılan gübre'!C384</f>
        <v>NIKSAR</v>
      </c>
      <c r="D384">
        <f>'Kullanılan gübre'!D384</f>
        <v>2015</v>
      </c>
      <c r="E384">
        <f>'Kullanılan gübre'!E384*'Gübre oranlar'!H$2</f>
        <v>24.223499999999998</v>
      </c>
      <c r="F384">
        <f>'Kullanılan gübre'!F384*'Gübre oranlar'!I$2</f>
        <v>33.15</v>
      </c>
      <c r="G384">
        <f>'Kullanılan gübre'!G384*'Gübre oranlar'!J$2</f>
        <v>185.90550000000002</v>
      </c>
      <c r="H384">
        <f>'Kullanılan gübre'!H384*'Gübre oranlar'!K$2</f>
        <v>277.40299999999996</v>
      </c>
      <c r="I384">
        <f>'Kullanılan gübre'!I384*'Gübre oranlar'!L$2</f>
        <v>0</v>
      </c>
      <c r="J384">
        <f>'Kullanılan gübre'!J384*'Gübre oranlar'!M$2</f>
        <v>45.467999999999996</v>
      </c>
      <c r="K384">
        <f>'Kullanılan gübre'!K384*'Gübre oranlar'!N$2</f>
        <v>27.92</v>
      </c>
      <c r="L384">
        <f>'Kullanılan gübre'!L384*'Gübre oranlar'!O$2</f>
        <v>48.82</v>
      </c>
      <c r="M384">
        <f>'Kullanılan gübre'!M384*'Gübre oranlar'!P$2</f>
        <v>17.3475</v>
      </c>
      <c r="N384">
        <f>'Kullanılan gübre'!N384*'Gübre oranlar'!Q$2</f>
        <v>84.149999999999991</v>
      </c>
      <c r="O384">
        <f>'Kullanılan gübre'!O384*'Gübre oranlar'!R$2</f>
        <v>0</v>
      </c>
      <c r="P384">
        <f>'Kullanılan gübre'!P384*'Gübre oranlar'!S$2</f>
        <v>0.75790000000000002</v>
      </c>
      <c r="Q384">
        <f>'Kullanılan gübre'!Q384*'Gübre oranlar'!T$2</f>
        <v>0</v>
      </c>
      <c r="R384">
        <f>'Kullanılan gübre'!R384*'Gübre oranlar'!U$2</f>
        <v>0</v>
      </c>
      <c r="S384">
        <f>'Kullanılan gübre'!S384*'Gübre oranlar'!V$2</f>
        <v>0</v>
      </c>
      <c r="T384">
        <f>'Kullanılan gübre'!T384*'Gübre oranlar'!W$2</f>
        <v>0</v>
      </c>
      <c r="U384">
        <f>'Kullanılan gübre'!U384*'Gübre oranlar'!X$2</f>
        <v>0</v>
      </c>
      <c r="V384">
        <f>'Kullanılan gübre'!V384*'Gübre oranlar'!Y$2</f>
        <v>0</v>
      </c>
      <c r="W384">
        <f>'Kullanılan gübre'!W384*'Gübre oranlar'!Z$2</f>
        <v>0</v>
      </c>
      <c r="X384">
        <f>'Kullanılan gübre'!X384*'Gübre oranlar'!AA$2</f>
        <v>0</v>
      </c>
      <c r="Y384">
        <f>'Kullanılan gübre'!Y384*'Gübre oranlar'!AB$2</f>
        <v>0</v>
      </c>
      <c r="Z384">
        <f>'Kullanılan gübre'!Z384*'Gübre oranlar'!AC$2</f>
        <v>0</v>
      </c>
      <c r="AA384">
        <f>'Kullanılan gübre'!AA384*'Gübre oranlar'!AD$2</f>
        <v>0</v>
      </c>
      <c r="AB384">
        <f>'Kullanılan gübre'!AB384*'Gübre oranlar'!AE$2</f>
        <v>0</v>
      </c>
      <c r="AC384">
        <f>'Kullanılan gübre'!AC384*'Gübre oranlar'!AF$2</f>
        <v>0</v>
      </c>
      <c r="AD384">
        <f>'Kullanılan gübre'!AD384*'Gübre oranlar'!AG$2</f>
        <v>0</v>
      </c>
      <c r="AE384">
        <f>'Kullanılan gübre'!AE384*'Gübre oranlar'!AH$2</f>
        <v>0</v>
      </c>
      <c r="AF384">
        <f>'Kullanılan gübre'!AF384*'Gübre oranlar'!AI$2</f>
        <v>0</v>
      </c>
      <c r="AG384">
        <f>'Kullanılan gübre'!AG384*'Gübre oranlar'!AJ$2</f>
        <v>0</v>
      </c>
      <c r="AH384">
        <f>'Kullanılan gübre'!AH384*'Gübre oranlar'!AK$2</f>
        <v>0</v>
      </c>
      <c r="AI384">
        <f>'Kullanılan gübre'!AI384*'Gübre oranlar'!AL$2</f>
        <v>0</v>
      </c>
      <c r="AJ384">
        <f>'Kullanılan gübre'!AJ384*'Gübre oranlar'!AM$2</f>
        <v>0</v>
      </c>
      <c r="AK384">
        <f>'Kullanılan gübre'!AK384*'Gübre oranlar'!AN$2</f>
        <v>0</v>
      </c>
      <c r="AL384">
        <f>'Kullanılan gübre'!AL384*'Gübre oranlar'!AO$2</f>
        <v>0</v>
      </c>
      <c r="AM384">
        <f>'Kullanılan gübre'!AM384*'Gübre oranlar'!AP$2</f>
        <v>0</v>
      </c>
      <c r="AN384">
        <f>'Kullanılan gübre'!AN384*'Gübre oranlar'!AQ$2</f>
        <v>0</v>
      </c>
      <c r="AO384">
        <f>'Kullanılan gübre'!AO384*'Gübre oranlar'!AR$2</f>
        <v>0</v>
      </c>
      <c r="AP384">
        <f>'Kullanılan gübre'!AP384*'Gübre oranlar'!AS$2</f>
        <v>0</v>
      </c>
      <c r="AQ384">
        <f>'Kullanılan gübre'!AQ384*'Gübre oranlar'!AT$2</f>
        <v>0</v>
      </c>
      <c r="AR384">
        <f>'Kullanılan gübre'!AR384*'Gübre oranlar'!AU$2</f>
        <v>0</v>
      </c>
      <c r="AS384">
        <f>'Kullanılan gübre'!AS384*'Gübre oranlar'!AV$2</f>
        <v>0</v>
      </c>
      <c r="AT384">
        <f>'Kullanılan gübre'!AT384*'Gübre oranlar'!AW$2</f>
        <v>0</v>
      </c>
      <c r="AU384">
        <f>'Kullanılan gübre'!AU384*'Gübre oranlar'!AX$2</f>
        <v>0</v>
      </c>
      <c r="AV384">
        <f>'Kullanılan gübre'!AV384*'Gübre oranlar'!AY$2</f>
        <v>0</v>
      </c>
      <c r="AW384">
        <f t="shared" si="5"/>
        <v>745.14539999999988</v>
      </c>
    </row>
    <row r="385" spans="1:49" hidden="1" x14ac:dyDescent="0.25">
      <c r="A385" t="str">
        <f>'Kullanılan gübre'!A385</f>
        <v>YI</v>
      </c>
      <c r="B385" t="str">
        <f>'Kullanılan gübre'!B385</f>
        <v>TOKAT</v>
      </c>
      <c r="C385" t="str">
        <f>'Kullanılan gübre'!C385</f>
        <v>PAZAR</v>
      </c>
      <c r="D385">
        <f>'Kullanılan gübre'!D385</f>
        <v>2015</v>
      </c>
      <c r="E385">
        <f>'Kullanılan gübre'!E385*'Gübre oranlar'!H$2</f>
        <v>9.2714999999999996</v>
      </c>
      <c r="F385">
        <f>'Kullanılan gübre'!F385*'Gübre oranlar'!I$2</f>
        <v>1.885</v>
      </c>
      <c r="G385">
        <f>'Kullanılan gübre'!G385*'Gübre oranlar'!J$2</f>
        <v>76.329000000000008</v>
      </c>
      <c r="H385">
        <f>'Kullanılan gübre'!H385*'Gübre oranlar'!K$2</f>
        <v>92.874000000000009</v>
      </c>
      <c r="I385">
        <f>'Kullanılan gübre'!I385*'Gübre oranlar'!L$2</f>
        <v>0</v>
      </c>
      <c r="J385">
        <f>'Kullanılan gübre'!J385*'Gübre oranlar'!M$2</f>
        <v>35.747999999999998</v>
      </c>
      <c r="K385">
        <f>'Kullanılan gübre'!K385*'Gübre oranlar'!N$2</f>
        <v>5.5659999999999998</v>
      </c>
      <c r="L385">
        <f>'Kullanılan gübre'!L385*'Gübre oranlar'!O$2</f>
        <v>24.82</v>
      </c>
      <c r="M385">
        <f>'Kullanılan gübre'!M385*'Gübre oranlar'!P$2</f>
        <v>2.6999999999999997</v>
      </c>
      <c r="N385">
        <f>'Kullanılan gübre'!N385*'Gübre oranlar'!Q$2</f>
        <v>13.057499999999999</v>
      </c>
      <c r="O385">
        <f>'Kullanılan gübre'!O385*'Gübre oranlar'!R$2</f>
        <v>0</v>
      </c>
      <c r="P385">
        <f>'Kullanılan gübre'!P385*'Gübre oranlar'!S$2</f>
        <v>0.48750000000000004</v>
      </c>
      <c r="Q385">
        <f>'Kullanılan gübre'!Q385*'Gübre oranlar'!T$2</f>
        <v>0</v>
      </c>
      <c r="R385">
        <f>'Kullanılan gübre'!R385*'Gübre oranlar'!U$2</f>
        <v>0</v>
      </c>
      <c r="S385">
        <f>'Kullanılan gübre'!S385*'Gübre oranlar'!V$2</f>
        <v>0</v>
      </c>
      <c r="T385">
        <f>'Kullanılan gübre'!T385*'Gübre oranlar'!W$2</f>
        <v>0</v>
      </c>
      <c r="U385">
        <f>'Kullanılan gübre'!U385*'Gübre oranlar'!X$2</f>
        <v>0</v>
      </c>
      <c r="V385">
        <f>'Kullanılan gübre'!V385*'Gübre oranlar'!Y$2</f>
        <v>0</v>
      </c>
      <c r="W385">
        <f>'Kullanılan gübre'!W385*'Gübre oranlar'!Z$2</f>
        <v>0</v>
      </c>
      <c r="X385">
        <f>'Kullanılan gübre'!X385*'Gübre oranlar'!AA$2</f>
        <v>0</v>
      </c>
      <c r="Y385">
        <f>'Kullanılan gübre'!Y385*'Gübre oranlar'!AB$2</f>
        <v>0</v>
      </c>
      <c r="Z385">
        <f>'Kullanılan gübre'!Z385*'Gübre oranlar'!AC$2</f>
        <v>0</v>
      </c>
      <c r="AA385">
        <f>'Kullanılan gübre'!AA385*'Gübre oranlar'!AD$2</f>
        <v>0</v>
      </c>
      <c r="AB385">
        <f>'Kullanılan gübre'!AB385*'Gübre oranlar'!AE$2</f>
        <v>0</v>
      </c>
      <c r="AC385">
        <f>'Kullanılan gübre'!AC385*'Gübre oranlar'!AF$2</f>
        <v>0</v>
      </c>
      <c r="AD385">
        <f>'Kullanılan gübre'!AD385*'Gübre oranlar'!AG$2</f>
        <v>0</v>
      </c>
      <c r="AE385">
        <f>'Kullanılan gübre'!AE385*'Gübre oranlar'!AH$2</f>
        <v>0</v>
      </c>
      <c r="AF385">
        <f>'Kullanılan gübre'!AF385*'Gübre oranlar'!AI$2</f>
        <v>0</v>
      </c>
      <c r="AG385">
        <f>'Kullanılan gübre'!AG385*'Gübre oranlar'!AJ$2</f>
        <v>0</v>
      </c>
      <c r="AH385">
        <f>'Kullanılan gübre'!AH385*'Gübre oranlar'!AK$2</f>
        <v>0</v>
      </c>
      <c r="AI385">
        <f>'Kullanılan gübre'!AI385*'Gübre oranlar'!AL$2</f>
        <v>0</v>
      </c>
      <c r="AJ385">
        <f>'Kullanılan gübre'!AJ385*'Gübre oranlar'!AM$2</f>
        <v>0</v>
      </c>
      <c r="AK385">
        <f>'Kullanılan gübre'!AK385*'Gübre oranlar'!AN$2</f>
        <v>0</v>
      </c>
      <c r="AL385">
        <f>'Kullanılan gübre'!AL385*'Gübre oranlar'!AO$2</f>
        <v>0</v>
      </c>
      <c r="AM385">
        <f>'Kullanılan gübre'!AM385*'Gübre oranlar'!AP$2</f>
        <v>0</v>
      </c>
      <c r="AN385">
        <f>'Kullanılan gübre'!AN385*'Gübre oranlar'!AQ$2</f>
        <v>0</v>
      </c>
      <c r="AO385">
        <f>'Kullanılan gübre'!AO385*'Gübre oranlar'!AR$2</f>
        <v>0</v>
      </c>
      <c r="AP385">
        <f>'Kullanılan gübre'!AP385*'Gübre oranlar'!AS$2</f>
        <v>0</v>
      </c>
      <c r="AQ385">
        <f>'Kullanılan gübre'!AQ385*'Gübre oranlar'!AT$2</f>
        <v>0</v>
      </c>
      <c r="AR385">
        <f>'Kullanılan gübre'!AR385*'Gübre oranlar'!AU$2</f>
        <v>0</v>
      </c>
      <c r="AS385">
        <f>'Kullanılan gübre'!AS385*'Gübre oranlar'!AV$2</f>
        <v>0</v>
      </c>
      <c r="AT385">
        <f>'Kullanılan gübre'!AT385*'Gübre oranlar'!AW$2</f>
        <v>0</v>
      </c>
      <c r="AU385">
        <f>'Kullanılan gübre'!AU385*'Gübre oranlar'!AX$2</f>
        <v>0</v>
      </c>
      <c r="AV385">
        <f>'Kullanılan gübre'!AV385*'Gübre oranlar'!AY$2</f>
        <v>0</v>
      </c>
      <c r="AW385">
        <f t="shared" si="5"/>
        <v>262.73849999999999</v>
      </c>
    </row>
    <row r="386" spans="1:49" hidden="1" x14ac:dyDescent="0.25">
      <c r="A386" t="str">
        <f>'Kullanılan gübre'!A386</f>
        <v>YI</v>
      </c>
      <c r="B386" t="str">
        <f>'Kullanılan gübre'!B386</f>
        <v>TOKAT</v>
      </c>
      <c r="C386" t="str">
        <f>'Kullanılan gübre'!C386</f>
        <v>RESADIYE</v>
      </c>
      <c r="D386">
        <f>'Kullanılan gübre'!D386</f>
        <v>2015</v>
      </c>
      <c r="E386">
        <f>'Kullanılan gübre'!E386*'Gübre oranlar'!H$2</f>
        <v>0</v>
      </c>
      <c r="F386">
        <f>'Kullanılan gübre'!F386*'Gübre oranlar'!I$2</f>
        <v>17.862000000000002</v>
      </c>
      <c r="G386">
        <f>'Kullanılan gübre'!G386*'Gübre oranlar'!J$2</f>
        <v>71.593500000000006</v>
      </c>
      <c r="H386">
        <f>'Kullanılan gübre'!H386*'Gübre oranlar'!K$2</f>
        <v>46.414000000000001</v>
      </c>
      <c r="I386">
        <f>'Kullanılan gübre'!I386*'Gübre oranlar'!L$2</f>
        <v>0</v>
      </c>
      <c r="J386">
        <f>'Kullanılan gübre'!J386*'Gübre oranlar'!M$2</f>
        <v>4.7699999999999996</v>
      </c>
      <c r="K386">
        <f>'Kullanılan gübre'!K386*'Gübre oranlar'!N$2</f>
        <v>2</v>
      </c>
      <c r="L386">
        <f>'Kullanılan gübre'!L386*'Gübre oranlar'!O$2</f>
        <v>0</v>
      </c>
      <c r="M386">
        <f>'Kullanılan gübre'!M386*'Gübre oranlar'!P$2</f>
        <v>0</v>
      </c>
      <c r="N386">
        <f>'Kullanılan gübre'!N386*'Gübre oranlar'!Q$2</f>
        <v>0</v>
      </c>
      <c r="O386">
        <f>'Kullanılan gübre'!O386*'Gübre oranlar'!R$2</f>
        <v>0</v>
      </c>
      <c r="P386">
        <f>'Kullanılan gübre'!P386*'Gübre oranlar'!S$2</f>
        <v>0</v>
      </c>
      <c r="Q386">
        <f>'Kullanılan gübre'!Q386*'Gübre oranlar'!T$2</f>
        <v>0</v>
      </c>
      <c r="R386">
        <f>'Kullanılan gübre'!R386*'Gübre oranlar'!U$2</f>
        <v>0</v>
      </c>
      <c r="S386">
        <f>'Kullanılan gübre'!S386*'Gübre oranlar'!V$2</f>
        <v>0</v>
      </c>
      <c r="T386">
        <f>'Kullanılan gübre'!T386*'Gübre oranlar'!W$2</f>
        <v>0</v>
      </c>
      <c r="U386">
        <f>'Kullanılan gübre'!U386*'Gübre oranlar'!X$2</f>
        <v>0</v>
      </c>
      <c r="V386">
        <f>'Kullanılan gübre'!V386*'Gübre oranlar'!Y$2</f>
        <v>0</v>
      </c>
      <c r="W386">
        <f>'Kullanılan gübre'!W386*'Gübre oranlar'!Z$2</f>
        <v>0</v>
      </c>
      <c r="X386">
        <f>'Kullanılan gübre'!X386*'Gübre oranlar'!AA$2</f>
        <v>0</v>
      </c>
      <c r="Y386">
        <f>'Kullanılan gübre'!Y386*'Gübre oranlar'!AB$2</f>
        <v>0</v>
      </c>
      <c r="Z386">
        <f>'Kullanılan gübre'!Z386*'Gübre oranlar'!AC$2</f>
        <v>0</v>
      </c>
      <c r="AA386">
        <f>'Kullanılan gübre'!AA386*'Gübre oranlar'!AD$2</f>
        <v>0</v>
      </c>
      <c r="AB386">
        <f>'Kullanılan gübre'!AB386*'Gübre oranlar'!AE$2</f>
        <v>0</v>
      </c>
      <c r="AC386">
        <f>'Kullanılan gübre'!AC386*'Gübre oranlar'!AF$2</f>
        <v>0</v>
      </c>
      <c r="AD386">
        <f>'Kullanılan gübre'!AD386*'Gübre oranlar'!AG$2</f>
        <v>0</v>
      </c>
      <c r="AE386">
        <f>'Kullanılan gübre'!AE386*'Gübre oranlar'!AH$2</f>
        <v>0</v>
      </c>
      <c r="AF386">
        <f>'Kullanılan gübre'!AF386*'Gübre oranlar'!AI$2</f>
        <v>0</v>
      </c>
      <c r="AG386">
        <f>'Kullanılan gübre'!AG386*'Gübre oranlar'!AJ$2</f>
        <v>0</v>
      </c>
      <c r="AH386">
        <f>'Kullanılan gübre'!AH386*'Gübre oranlar'!AK$2</f>
        <v>0</v>
      </c>
      <c r="AI386">
        <f>'Kullanılan gübre'!AI386*'Gübre oranlar'!AL$2</f>
        <v>0</v>
      </c>
      <c r="AJ386">
        <f>'Kullanılan gübre'!AJ386*'Gübre oranlar'!AM$2</f>
        <v>0</v>
      </c>
      <c r="AK386">
        <f>'Kullanılan gübre'!AK386*'Gübre oranlar'!AN$2</f>
        <v>0</v>
      </c>
      <c r="AL386">
        <f>'Kullanılan gübre'!AL386*'Gübre oranlar'!AO$2</f>
        <v>0</v>
      </c>
      <c r="AM386">
        <f>'Kullanılan gübre'!AM386*'Gübre oranlar'!AP$2</f>
        <v>0</v>
      </c>
      <c r="AN386">
        <f>'Kullanılan gübre'!AN386*'Gübre oranlar'!AQ$2</f>
        <v>0</v>
      </c>
      <c r="AO386">
        <f>'Kullanılan gübre'!AO386*'Gübre oranlar'!AR$2</f>
        <v>0</v>
      </c>
      <c r="AP386">
        <f>'Kullanılan gübre'!AP386*'Gübre oranlar'!AS$2</f>
        <v>0</v>
      </c>
      <c r="AQ386">
        <f>'Kullanılan gübre'!AQ386*'Gübre oranlar'!AT$2</f>
        <v>0</v>
      </c>
      <c r="AR386">
        <f>'Kullanılan gübre'!AR386*'Gübre oranlar'!AU$2</f>
        <v>0</v>
      </c>
      <c r="AS386">
        <f>'Kullanılan gübre'!AS386*'Gübre oranlar'!AV$2</f>
        <v>0</v>
      </c>
      <c r="AT386">
        <f>'Kullanılan gübre'!AT386*'Gübre oranlar'!AW$2</f>
        <v>0</v>
      </c>
      <c r="AU386">
        <f>'Kullanılan gübre'!AU386*'Gübre oranlar'!AX$2</f>
        <v>0</v>
      </c>
      <c r="AV386">
        <f>'Kullanılan gübre'!AV386*'Gübre oranlar'!AY$2</f>
        <v>0</v>
      </c>
      <c r="AW386">
        <f t="shared" si="5"/>
        <v>142.63950000000003</v>
      </c>
    </row>
    <row r="387" spans="1:49" hidden="1" x14ac:dyDescent="0.25">
      <c r="A387" t="str">
        <f>'Kullanılan gübre'!A387</f>
        <v>YI</v>
      </c>
      <c r="B387" t="str">
        <f>'Kullanılan gübre'!B387</f>
        <v>TOKAT</v>
      </c>
      <c r="C387" t="str">
        <f>'Kullanılan gübre'!C387</f>
        <v>SULUSARAY</v>
      </c>
      <c r="D387">
        <f>'Kullanılan gübre'!D387</f>
        <v>2015</v>
      </c>
      <c r="E387">
        <f>'Kullanılan gübre'!E387*'Gübre oranlar'!H$2</f>
        <v>0</v>
      </c>
      <c r="F387">
        <f>'Kullanılan gübre'!F387*'Gübre oranlar'!I$2</f>
        <v>103.66200000000001</v>
      </c>
      <c r="G387">
        <f>'Kullanılan gübre'!G387*'Gübre oranlar'!J$2</f>
        <v>142.72499999999999</v>
      </c>
      <c r="H387">
        <f>'Kullanılan gübre'!H387*'Gübre oranlar'!K$2</f>
        <v>2.806</v>
      </c>
      <c r="I387">
        <f>'Kullanılan gübre'!I387*'Gübre oranlar'!L$2</f>
        <v>0</v>
      </c>
      <c r="J387">
        <f>'Kullanılan gübre'!J387*'Gübre oranlar'!M$2</f>
        <v>19.538999999999998</v>
      </c>
      <c r="K387">
        <f>'Kullanılan gübre'!K387*'Gübre oranlar'!N$2</f>
        <v>13.822000000000001</v>
      </c>
      <c r="L387">
        <f>'Kullanılan gübre'!L387*'Gübre oranlar'!O$2</f>
        <v>26.05</v>
      </c>
      <c r="M387">
        <f>'Kullanılan gübre'!M387*'Gübre oranlar'!P$2</f>
        <v>0</v>
      </c>
      <c r="N387">
        <f>'Kullanılan gübre'!N387*'Gübre oranlar'!Q$2</f>
        <v>0</v>
      </c>
      <c r="O387">
        <f>'Kullanılan gübre'!O387*'Gübre oranlar'!R$2</f>
        <v>0</v>
      </c>
      <c r="P387">
        <f>'Kullanılan gübre'!P387*'Gübre oranlar'!S$2</f>
        <v>0</v>
      </c>
      <c r="Q387">
        <f>'Kullanılan gübre'!Q387*'Gübre oranlar'!T$2</f>
        <v>0</v>
      </c>
      <c r="R387">
        <f>'Kullanılan gübre'!R387*'Gübre oranlar'!U$2</f>
        <v>0</v>
      </c>
      <c r="S387">
        <f>'Kullanılan gübre'!S387*'Gübre oranlar'!V$2</f>
        <v>0</v>
      </c>
      <c r="T387">
        <f>'Kullanılan gübre'!T387*'Gübre oranlar'!W$2</f>
        <v>0</v>
      </c>
      <c r="U387">
        <f>'Kullanılan gübre'!U387*'Gübre oranlar'!X$2</f>
        <v>0</v>
      </c>
      <c r="V387">
        <f>'Kullanılan gübre'!V387*'Gübre oranlar'!Y$2</f>
        <v>0</v>
      </c>
      <c r="W387">
        <f>'Kullanılan gübre'!W387*'Gübre oranlar'!Z$2</f>
        <v>0</v>
      </c>
      <c r="X387">
        <f>'Kullanılan gübre'!X387*'Gübre oranlar'!AA$2</f>
        <v>0</v>
      </c>
      <c r="Y387">
        <f>'Kullanılan gübre'!Y387*'Gübre oranlar'!AB$2</f>
        <v>0</v>
      </c>
      <c r="Z387">
        <f>'Kullanılan gübre'!Z387*'Gübre oranlar'!AC$2</f>
        <v>0</v>
      </c>
      <c r="AA387">
        <f>'Kullanılan gübre'!AA387*'Gübre oranlar'!AD$2</f>
        <v>0</v>
      </c>
      <c r="AB387">
        <f>'Kullanılan gübre'!AB387*'Gübre oranlar'!AE$2</f>
        <v>0</v>
      </c>
      <c r="AC387">
        <f>'Kullanılan gübre'!AC387*'Gübre oranlar'!AF$2</f>
        <v>0</v>
      </c>
      <c r="AD387">
        <f>'Kullanılan gübre'!AD387*'Gübre oranlar'!AG$2</f>
        <v>0</v>
      </c>
      <c r="AE387">
        <f>'Kullanılan gübre'!AE387*'Gübre oranlar'!AH$2</f>
        <v>0</v>
      </c>
      <c r="AF387">
        <f>'Kullanılan gübre'!AF387*'Gübre oranlar'!AI$2</f>
        <v>0</v>
      </c>
      <c r="AG387">
        <f>'Kullanılan gübre'!AG387*'Gübre oranlar'!AJ$2</f>
        <v>0</v>
      </c>
      <c r="AH387">
        <f>'Kullanılan gübre'!AH387*'Gübre oranlar'!AK$2</f>
        <v>0</v>
      </c>
      <c r="AI387">
        <f>'Kullanılan gübre'!AI387*'Gübre oranlar'!AL$2</f>
        <v>0</v>
      </c>
      <c r="AJ387">
        <f>'Kullanılan gübre'!AJ387*'Gübre oranlar'!AM$2</f>
        <v>0</v>
      </c>
      <c r="AK387">
        <f>'Kullanılan gübre'!AK387*'Gübre oranlar'!AN$2</f>
        <v>0</v>
      </c>
      <c r="AL387">
        <f>'Kullanılan gübre'!AL387*'Gübre oranlar'!AO$2</f>
        <v>0</v>
      </c>
      <c r="AM387">
        <f>'Kullanılan gübre'!AM387*'Gübre oranlar'!AP$2</f>
        <v>0</v>
      </c>
      <c r="AN387">
        <f>'Kullanılan gübre'!AN387*'Gübre oranlar'!AQ$2</f>
        <v>0</v>
      </c>
      <c r="AO387">
        <f>'Kullanılan gübre'!AO387*'Gübre oranlar'!AR$2</f>
        <v>0</v>
      </c>
      <c r="AP387">
        <f>'Kullanılan gübre'!AP387*'Gübre oranlar'!AS$2</f>
        <v>0</v>
      </c>
      <c r="AQ387">
        <f>'Kullanılan gübre'!AQ387*'Gübre oranlar'!AT$2</f>
        <v>0</v>
      </c>
      <c r="AR387">
        <f>'Kullanılan gübre'!AR387*'Gübre oranlar'!AU$2</f>
        <v>0</v>
      </c>
      <c r="AS387">
        <f>'Kullanılan gübre'!AS387*'Gübre oranlar'!AV$2</f>
        <v>0</v>
      </c>
      <c r="AT387">
        <f>'Kullanılan gübre'!AT387*'Gübre oranlar'!AW$2</f>
        <v>0</v>
      </c>
      <c r="AU387">
        <f>'Kullanılan gübre'!AU387*'Gübre oranlar'!AX$2</f>
        <v>0</v>
      </c>
      <c r="AV387">
        <f>'Kullanılan gübre'!AV387*'Gübre oranlar'!AY$2</f>
        <v>0</v>
      </c>
      <c r="AW387">
        <f t="shared" ref="AW387:AW414" si="6">SUM(E387:AV387)</f>
        <v>308.60400000000004</v>
      </c>
    </row>
    <row r="388" spans="1:49" hidden="1" x14ac:dyDescent="0.25">
      <c r="A388" t="str">
        <f>'Kullanılan gübre'!A388</f>
        <v>YI</v>
      </c>
      <c r="B388" t="str">
        <f>'Kullanılan gübre'!B388</f>
        <v>TOKAT</v>
      </c>
      <c r="C388" t="str">
        <f>'Kullanılan gübre'!C388</f>
        <v>TURHAL</v>
      </c>
      <c r="D388">
        <f>'Kullanılan gübre'!D388</f>
        <v>2015</v>
      </c>
      <c r="E388">
        <f>'Kullanılan gübre'!E388*'Gübre oranlar'!H$2</f>
        <v>25.577999999999999</v>
      </c>
      <c r="F388">
        <f>'Kullanılan gübre'!F388*'Gübre oranlar'!I$2</f>
        <v>191.64600000000002</v>
      </c>
      <c r="G388">
        <f>'Kullanılan gübre'!G388*'Gübre oranlar'!J$2</f>
        <v>373.47750000000002</v>
      </c>
      <c r="H388">
        <f>'Kullanılan gübre'!H388*'Gübre oranlar'!K$2</f>
        <v>211.73800000000003</v>
      </c>
      <c r="I388">
        <f>'Kullanılan gübre'!I388*'Gübre oranlar'!L$2</f>
        <v>0</v>
      </c>
      <c r="J388">
        <f>'Kullanılan gübre'!J388*'Gübre oranlar'!M$2</f>
        <v>100.74600000000001</v>
      </c>
      <c r="K388">
        <f>'Kullanılan gübre'!K388*'Gübre oranlar'!N$2</f>
        <v>10.01</v>
      </c>
      <c r="L388">
        <f>'Kullanılan gübre'!L388*'Gübre oranlar'!O$2</f>
        <v>77.58</v>
      </c>
      <c r="M388">
        <f>'Kullanılan gübre'!M388*'Gübre oranlar'!P$2</f>
        <v>7.4699999999999989</v>
      </c>
      <c r="N388">
        <f>'Kullanılan gübre'!N388*'Gübre oranlar'!Q$2</f>
        <v>15.87</v>
      </c>
      <c r="O388">
        <f>'Kullanılan gübre'!O388*'Gübre oranlar'!R$2</f>
        <v>0</v>
      </c>
      <c r="P388">
        <f>'Kullanılan gübre'!P388*'Gübre oranlar'!S$2</f>
        <v>0.66299999999999992</v>
      </c>
      <c r="Q388">
        <f>'Kullanılan gübre'!Q388*'Gübre oranlar'!T$2</f>
        <v>57.587999999999994</v>
      </c>
      <c r="R388">
        <f>'Kullanılan gübre'!R388*'Gübre oranlar'!U$2</f>
        <v>0</v>
      </c>
      <c r="S388">
        <f>'Kullanılan gübre'!S388*'Gübre oranlar'!V$2</f>
        <v>0</v>
      </c>
      <c r="T388">
        <f>'Kullanılan gübre'!T388*'Gübre oranlar'!W$2</f>
        <v>0</v>
      </c>
      <c r="U388">
        <f>'Kullanılan gübre'!U388*'Gübre oranlar'!X$2</f>
        <v>0</v>
      </c>
      <c r="V388">
        <f>'Kullanılan gübre'!V388*'Gübre oranlar'!Y$2</f>
        <v>0</v>
      </c>
      <c r="W388">
        <f>'Kullanılan gübre'!W388*'Gübre oranlar'!Z$2</f>
        <v>0</v>
      </c>
      <c r="X388">
        <f>'Kullanılan gübre'!X388*'Gübre oranlar'!AA$2</f>
        <v>0</v>
      </c>
      <c r="Y388">
        <f>'Kullanılan gübre'!Y388*'Gübre oranlar'!AB$2</f>
        <v>0</v>
      </c>
      <c r="Z388">
        <f>'Kullanılan gübre'!Z388*'Gübre oranlar'!AC$2</f>
        <v>0</v>
      </c>
      <c r="AA388">
        <f>'Kullanılan gübre'!AA388*'Gübre oranlar'!AD$2</f>
        <v>0</v>
      </c>
      <c r="AB388">
        <f>'Kullanılan gübre'!AB388*'Gübre oranlar'!AE$2</f>
        <v>0</v>
      </c>
      <c r="AC388">
        <f>'Kullanılan gübre'!AC388*'Gübre oranlar'!AF$2</f>
        <v>0</v>
      </c>
      <c r="AD388">
        <f>'Kullanılan gübre'!AD388*'Gübre oranlar'!AG$2</f>
        <v>0</v>
      </c>
      <c r="AE388">
        <f>'Kullanılan gübre'!AE388*'Gübre oranlar'!AH$2</f>
        <v>0</v>
      </c>
      <c r="AF388">
        <f>'Kullanılan gübre'!AF388*'Gübre oranlar'!AI$2</f>
        <v>0</v>
      </c>
      <c r="AG388">
        <f>'Kullanılan gübre'!AG388*'Gübre oranlar'!AJ$2</f>
        <v>0</v>
      </c>
      <c r="AH388">
        <f>'Kullanılan gübre'!AH388*'Gübre oranlar'!AK$2</f>
        <v>0</v>
      </c>
      <c r="AI388">
        <f>'Kullanılan gübre'!AI388*'Gübre oranlar'!AL$2</f>
        <v>0</v>
      </c>
      <c r="AJ388">
        <f>'Kullanılan gübre'!AJ388*'Gübre oranlar'!AM$2</f>
        <v>0</v>
      </c>
      <c r="AK388">
        <f>'Kullanılan gübre'!AK388*'Gübre oranlar'!AN$2</f>
        <v>0</v>
      </c>
      <c r="AL388">
        <f>'Kullanılan gübre'!AL388*'Gübre oranlar'!AO$2</f>
        <v>0</v>
      </c>
      <c r="AM388">
        <f>'Kullanılan gübre'!AM388*'Gübre oranlar'!AP$2</f>
        <v>0</v>
      </c>
      <c r="AN388">
        <f>'Kullanılan gübre'!AN388*'Gübre oranlar'!AQ$2</f>
        <v>0</v>
      </c>
      <c r="AO388">
        <f>'Kullanılan gübre'!AO388*'Gübre oranlar'!AR$2</f>
        <v>0</v>
      </c>
      <c r="AP388">
        <f>'Kullanılan gübre'!AP388*'Gübre oranlar'!AS$2</f>
        <v>0</v>
      </c>
      <c r="AQ388">
        <f>'Kullanılan gübre'!AQ388*'Gübre oranlar'!AT$2</f>
        <v>0</v>
      </c>
      <c r="AR388">
        <f>'Kullanılan gübre'!AR388*'Gübre oranlar'!AU$2</f>
        <v>0</v>
      </c>
      <c r="AS388">
        <f>'Kullanılan gübre'!AS388*'Gübre oranlar'!AV$2</f>
        <v>0</v>
      </c>
      <c r="AT388">
        <f>'Kullanılan gübre'!AT388*'Gübre oranlar'!AW$2</f>
        <v>0</v>
      </c>
      <c r="AU388">
        <f>'Kullanılan gübre'!AU388*'Gübre oranlar'!AX$2</f>
        <v>0</v>
      </c>
      <c r="AV388">
        <f>'Kullanılan gübre'!AV388*'Gübre oranlar'!AY$2</f>
        <v>0</v>
      </c>
      <c r="AW388">
        <f t="shared" si="6"/>
        <v>1072.3665000000001</v>
      </c>
    </row>
    <row r="389" spans="1:49" hidden="1" x14ac:dyDescent="0.25">
      <c r="A389" t="str">
        <f>'Kullanılan gübre'!A389</f>
        <v>YI</v>
      </c>
      <c r="B389" t="str">
        <f>'Kullanılan gübre'!B389</f>
        <v>TOKAT</v>
      </c>
      <c r="C389" t="str">
        <f>'Kullanılan gübre'!C389</f>
        <v>YESILYURT</v>
      </c>
      <c r="D389">
        <f>'Kullanılan gübre'!D389</f>
        <v>2015</v>
      </c>
      <c r="E389">
        <f>'Kullanılan gübre'!E389*'Gübre oranlar'!H$2</f>
        <v>10.5</v>
      </c>
      <c r="F389">
        <f>'Kullanılan gübre'!F389*'Gübre oranlar'!I$2</f>
        <v>41.223000000000006</v>
      </c>
      <c r="G389">
        <f>'Kullanılan gübre'!G389*'Gübre oranlar'!J$2</f>
        <v>77.781000000000006</v>
      </c>
      <c r="H389">
        <f>'Kullanılan gübre'!H389*'Gübre oranlar'!K$2</f>
        <v>42.619000000000007</v>
      </c>
      <c r="I389">
        <f>'Kullanılan gübre'!I389*'Gübre oranlar'!L$2</f>
        <v>0</v>
      </c>
      <c r="J389">
        <f>'Kullanılan gübre'!J389*'Gübre oranlar'!M$2</f>
        <v>9.5093999999999994</v>
      </c>
      <c r="K389">
        <f>'Kullanılan gübre'!K389*'Gübre oranlar'!N$2</f>
        <v>5.41</v>
      </c>
      <c r="L389">
        <f>'Kullanılan gübre'!L389*'Gübre oranlar'!O$2</f>
        <v>31.180000000000003</v>
      </c>
      <c r="M389">
        <f>'Kullanılan gübre'!M389*'Gübre oranlar'!P$2</f>
        <v>1.4924999999999999</v>
      </c>
      <c r="N389">
        <f>'Kullanılan gübre'!N389*'Gübre oranlar'!Q$2</f>
        <v>2.37</v>
      </c>
      <c r="O389">
        <f>'Kullanılan gübre'!O389*'Gübre oranlar'!R$2</f>
        <v>0</v>
      </c>
      <c r="P389">
        <f>'Kullanılan gübre'!P389*'Gübre oranlar'!S$2</f>
        <v>0</v>
      </c>
      <c r="Q389">
        <f>'Kullanılan gübre'!Q389*'Gübre oranlar'!T$2</f>
        <v>0</v>
      </c>
      <c r="R389">
        <f>'Kullanılan gübre'!R389*'Gübre oranlar'!U$2</f>
        <v>0</v>
      </c>
      <c r="S389">
        <f>'Kullanılan gübre'!S389*'Gübre oranlar'!V$2</f>
        <v>0</v>
      </c>
      <c r="T389">
        <f>'Kullanılan gübre'!T389*'Gübre oranlar'!W$2</f>
        <v>0</v>
      </c>
      <c r="U389">
        <f>'Kullanılan gübre'!U389*'Gübre oranlar'!X$2</f>
        <v>0</v>
      </c>
      <c r="V389">
        <f>'Kullanılan gübre'!V389*'Gübre oranlar'!Y$2</f>
        <v>0</v>
      </c>
      <c r="W389">
        <f>'Kullanılan gübre'!W389*'Gübre oranlar'!Z$2</f>
        <v>0</v>
      </c>
      <c r="X389">
        <f>'Kullanılan gübre'!X389*'Gübre oranlar'!AA$2</f>
        <v>0</v>
      </c>
      <c r="Y389">
        <f>'Kullanılan gübre'!Y389*'Gübre oranlar'!AB$2</f>
        <v>0</v>
      </c>
      <c r="Z389">
        <f>'Kullanılan gübre'!Z389*'Gübre oranlar'!AC$2</f>
        <v>0</v>
      </c>
      <c r="AA389">
        <f>'Kullanılan gübre'!AA389*'Gübre oranlar'!AD$2</f>
        <v>0</v>
      </c>
      <c r="AB389">
        <f>'Kullanılan gübre'!AB389*'Gübre oranlar'!AE$2</f>
        <v>0</v>
      </c>
      <c r="AC389">
        <f>'Kullanılan gübre'!AC389*'Gübre oranlar'!AF$2</f>
        <v>0</v>
      </c>
      <c r="AD389">
        <f>'Kullanılan gübre'!AD389*'Gübre oranlar'!AG$2</f>
        <v>0</v>
      </c>
      <c r="AE389">
        <f>'Kullanılan gübre'!AE389*'Gübre oranlar'!AH$2</f>
        <v>0</v>
      </c>
      <c r="AF389">
        <f>'Kullanılan gübre'!AF389*'Gübre oranlar'!AI$2</f>
        <v>0</v>
      </c>
      <c r="AG389">
        <f>'Kullanılan gübre'!AG389*'Gübre oranlar'!AJ$2</f>
        <v>0</v>
      </c>
      <c r="AH389">
        <f>'Kullanılan gübre'!AH389*'Gübre oranlar'!AK$2</f>
        <v>0</v>
      </c>
      <c r="AI389">
        <f>'Kullanılan gübre'!AI389*'Gübre oranlar'!AL$2</f>
        <v>0</v>
      </c>
      <c r="AJ389">
        <f>'Kullanılan gübre'!AJ389*'Gübre oranlar'!AM$2</f>
        <v>0</v>
      </c>
      <c r="AK389">
        <f>'Kullanılan gübre'!AK389*'Gübre oranlar'!AN$2</f>
        <v>0</v>
      </c>
      <c r="AL389">
        <f>'Kullanılan gübre'!AL389*'Gübre oranlar'!AO$2</f>
        <v>0</v>
      </c>
      <c r="AM389">
        <f>'Kullanılan gübre'!AM389*'Gübre oranlar'!AP$2</f>
        <v>0</v>
      </c>
      <c r="AN389">
        <f>'Kullanılan gübre'!AN389*'Gübre oranlar'!AQ$2</f>
        <v>0</v>
      </c>
      <c r="AO389">
        <f>'Kullanılan gübre'!AO389*'Gübre oranlar'!AR$2</f>
        <v>0</v>
      </c>
      <c r="AP389">
        <f>'Kullanılan gübre'!AP389*'Gübre oranlar'!AS$2</f>
        <v>0</v>
      </c>
      <c r="AQ389">
        <f>'Kullanılan gübre'!AQ389*'Gübre oranlar'!AT$2</f>
        <v>0</v>
      </c>
      <c r="AR389">
        <f>'Kullanılan gübre'!AR389*'Gübre oranlar'!AU$2</f>
        <v>0</v>
      </c>
      <c r="AS389">
        <f>'Kullanılan gübre'!AS389*'Gübre oranlar'!AV$2</f>
        <v>0</v>
      </c>
      <c r="AT389">
        <f>'Kullanılan gübre'!AT389*'Gübre oranlar'!AW$2</f>
        <v>0</v>
      </c>
      <c r="AU389">
        <f>'Kullanılan gübre'!AU389*'Gübre oranlar'!AX$2</f>
        <v>0</v>
      </c>
      <c r="AV389">
        <f>'Kullanılan gübre'!AV389*'Gübre oranlar'!AY$2</f>
        <v>0</v>
      </c>
      <c r="AW389">
        <f t="shared" si="6"/>
        <v>222.08490000000003</v>
      </c>
    </row>
    <row r="390" spans="1:49" hidden="1" x14ac:dyDescent="0.25">
      <c r="A390" t="str">
        <f>'Kullanılan gübre'!A390</f>
        <v>YI</v>
      </c>
      <c r="B390" t="str">
        <f>'Kullanılan gübre'!B390</f>
        <v>TOKAT</v>
      </c>
      <c r="C390" t="str">
        <f>'Kullanılan gübre'!C390</f>
        <v>ZILE</v>
      </c>
      <c r="D390">
        <f>'Kullanılan gübre'!D390</f>
        <v>2015</v>
      </c>
      <c r="E390">
        <f>'Kullanılan gübre'!E390*'Gübre oranlar'!H$2</f>
        <v>187.17299999999997</v>
      </c>
      <c r="F390">
        <f>'Kullanılan gübre'!F390*'Gübre oranlar'!I$2</f>
        <v>8271.7492000000002</v>
      </c>
      <c r="G390">
        <f>'Kullanılan gübre'!G390*'Gübre oranlar'!J$2</f>
        <v>4378.8227999999999</v>
      </c>
      <c r="H390">
        <f>'Kullanılan gübre'!H390*'Gübre oranlar'!K$2</f>
        <v>3126.1600000000003</v>
      </c>
      <c r="I390">
        <f>'Kullanılan gübre'!I390*'Gübre oranlar'!L$2</f>
        <v>0</v>
      </c>
      <c r="J390">
        <f>'Kullanılan gübre'!J390*'Gübre oranlar'!M$2</f>
        <v>1004.8068</v>
      </c>
      <c r="K390">
        <f>'Kullanılan gübre'!K390*'Gübre oranlar'!N$2</f>
        <v>2026.33</v>
      </c>
      <c r="L390">
        <f>'Kullanılan gübre'!L390*'Gübre oranlar'!O$2</f>
        <v>1020.24</v>
      </c>
      <c r="M390">
        <f>'Kullanılan gübre'!M390*'Gübre oranlar'!P$2</f>
        <v>33.36</v>
      </c>
      <c r="N390">
        <f>'Kullanılan gübre'!N390*'Gübre oranlar'!Q$2</f>
        <v>174.14250000000001</v>
      </c>
      <c r="O390">
        <f>'Kullanılan gübre'!O390*'Gübre oranlar'!R$2</f>
        <v>0</v>
      </c>
      <c r="P390">
        <f>'Kullanılan gübre'!P390*'Gübre oranlar'!S$2</f>
        <v>0</v>
      </c>
      <c r="Q390">
        <f>'Kullanılan gübre'!Q390*'Gübre oranlar'!T$2</f>
        <v>0</v>
      </c>
      <c r="R390">
        <f>'Kullanılan gübre'!R390*'Gübre oranlar'!U$2</f>
        <v>0</v>
      </c>
      <c r="S390">
        <f>'Kullanılan gübre'!S390*'Gübre oranlar'!V$2</f>
        <v>0</v>
      </c>
      <c r="T390">
        <f>'Kullanılan gübre'!T390*'Gübre oranlar'!W$2</f>
        <v>0</v>
      </c>
      <c r="U390">
        <f>'Kullanılan gübre'!U390*'Gübre oranlar'!X$2</f>
        <v>0</v>
      </c>
      <c r="V390">
        <f>'Kullanılan gübre'!V390*'Gübre oranlar'!Y$2</f>
        <v>0</v>
      </c>
      <c r="W390">
        <f>'Kullanılan gübre'!W390*'Gübre oranlar'!Z$2</f>
        <v>0</v>
      </c>
      <c r="X390">
        <f>'Kullanılan gübre'!X390*'Gübre oranlar'!AA$2</f>
        <v>0</v>
      </c>
      <c r="Y390">
        <f>'Kullanılan gübre'!Y390*'Gübre oranlar'!AB$2</f>
        <v>0</v>
      </c>
      <c r="Z390">
        <f>'Kullanılan gübre'!Z390*'Gübre oranlar'!AC$2</f>
        <v>0</v>
      </c>
      <c r="AA390">
        <f>'Kullanılan gübre'!AA390*'Gübre oranlar'!AD$2</f>
        <v>0</v>
      </c>
      <c r="AB390">
        <f>'Kullanılan gübre'!AB390*'Gübre oranlar'!AE$2</f>
        <v>0</v>
      </c>
      <c r="AC390">
        <f>'Kullanılan gübre'!AC390*'Gübre oranlar'!AF$2</f>
        <v>0</v>
      </c>
      <c r="AD390">
        <f>'Kullanılan gübre'!AD390*'Gübre oranlar'!AG$2</f>
        <v>0</v>
      </c>
      <c r="AE390">
        <f>'Kullanılan gübre'!AE390*'Gübre oranlar'!AH$2</f>
        <v>0</v>
      </c>
      <c r="AF390">
        <f>'Kullanılan gübre'!AF390*'Gübre oranlar'!AI$2</f>
        <v>0</v>
      </c>
      <c r="AG390">
        <f>'Kullanılan gübre'!AG390*'Gübre oranlar'!AJ$2</f>
        <v>0</v>
      </c>
      <c r="AH390">
        <f>'Kullanılan gübre'!AH390*'Gübre oranlar'!AK$2</f>
        <v>0</v>
      </c>
      <c r="AI390">
        <f>'Kullanılan gübre'!AI390*'Gübre oranlar'!AL$2</f>
        <v>0</v>
      </c>
      <c r="AJ390">
        <f>'Kullanılan gübre'!AJ390*'Gübre oranlar'!AM$2</f>
        <v>0</v>
      </c>
      <c r="AK390">
        <f>'Kullanılan gübre'!AK390*'Gübre oranlar'!AN$2</f>
        <v>0</v>
      </c>
      <c r="AL390">
        <f>'Kullanılan gübre'!AL390*'Gübre oranlar'!AO$2</f>
        <v>0</v>
      </c>
      <c r="AM390">
        <f>'Kullanılan gübre'!AM390*'Gübre oranlar'!AP$2</f>
        <v>0</v>
      </c>
      <c r="AN390">
        <f>'Kullanılan gübre'!AN390*'Gübre oranlar'!AQ$2</f>
        <v>0</v>
      </c>
      <c r="AO390">
        <f>'Kullanılan gübre'!AO390*'Gübre oranlar'!AR$2</f>
        <v>0</v>
      </c>
      <c r="AP390">
        <f>'Kullanılan gübre'!AP390*'Gübre oranlar'!AS$2</f>
        <v>0</v>
      </c>
      <c r="AQ390">
        <f>'Kullanılan gübre'!AQ390*'Gübre oranlar'!AT$2</f>
        <v>0</v>
      </c>
      <c r="AR390">
        <f>'Kullanılan gübre'!AR390*'Gübre oranlar'!AU$2</f>
        <v>0</v>
      </c>
      <c r="AS390">
        <f>'Kullanılan gübre'!AS390*'Gübre oranlar'!AV$2</f>
        <v>0</v>
      </c>
      <c r="AT390">
        <f>'Kullanılan gübre'!AT390*'Gübre oranlar'!AW$2</f>
        <v>0</v>
      </c>
      <c r="AU390">
        <f>'Kullanılan gübre'!AU390*'Gübre oranlar'!AX$2</f>
        <v>0</v>
      </c>
      <c r="AV390">
        <f>'Kullanılan gübre'!AV390*'Gübre oranlar'!AY$2</f>
        <v>0</v>
      </c>
      <c r="AW390">
        <f t="shared" si="6"/>
        <v>20222.784300000003</v>
      </c>
    </row>
    <row r="391" spans="1:49" hidden="1" x14ac:dyDescent="0.25">
      <c r="A391" t="str">
        <f>'Kullanılan gübre'!A391</f>
        <v>YI</v>
      </c>
      <c r="B391" t="str">
        <f>'Kullanılan gübre'!B391</f>
        <v>TOKAT</v>
      </c>
      <c r="C391" t="str">
        <f>'Kullanılan gübre'!C391</f>
        <v>MERKEZ</v>
      </c>
      <c r="D391">
        <f>'Kullanılan gübre'!D391</f>
        <v>2016</v>
      </c>
      <c r="E391">
        <f>'Kullanılan gübre'!E391*'Gübre oranlar'!H$2</f>
        <v>84.608999999999995</v>
      </c>
      <c r="F391">
        <f>'Kullanılan gübre'!F391*'Gübre oranlar'!I$2</f>
        <v>425.95800000000003</v>
      </c>
      <c r="G391">
        <f>'Kullanılan gübre'!G391*'Gübre oranlar'!J$2</f>
        <v>701.16750000000002</v>
      </c>
      <c r="H391">
        <f>'Kullanılan gübre'!H391*'Gübre oranlar'!K$2</f>
        <v>875.51800000000003</v>
      </c>
      <c r="I391">
        <f>'Kullanılan gübre'!I391*'Gübre oranlar'!L$2</f>
        <v>0</v>
      </c>
      <c r="J391">
        <f>'Kullanılan gübre'!J391*'Gübre oranlar'!M$2</f>
        <v>157.76999999999998</v>
      </c>
      <c r="K391">
        <f>'Kullanılan gübre'!K391*'Gübre oranlar'!N$2</f>
        <v>44.830000000000005</v>
      </c>
      <c r="L391">
        <f>'Kullanılan gübre'!L391*'Gübre oranlar'!O$2</f>
        <v>81.570000000000007</v>
      </c>
      <c r="M391">
        <f>'Kullanılan gübre'!M391*'Gübre oranlar'!P$2</f>
        <v>14.444999999999999</v>
      </c>
      <c r="N391">
        <f>'Kullanılan gübre'!N391*'Gübre oranlar'!Q$2</f>
        <v>55.62</v>
      </c>
      <c r="O391">
        <f>'Kullanılan gübre'!O391*'Gübre oranlar'!R$2</f>
        <v>0</v>
      </c>
      <c r="P391">
        <f>'Kullanılan gübre'!P391*'Gübre oranlar'!S$2</f>
        <v>1.4209000000000001</v>
      </c>
      <c r="Q391">
        <f>'Kullanılan gübre'!Q391*'Gübre oranlar'!T$2</f>
        <v>106.818</v>
      </c>
      <c r="R391">
        <f>'Kullanılan gübre'!R391*'Gübre oranlar'!U$2</f>
        <v>0</v>
      </c>
      <c r="S391">
        <f>'Kullanılan gübre'!S391*'Gübre oranlar'!V$2</f>
        <v>0</v>
      </c>
      <c r="T391">
        <f>'Kullanılan gübre'!T391*'Gübre oranlar'!W$2</f>
        <v>0</v>
      </c>
      <c r="U391">
        <f>'Kullanılan gübre'!U391*'Gübre oranlar'!X$2</f>
        <v>0</v>
      </c>
      <c r="V391">
        <f>'Kullanılan gübre'!V391*'Gübre oranlar'!Y$2</f>
        <v>0</v>
      </c>
      <c r="W391">
        <f>'Kullanılan gübre'!W391*'Gübre oranlar'!Z$2</f>
        <v>0</v>
      </c>
      <c r="X391">
        <f>'Kullanılan gübre'!X391*'Gübre oranlar'!AA$2</f>
        <v>0</v>
      </c>
      <c r="Y391">
        <f>'Kullanılan gübre'!Y391*'Gübre oranlar'!AB$2</f>
        <v>0</v>
      </c>
      <c r="Z391">
        <f>'Kullanılan gübre'!Z391*'Gübre oranlar'!AC$2</f>
        <v>0</v>
      </c>
      <c r="AA391">
        <f>'Kullanılan gübre'!AA391*'Gübre oranlar'!AD$2</f>
        <v>0</v>
      </c>
      <c r="AB391">
        <f>'Kullanılan gübre'!AB391*'Gübre oranlar'!AE$2</f>
        <v>0</v>
      </c>
      <c r="AC391">
        <f>'Kullanılan gübre'!AC391*'Gübre oranlar'!AF$2</f>
        <v>0</v>
      </c>
      <c r="AD391">
        <f>'Kullanılan gübre'!AD391*'Gübre oranlar'!AG$2</f>
        <v>0</v>
      </c>
      <c r="AE391">
        <f>'Kullanılan gübre'!AE391*'Gübre oranlar'!AH$2</f>
        <v>0</v>
      </c>
      <c r="AF391">
        <f>'Kullanılan gübre'!AF391*'Gübre oranlar'!AI$2</f>
        <v>0</v>
      </c>
      <c r="AG391">
        <f>'Kullanılan gübre'!AG391*'Gübre oranlar'!AJ$2</f>
        <v>0</v>
      </c>
      <c r="AH391">
        <f>'Kullanılan gübre'!AH391*'Gübre oranlar'!AK$2</f>
        <v>0</v>
      </c>
      <c r="AI391">
        <f>'Kullanılan gübre'!AI391*'Gübre oranlar'!AL$2</f>
        <v>0</v>
      </c>
      <c r="AJ391">
        <f>'Kullanılan gübre'!AJ391*'Gübre oranlar'!AM$2</f>
        <v>0</v>
      </c>
      <c r="AK391">
        <f>'Kullanılan gübre'!AK391*'Gübre oranlar'!AN$2</f>
        <v>0</v>
      </c>
      <c r="AL391">
        <f>'Kullanılan gübre'!AL391*'Gübre oranlar'!AO$2</f>
        <v>0</v>
      </c>
      <c r="AM391">
        <f>'Kullanılan gübre'!AM391*'Gübre oranlar'!AP$2</f>
        <v>0</v>
      </c>
      <c r="AN391">
        <f>'Kullanılan gübre'!AN391*'Gübre oranlar'!AQ$2</f>
        <v>0</v>
      </c>
      <c r="AO391">
        <f>'Kullanılan gübre'!AO391*'Gübre oranlar'!AR$2</f>
        <v>0</v>
      </c>
      <c r="AP391">
        <f>'Kullanılan gübre'!AP391*'Gübre oranlar'!AS$2</f>
        <v>0</v>
      </c>
      <c r="AQ391">
        <f>'Kullanılan gübre'!AQ391*'Gübre oranlar'!AT$2</f>
        <v>0</v>
      </c>
      <c r="AR391">
        <f>'Kullanılan gübre'!AR391*'Gübre oranlar'!AU$2</f>
        <v>0</v>
      </c>
      <c r="AS391">
        <f>'Kullanılan gübre'!AS391*'Gübre oranlar'!AV$2</f>
        <v>0</v>
      </c>
      <c r="AT391">
        <f>'Kullanılan gübre'!AT391*'Gübre oranlar'!AW$2</f>
        <v>0</v>
      </c>
      <c r="AU391">
        <f>'Kullanılan gübre'!AU391*'Gübre oranlar'!AX$2</f>
        <v>0</v>
      </c>
      <c r="AV391">
        <f>'Kullanılan gübre'!AV391*'Gübre oranlar'!AY$2</f>
        <v>0</v>
      </c>
      <c r="AW391">
        <f t="shared" si="6"/>
        <v>2549.7264000000005</v>
      </c>
    </row>
    <row r="392" spans="1:49" hidden="1" x14ac:dyDescent="0.25">
      <c r="A392" t="str">
        <f>'Kullanılan gübre'!A392</f>
        <v>YI</v>
      </c>
      <c r="B392" t="str">
        <f>'Kullanılan gübre'!B392</f>
        <v>TOKAT</v>
      </c>
      <c r="C392" t="str">
        <f>'Kullanılan gübre'!C392</f>
        <v>ALMUS</v>
      </c>
      <c r="D392">
        <f>'Kullanılan gübre'!D392</f>
        <v>2016</v>
      </c>
      <c r="E392">
        <f>'Kullanılan gübre'!E392*'Gübre oranlar'!H$2</f>
        <v>0.28350000000000003</v>
      </c>
      <c r="F392">
        <f>'Kullanılan gübre'!F392*'Gübre oranlar'!I$2</f>
        <v>5.59</v>
      </c>
      <c r="G392">
        <f>'Kullanılan gübre'!G392*'Gübre oranlar'!J$2</f>
        <v>44.335500000000003</v>
      </c>
      <c r="H392">
        <f>'Kullanılan gübre'!H392*'Gübre oranlar'!K$2</f>
        <v>41.515000000000001</v>
      </c>
      <c r="I392">
        <f>'Kullanılan gübre'!I392*'Gübre oranlar'!L$2</f>
        <v>0</v>
      </c>
      <c r="J392">
        <f>'Kullanılan gübre'!J392*'Gübre oranlar'!M$2</f>
        <v>6.7769999999999992</v>
      </c>
      <c r="K392">
        <f>'Kullanılan gübre'!K392*'Gübre oranlar'!N$2</f>
        <v>0</v>
      </c>
      <c r="L392">
        <f>'Kullanılan gübre'!L392*'Gübre oranlar'!O$2</f>
        <v>0</v>
      </c>
      <c r="M392">
        <f>'Kullanılan gübre'!M392*'Gübre oranlar'!P$2</f>
        <v>0</v>
      </c>
      <c r="N392">
        <f>'Kullanılan gübre'!N392*'Gübre oranlar'!Q$2</f>
        <v>0</v>
      </c>
      <c r="O392">
        <f>'Kullanılan gübre'!O392*'Gübre oranlar'!R$2</f>
        <v>0</v>
      </c>
      <c r="P392">
        <f>'Kullanılan gübre'!P392*'Gübre oranlar'!S$2</f>
        <v>0</v>
      </c>
      <c r="Q392">
        <f>'Kullanılan gübre'!Q392*'Gübre oranlar'!T$2</f>
        <v>0</v>
      </c>
      <c r="R392">
        <f>'Kullanılan gübre'!R392*'Gübre oranlar'!U$2</f>
        <v>0</v>
      </c>
      <c r="S392">
        <f>'Kullanılan gübre'!S392*'Gübre oranlar'!V$2</f>
        <v>0</v>
      </c>
      <c r="T392">
        <f>'Kullanılan gübre'!T392*'Gübre oranlar'!W$2</f>
        <v>0</v>
      </c>
      <c r="U392">
        <f>'Kullanılan gübre'!U392*'Gübre oranlar'!X$2</f>
        <v>0</v>
      </c>
      <c r="V392">
        <f>'Kullanılan gübre'!V392*'Gübre oranlar'!Y$2</f>
        <v>0</v>
      </c>
      <c r="W392">
        <f>'Kullanılan gübre'!W392*'Gübre oranlar'!Z$2</f>
        <v>0</v>
      </c>
      <c r="X392">
        <f>'Kullanılan gübre'!X392*'Gübre oranlar'!AA$2</f>
        <v>0</v>
      </c>
      <c r="Y392">
        <f>'Kullanılan gübre'!Y392*'Gübre oranlar'!AB$2</f>
        <v>0</v>
      </c>
      <c r="Z392">
        <f>'Kullanılan gübre'!Z392*'Gübre oranlar'!AC$2</f>
        <v>0</v>
      </c>
      <c r="AA392">
        <f>'Kullanılan gübre'!AA392*'Gübre oranlar'!AD$2</f>
        <v>0</v>
      </c>
      <c r="AB392">
        <f>'Kullanılan gübre'!AB392*'Gübre oranlar'!AE$2</f>
        <v>0</v>
      </c>
      <c r="AC392">
        <f>'Kullanılan gübre'!AC392*'Gübre oranlar'!AF$2</f>
        <v>0</v>
      </c>
      <c r="AD392">
        <f>'Kullanılan gübre'!AD392*'Gübre oranlar'!AG$2</f>
        <v>0</v>
      </c>
      <c r="AE392">
        <f>'Kullanılan gübre'!AE392*'Gübre oranlar'!AH$2</f>
        <v>0</v>
      </c>
      <c r="AF392">
        <f>'Kullanılan gübre'!AF392*'Gübre oranlar'!AI$2</f>
        <v>0</v>
      </c>
      <c r="AG392">
        <f>'Kullanılan gübre'!AG392*'Gübre oranlar'!AJ$2</f>
        <v>0</v>
      </c>
      <c r="AH392">
        <f>'Kullanılan gübre'!AH392*'Gübre oranlar'!AK$2</f>
        <v>0</v>
      </c>
      <c r="AI392">
        <f>'Kullanılan gübre'!AI392*'Gübre oranlar'!AL$2</f>
        <v>0</v>
      </c>
      <c r="AJ392">
        <f>'Kullanılan gübre'!AJ392*'Gübre oranlar'!AM$2</f>
        <v>0</v>
      </c>
      <c r="AK392">
        <f>'Kullanılan gübre'!AK392*'Gübre oranlar'!AN$2</f>
        <v>0</v>
      </c>
      <c r="AL392">
        <f>'Kullanılan gübre'!AL392*'Gübre oranlar'!AO$2</f>
        <v>0</v>
      </c>
      <c r="AM392">
        <f>'Kullanılan gübre'!AM392*'Gübre oranlar'!AP$2</f>
        <v>0</v>
      </c>
      <c r="AN392">
        <f>'Kullanılan gübre'!AN392*'Gübre oranlar'!AQ$2</f>
        <v>0</v>
      </c>
      <c r="AO392">
        <f>'Kullanılan gübre'!AO392*'Gübre oranlar'!AR$2</f>
        <v>0</v>
      </c>
      <c r="AP392">
        <f>'Kullanılan gübre'!AP392*'Gübre oranlar'!AS$2</f>
        <v>0</v>
      </c>
      <c r="AQ392">
        <f>'Kullanılan gübre'!AQ392*'Gübre oranlar'!AT$2</f>
        <v>0</v>
      </c>
      <c r="AR392">
        <f>'Kullanılan gübre'!AR392*'Gübre oranlar'!AU$2</f>
        <v>0</v>
      </c>
      <c r="AS392">
        <f>'Kullanılan gübre'!AS392*'Gübre oranlar'!AV$2</f>
        <v>0</v>
      </c>
      <c r="AT392">
        <f>'Kullanılan gübre'!AT392*'Gübre oranlar'!AW$2</f>
        <v>0</v>
      </c>
      <c r="AU392">
        <f>'Kullanılan gübre'!AU392*'Gübre oranlar'!AX$2</f>
        <v>0</v>
      </c>
      <c r="AV392">
        <f>'Kullanılan gübre'!AV392*'Gübre oranlar'!AY$2</f>
        <v>0</v>
      </c>
      <c r="AW392">
        <f t="shared" si="6"/>
        <v>98.501000000000005</v>
      </c>
    </row>
    <row r="393" spans="1:49" hidden="1" x14ac:dyDescent="0.25">
      <c r="A393" t="str">
        <f>'Kullanılan gübre'!A393</f>
        <v>YI</v>
      </c>
      <c r="B393" t="str">
        <f>'Kullanılan gübre'!B393</f>
        <v>TOKAT</v>
      </c>
      <c r="C393" t="str">
        <f>'Kullanılan gübre'!C393</f>
        <v>ARTOVA</v>
      </c>
      <c r="D393">
        <f>'Kullanılan gübre'!D393</f>
        <v>2016</v>
      </c>
      <c r="E393">
        <f>'Kullanılan gübre'!E393*'Gübre oranlar'!H$2</f>
        <v>1.7009999999999998</v>
      </c>
      <c r="F393">
        <f>'Kullanılan gübre'!F393*'Gübre oranlar'!I$2</f>
        <v>93.509</v>
      </c>
      <c r="G393">
        <f>'Kullanılan gübre'!G393*'Gübre oranlar'!J$2</f>
        <v>91.046999999999997</v>
      </c>
      <c r="H393">
        <f>'Kullanılan gübre'!H393*'Gübre oranlar'!K$2</f>
        <v>41.216000000000001</v>
      </c>
      <c r="I393">
        <f>'Kullanılan gübre'!I393*'Gübre oranlar'!L$2</f>
        <v>0</v>
      </c>
      <c r="J393">
        <f>'Kullanılan gübre'!J393*'Gübre oranlar'!M$2</f>
        <v>43.722000000000001</v>
      </c>
      <c r="K393">
        <f>'Kullanılan gübre'!K393*'Gübre oranlar'!N$2</f>
        <v>1</v>
      </c>
      <c r="L393">
        <f>'Kullanılan gübre'!L393*'Gübre oranlar'!O$2</f>
        <v>16.53</v>
      </c>
      <c r="M393">
        <f>'Kullanılan gübre'!M393*'Gübre oranlar'!P$2</f>
        <v>0</v>
      </c>
      <c r="N393">
        <f>'Kullanılan gübre'!N393*'Gübre oranlar'!Q$2</f>
        <v>0</v>
      </c>
      <c r="O393">
        <f>'Kullanılan gübre'!O393*'Gübre oranlar'!R$2</f>
        <v>0</v>
      </c>
      <c r="P393">
        <f>'Kullanılan gübre'!P393*'Gübre oranlar'!S$2</f>
        <v>0</v>
      </c>
      <c r="Q393">
        <f>'Kullanılan gübre'!Q393*'Gübre oranlar'!T$2</f>
        <v>0</v>
      </c>
      <c r="R393">
        <f>'Kullanılan gübre'!R393*'Gübre oranlar'!U$2</f>
        <v>0</v>
      </c>
      <c r="S393">
        <f>'Kullanılan gübre'!S393*'Gübre oranlar'!V$2</f>
        <v>0</v>
      </c>
      <c r="T393">
        <f>'Kullanılan gübre'!T393*'Gübre oranlar'!W$2</f>
        <v>0</v>
      </c>
      <c r="U393">
        <f>'Kullanılan gübre'!U393*'Gübre oranlar'!X$2</f>
        <v>0</v>
      </c>
      <c r="V393">
        <f>'Kullanılan gübre'!V393*'Gübre oranlar'!Y$2</f>
        <v>0</v>
      </c>
      <c r="W393">
        <f>'Kullanılan gübre'!W393*'Gübre oranlar'!Z$2</f>
        <v>0</v>
      </c>
      <c r="X393">
        <f>'Kullanılan gübre'!X393*'Gübre oranlar'!AA$2</f>
        <v>0</v>
      </c>
      <c r="Y393">
        <f>'Kullanılan gübre'!Y393*'Gübre oranlar'!AB$2</f>
        <v>0</v>
      </c>
      <c r="Z393">
        <f>'Kullanılan gübre'!Z393*'Gübre oranlar'!AC$2</f>
        <v>0</v>
      </c>
      <c r="AA393">
        <f>'Kullanılan gübre'!AA393*'Gübre oranlar'!AD$2</f>
        <v>0</v>
      </c>
      <c r="AB393">
        <f>'Kullanılan gübre'!AB393*'Gübre oranlar'!AE$2</f>
        <v>0</v>
      </c>
      <c r="AC393">
        <f>'Kullanılan gübre'!AC393*'Gübre oranlar'!AF$2</f>
        <v>0</v>
      </c>
      <c r="AD393">
        <f>'Kullanılan gübre'!AD393*'Gübre oranlar'!AG$2</f>
        <v>0</v>
      </c>
      <c r="AE393">
        <f>'Kullanılan gübre'!AE393*'Gübre oranlar'!AH$2</f>
        <v>0</v>
      </c>
      <c r="AF393">
        <f>'Kullanılan gübre'!AF393*'Gübre oranlar'!AI$2</f>
        <v>0</v>
      </c>
      <c r="AG393">
        <f>'Kullanılan gübre'!AG393*'Gübre oranlar'!AJ$2</f>
        <v>0</v>
      </c>
      <c r="AH393">
        <f>'Kullanılan gübre'!AH393*'Gübre oranlar'!AK$2</f>
        <v>0</v>
      </c>
      <c r="AI393">
        <f>'Kullanılan gübre'!AI393*'Gübre oranlar'!AL$2</f>
        <v>0</v>
      </c>
      <c r="AJ393">
        <f>'Kullanılan gübre'!AJ393*'Gübre oranlar'!AM$2</f>
        <v>0</v>
      </c>
      <c r="AK393">
        <f>'Kullanılan gübre'!AK393*'Gübre oranlar'!AN$2</f>
        <v>0</v>
      </c>
      <c r="AL393">
        <f>'Kullanılan gübre'!AL393*'Gübre oranlar'!AO$2</f>
        <v>0</v>
      </c>
      <c r="AM393">
        <f>'Kullanılan gübre'!AM393*'Gübre oranlar'!AP$2</f>
        <v>0</v>
      </c>
      <c r="AN393">
        <f>'Kullanılan gübre'!AN393*'Gübre oranlar'!AQ$2</f>
        <v>0</v>
      </c>
      <c r="AO393">
        <f>'Kullanılan gübre'!AO393*'Gübre oranlar'!AR$2</f>
        <v>0</v>
      </c>
      <c r="AP393">
        <f>'Kullanılan gübre'!AP393*'Gübre oranlar'!AS$2</f>
        <v>0</v>
      </c>
      <c r="AQ393">
        <f>'Kullanılan gübre'!AQ393*'Gübre oranlar'!AT$2</f>
        <v>0</v>
      </c>
      <c r="AR393">
        <f>'Kullanılan gübre'!AR393*'Gübre oranlar'!AU$2</f>
        <v>0</v>
      </c>
      <c r="AS393">
        <f>'Kullanılan gübre'!AS393*'Gübre oranlar'!AV$2</f>
        <v>0</v>
      </c>
      <c r="AT393">
        <f>'Kullanılan gübre'!AT393*'Gübre oranlar'!AW$2</f>
        <v>0</v>
      </c>
      <c r="AU393">
        <f>'Kullanılan gübre'!AU393*'Gübre oranlar'!AX$2</f>
        <v>0</v>
      </c>
      <c r="AV393">
        <f>'Kullanılan gübre'!AV393*'Gübre oranlar'!AY$2</f>
        <v>0</v>
      </c>
      <c r="AW393">
        <f t="shared" si="6"/>
        <v>288.72500000000002</v>
      </c>
    </row>
    <row r="394" spans="1:49" hidden="1" x14ac:dyDescent="0.25">
      <c r="A394" t="str">
        <f>'Kullanılan gübre'!A394</f>
        <v>YI</v>
      </c>
      <c r="B394" t="str">
        <f>'Kullanılan gübre'!B394</f>
        <v>TOKAT</v>
      </c>
      <c r="C394" t="str">
        <f>'Kullanılan gübre'!C394</f>
        <v>BASCIFTLIK</v>
      </c>
      <c r="D394">
        <f>'Kullanılan gübre'!D394</f>
        <v>2016</v>
      </c>
      <c r="E394">
        <f>'Kullanılan gübre'!E394*'Gübre oranlar'!H$2</f>
        <v>0</v>
      </c>
      <c r="F394">
        <f>'Kullanılan gübre'!F394*'Gübre oranlar'!I$2</f>
        <v>4.16</v>
      </c>
      <c r="G394">
        <f>'Kullanılan gübre'!G394*'Gübre oranlar'!J$2</f>
        <v>4.7025000000000006</v>
      </c>
      <c r="H394">
        <f>'Kullanılan gübre'!H394*'Gübre oranlar'!K$2</f>
        <v>0</v>
      </c>
      <c r="I394">
        <f>'Kullanılan gübre'!I394*'Gübre oranlar'!L$2</f>
        <v>0</v>
      </c>
      <c r="J394">
        <f>'Kullanılan gübre'!J394*'Gübre oranlar'!M$2</f>
        <v>0</v>
      </c>
      <c r="K394">
        <f>'Kullanılan gübre'!K394*'Gübre oranlar'!N$2</f>
        <v>0</v>
      </c>
      <c r="L394">
        <f>'Kullanılan gübre'!L394*'Gübre oranlar'!O$2</f>
        <v>0</v>
      </c>
      <c r="M394">
        <f>'Kullanılan gübre'!M394*'Gübre oranlar'!P$2</f>
        <v>0</v>
      </c>
      <c r="N394">
        <f>'Kullanılan gübre'!N394*'Gübre oranlar'!Q$2</f>
        <v>0</v>
      </c>
      <c r="O394">
        <f>'Kullanılan gübre'!O394*'Gübre oranlar'!R$2</f>
        <v>0</v>
      </c>
      <c r="P394">
        <f>'Kullanılan gübre'!P394*'Gübre oranlar'!S$2</f>
        <v>0</v>
      </c>
      <c r="Q394">
        <f>'Kullanılan gübre'!Q394*'Gübre oranlar'!T$2</f>
        <v>0</v>
      </c>
      <c r="R394">
        <f>'Kullanılan gübre'!R394*'Gübre oranlar'!U$2</f>
        <v>0</v>
      </c>
      <c r="S394">
        <f>'Kullanılan gübre'!S394*'Gübre oranlar'!V$2</f>
        <v>0</v>
      </c>
      <c r="T394">
        <f>'Kullanılan gübre'!T394*'Gübre oranlar'!W$2</f>
        <v>0</v>
      </c>
      <c r="U394">
        <f>'Kullanılan gübre'!U394*'Gübre oranlar'!X$2</f>
        <v>0</v>
      </c>
      <c r="V394">
        <f>'Kullanılan gübre'!V394*'Gübre oranlar'!Y$2</f>
        <v>0</v>
      </c>
      <c r="W394">
        <f>'Kullanılan gübre'!W394*'Gübre oranlar'!Z$2</f>
        <v>0</v>
      </c>
      <c r="X394">
        <f>'Kullanılan gübre'!X394*'Gübre oranlar'!AA$2</f>
        <v>0</v>
      </c>
      <c r="Y394">
        <f>'Kullanılan gübre'!Y394*'Gübre oranlar'!AB$2</f>
        <v>0</v>
      </c>
      <c r="Z394">
        <f>'Kullanılan gübre'!Z394*'Gübre oranlar'!AC$2</f>
        <v>0</v>
      </c>
      <c r="AA394">
        <f>'Kullanılan gübre'!AA394*'Gübre oranlar'!AD$2</f>
        <v>0</v>
      </c>
      <c r="AB394">
        <f>'Kullanılan gübre'!AB394*'Gübre oranlar'!AE$2</f>
        <v>0</v>
      </c>
      <c r="AC394">
        <f>'Kullanılan gübre'!AC394*'Gübre oranlar'!AF$2</f>
        <v>0</v>
      </c>
      <c r="AD394">
        <f>'Kullanılan gübre'!AD394*'Gübre oranlar'!AG$2</f>
        <v>0</v>
      </c>
      <c r="AE394">
        <f>'Kullanılan gübre'!AE394*'Gübre oranlar'!AH$2</f>
        <v>0</v>
      </c>
      <c r="AF394">
        <f>'Kullanılan gübre'!AF394*'Gübre oranlar'!AI$2</f>
        <v>0</v>
      </c>
      <c r="AG394">
        <f>'Kullanılan gübre'!AG394*'Gübre oranlar'!AJ$2</f>
        <v>0</v>
      </c>
      <c r="AH394">
        <f>'Kullanılan gübre'!AH394*'Gübre oranlar'!AK$2</f>
        <v>0</v>
      </c>
      <c r="AI394">
        <f>'Kullanılan gübre'!AI394*'Gübre oranlar'!AL$2</f>
        <v>0</v>
      </c>
      <c r="AJ394">
        <f>'Kullanılan gübre'!AJ394*'Gübre oranlar'!AM$2</f>
        <v>0</v>
      </c>
      <c r="AK394">
        <f>'Kullanılan gübre'!AK394*'Gübre oranlar'!AN$2</f>
        <v>0</v>
      </c>
      <c r="AL394">
        <f>'Kullanılan gübre'!AL394*'Gübre oranlar'!AO$2</f>
        <v>0</v>
      </c>
      <c r="AM394">
        <f>'Kullanılan gübre'!AM394*'Gübre oranlar'!AP$2</f>
        <v>0</v>
      </c>
      <c r="AN394">
        <f>'Kullanılan gübre'!AN394*'Gübre oranlar'!AQ$2</f>
        <v>0</v>
      </c>
      <c r="AO394">
        <f>'Kullanılan gübre'!AO394*'Gübre oranlar'!AR$2</f>
        <v>0</v>
      </c>
      <c r="AP394">
        <f>'Kullanılan gübre'!AP394*'Gübre oranlar'!AS$2</f>
        <v>0</v>
      </c>
      <c r="AQ394">
        <f>'Kullanılan gübre'!AQ394*'Gübre oranlar'!AT$2</f>
        <v>0</v>
      </c>
      <c r="AR394">
        <f>'Kullanılan gübre'!AR394*'Gübre oranlar'!AU$2</f>
        <v>0</v>
      </c>
      <c r="AS394">
        <f>'Kullanılan gübre'!AS394*'Gübre oranlar'!AV$2</f>
        <v>0</v>
      </c>
      <c r="AT394">
        <f>'Kullanılan gübre'!AT394*'Gübre oranlar'!AW$2</f>
        <v>0</v>
      </c>
      <c r="AU394">
        <f>'Kullanılan gübre'!AU394*'Gübre oranlar'!AX$2</f>
        <v>0</v>
      </c>
      <c r="AV394">
        <f>'Kullanılan gübre'!AV394*'Gübre oranlar'!AY$2</f>
        <v>0</v>
      </c>
      <c r="AW394">
        <f t="shared" si="6"/>
        <v>8.8625000000000007</v>
      </c>
    </row>
    <row r="395" spans="1:49" hidden="1" x14ac:dyDescent="0.25">
      <c r="A395" t="str">
        <f>'Kullanılan gübre'!A395</f>
        <v>YI</v>
      </c>
      <c r="B395" t="str">
        <f>'Kullanılan gübre'!B395</f>
        <v>TOKAT</v>
      </c>
      <c r="C395" t="str">
        <f>'Kullanılan gübre'!C395</f>
        <v>ERBAA</v>
      </c>
      <c r="D395">
        <f>'Kullanılan gübre'!D395</f>
        <v>2016</v>
      </c>
      <c r="E395">
        <f>'Kullanılan gübre'!E395*'Gübre oranlar'!H$2</f>
        <v>76.20689999999999</v>
      </c>
      <c r="F395">
        <f>'Kullanılan gübre'!F395*'Gübre oranlar'!I$2</f>
        <v>358.45680000000004</v>
      </c>
      <c r="G395">
        <f>'Kullanılan gübre'!G395*'Gübre oranlar'!J$2</f>
        <v>856.00350000000003</v>
      </c>
      <c r="H395">
        <f>'Kullanılan gübre'!H395*'Gübre oranlar'!K$2</f>
        <v>361.56920000000002</v>
      </c>
      <c r="I395">
        <f>'Kullanılan gübre'!I395*'Gübre oranlar'!L$2</f>
        <v>0</v>
      </c>
      <c r="J395">
        <f>'Kullanılan gübre'!J395*'Gübre oranlar'!M$2</f>
        <v>77.59259999999999</v>
      </c>
      <c r="K395">
        <f>'Kullanılan gübre'!K395*'Gübre oranlar'!N$2</f>
        <v>95.610000000000014</v>
      </c>
      <c r="L395">
        <f>'Kullanılan gübre'!L395*'Gübre oranlar'!O$2</f>
        <v>29.552</v>
      </c>
      <c r="M395">
        <f>'Kullanılan gübre'!M395*'Gübre oranlar'!P$2</f>
        <v>69.375</v>
      </c>
      <c r="N395">
        <f>'Kullanılan gübre'!N395*'Gübre oranlar'!Q$2</f>
        <v>65.545500000000004</v>
      </c>
      <c r="O395">
        <f>'Kullanılan gübre'!O395*'Gübre oranlar'!R$2</f>
        <v>0</v>
      </c>
      <c r="P395">
        <f>'Kullanılan gübre'!P395*'Gübre oranlar'!S$2</f>
        <v>6.5000000000000002E-2</v>
      </c>
      <c r="Q395">
        <f>'Kullanılan gübre'!Q395*'Gübre oranlar'!T$2</f>
        <v>0</v>
      </c>
      <c r="R395">
        <f>'Kullanılan gübre'!R395*'Gübre oranlar'!U$2</f>
        <v>0</v>
      </c>
      <c r="S395">
        <f>'Kullanılan gübre'!S395*'Gübre oranlar'!V$2</f>
        <v>0</v>
      </c>
      <c r="T395">
        <f>'Kullanılan gübre'!T395*'Gübre oranlar'!W$2</f>
        <v>0</v>
      </c>
      <c r="U395">
        <f>'Kullanılan gübre'!U395*'Gübre oranlar'!X$2</f>
        <v>0</v>
      </c>
      <c r="V395">
        <f>'Kullanılan gübre'!V395*'Gübre oranlar'!Y$2</f>
        <v>0</v>
      </c>
      <c r="W395">
        <f>'Kullanılan gübre'!W395*'Gübre oranlar'!Z$2</f>
        <v>0</v>
      </c>
      <c r="X395">
        <f>'Kullanılan gübre'!X395*'Gübre oranlar'!AA$2</f>
        <v>0</v>
      </c>
      <c r="Y395">
        <f>'Kullanılan gübre'!Y395*'Gübre oranlar'!AB$2</f>
        <v>0</v>
      </c>
      <c r="Z395">
        <f>'Kullanılan gübre'!Z395*'Gübre oranlar'!AC$2</f>
        <v>0</v>
      </c>
      <c r="AA395">
        <f>'Kullanılan gübre'!AA395*'Gübre oranlar'!AD$2</f>
        <v>0</v>
      </c>
      <c r="AB395">
        <f>'Kullanılan gübre'!AB395*'Gübre oranlar'!AE$2</f>
        <v>0</v>
      </c>
      <c r="AC395">
        <f>'Kullanılan gübre'!AC395*'Gübre oranlar'!AF$2</f>
        <v>0</v>
      </c>
      <c r="AD395">
        <f>'Kullanılan gübre'!AD395*'Gübre oranlar'!AG$2</f>
        <v>0</v>
      </c>
      <c r="AE395">
        <f>'Kullanılan gübre'!AE395*'Gübre oranlar'!AH$2</f>
        <v>0</v>
      </c>
      <c r="AF395">
        <f>'Kullanılan gübre'!AF395*'Gübre oranlar'!AI$2</f>
        <v>0</v>
      </c>
      <c r="AG395">
        <f>'Kullanılan gübre'!AG395*'Gübre oranlar'!AJ$2</f>
        <v>0</v>
      </c>
      <c r="AH395">
        <f>'Kullanılan gübre'!AH395*'Gübre oranlar'!AK$2</f>
        <v>0</v>
      </c>
      <c r="AI395">
        <f>'Kullanılan gübre'!AI395*'Gübre oranlar'!AL$2</f>
        <v>0</v>
      </c>
      <c r="AJ395">
        <f>'Kullanılan gübre'!AJ395*'Gübre oranlar'!AM$2</f>
        <v>0</v>
      </c>
      <c r="AK395">
        <f>'Kullanılan gübre'!AK395*'Gübre oranlar'!AN$2</f>
        <v>0</v>
      </c>
      <c r="AL395">
        <f>'Kullanılan gübre'!AL395*'Gübre oranlar'!AO$2</f>
        <v>0</v>
      </c>
      <c r="AM395">
        <f>'Kullanılan gübre'!AM395*'Gübre oranlar'!AP$2</f>
        <v>0</v>
      </c>
      <c r="AN395">
        <f>'Kullanılan gübre'!AN395*'Gübre oranlar'!AQ$2</f>
        <v>0</v>
      </c>
      <c r="AO395">
        <f>'Kullanılan gübre'!AO395*'Gübre oranlar'!AR$2</f>
        <v>0</v>
      </c>
      <c r="AP395">
        <f>'Kullanılan gübre'!AP395*'Gübre oranlar'!AS$2</f>
        <v>0</v>
      </c>
      <c r="AQ395">
        <f>'Kullanılan gübre'!AQ395*'Gübre oranlar'!AT$2</f>
        <v>0</v>
      </c>
      <c r="AR395">
        <f>'Kullanılan gübre'!AR395*'Gübre oranlar'!AU$2</f>
        <v>0</v>
      </c>
      <c r="AS395">
        <f>'Kullanılan gübre'!AS395*'Gübre oranlar'!AV$2</f>
        <v>0</v>
      </c>
      <c r="AT395">
        <f>'Kullanılan gübre'!AT395*'Gübre oranlar'!AW$2</f>
        <v>0</v>
      </c>
      <c r="AU395">
        <f>'Kullanılan gübre'!AU395*'Gübre oranlar'!AX$2</f>
        <v>0</v>
      </c>
      <c r="AV395">
        <f>'Kullanılan gübre'!AV395*'Gübre oranlar'!AY$2</f>
        <v>0</v>
      </c>
      <c r="AW395">
        <f t="shared" si="6"/>
        <v>1989.9765000000002</v>
      </c>
    </row>
    <row r="396" spans="1:49" hidden="1" x14ac:dyDescent="0.25">
      <c r="A396" t="str">
        <f>'Kullanılan gübre'!A396</f>
        <v>YI</v>
      </c>
      <c r="B396" t="str">
        <f>'Kullanılan gübre'!B396</f>
        <v>TOKAT</v>
      </c>
      <c r="C396" t="str">
        <f>'Kullanılan gübre'!C396</f>
        <v>NIKSAR</v>
      </c>
      <c r="D396">
        <f>'Kullanılan gübre'!D396</f>
        <v>2016</v>
      </c>
      <c r="E396">
        <f>'Kullanılan gübre'!E396*'Gübre oranlar'!H$2</f>
        <v>17.597999999999999</v>
      </c>
      <c r="F396">
        <f>'Kullanılan gübre'!F396*'Gübre oranlar'!I$2</f>
        <v>74.152000000000001</v>
      </c>
      <c r="G396">
        <f>'Kullanılan gübre'!G396*'Gübre oranlar'!J$2</f>
        <v>189.66750000000002</v>
      </c>
      <c r="H396">
        <f>'Kullanılan gübre'!H396*'Gübre oranlar'!K$2</f>
        <v>373.12900000000002</v>
      </c>
      <c r="I396">
        <f>'Kullanılan gübre'!I396*'Gübre oranlar'!L$2</f>
        <v>0</v>
      </c>
      <c r="J396">
        <f>'Kullanılan gübre'!J396*'Gübre oranlar'!M$2</f>
        <v>82.188000000000002</v>
      </c>
      <c r="K396">
        <f>'Kullanılan gübre'!K396*'Gübre oranlar'!N$2</f>
        <v>32.230000000000004</v>
      </c>
      <c r="L396">
        <f>'Kullanılan gübre'!L396*'Gübre oranlar'!O$2</f>
        <v>58.98</v>
      </c>
      <c r="M396">
        <f>'Kullanılan gübre'!M396*'Gübre oranlar'!P$2</f>
        <v>23.13</v>
      </c>
      <c r="N396">
        <f>'Kullanılan gübre'!N396*'Gübre oranlar'!Q$2</f>
        <v>85.034999999999997</v>
      </c>
      <c r="O396">
        <f>'Kullanılan gübre'!O396*'Gübre oranlar'!R$2</f>
        <v>0</v>
      </c>
      <c r="P396">
        <f>'Kullanılan gübre'!P396*'Gübre oranlar'!S$2</f>
        <v>2.08</v>
      </c>
      <c r="Q396">
        <f>'Kullanılan gübre'!Q396*'Gübre oranlar'!T$2</f>
        <v>0</v>
      </c>
      <c r="R396">
        <f>'Kullanılan gübre'!R396*'Gübre oranlar'!U$2</f>
        <v>0</v>
      </c>
      <c r="S396">
        <f>'Kullanılan gübre'!S396*'Gübre oranlar'!V$2</f>
        <v>0</v>
      </c>
      <c r="T396">
        <f>'Kullanılan gübre'!T396*'Gübre oranlar'!W$2</f>
        <v>0</v>
      </c>
      <c r="U396">
        <f>'Kullanılan gübre'!U396*'Gübre oranlar'!X$2</f>
        <v>0</v>
      </c>
      <c r="V396">
        <f>'Kullanılan gübre'!V396*'Gübre oranlar'!Y$2</f>
        <v>0</v>
      </c>
      <c r="W396">
        <f>'Kullanılan gübre'!W396*'Gübre oranlar'!Z$2</f>
        <v>0</v>
      </c>
      <c r="X396">
        <f>'Kullanılan gübre'!X396*'Gübre oranlar'!AA$2</f>
        <v>0</v>
      </c>
      <c r="Y396">
        <f>'Kullanılan gübre'!Y396*'Gübre oranlar'!AB$2</f>
        <v>0</v>
      </c>
      <c r="Z396">
        <f>'Kullanılan gübre'!Z396*'Gübre oranlar'!AC$2</f>
        <v>0</v>
      </c>
      <c r="AA396">
        <f>'Kullanılan gübre'!AA396*'Gübre oranlar'!AD$2</f>
        <v>0</v>
      </c>
      <c r="AB396">
        <f>'Kullanılan gübre'!AB396*'Gübre oranlar'!AE$2</f>
        <v>0</v>
      </c>
      <c r="AC396">
        <f>'Kullanılan gübre'!AC396*'Gübre oranlar'!AF$2</f>
        <v>0</v>
      </c>
      <c r="AD396">
        <f>'Kullanılan gübre'!AD396*'Gübre oranlar'!AG$2</f>
        <v>0</v>
      </c>
      <c r="AE396">
        <f>'Kullanılan gübre'!AE396*'Gübre oranlar'!AH$2</f>
        <v>0</v>
      </c>
      <c r="AF396">
        <f>'Kullanılan gübre'!AF396*'Gübre oranlar'!AI$2</f>
        <v>0</v>
      </c>
      <c r="AG396">
        <f>'Kullanılan gübre'!AG396*'Gübre oranlar'!AJ$2</f>
        <v>0</v>
      </c>
      <c r="AH396">
        <f>'Kullanılan gübre'!AH396*'Gübre oranlar'!AK$2</f>
        <v>0</v>
      </c>
      <c r="AI396">
        <f>'Kullanılan gübre'!AI396*'Gübre oranlar'!AL$2</f>
        <v>0</v>
      </c>
      <c r="AJ396">
        <f>'Kullanılan gübre'!AJ396*'Gübre oranlar'!AM$2</f>
        <v>0</v>
      </c>
      <c r="AK396">
        <f>'Kullanılan gübre'!AK396*'Gübre oranlar'!AN$2</f>
        <v>0</v>
      </c>
      <c r="AL396">
        <f>'Kullanılan gübre'!AL396*'Gübre oranlar'!AO$2</f>
        <v>0</v>
      </c>
      <c r="AM396">
        <f>'Kullanılan gübre'!AM396*'Gübre oranlar'!AP$2</f>
        <v>0</v>
      </c>
      <c r="AN396">
        <f>'Kullanılan gübre'!AN396*'Gübre oranlar'!AQ$2</f>
        <v>0</v>
      </c>
      <c r="AO396">
        <f>'Kullanılan gübre'!AO396*'Gübre oranlar'!AR$2</f>
        <v>0</v>
      </c>
      <c r="AP396">
        <f>'Kullanılan gübre'!AP396*'Gübre oranlar'!AS$2</f>
        <v>0</v>
      </c>
      <c r="AQ396">
        <f>'Kullanılan gübre'!AQ396*'Gübre oranlar'!AT$2</f>
        <v>0</v>
      </c>
      <c r="AR396">
        <f>'Kullanılan gübre'!AR396*'Gübre oranlar'!AU$2</f>
        <v>0</v>
      </c>
      <c r="AS396">
        <f>'Kullanılan gübre'!AS396*'Gübre oranlar'!AV$2</f>
        <v>0</v>
      </c>
      <c r="AT396">
        <f>'Kullanılan gübre'!AT396*'Gübre oranlar'!AW$2</f>
        <v>0</v>
      </c>
      <c r="AU396">
        <f>'Kullanılan gübre'!AU396*'Gübre oranlar'!AX$2</f>
        <v>0</v>
      </c>
      <c r="AV396">
        <f>'Kullanılan gübre'!AV396*'Gübre oranlar'!AY$2</f>
        <v>0</v>
      </c>
      <c r="AW396">
        <f t="shared" si="6"/>
        <v>938.18950000000007</v>
      </c>
    </row>
    <row r="397" spans="1:49" hidden="1" x14ac:dyDescent="0.25">
      <c r="A397" t="str">
        <f>'Kullanılan gübre'!A397</f>
        <v>YI</v>
      </c>
      <c r="B397" t="str">
        <f>'Kullanılan gübre'!B397</f>
        <v>TOKAT</v>
      </c>
      <c r="C397" t="str">
        <f>'Kullanılan gübre'!C397</f>
        <v>PAZAR</v>
      </c>
      <c r="D397">
        <f>'Kullanılan gübre'!D397</f>
        <v>2016</v>
      </c>
      <c r="E397">
        <f>'Kullanılan gübre'!E397*'Gübre oranlar'!H$2</f>
        <v>20.2608</v>
      </c>
      <c r="F397">
        <f>'Kullanılan gübre'!F397*'Gübre oranlar'!I$2</f>
        <v>6.6689999999999996</v>
      </c>
      <c r="G397">
        <f>'Kullanılan gübre'!G397*'Gübre oranlar'!J$2</f>
        <v>117.72750000000001</v>
      </c>
      <c r="H397">
        <f>'Kullanılan gübre'!H397*'Gübre oranlar'!K$2</f>
        <v>227.63100000000003</v>
      </c>
      <c r="I397">
        <f>'Kullanılan gübre'!I397*'Gübre oranlar'!L$2</f>
        <v>0</v>
      </c>
      <c r="J397">
        <f>'Kullanılan gübre'!J397*'Gübre oranlar'!M$2</f>
        <v>61.136999999999993</v>
      </c>
      <c r="K397">
        <f>'Kullanılan gübre'!K397*'Gübre oranlar'!N$2</f>
        <v>4.4799999999999995</v>
      </c>
      <c r="L397">
        <f>'Kullanılan gübre'!L397*'Gübre oranlar'!O$2</f>
        <v>36.230000000000004</v>
      </c>
      <c r="M397">
        <f>'Kullanılan gübre'!M397*'Gübre oranlar'!P$2</f>
        <v>0</v>
      </c>
      <c r="N397">
        <f>'Kullanılan gübre'!N397*'Gübre oranlar'!Q$2</f>
        <v>55.942499999999995</v>
      </c>
      <c r="O397">
        <f>'Kullanılan gübre'!O397*'Gübre oranlar'!R$2</f>
        <v>0</v>
      </c>
      <c r="P397">
        <f>'Kullanılan gübre'!P397*'Gübre oranlar'!S$2</f>
        <v>0.12479999999999999</v>
      </c>
      <c r="Q397">
        <f>'Kullanılan gübre'!Q397*'Gübre oranlar'!T$2</f>
        <v>0</v>
      </c>
      <c r="R397">
        <f>'Kullanılan gübre'!R397*'Gübre oranlar'!U$2</f>
        <v>0</v>
      </c>
      <c r="S397">
        <f>'Kullanılan gübre'!S397*'Gübre oranlar'!V$2</f>
        <v>0</v>
      </c>
      <c r="T397">
        <f>'Kullanılan gübre'!T397*'Gübre oranlar'!W$2</f>
        <v>0</v>
      </c>
      <c r="U397">
        <f>'Kullanılan gübre'!U397*'Gübre oranlar'!X$2</f>
        <v>0</v>
      </c>
      <c r="V397">
        <f>'Kullanılan gübre'!V397*'Gübre oranlar'!Y$2</f>
        <v>0</v>
      </c>
      <c r="W397">
        <f>'Kullanılan gübre'!W397*'Gübre oranlar'!Z$2</f>
        <v>0</v>
      </c>
      <c r="X397">
        <f>'Kullanılan gübre'!X397*'Gübre oranlar'!AA$2</f>
        <v>0</v>
      </c>
      <c r="Y397">
        <f>'Kullanılan gübre'!Y397*'Gübre oranlar'!AB$2</f>
        <v>0</v>
      </c>
      <c r="Z397">
        <f>'Kullanılan gübre'!Z397*'Gübre oranlar'!AC$2</f>
        <v>0</v>
      </c>
      <c r="AA397">
        <f>'Kullanılan gübre'!AA397*'Gübre oranlar'!AD$2</f>
        <v>0</v>
      </c>
      <c r="AB397">
        <f>'Kullanılan gübre'!AB397*'Gübre oranlar'!AE$2</f>
        <v>0</v>
      </c>
      <c r="AC397">
        <f>'Kullanılan gübre'!AC397*'Gübre oranlar'!AF$2</f>
        <v>0</v>
      </c>
      <c r="AD397">
        <f>'Kullanılan gübre'!AD397*'Gübre oranlar'!AG$2</f>
        <v>0</v>
      </c>
      <c r="AE397">
        <f>'Kullanılan gübre'!AE397*'Gübre oranlar'!AH$2</f>
        <v>0</v>
      </c>
      <c r="AF397">
        <f>'Kullanılan gübre'!AF397*'Gübre oranlar'!AI$2</f>
        <v>0</v>
      </c>
      <c r="AG397">
        <f>'Kullanılan gübre'!AG397*'Gübre oranlar'!AJ$2</f>
        <v>0</v>
      </c>
      <c r="AH397">
        <f>'Kullanılan gübre'!AH397*'Gübre oranlar'!AK$2</f>
        <v>0</v>
      </c>
      <c r="AI397">
        <f>'Kullanılan gübre'!AI397*'Gübre oranlar'!AL$2</f>
        <v>0</v>
      </c>
      <c r="AJ397">
        <f>'Kullanılan gübre'!AJ397*'Gübre oranlar'!AM$2</f>
        <v>0</v>
      </c>
      <c r="AK397">
        <f>'Kullanılan gübre'!AK397*'Gübre oranlar'!AN$2</f>
        <v>0</v>
      </c>
      <c r="AL397">
        <f>'Kullanılan gübre'!AL397*'Gübre oranlar'!AO$2</f>
        <v>0</v>
      </c>
      <c r="AM397">
        <f>'Kullanılan gübre'!AM397*'Gübre oranlar'!AP$2</f>
        <v>0</v>
      </c>
      <c r="AN397">
        <f>'Kullanılan gübre'!AN397*'Gübre oranlar'!AQ$2</f>
        <v>0</v>
      </c>
      <c r="AO397">
        <f>'Kullanılan gübre'!AO397*'Gübre oranlar'!AR$2</f>
        <v>0</v>
      </c>
      <c r="AP397">
        <f>'Kullanılan gübre'!AP397*'Gübre oranlar'!AS$2</f>
        <v>0</v>
      </c>
      <c r="AQ397">
        <f>'Kullanılan gübre'!AQ397*'Gübre oranlar'!AT$2</f>
        <v>0</v>
      </c>
      <c r="AR397">
        <f>'Kullanılan gübre'!AR397*'Gübre oranlar'!AU$2</f>
        <v>0</v>
      </c>
      <c r="AS397">
        <f>'Kullanılan gübre'!AS397*'Gübre oranlar'!AV$2</f>
        <v>0</v>
      </c>
      <c r="AT397">
        <f>'Kullanılan gübre'!AT397*'Gübre oranlar'!AW$2</f>
        <v>0</v>
      </c>
      <c r="AU397">
        <f>'Kullanılan gübre'!AU397*'Gübre oranlar'!AX$2</f>
        <v>0</v>
      </c>
      <c r="AV397">
        <f>'Kullanılan gübre'!AV397*'Gübre oranlar'!AY$2</f>
        <v>0</v>
      </c>
      <c r="AW397">
        <f t="shared" si="6"/>
        <v>530.20260000000007</v>
      </c>
    </row>
    <row r="398" spans="1:49" hidden="1" x14ac:dyDescent="0.25">
      <c r="A398" t="str">
        <f>'Kullanılan gübre'!A398</f>
        <v>YI</v>
      </c>
      <c r="B398" t="str">
        <f>'Kullanılan gübre'!B398</f>
        <v>TOKAT</v>
      </c>
      <c r="C398" t="str">
        <f>'Kullanılan gübre'!C398</f>
        <v>RESADIYE</v>
      </c>
      <c r="D398">
        <f>'Kullanılan gübre'!D398</f>
        <v>2016</v>
      </c>
      <c r="E398">
        <f>'Kullanılan gübre'!E398*'Gübre oranlar'!H$2</f>
        <v>0</v>
      </c>
      <c r="F398">
        <f>'Kullanılan gübre'!F398*'Gübre oranlar'!I$2</f>
        <v>17.667000000000002</v>
      </c>
      <c r="G398">
        <f>'Kullanılan gübre'!G398*'Gübre oranlar'!J$2</f>
        <v>78.556500000000014</v>
      </c>
      <c r="H398">
        <f>'Kullanılan gübre'!H398*'Gübre oranlar'!K$2</f>
        <v>24.402999999999999</v>
      </c>
      <c r="I398">
        <f>'Kullanılan gübre'!I398*'Gübre oranlar'!L$2</f>
        <v>0</v>
      </c>
      <c r="J398">
        <f>'Kullanılan gübre'!J398*'Gübre oranlar'!M$2</f>
        <v>4.1130000000000004</v>
      </c>
      <c r="K398">
        <f>'Kullanılan gübre'!K398*'Gübre oranlar'!N$2</f>
        <v>1.2000000000000002</v>
      </c>
      <c r="L398">
        <f>'Kullanılan gübre'!L398*'Gübre oranlar'!O$2</f>
        <v>0</v>
      </c>
      <c r="M398">
        <f>'Kullanılan gübre'!M398*'Gübre oranlar'!P$2</f>
        <v>0.375</v>
      </c>
      <c r="N398">
        <f>'Kullanılan gübre'!N398*'Gübre oranlar'!Q$2</f>
        <v>0</v>
      </c>
      <c r="O398">
        <f>'Kullanılan gübre'!O398*'Gübre oranlar'!R$2</f>
        <v>0</v>
      </c>
      <c r="P398">
        <f>'Kullanılan gübre'!P398*'Gübre oranlar'!S$2</f>
        <v>0</v>
      </c>
      <c r="Q398">
        <f>'Kullanılan gübre'!Q398*'Gübre oranlar'!T$2</f>
        <v>0</v>
      </c>
      <c r="R398">
        <f>'Kullanılan gübre'!R398*'Gübre oranlar'!U$2</f>
        <v>0</v>
      </c>
      <c r="S398">
        <f>'Kullanılan gübre'!S398*'Gübre oranlar'!V$2</f>
        <v>0</v>
      </c>
      <c r="T398">
        <f>'Kullanılan gübre'!T398*'Gübre oranlar'!W$2</f>
        <v>0</v>
      </c>
      <c r="U398">
        <f>'Kullanılan gübre'!U398*'Gübre oranlar'!X$2</f>
        <v>0</v>
      </c>
      <c r="V398">
        <f>'Kullanılan gübre'!V398*'Gübre oranlar'!Y$2</f>
        <v>0</v>
      </c>
      <c r="W398">
        <f>'Kullanılan gübre'!W398*'Gübre oranlar'!Z$2</f>
        <v>0</v>
      </c>
      <c r="X398">
        <f>'Kullanılan gübre'!X398*'Gübre oranlar'!AA$2</f>
        <v>0</v>
      </c>
      <c r="Y398">
        <f>'Kullanılan gübre'!Y398*'Gübre oranlar'!AB$2</f>
        <v>0</v>
      </c>
      <c r="Z398">
        <f>'Kullanılan gübre'!Z398*'Gübre oranlar'!AC$2</f>
        <v>0</v>
      </c>
      <c r="AA398">
        <f>'Kullanılan gübre'!AA398*'Gübre oranlar'!AD$2</f>
        <v>0</v>
      </c>
      <c r="AB398">
        <f>'Kullanılan gübre'!AB398*'Gübre oranlar'!AE$2</f>
        <v>0</v>
      </c>
      <c r="AC398">
        <f>'Kullanılan gübre'!AC398*'Gübre oranlar'!AF$2</f>
        <v>0</v>
      </c>
      <c r="AD398">
        <f>'Kullanılan gübre'!AD398*'Gübre oranlar'!AG$2</f>
        <v>0</v>
      </c>
      <c r="AE398">
        <f>'Kullanılan gübre'!AE398*'Gübre oranlar'!AH$2</f>
        <v>0</v>
      </c>
      <c r="AF398">
        <f>'Kullanılan gübre'!AF398*'Gübre oranlar'!AI$2</f>
        <v>0</v>
      </c>
      <c r="AG398">
        <f>'Kullanılan gübre'!AG398*'Gübre oranlar'!AJ$2</f>
        <v>0</v>
      </c>
      <c r="AH398">
        <f>'Kullanılan gübre'!AH398*'Gübre oranlar'!AK$2</f>
        <v>0</v>
      </c>
      <c r="AI398">
        <f>'Kullanılan gübre'!AI398*'Gübre oranlar'!AL$2</f>
        <v>0</v>
      </c>
      <c r="AJ398">
        <f>'Kullanılan gübre'!AJ398*'Gübre oranlar'!AM$2</f>
        <v>0</v>
      </c>
      <c r="AK398">
        <f>'Kullanılan gübre'!AK398*'Gübre oranlar'!AN$2</f>
        <v>0</v>
      </c>
      <c r="AL398">
        <f>'Kullanılan gübre'!AL398*'Gübre oranlar'!AO$2</f>
        <v>0</v>
      </c>
      <c r="AM398">
        <f>'Kullanılan gübre'!AM398*'Gübre oranlar'!AP$2</f>
        <v>0</v>
      </c>
      <c r="AN398">
        <f>'Kullanılan gübre'!AN398*'Gübre oranlar'!AQ$2</f>
        <v>0</v>
      </c>
      <c r="AO398">
        <f>'Kullanılan gübre'!AO398*'Gübre oranlar'!AR$2</f>
        <v>0</v>
      </c>
      <c r="AP398">
        <f>'Kullanılan gübre'!AP398*'Gübre oranlar'!AS$2</f>
        <v>0</v>
      </c>
      <c r="AQ398">
        <f>'Kullanılan gübre'!AQ398*'Gübre oranlar'!AT$2</f>
        <v>0</v>
      </c>
      <c r="AR398">
        <f>'Kullanılan gübre'!AR398*'Gübre oranlar'!AU$2</f>
        <v>0</v>
      </c>
      <c r="AS398">
        <f>'Kullanılan gübre'!AS398*'Gübre oranlar'!AV$2</f>
        <v>0</v>
      </c>
      <c r="AT398">
        <f>'Kullanılan gübre'!AT398*'Gübre oranlar'!AW$2</f>
        <v>0</v>
      </c>
      <c r="AU398">
        <f>'Kullanılan gübre'!AU398*'Gübre oranlar'!AX$2</f>
        <v>0</v>
      </c>
      <c r="AV398">
        <f>'Kullanılan gübre'!AV398*'Gübre oranlar'!AY$2</f>
        <v>0</v>
      </c>
      <c r="AW398">
        <f t="shared" si="6"/>
        <v>126.31450000000002</v>
      </c>
    </row>
    <row r="399" spans="1:49" hidden="1" x14ac:dyDescent="0.25">
      <c r="A399" t="str">
        <f>'Kullanılan gübre'!A399</f>
        <v>YI</v>
      </c>
      <c r="B399" t="str">
        <f>'Kullanılan gübre'!B399</f>
        <v>TOKAT</v>
      </c>
      <c r="C399" t="str">
        <f>'Kullanılan gübre'!C399</f>
        <v>SULUSARAY</v>
      </c>
      <c r="D399">
        <f>'Kullanılan gübre'!D399</f>
        <v>2016</v>
      </c>
      <c r="E399">
        <f>'Kullanılan gübre'!E399*'Gübre oranlar'!H$2</f>
        <v>1.764</v>
      </c>
      <c r="F399">
        <f>'Kullanılan gübre'!F399*'Gübre oranlar'!I$2</f>
        <v>117.05200000000001</v>
      </c>
      <c r="G399">
        <f>'Kullanılan gübre'!G399*'Gübre oranlar'!J$2</f>
        <v>155.1165</v>
      </c>
      <c r="H399">
        <f>'Kullanılan gübre'!H399*'Gübre oranlar'!K$2</f>
        <v>43.055999999999997</v>
      </c>
      <c r="I399">
        <f>'Kullanılan gübre'!I399*'Gübre oranlar'!L$2</f>
        <v>0</v>
      </c>
      <c r="J399">
        <f>'Kullanılan gübre'!J399*'Gübre oranlar'!M$2</f>
        <v>47.006999999999991</v>
      </c>
      <c r="K399">
        <f>'Kullanılan gübre'!K399*'Gübre oranlar'!N$2</f>
        <v>6.6700000000000008</v>
      </c>
      <c r="L399">
        <f>'Kullanılan gübre'!L399*'Gübre oranlar'!O$2</f>
        <v>16.72</v>
      </c>
      <c r="M399">
        <f>'Kullanılan gübre'!M399*'Gübre oranlar'!P$2</f>
        <v>0</v>
      </c>
      <c r="N399">
        <f>'Kullanılan gübre'!N399*'Gübre oranlar'!Q$2</f>
        <v>0</v>
      </c>
      <c r="O399">
        <f>'Kullanılan gübre'!O399*'Gübre oranlar'!R$2</f>
        <v>0</v>
      </c>
      <c r="P399">
        <f>'Kullanılan gübre'!P399*'Gübre oranlar'!S$2</f>
        <v>0</v>
      </c>
      <c r="Q399">
        <f>'Kullanılan gübre'!Q399*'Gübre oranlar'!T$2</f>
        <v>0</v>
      </c>
      <c r="R399">
        <f>'Kullanılan gübre'!R399*'Gübre oranlar'!U$2</f>
        <v>0</v>
      </c>
      <c r="S399">
        <f>'Kullanılan gübre'!S399*'Gübre oranlar'!V$2</f>
        <v>0</v>
      </c>
      <c r="T399">
        <f>'Kullanılan gübre'!T399*'Gübre oranlar'!W$2</f>
        <v>0</v>
      </c>
      <c r="U399">
        <f>'Kullanılan gübre'!U399*'Gübre oranlar'!X$2</f>
        <v>0</v>
      </c>
      <c r="V399">
        <f>'Kullanılan gübre'!V399*'Gübre oranlar'!Y$2</f>
        <v>0</v>
      </c>
      <c r="W399">
        <f>'Kullanılan gübre'!W399*'Gübre oranlar'!Z$2</f>
        <v>0</v>
      </c>
      <c r="X399">
        <f>'Kullanılan gübre'!X399*'Gübre oranlar'!AA$2</f>
        <v>0</v>
      </c>
      <c r="Y399">
        <f>'Kullanılan gübre'!Y399*'Gübre oranlar'!AB$2</f>
        <v>0</v>
      </c>
      <c r="Z399">
        <f>'Kullanılan gübre'!Z399*'Gübre oranlar'!AC$2</f>
        <v>0</v>
      </c>
      <c r="AA399">
        <f>'Kullanılan gübre'!AA399*'Gübre oranlar'!AD$2</f>
        <v>0</v>
      </c>
      <c r="AB399">
        <f>'Kullanılan gübre'!AB399*'Gübre oranlar'!AE$2</f>
        <v>0</v>
      </c>
      <c r="AC399">
        <f>'Kullanılan gübre'!AC399*'Gübre oranlar'!AF$2</f>
        <v>0</v>
      </c>
      <c r="AD399">
        <f>'Kullanılan gübre'!AD399*'Gübre oranlar'!AG$2</f>
        <v>0</v>
      </c>
      <c r="AE399">
        <f>'Kullanılan gübre'!AE399*'Gübre oranlar'!AH$2</f>
        <v>0</v>
      </c>
      <c r="AF399">
        <f>'Kullanılan gübre'!AF399*'Gübre oranlar'!AI$2</f>
        <v>0</v>
      </c>
      <c r="AG399">
        <f>'Kullanılan gübre'!AG399*'Gübre oranlar'!AJ$2</f>
        <v>0</v>
      </c>
      <c r="AH399">
        <f>'Kullanılan gübre'!AH399*'Gübre oranlar'!AK$2</f>
        <v>0</v>
      </c>
      <c r="AI399">
        <f>'Kullanılan gübre'!AI399*'Gübre oranlar'!AL$2</f>
        <v>0</v>
      </c>
      <c r="AJ399">
        <f>'Kullanılan gübre'!AJ399*'Gübre oranlar'!AM$2</f>
        <v>0</v>
      </c>
      <c r="AK399">
        <f>'Kullanılan gübre'!AK399*'Gübre oranlar'!AN$2</f>
        <v>0</v>
      </c>
      <c r="AL399">
        <f>'Kullanılan gübre'!AL399*'Gübre oranlar'!AO$2</f>
        <v>0</v>
      </c>
      <c r="AM399">
        <f>'Kullanılan gübre'!AM399*'Gübre oranlar'!AP$2</f>
        <v>0</v>
      </c>
      <c r="AN399">
        <f>'Kullanılan gübre'!AN399*'Gübre oranlar'!AQ$2</f>
        <v>0</v>
      </c>
      <c r="AO399">
        <f>'Kullanılan gübre'!AO399*'Gübre oranlar'!AR$2</f>
        <v>0</v>
      </c>
      <c r="AP399">
        <f>'Kullanılan gübre'!AP399*'Gübre oranlar'!AS$2</f>
        <v>0</v>
      </c>
      <c r="AQ399">
        <f>'Kullanılan gübre'!AQ399*'Gübre oranlar'!AT$2</f>
        <v>0</v>
      </c>
      <c r="AR399">
        <f>'Kullanılan gübre'!AR399*'Gübre oranlar'!AU$2</f>
        <v>0</v>
      </c>
      <c r="AS399">
        <f>'Kullanılan gübre'!AS399*'Gübre oranlar'!AV$2</f>
        <v>0</v>
      </c>
      <c r="AT399">
        <f>'Kullanılan gübre'!AT399*'Gübre oranlar'!AW$2</f>
        <v>0</v>
      </c>
      <c r="AU399">
        <f>'Kullanılan gübre'!AU399*'Gübre oranlar'!AX$2</f>
        <v>0</v>
      </c>
      <c r="AV399">
        <f>'Kullanılan gübre'!AV399*'Gübre oranlar'!AY$2</f>
        <v>0</v>
      </c>
      <c r="AW399">
        <f t="shared" si="6"/>
        <v>387.38549999999998</v>
      </c>
    </row>
    <row r="400" spans="1:49" hidden="1" x14ac:dyDescent="0.25">
      <c r="A400" t="str">
        <f>'Kullanılan gübre'!A400</f>
        <v>YI</v>
      </c>
      <c r="B400" t="str">
        <f>'Kullanılan gübre'!B400</f>
        <v>TOKAT</v>
      </c>
      <c r="C400" t="str">
        <f>'Kullanılan gübre'!C400</f>
        <v>TURHAL</v>
      </c>
      <c r="D400">
        <f>'Kullanılan gübre'!D400</f>
        <v>2016</v>
      </c>
      <c r="E400">
        <f>'Kullanılan gübre'!E400*'Gübre oranlar'!H$2</f>
        <v>16.925999999999998</v>
      </c>
      <c r="F400">
        <f>'Kullanılan gübre'!F400*'Gübre oranlar'!I$2</f>
        <v>138.905</v>
      </c>
      <c r="G400">
        <f>'Kullanılan gübre'!G400*'Gübre oranlar'!J$2</f>
        <v>454.3605</v>
      </c>
      <c r="H400">
        <f>'Kullanılan gübre'!H400*'Gübre oranlar'!K$2</f>
        <v>453.33000000000004</v>
      </c>
      <c r="I400">
        <f>'Kullanılan gübre'!I400*'Gübre oranlar'!L$2</f>
        <v>0</v>
      </c>
      <c r="J400">
        <f>'Kullanılan gübre'!J400*'Gübre oranlar'!M$2</f>
        <v>85.031999999999996</v>
      </c>
      <c r="K400">
        <f>'Kullanılan gübre'!K400*'Gübre oranlar'!N$2</f>
        <v>34.19</v>
      </c>
      <c r="L400">
        <f>'Kullanılan gübre'!L400*'Gübre oranlar'!O$2</f>
        <v>30.878</v>
      </c>
      <c r="M400">
        <f>'Kullanılan gübre'!M400*'Gübre oranlar'!P$2</f>
        <v>6.3224999999999998</v>
      </c>
      <c r="N400">
        <f>'Kullanılan gübre'!N400*'Gübre oranlar'!Q$2</f>
        <v>28.125</v>
      </c>
      <c r="O400">
        <f>'Kullanılan gübre'!O400*'Gübre oranlar'!R$2</f>
        <v>0</v>
      </c>
      <c r="P400">
        <f>'Kullanılan gübre'!P400*'Gübre oranlar'!S$2</f>
        <v>0.16250000000000001</v>
      </c>
      <c r="Q400">
        <f>'Kullanılan gübre'!Q400*'Gübre oranlar'!T$2</f>
        <v>0</v>
      </c>
      <c r="R400">
        <f>'Kullanılan gübre'!R400*'Gübre oranlar'!U$2</f>
        <v>0</v>
      </c>
      <c r="S400">
        <f>'Kullanılan gübre'!S400*'Gübre oranlar'!V$2</f>
        <v>0</v>
      </c>
      <c r="T400">
        <f>'Kullanılan gübre'!T400*'Gübre oranlar'!W$2</f>
        <v>0</v>
      </c>
      <c r="U400">
        <f>'Kullanılan gübre'!U400*'Gübre oranlar'!X$2</f>
        <v>0</v>
      </c>
      <c r="V400">
        <f>'Kullanılan gübre'!V400*'Gübre oranlar'!Y$2</f>
        <v>0</v>
      </c>
      <c r="W400">
        <f>'Kullanılan gübre'!W400*'Gübre oranlar'!Z$2</f>
        <v>0</v>
      </c>
      <c r="X400">
        <f>'Kullanılan gübre'!X400*'Gübre oranlar'!AA$2</f>
        <v>0</v>
      </c>
      <c r="Y400">
        <f>'Kullanılan gübre'!Y400*'Gübre oranlar'!AB$2</f>
        <v>0</v>
      </c>
      <c r="Z400">
        <f>'Kullanılan gübre'!Z400*'Gübre oranlar'!AC$2</f>
        <v>0</v>
      </c>
      <c r="AA400">
        <f>'Kullanılan gübre'!AA400*'Gübre oranlar'!AD$2</f>
        <v>0</v>
      </c>
      <c r="AB400">
        <f>'Kullanılan gübre'!AB400*'Gübre oranlar'!AE$2</f>
        <v>0</v>
      </c>
      <c r="AC400">
        <f>'Kullanılan gübre'!AC400*'Gübre oranlar'!AF$2</f>
        <v>0</v>
      </c>
      <c r="AD400">
        <f>'Kullanılan gübre'!AD400*'Gübre oranlar'!AG$2</f>
        <v>0</v>
      </c>
      <c r="AE400">
        <f>'Kullanılan gübre'!AE400*'Gübre oranlar'!AH$2</f>
        <v>0</v>
      </c>
      <c r="AF400">
        <f>'Kullanılan gübre'!AF400*'Gübre oranlar'!AI$2</f>
        <v>0</v>
      </c>
      <c r="AG400">
        <f>'Kullanılan gübre'!AG400*'Gübre oranlar'!AJ$2</f>
        <v>0</v>
      </c>
      <c r="AH400">
        <f>'Kullanılan gübre'!AH400*'Gübre oranlar'!AK$2</f>
        <v>0</v>
      </c>
      <c r="AI400">
        <f>'Kullanılan gübre'!AI400*'Gübre oranlar'!AL$2</f>
        <v>0</v>
      </c>
      <c r="AJ400">
        <f>'Kullanılan gübre'!AJ400*'Gübre oranlar'!AM$2</f>
        <v>0</v>
      </c>
      <c r="AK400">
        <f>'Kullanılan gübre'!AK400*'Gübre oranlar'!AN$2</f>
        <v>0</v>
      </c>
      <c r="AL400">
        <f>'Kullanılan gübre'!AL400*'Gübre oranlar'!AO$2</f>
        <v>0</v>
      </c>
      <c r="AM400">
        <f>'Kullanılan gübre'!AM400*'Gübre oranlar'!AP$2</f>
        <v>0</v>
      </c>
      <c r="AN400">
        <f>'Kullanılan gübre'!AN400*'Gübre oranlar'!AQ$2</f>
        <v>0</v>
      </c>
      <c r="AO400">
        <f>'Kullanılan gübre'!AO400*'Gübre oranlar'!AR$2</f>
        <v>0</v>
      </c>
      <c r="AP400">
        <f>'Kullanılan gübre'!AP400*'Gübre oranlar'!AS$2</f>
        <v>0</v>
      </c>
      <c r="AQ400">
        <f>'Kullanılan gübre'!AQ400*'Gübre oranlar'!AT$2</f>
        <v>0</v>
      </c>
      <c r="AR400">
        <f>'Kullanılan gübre'!AR400*'Gübre oranlar'!AU$2</f>
        <v>0</v>
      </c>
      <c r="AS400">
        <f>'Kullanılan gübre'!AS400*'Gübre oranlar'!AV$2</f>
        <v>0</v>
      </c>
      <c r="AT400">
        <f>'Kullanılan gübre'!AT400*'Gübre oranlar'!AW$2</f>
        <v>0</v>
      </c>
      <c r="AU400">
        <f>'Kullanılan gübre'!AU400*'Gübre oranlar'!AX$2</f>
        <v>0</v>
      </c>
      <c r="AV400">
        <f>'Kullanılan gübre'!AV400*'Gübre oranlar'!AY$2</f>
        <v>0</v>
      </c>
      <c r="AW400">
        <f t="shared" si="6"/>
        <v>1248.2314999999999</v>
      </c>
    </row>
    <row r="401" spans="1:49" hidden="1" x14ac:dyDescent="0.25">
      <c r="A401" t="str">
        <f>'Kullanılan gübre'!A401</f>
        <v>YI</v>
      </c>
      <c r="B401" t="str">
        <f>'Kullanılan gübre'!B401</f>
        <v>TOKAT</v>
      </c>
      <c r="C401" t="str">
        <f>'Kullanılan gübre'!C401</f>
        <v>YESILYURT</v>
      </c>
      <c r="D401">
        <f>'Kullanılan gübre'!D401</f>
        <v>2016</v>
      </c>
      <c r="E401">
        <f>'Kullanılan gübre'!E401*'Gübre oranlar'!H$2</f>
        <v>6.93</v>
      </c>
      <c r="F401">
        <f>'Kullanılan gübre'!F401*'Gübre oranlar'!I$2</f>
        <v>41.235999999999997</v>
      </c>
      <c r="G401">
        <f>'Kullanılan gübre'!G401*'Gübre oranlar'!J$2</f>
        <v>90.618000000000009</v>
      </c>
      <c r="H401">
        <f>'Kullanılan gübre'!H401*'Gübre oranlar'!K$2</f>
        <v>60.191000000000003</v>
      </c>
      <c r="I401">
        <f>'Kullanılan gübre'!I401*'Gübre oranlar'!L$2</f>
        <v>0</v>
      </c>
      <c r="J401">
        <f>'Kullanılan gübre'!J401*'Gübre oranlar'!M$2</f>
        <v>13.392000000000001</v>
      </c>
      <c r="K401">
        <f>'Kullanılan gübre'!K401*'Gübre oranlar'!N$2</f>
        <v>11.990000000000002</v>
      </c>
      <c r="L401">
        <f>'Kullanılan gübre'!L401*'Gübre oranlar'!O$2</f>
        <v>12.26</v>
      </c>
      <c r="M401">
        <f>'Kullanılan gübre'!M401*'Gübre oranlar'!P$2</f>
        <v>0.92249999999999999</v>
      </c>
      <c r="N401">
        <f>'Kullanılan gübre'!N401*'Gübre oranlar'!Q$2</f>
        <v>1.5</v>
      </c>
      <c r="O401">
        <f>'Kullanılan gübre'!O401*'Gübre oranlar'!R$2</f>
        <v>0</v>
      </c>
      <c r="P401">
        <f>'Kullanılan gübre'!P401*'Gübre oranlar'!S$2</f>
        <v>0</v>
      </c>
      <c r="Q401">
        <f>'Kullanılan gübre'!Q401*'Gübre oranlar'!T$2</f>
        <v>0</v>
      </c>
      <c r="R401">
        <f>'Kullanılan gübre'!R401*'Gübre oranlar'!U$2</f>
        <v>0</v>
      </c>
      <c r="S401">
        <f>'Kullanılan gübre'!S401*'Gübre oranlar'!V$2</f>
        <v>0</v>
      </c>
      <c r="T401">
        <f>'Kullanılan gübre'!T401*'Gübre oranlar'!W$2</f>
        <v>0</v>
      </c>
      <c r="U401">
        <f>'Kullanılan gübre'!U401*'Gübre oranlar'!X$2</f>
        <v>0</v>
      </c>
      <c r="V401">
        <f>'Kullanılan gübre'!V401*'Gübre oranlar'!Y$2</f>
        <v>0</v>
      </c>
      <c r="W401">
        <f>'Kullanılan gübre'!W401*'Gübre oranlar'!Z$2</f>
        <v>0</v>
      </c>
      <c r="X401">
        <f>'Kullanılan gübre'!X401*'Gübre oranlar'!AA$2</f>
        <v>0</v>
      </c>
      <c r="Y401">
        <f>'Kullanılan gübre'!Y401*'Gübre oranlar'!AB$2</f>
        <v>0</v>
      </c>
      <c r="Z401">
        <f>'Kullanılan gübre'!Z401*'Gübre oranlar'!AC$2</f>
        <v>0</v>
      </c>
      <c r="AA401">
        <f>'Kullanılan gübre'!AA401*'Gübre oranlar'!AD$2</f>
        <v>0</v>
      </c>
      <c r="AB401">
        <f>'Kullanılan gübre'!AB401*'Gübre oranlar'!AE$2</f>
        <v>0</v>
      </c>
      <c r="AC401">
        <f>'Kullanılan gübre'!AC401*'Gübre oranlar'!AF$2</f>
        <v>0</v>
      </c>
      <c r="AD401">
        <f>'Kullanılan gübre'!AD401*'Gübre oranlar'!AG$2</f>
        <v>0</v>
      </c>
      <c r="AE401">
        <f>'Kullanılan gübre'!AE401*'Gübre oranlar'!AH$2</f>
        <v>0</v>
      </c>
      <c r="AF401">
        <f>'Kullanılan gübre'!AF401*'Gübre oranlar'!AI$2</f>
        <v>0</v>
      </c>
      <c r="AG401">
        <f>'Kullanılan gübre'!AG401*'Gübre oranlar'!AJ$2</f>
        <v>0</v>
      </c>
      <c r="AH401">
        <f>'Kullanılan gübre'!AH401*'Gübre oranlar'!AK$2</f>
        <v>0</v>
      </c>
      <c r="AI401">
        <f>'Kullanılan gübre'!AI401*'Gübre oranlar'!AL$2</f>
        <v>0</v>
      </c>
      <c r="AJ401">
        <f>'Kullanılan gübre'!AJ401*'Gübre oranlar'!AM$2</f>
        <v>0</v>
      </c>
      <c r="AK401">
        <f>'Kullanılan gübre'!AK401*'Gübre oranlar'!AN$2</f>
        <v>0</v>
      </c>
      <c r="AL401">
        <f>'Kullanılan gübre'!AL401*'Gübre oranlar'!AO$2</f>
        <v>0</v>
      </c>
      <c r="AM401">
        <f>'Kullanılan gübre'!AM401*'Gübre oranlar'!AP$2</f>
        <v>0</v>
      </c>
      <c r="AN401">
        <f>'Kullanılan gübre'!AN401*'Gübre oranlar'!AQ$2</f>
        <v>0</v>
      </c>
      <c r="AO401">
        <f>'Kullanılan gübre'!AO401*'Gübre oranlar'!AR$2</f>
        <v>0</v>
      </c>
      <c r="AP401">
        <f>'Kullanılan gübre'!AP401*'Gübre oranlar'!AS$2</f>
        <v>0</v>
      </c>
      <c r="AQ401">
        <f>'Kullanılan gübre'!AQ401*'Gübre oranlar'!AT$2</f>
        <v>0</v>
      </c>
      <c r="AR401">
        <f>'Kullanılan gübre'!AR401*'Gübre oranlar'!AU$2</f>
        <v>0</v>
      </c>
      <c r="AS401">
        <f>'Kullanılan gübre'!AS401*'Gübre oranlar'!AV$2</f>
        <v>0</v>
      </c>
      <c r="AT401">
        <f>'Kullanılan gübre'!AT401*'Gübre oranlar'!AW$2</f>
        <v>0</v>
      </c>
      <c r="AU401">
        <f>'Kullanılan gübre'!AU401*'Gübre oranlar'!AX$2</f>
        <v>0</v>
      </c>
      <c r="AV401">
        <f>'Kullanılan gübre'!AV401*'Gübre oranlar'!AY$2</f>
        <v>0</v>
      </c>
      <c r="AW401">
        <f t="shared" si="6"/>
        <v>239.0395</v>
      </c>
    </row>
    <row r="402" spans="1:49" hidden="1" x14ac:dyDescent="0.25">
      <c r="A402" t="str">
        <f>'Kullanılan gübre'!A402</f>
        <v>YI</v>
      </c>
      <c r="B402" t="str">
        <f>'Kullanılan gübre'!B402</f>
        <v>TOKAT</v>
      </c>
      <c r="C402" t="str">
        <f>'Kullanılan gübre'!C402</f>
        <v>ZILE</v>
      </c>
      <c r="D402">
        <f>'Kullanılan gübre'!D402</f>
        <v>2016</v>
      </c>
      <c r="E402">
        <f>'Kullanılan gübre'!E402*'Gübre oranlar'!H$2</f>
        <v>42.189</v>
      </c>
      <c r="F402">
        <f>'Kullanılan gübre'!F402*'Gübre oranlar'!I$2</f>
        <v>1135.3810000000001</v>
      </c>
      <c r="G402">
        <f>'Kullanılan gübre'!G402*'Gübre oranlar'!J$2</f>
        <v>1146.0669</v>
      </c>
      <c r="H402">
        <f>'Kullanılan gübre'!H402*'Gübre oranlar'!K$2</f>
        <v>884.25800000000004</v>
      </c>
      <c r="I402">
        <f>'Kullanılan gübre'!I402*'Gübre oranlar'!L$2</f>
        <v>0</v>
      </c>
      <c r="J402">
        <f>'Kullanılan gübre'!J402*'Gübre oranlar'!M$2</f>
        <v>280.37700000000001</v>
      </c>
      <c r="K402">
        <f>'Kullanılan gübre'!K402*'Gübre oranlar'!N$2</f>
        <v>305.97199999999998</v>
      </c>
      <c r="L402">
        <f>'Kullanılan gübre'!L402*'Gübre oranlar'!O$2</f>
        <v>157.55000000000001</v>
      </c>
      <c r="M402">
        <f>'Kullanılan gübre'!M402*'Gübre oranlar'!P$2</f>
        <v>3.4724999999999997</v>
      </c>
      <c r="N402">
        <f>'Kullanılan gübre'!N402*'Gübre oranlar'!Q$2</f>
        <v>30.667499999999997</v>
      </c>
      <c r="O402">
        <f>'Kullanılan gübre'!O402*'Gübre oranlar'!R$2</f>
        <v>0</v>
      </c>
      <c r="P402">
        <f>'Kullanılan gübre'!P402*'Gübre oranlar'!S$2</f>
        <v>0</v>
      </c>
      <c r="Q402">
        <f>'Kullanılan gübre'!Q402*'Gübre oranlar'!T$2</f>
        <v>0</v>
      </c>
      <c r="R402">
        <f>'Kullanılan gübre'!R402*'Gübre oranlar'!U$2</f>
        <v>0</v>
      </c>
      <c r="S402">
        <f>'Kullanılan gübre'!S402*'Gübre oranlar'!V$2</f>
        <v>0</v>
      </c>
      <c r="T402">
        <f>'Kullanılan gübre'!T402*'Gübre oranlar'!W$2</f>
        <v>0</v>
      </c>
      <c r="U402">
        <f>'Kullanılan gübre'!U402*'Gübre oranlar'!X$2</f>
        <v>0</v>
      </c>
      <c r="V402">
        <f>'Kullanılan gübre'!V402*'Gübre oranlar'!Y$2</f>
        <v>0</v>
      </c>
      <c r="W402">
        <f>'Kullanılan gübre'!W402*'Gübre oranlar'!Z$2</f>
        <v>0</v>
      </c>
      <c r="X402">
        <f>'Kullanılan gübre'!X402*'Gübre oranlar'!AA$2</f>
        <v>0</v>
      </c>
      <c r="Y402">
        <f>'Kullanılan gübre'!Y402*'Gübre oranlar'!AB$2</f>
        <v>0</v>
      </c>
      <c r="Z402">
        <f>'Kullanılan gübre'!Z402*'Gübre oranlar'!AC$2</f>
        <v>0</v>
      </c>
      <c r="AA402">
        <f>'Kullanılan gübre'!AA402*'Gübre oranlar'!AD$2</f>
        <v>0</v>
      </c>
      <c r="AB402">
        <f>'Kullanılan gübre'!AB402*'Gübre oranlar'!AE$2</f>
        <v>0</v>
      </c>
      <c r="AC402">
        <f>'Kullanılan gübre'!AC402*'Gübre oranlar'!AF$2</f>
        <v>0</v>
      </c>
      <c r="AD402">
        <f>'Kullanılan gübre'!AD402*'Gübre oranlar'!AG$2</f>
        <v>0</v>
      </c>
      <c r="AE402">
        <f>'Kullanılan gübre'!AE402*'Gübre oranlar'!AH$2</f>
        <v>0</v>
      </c>
      <c r="AF402">
        <f>'Kullanılan gübre'!AF402*'Gübre oranlar'!AI$2</f>
        <v>0</v>
      </c>
      <c r="AG402">
        <f>'Kullanılan gübre'!AG402*'Gübre oranlar'!AJ$2</f>
        <v>0</v>
      </c>
      <c r="AH402">
        <f>'Kullanılan gübre'!AH402*'Gübre oranlar'!AK$2</f>
        <v>0</v>
      </c>
      <c r="AI402">
        <f>'Kullanılan gübre'!AI402*'Gübre oranlar'!AL$2</f>
        <v>0</v>
      </c>
      <c r="AJ402">
        <f>'Kullanılan gübre'!AJ402*'Gübre oranlar'!AM$2</f>
        <v>0</v>
      </c>
      <c r="AK402">
        <f>'Kullanılan gübre'!AK402*'Gübre oranlar'!AN$2</f>
        <v>0</v>
      </c>
      <c r="AL402">
        <f>'Kullanılan gübre'!AL402*'Gübre oranlar'!AO$2</f>
        <v>0</v>
      </c>
      <c r="AM402">
        <f>'Kullanılan gübre'!AM402*'Gübre oranlar'!AP$2</f>
        <v>0</v>
      </c>
      <c r="AN402">
        <f>'Kullanılan gübre'!AN402*'Gübre oranlar'!AQ$2</f>
        <v>0</v>
      </c>
      <c r="AO402">
        <f>'Kullanılan gübre'!AO402*'Gübre oranlar'!AR$2</f>
        <v>0</v>
      </c>
      <c r="AP402">
        <f>'Kullanılan gübre'!AP402*'Gübre oranlar'!AS$2</f>
        <v>0</v>
      </c>
      <c r="AQ402">
        <f>'Kullanılan gübre'!AQ402*'Gübre oranlar'!AT$2</f>
        <v>0</v>
      </c>
      <c r="AR402">
        <f>'Kullanılan gübre'!AR402*'Gübre oranlar'!AU$2</f>
        <v>0</v>
      </c>
      <c r="AS402">
        <f>'Kullanılan gübre'!AS402*'Gübre oranlar'!AV$2</f>
        <v>0</v>
      </c>
      <c r="AT402">
        <f>'Kullanılan gübre'!AT402*'Gübre oranlar'!AW$2</f>
        <v>0</v>
      </c>
      <c r="AU402">
        <f>'Kullanılan gübre'!AU402*'Gübre oranlar'!AX$2</f>
        <v>0</v>
      </c>
      <c r="AV402">
        <f>'Kullanılan gübre'!AV402*'Gübre oranlar'!AY$2</f>
        <v>0</v>
      </c>
      <c r="AW402">
        <f t="shared" si="6"/>
        <v>3985.9339000000004</v>
      </c>
    </row>
    <row r="403" spans="1:49" hidden="1" x14ac:dyDescent="0.25">
      <c r="A403" t="str">
        <f>'Kullanılan gübre'!A403</f>
        <v>YI</v>
      </c>
      <c r="B403" t="str">
        <f>'Kullanılan gübre'!B403</f>
        <v>TOKAT</v>
      </c>
      <c r="C403" t="str">
        <f>'Kullanılan gübre'!C403</f>
        <v>MERKEZ</v>
      </c>
      <c r="D403">
        <f>'Kullanılan gübre'!D403</f>
        <v>2017</v>
      </c>
      <c r="E403">
        <f>'Kullanılan gübre'!E403*'Gübre oranlar'!H$2</f>
        <v>108.05549999999998</v>
      </c>
      <c r="F403">
        <f>'Kullanılan gübre'!F403*'Gübre oranlar'!I$2</f>
        <v>635.1930000000001</v>
      </c>
      <c r="G403">
        <f>'Kullanılan gübre'!G403*'Gübre oranlar'!J$2</f>
        <v>0</v>
      </c>
      <c r="H403">
        <f>'Kullanılan gübre'!H403*'Gübre oranlar'!K$2</f>
        <v>716.86400000000003</v>
      </c>
      <c r="I403">
        <f>'Kullanılan gübre'!I403*'Gübre oranlar'!L$2</f>
        <v>0</v>
      </c>
      <c r="J403">
        <f>'Kullanılan gübre'!J403*'Gübre oranlar'!M$2</f>
        <v>104.88600000000001</v>
      </c>
      <c r="K403">
        <f>'Kullanılan gübre'!K403*'Gübre oranlar'!N$2</f>
        <v>58.35</v>
      </c>
      <c r="L403">
        <f>'Kullanılan gübre'!L403*'Gübre oranlar'!O$2</f>
        <v>40.800000000000004</v>
      </c>
      <c r="M403">
        <f>'Kullanılan gübre'!M403*'Gübre oranlar'!P$2</f>
        <v>26.1525</v>
      </c>
      <c r="N403">
        <f>'Kullanılan gübre'!N403*'Gübre oranlar'!Q$2</f>
        <v>48.765000000000001</v>
      </c>
      <c r="O403">
        <f>'Kullanılan gübre'!O403*'Gübre oranlar'!R$2</f>
        <v>0</v>
      </c>
      <c r="P403">
        <f>'Kullanılan gübre'!P403*'Gübre oranlar'!S$2</f>
        <v>4.6124000000000001</v>
      </c>
      <c r="Q403">
        <f>'Kullanılan gübre'!Q403*'Gübre oranlar'!T$2</f>
        <v>0.70799999999999996</v>
      </c>
      <c r="R403">
        <f>'Kullanılan gübre'!R403*'Gübre oranlar'!U$2</f>
        <v>0</v>
      </c>
      <c r="S403">
        <f>'Kullanılan gübre'!S403*'Gübre oranlar'!V$2</f>
        <v>0</v>
      </c>
      <c r="T403">
        <f>'Kullanılan gübre'!T403*'Gübre oranlar'!W$2</f>
        <v>0</v>
      </c>
      <c r="U403">
        <f>'Kullanılan gübre'!U403*'Gübre oranlar'!X$2</f>
        <v>0</v>
      </c>
      <c r="V403">
        <f>'Kullanılan gübre'!V403*'Gübre oranlar'!Y$2</f>
        <v>0</v>
      </c>
      <c r="W403">
        <f>'Kullanılan gübre'!W403*'Gübre oranlar'!Z$2</f>
        <v>0</v>
      </c>
      <c r="X403">
        <f>'Kullanılan gübre'!X403*'Gübre oranlar'!AA$2</f>
        <v>0</v>
      </c>
      <c r="Y403">
        <f>'Kullanılan gübre'!Y403*'Gübre oranlar'!AB$2</f>
        <v>0</v>
      </c>
      <c r="Z403">
        <f>'Kullanılan gübre'!Z403*'Gübre oranlar'!AC$2</f>
        <v>0</v>
      </c>
      <c r="AA403">
        <f>'Kullanılan gübre'!AA403*'Gübre oranlar'!AD$2</f>
        <v>0</v>
      </c>
      <c r="AB403">
        <f>'Kullanılan gübre'!AB403*'Gübre oranlar'!AE$2</f>
        <v>0</v>
      </c>
      <c r="AC403">
        <f>'Kullanılan gübre'!AC403*'Gübre oranlar'!AF$2</f>
        <v>0</v>
      </c>
      <c r="AD403">
        <f>'Kullanılan gübre'!AD403*'Gübre oranlar'!AG$2</f>
        <v>0</v>
      </c>
      <c r="AE403">
        <f>'Kullanılan gübre'!AE403*'Gübre oranlar'!AH$2</f>
        <v>0</v>
      </c>
      <c r="AF403">
        <f>'Kullanılan gübre'!AF403*'Gübre oranlar'!AI$2</f>
        <v>0</v>
      </c>
      <c r="AG403">
        <f>'Kullanılan gübre'!AG403*'Gübre oranlar'!AJ$2</f>
        <v>0</v>
      </c>
      <c r="AH403">
        <f>'Kullanılan gübre'!AH403*'Gübre oranlar'!AK$2</f>
        <v>0</v>
      </c>
      <c r="AI403">
        <f>'Kullanılan gübre'!AI403*'Gübre oranlar'!AL$2</f>
        <v>0</v>
      </c>
      <c r="AJ403">
        <f>'Kullanılan gübre'!AJ403*'Gübre oranlar'!AM$2</f>
        <v>0</v>
      </c>
      <c r="AK403">
        <f>'Kullanılan gübre'!AK403*'Gübre oranlar'!AN$2</f>
        <v>0</v>
      </c>
      <c r="AL403">
        <f>'Kullanılan gübre'!AL403*'Gübre oranlar'!AO$2</f>
        <v>0</v>
      </c>
      <c r="AM403">
        <f>'Kullanılan gübre'!AM403*'Gübre oranlar'!AP$2</f>
        <v>0</v>
      </c>
      <c r="AN403">
        <f>'Kullanılan gübre'!AN403*'Gübre oranlar'!AQ$2</f>
        <v>0</v>
      </c>
      <c r="AO403">
        <f>'Kullanılan gübre'!AO403*'Gübre oranlar'!AR$2</f>
        <v>0</v>
      </c>
      <c r="AP403">
        <f>'Kullanılan gübre'!AP403*'Gübre oranlar'!AS$2</f>
        <v>0</v>
      </c>
      <c r="AQ403">
        <f>'Kullanılan gübre'!AQ403*'Gübre oranlar'!AT$2</f>
        <v>0</v>
      </c>
      <c r="AR403">
        <f>'Kullanılan gübre'!AR403*'Gübre oranlar'!AU$2</f>
        <v>0</v>
      </c>
      <c r="AS403">
        <f>'Kullanılan gübre'!AS403*'Gübre oranlar'!AV$2</f>
        <v>0</v>
      </c>
      <c r="AT403">
        <f>'Kullanılan gübre'!AT403*'Gübre oranlar'!AW$2</f>
        <v>0</v>
      </c>
      <c r="AU403">
        <f>'Kullanılan gübre'!AU403*'Gübre oranlar'!AX$2</f>
        <v>0</v>
      </c>
      <c r="AV403">
        <f>'Kullanılan gübre'!AV403*'Gübre oranlar'!AY$2</f>
        <v>0</v>
      </c>
      <c r="AW403">
        <f t="shared" si="6"/>
        <v>1744.3864000000001</v>
      </c>
    </row>
    <row r="404" spans="1:49" hidden="1" x14ac:dyDescent="0.25">
      <c r="A404" t="str">
        <f>'Kullanılan gübre'!A404</f>
        <v>YI</v>
      </c>
      <c r="B404" t="str">
        <f>'Kullanılan gübre'!B404</f>
        <v>TOKAT</v>
      </c>
      <c r="C404" t="str">
        <f>'Kullanılan gübre'!C404</f>
        <v>ALMUS</v>
      </c>
      <c r="D404">
        <f>'Kullanılan gübre'!D404</f>
        <v>2017</v>
      </c>
      <c r="E404">
        <f>'Kullanılan gübre'!E404*'Gübre oranlar'!H$2</f>
        <v>5.1764999999999999</v>
      </c>
      <c r="F404">
        <f>'Kullanılan gübre'!F404*'Gübre oranlar'!I$2</f>
        <v>12.142000000000001</v>
      </c>
      <c r="G404">
        <f>'Kullanılan gübre'!G404*'Gübre oranlar'!J$2</f>
        <v>0</v>
      </c>
      <c r="H404">
        <f>'Kullanılan gübre'!H404*'Gübre oranlar'!K$2</f>
        <v>99.13000000000001</v>
      </c>
      <c r="I404">
        <f>'Kullanılan gübre'!I404*'Gübre oranlar'!L$2</f>
        <v>0</v>
      </c>
      <c r="J404">
        <f>'Kullanılan gübre'!J404*'Gübre oranlar'!M$2</f>
        <v>8.0640000000000001</v>
      </c>
      <c r="K404">
        <f>'Kullanılan gübre'!K404*'Gübre oranlar'!N$2</f>
        <v>0</v>
      </c>
      <c r="L404">
        <f>'Kullanılan gübre'!L404*'Gübre oranlar'!O$2</f>
        <v>0</v>
      </c>
      <c r="M404">
        <f>'Kullanılan gübre'!M404*'Gübre oranlar'!P$2</f>
        <v>0</v>
      </c>
      <c r="N404">
        <f>'Kullanılan gübre'!N404*'Gübre oranlar'!Q$2</f>
        <v>0</v>
      </c>
      <c r="O404">
        <f>'Kullanılan gübre'!O404*'Gübre oranlar'!R$2</f>
        <v>0</v>
      </c>
      <c r="P404">
        <f>'Kullanılan gübre'!P404*'Gübre oranlar'!S$2</f>
        <v>0</v>
      </c>
      <c r="Q404">
        <f>'Kullanılan gübre'!Q404*'Gübre oranlar'!T$2</f>
        <v>0</v>
      </c>
      <c r="R404">
        <f>'Kullanılan gübre'!R404*'Gübre oranlar'!U$2</f>
        <v>0</v>
      </c>
      <c r="S404">
        <f>'Kullanılan gübre'!S404*'Gübre oranlar'!V$2</f>
        <v>0</v>
      </c>
      <c r="T404">
        <f>'Kullanılan gübre'!T404*'Gübre oranlar'!W$2</f>
        <v>0</v>
      </c>
      <c r="U404">
        <f>'Kullanılan gübre'!U404*'Gübre oranlar'!X$2</f>
        <v>0</v>
      </c>
      <c r="V404">
        <f>'Kullanılan gübre'!V404*'Gübre oranlar'!Y$2</f>
        <v>0</v>
      </c>
      <c r="W404">
        <f>'Kullanılan gübre'!W404*'Gübre oranlar'!Z$2</f>
        <v>0</v>
      </c>
      <c r="X404">
        <f>'Kullanılan gübre'!X404*'Gübre oranlar'!AA$2</f>
        <v>0</v>
      </c>
      <c r="Y404">
        <f>'Kullanılan gübre'!Y404*'Gübre oranlar'!AB$2</f>
        <v>0</v>
      </c>
      <c r="Z404">
        <f>'Kullanılan gübre'!Z404*'Gübre oranlar'!AC$2</f>
        <v>0</v>
      </c>
      <c r="AA404">
        <f>'Kullanılan gübre'!AA404*'Gübre oranlar'!AD$2</f>
        <v>0</v>
      </c>
      <c r="AB404">
        <f>'Kullanılan gübre'!AB404*'Gübre oranlar'!AE$2</f>
        <v>0</v>
      </c>
      <c r="AC404">
        <f>'Kullanılan gübre'!AC404*'Gübre oranlar'!AF$2</f>
        <v>0</v>
      </c>
      <c r="AD404">
        <f>'Kullanılan gübre'!AD404*'Gübre oranlar'!AG$2</f>
        <v>0</v>
      </c>
      <c r="AE404">
        <f>'Kullanılan gübre'!AE404*'Gübre oranlar'!AH$2</f>
        <v>0</v>
      </c>
      <c r="AF404">
        <f>'Kullanılan gübre'!AF404*'Gübre oranlar'!AI$2</f>
        <v>0</v>
      </c>
      <c r="AG404">
        <f>'Kullanılan gübre'!AG404*'Gübre oranlar'!AJ$2</f>
        <v>0</v>
      </c>
      <c r="AH404">
        <f>'Kullanılan gübre'!AH404*'Gübre oranlar'!AK$2</f>
        <v>0</v>
      </c>
      <c r="AI404">
        <f>'Kullanılan gübre'!AI404*'Gübre oranlar'!AL$2</f>
        <v>0</v>
      </c>
      <c r="AJ404">
        <f>'Kullanılan gübre'!AJ404*'Gübre oranlar'!AM$2</f>
        <v>0</v>
      </c>
      <c r="AK404">
        <f>'Kullanılan gübre'!AK404*'Gübre oranlar'!AN$2</f>
        <v>0</v>
      </c>
      <c r="AL404">
        <f>'Kullanılan gübre'!AL404*'Gübre oranlar'!AO$2</f>
        <v>0</v>
      </c>
      <c r="AM404">
        <f>'Kullanılan gübre'!AM404*'Gübre oranlar'!AP$2</f>
        <v>0</v>
      </c>
      <c r="AN404">
        <f>'Kullanılan gübre'!AN404*'Gübre oranlar'!AQ$2</f>
        <v>0</v>
      </c>
      <c r="AO404">
        <f>'Kullanılan gübre'!AO404*'Gübre oranlar'!AR$2</f>
        <v>0</v>
      </c>
      <c r="AP404">
        <f>'Kullanılan gübre'!AP404*'Gübre oranlar'!AS$2</f>
        <v>0</v>
      </c>
      <c r="AQ404">
        <f>'Kullanılan gübre'!AQ404*'Gübre oranlar'!AT$2</f>
        <v>0</v>
      </c>
      <c r="AR404">
        <f>'Kullanılan gübre'!AR404*'Gübre oranlar'!AU$2</f>
        <v>0</v>
      </c>
      <c r="AS404">
        <f>'Kullanılan gübre'!AS404*'Gübre oranlar'!AV$2</f>
        <v>0</v>
      </c>
      <c r="AT404">
        <f>'Kullanılan gübre'!AT404*'Gübre oranlar'!AW$2</f>
        <v>0</v>
      </c>
      <c r="AU404">
        <f>'Kullanılan gübre'!AU404*'Gübre oranlar'!AX$2</f>
        <v>0</v>
      </c>
      <c r="AV404">
        <f>'Kullanılan gübre'!AV404*'Gübre oranlar'!AY$2</f>
        <v>0</v>
      </c>
      <c r="AW404">
        <f t="shared" si="6"/>
        <v>124.51250000000002</v>
      </c>
    </row>
    <row r="405" spans="1:49" hidden="1" x14ac:dyDescent="0.25">
      <c r="A405" t="str">
        <f>'Kullanılan gübre'!A405</f>
        <v>YI</v>
      </c>
      <c r="B405" t="str">
        <f>'Kullanılan gübre'!B405</f>
        <v>TOKAT</v>
      </c>
      <c r="C405" t="str">
        <f>'Kullanılan gübre'!C405</f>
        <v>ARTOVA</v>
      </c>
      <c r="D405">
        <f>'Kullanılan gübre'!D405</f>
        <v>2017</v>
      </c>
      <c r="E405">
        <f>'Kullanılan gübre'!E405*'Gübre oranlar'!H$2</f>
        <v>12.820499999999999</v>
      </c>
      <c r="F405">
        <f>'Kullanılan gübre'!F405*'Gübre oranlar'!I$2</f>
        <v>56.524000000000001</v>
      </c>
      <c r="G405">
        <f>'Kullanılan gübre'!G405*'Gübre oranlar'!J$2</f>
        <v>0</v>
      </c>
      <c r="H405">
        <f>'Kullanılan gübre'!H405*'Gübre oranlar'!K$2</f>
        <v>90.229000000000013</v>
      </c>
      <c r="I405">
        <f>'Kullanılan gübre'!I405*'Gübre oranlar'!L$2</f>
        <v>0</v>
      </c>
      <c r="J405">
        <f>'Kullanılan gübre'!J405*'Gübre oranlar'!M$2</f>
        <v>21.762</v>
      </c>
      <c r="K405">
        <f>'Kullanılan gübre'!K405*'Gübre oranlar'!N$2</f>
        <v>0</v>
      </c>
      <c r="L405">
        <f>'Kullanılan gübre'!L405*'Gübre oranlar'!O$2</f>
        <v>9.8500000000000014</v>
      </c>
      <c r="M405">
        <f>'Kullanılan gübre'!M405*'Gübre oranlar'!P$2</f>
        <v>0</v>
      </c>
      <c r="N405">
        <f>'Kullanılan gübre'!N405*'Gübre oranlar'!Q$2</f>
        <v>0</v>
      </c>
      <c r="O405">
        <f>'Kullanılan gübre'!O405*'Gübre oranlar'!R$2</f>
        <v>0</v>
      </c>
      <c r="P405">
        <f>'Kullanılan gübre'!P405*'Gübre oranlar'!S$2</f>
        <v>0</v>
      </c>
      <c r="Q405">
        <f>'Kullanılan gübre'!Q405*'Gübre oranlar'!T$2</f>
        <v>0</v>
      </c>
      <c r="R405">
        <f>'Kullanılan gübre'!R405*'Gübre oranlar'!U$2</f>
        <v>0</v>
      </c>
      <c r="S405">
        <f>'Kullanılan gübre'!S405*'Gübre oranlar'!V$2</f>
        <v>0</v>
      </c>
      <c r="T405">
        <f>'Kullanılan gübre'!T405*'Gübre oranlar'!W$2</f>
        <v>0</v>
      </c>
      <c r="U405">
        <f>'Kullanılan gübre'!U405*'Gübre oranlar'!X$2</f>
        <v>0</v>
      </c>
      <c r="V405">
        <f>'Kullanılan gübre'!V405*'Gübre oranlar'!Y$2</f>
        <v>0</v>
      </c>
      <c r="W405">
        <f>'Kullanılan gübre'!W405*'Gübre oranlar'!Z$2</f>
        <v>0</v>
      </c>
      <c r="X405">
        <f>'Kullanılan gübre'!X405*'Gübre oranlar'!AA$2</f>
        <v>0</v>
      </c>
      <c r="Y405">
        <f>'Kullanılan gübre'!Y405*'Gübre oranlar'!AB$2</f>
        <v>0</v>
      </c>
      <c r="Z405">
        <f>'Kullanılan gübre'!Z405*'Gübre oranlar'!AC$2</f>
        <v>0</v>
      </c>
      <c r="AA405">
        <f>'Kullanılan gübre'!AA405*'Gübre oranlar'!AD$2</f>
        <v>0</v>
      </c>
      <c r="AB405">
        <f>'Kullanılan gübre'!AB405*'Gübre oranlar'!AE$2</f>
        <v>0</v>
      </c>
      <c r="AC405">
        <f>'Kullanılan gübre'!AC405*'Gübre oranlar'!AF$2</f>
        <v>0</v>
      </c>
      <c r="AD405">
        <f>'Kullanılan gübre'!AD405*'Gübre oranlar'!AG$2</f>
        <v>0</v>
      </c>
      <c r="AE405">
        <f>'Kullanılan gübre'!AE405*'Gübre oranlar'!AH$2</f>
        <v>0</v>
      </c>
      <c r="AF405">
        <f>'Kullanılan gübre'!AF405*'Gübre oranlar'!AI$2</f>
        <v>0</v>
      </c>
      <c r="AG405">
        <f>'Kullanılan gübre'!AG405*'Gübre oranlar'!AJ$2</f>
        <v>0</v>
      </c>
      <c r="AH405">
        <f>'Kullanılan gübre'!AH405*'Gübre oranlar'!AK$2</f>
        <v>0</v>
      </c>
      <c r="AI405">
        <f>'Kullanılan gübre'!AI405*'Gübre oranlar'!AL$2</f>
        <v>0</v>
      </c>
      <c r="AJ405">
        <f>'Kullanılan gübre'!AJ405*'Gübre oranlar'!AM$2</f>
        <v>0</v>
      </c>
      <c r="AK405">
        <f>'Kullanılan gübre'!AK405*'Gübre oranlar'!AN$2</f>
        <v>0</v>
      </c>
      <c r="AL405">
        <f>'Kullanılan gübre'!AL405*'Gübre oranlar'!AO$2</f>
        <v>0</v>
      </c>
      <c r="AM405">
        <f>'Kullanılan gübre'!AM405*'Gübre oranlar'!AP$2</f>
        <v>0</v>
      </c>
      <c r="AN405">
        <f>'Kullanılan gübre'!AN405*'Gübre oranlar'!AQ$2</f>
        <v>0</v>
      </c>
      <c r="AO405">
        <f>'Kullanılan gübre'!AO405*'Gübre oranlar'!AR$2</f>
        <v>0</v>
      </c>
      <c r="AP405">
        <f>'Kullanılan gübre'!AP405*'Gübre oranlar'!AS$2</f>
        <v>0</v>
      </c>
      <c r="AQ405">
        <f>'Kullanılan gübre'!AQ405*'Gübre oranlar'!AT$2</f>
        <v>0</v>
      </c>
      <c r="AR405">
        <f>'Kullanılan gübre'!AR405*'Gübre oranlar'!AU$2</f>
        <v>0</v>
      </c>
      <c r="AS405">
        <f>'Kullanılan gübre'!AS405*'Gübre oranlar'!AV$2</f>
        <v>0</v>
      </c>
      <c r="AT405">
        <f>'Kullanılan gübre'!AT405*'Gübre oranlar'!AW$2</f>
        <v>0</v>
      </c>
      <c r="AU405">
        <f>'Kullanılan gübre'!AU405*'Gübre oranlar'!AX$2</f>
        <v>0</v>
      </c>
      <c r="AV405">
        <f>'Kullanılan gübre'!AV405*'Gübre oranlar'!AY$2</f>
        <v>0</v>
      </c>
      <c r="AW405">
        <f t="shared" si="6"/>
        <v>191.18550000000002</v>
      </c>
    </row>
    <row r="406" spans="1:49" hidden="1" x14ac:dyDescent="0.25">
      <c r="A406" t="str">
        <f>'Kullanılan gübre'!A406</f>
        <v>YI</v>
      </c>
      <c r="B406" t="str">
        <f>'Kullanılan gübre'!B406</f>
        <v>TOKAT</v>
      </c>
      <c r="C406" t="str">
        <f>'Kullanılan gübre'!C406</f>
        <v>BASCIFTLIK</v>
      </c>
      <c r="D406">
        <f>'Kullanılan gübre'!D406</f>
        <v>2017</v>
      </c>
      <c r="E406">
        <f>'Kullanılan gübre'!E406*'Gübre oranlar'!H$2</f>
        <v>0</v>
      </c>
      <c r="F406">
        <f>'Kullanılan gübre'!F406*'Gübre oranlar'!I$2</f>
        <v>0</v>
      </c>
      <c r="G406">
        <f>'Kullanılan gübre'!G406*'Gübre oranlar'!J$2</f>
        <v>0</v>
      </c>
      <c r="H406">
        <f>'Kullanılan gübre'!H406*'Gübre oranlar'!K$2</f>
        <v>0</v>
      </c>
      <c r="I406">
        <f>'Kullanılan gübre'!I406*'Gübre oranlar'!L$2</f>
        <v>0</v>
      </c>
      <c r="J406">
        <f>'Kullanılan gübre'!J406*'Gübre oranlar'!M$2</f>
        <v>0</v>
      </c>
      <c r="K406">
        <f>'Kullanılan gübre'!K406*'Gübre oranlar'!N$2</f>
        <v>0</v>
      </c>
      <c r="L406">
        <f>'Kullanılan gübre'!L406*'Gübre oranlar'!O$2</f>
        <v>0</v>
      </c>
      <c r="M406">
        <f>'Kullanılan gübre'!M406*'Gübre oranlar'!P$2</f>
        <v>0</v>
      </c>
      <c r="N406">
        <f>'Kullanılan gübre'!N406*'Gübre oranlar'!Q$2</f>
        <v>0</v>
      </c>
      <c r="O406">
        <f>'Kullanılan gübre'!O406*'Gübre oranlar'!R$2</f>
        <v>0</v>
      </c>
      <c r="P406">
        <f>'Kullanılan gübre'!P406*'Gübre oranlar'!S$2</f>
        <v>0</v>
      </c>
      <c r="Q406">
        <f>'Kullanılan gübre'!Q406*'Gübre oranlar'!T$2</f>
        <v>0</v>
      </c>
      <c r="R406">
        <f>'Kullanılan gübre'!R406*'Gübre oranlar'!U$2</f>
        <v>0</v>
      </c>
      <c r="S406">
        <f>'Kullanılan gübre'!S406*'Gübre oranlar'!V$2</f>
        <v>0</v>
      </c>
      <c r="T406">
        <f>'Kullanılan gübre'!T406*'Gübre oranlar'!W$2</f>
        <v>0</v>
      </c>
      <c r="U406">
        <f>'Kullanılan gübre'!U406*'Gübre oranlar'!X$2</f>
        <v>0</v>
      </c>
      <c r="V406">
        <f>'Kullanılan gübre'!V406*'Gübre oranlar'!Y$2</f>
        <v>0</v>
      </c>
      <c r="W406">
        <f>'Kullanılan gübre'!W406*'Gübre oranlar'!Z$2</f>
        <v>0</v>
      </c>
      <c r="X406">
        <f>'Kullanılan gübre'!X406*'Gübre oranlar'!AA$2</f>
        <v>0</v>
      </c>
      <c r="Y406">
        <f>'Kullanılan gübre'!Y406*'Gübre oranlar'!AB$2</f>
        <v>0</v>
      </c>
      <c r="Z406">
        <f>'Kullanılan gübre'!Z406*'Gübre oranlar'!AC$2</f>
        <v>0</v>
      </c>
      <c r="AA406">
        <f>'Kullanılan gübre'!AA406*'Gübre oranlar'!AD$2</f>
        <v>0</v>
      </c>
      <c r="AB406">
        <f>'Kullanılan gübre'!AB406*'Gübre oranlar'!AE$2</f>
        <v>0</v>
      </c>
      <c r="AC406">
        <f>'Kullanılan gübre'!AC406*'Gübre oranlar'!AF$2</f>
        <v>0</v>
      </c>
      <c r="AD406">
        <f>'Kullanılan gübre'!AD406*'Gübre oranlar'!AG$2</f>
        <v>0</v>
      </c>
      <c r="AE406">
        <f>'Kullanılan gübre'!AE406*'Gübre oranlar'!AH$2</f>
        <v>0</v>
      </c>
      <c r="AF406">
        <f>'Kullanılan gübre'!AF406*'Gübre oranlar'!AI$2</f>
        <v>0</v>
      </c>
      <c r="AG406">
        <f>'Kullanılan gübre'!AG406*'Gübre oranlar'!AJ$2</f>
        <v>0</v>
      </c>
      <c r="AH406">
        <f>'Kullanılan gübre'!AH406*'Gübre oranlar'!AK$2</f>
        <v>0</v>
      </c>
      <c r="AI406">
        <f>'Kullanılan gübre'!AI406*'Gübre oranlar'!AL$2</f>
        <v>0</v>
      </c>
      <c r="AJ406">
        <f>'Kullanılan gübre'!AJ406*'Gübre oranlar'!AM$2</f>
        <v>0</v>
      </c>
      <c r="AK406">
        <f>'Kullanılan gübre'!AK406*'Gübre oranlar'!AN$2</f>
        <v>0</v>
      </c>
      <c r="AL406">
        <f>'Kullanılan gübre'!AL406*'Gübre oranlar'!AO$2</f>
        <v>0</v>
      </c>
      <c r="AM406">
        <f>'Kullanılan gübre'!AM406*'Gübre oranlar'!AP$2</f>
        <v>0</v>
      </c>
      <c r="AN406">
        <f>'Kullanılan gübre'!AN406*'Gübre oranlar'!AQ$2</f>
        <v>0</v>
      </c>
      <c r="AO406">
        <f>'Kullanılan gübre'!AO406*'Gübre oranlar'!AR$2</f>
        <v>0</v>
      </c>
      <c r="AP406">
        <f>'Kullanılan gübre'!AP406*'Gübre oranlar'!AS$2</f>
        <v>0</v>
      </c>
      <c r="AQ406">
        <f>'Kullanılan gübre'!AQ406*'Gübre oranlar'!AT$2</f>
        <v>0</v>
      </c>
      <c r="AR406">
        <f>'Kullanılan gübre'!AR406*'Gübre oranlar'!AU$2</f>
        <v>0</v>
      </c>
      <c r="AS406">
        <f>'Kullanılan gübre'!AS406*'Gübre oranlar'!AV$2</f>
        <v>0</v>
      </c>
      <c r="AT406">
        <f>'Kullanılan gübre'!AT406*'Gübre oranlar'!AW$2</f>
        <v>0</v>
      </c>
      <c r="AU406">
        <f>'Kullanılan gübre'!AU406*'Gübre oranlar'!AX$2</f>
        <v>0</v>
      </c>
      <c r="AV406">
        <f>'Kullanılan gübre'!AV406*'Gübre oranlar'!AY$2</f>
        <v>0</v>
      </c>
      <c r="AW406">
        <f t="shared" si="6"/>
        <v>0</v>
      </c>
    </row>
    <row r="407" spans="1:49" hidden="1" x14ac:dyDescent="0.25">
      <c r="A407" t="str">
        <f>'Kullanılan gübre'!A407</f>
        <v>YI</v>
      </c>
      <c r="B407" t="str">
        <f>'Kullanılan gübre'!B407</f>
        <v>TOKAT</v>
      </c>
      <c r="C407" t="str">
        <f>'Kullanılan gübre'!C407</f>
        <v>ERBAA</v>
      </c>
      <c r="D407">
        <f>'Kullanılan gübre'!D407</f>
        <v>2017</v>
      </c>
      <c r="E407">
        <f>'Kullanılan gübre'!E407*'Gübre oranlar'!H$2</f>
        <v>225.12209999999999</v>
      </c>
      <c r="F407">
        <f>'Kullanılan gübre'!F407*'Gübre oranlar'!I$2</f>
        <v>281.77500000000003</v>
      </c>
      <c r="G407">
        <f>'Kullanılan gübre'!G407*'Gübre oranlar'!J$2</f>
        <v>0</v>
      </c>
      <c r="H407">
        <f>'Kullanılan gübre'!H407*'Gübre oranlar'!K$2</f>
        <v>727.34280000000001</v>
      </c>
      <c r="I407">
        <f>'Kullanılan gübre'!I407*'Gübre oranlar'!L$2</f>
        <v>0</v>
      </c>
      <c r="J407">
        <f>'Kullanılan gübre'!J407*'Gübre oranlar'!M$2</f>
        <v>45.820799999999998</v>
      </c>
      <c r="K407">
        <f>'Kullanılan gübre'!K407*'Gübre oranlar'!N$2</f>
        <v>58.120000000000005</v>
      </c>
      <c r="L407">
        <f>'Kullanılan gübre'!L407*'Gübre oranlar'!O$2</f>
        <v>16.53</v>
      </c>
      <c r="M407">
        <f>'Kullanılan gübre'!M407*'Gübre oranlar'!P$2</f>
        <v>83.733000000000004</v>
      </c>
      <c r="N407">
        <f>'Kullanılan gübre'!N407*'Gübre oranlar'!Q$2</f>
        <v>72.045000000000002</v>
      </c>
      <c r="O407">
        <f>'Kullanılan gübre'!O407*'Gübre oranlar'!R$2</f>
        <v>0</v>
      </c>
      <c r="P407">
        <f>'Kullanılan gübre'!P407*'Gübre oranlar'!S$2</f>
        <v>0.83200000000000007</v>
      </c>
      <c r="Q407">
        <f>'Kullanılan gübre'!Q407*'Gübre oranlar'!T$2</f>
        <v>0</v>
      </c>
      <c r="R407">
        <f>'Kullanılan gübre'!R407*'Gübre oranlar'!U$2</f>
        <v>0</v>
      </c>
      <c r="S407">
        <f>'Kullanılan gübre'!S407*'Gübre oranlar'!V$2</f>
        <v>0</v>
      </c>
      <c r="T407">
        <f>'Kullanılan gübre'!T407*'Gübre oranlar'!W$2</f>
        <v>0</v>
      </c>
      <c r="U407">
        <f>'Kullanılan gübre'!U407*'Gübre oranlar'!X$2</f>
        <v>0</v>
      </c>
      <c r="V407">
        <f>'Kullanılan gübre'!V407*'Gübre oranlar'!Y$2</f>
        <v>0</v>
      </c>
      <c r="W407">
        <f>'Kullanılan gübre'!W407*'Gübre oranlar'!Z$2</f>
        <v>0</v>
      </c>
      <c r="X407">
        <f>'Kullanılan gübre'!X407*'Gübre oranlar'!AA$2</f>
        <v>0</v>
      </c>
      <c r="Y407">
        <f>'Kullanılan gübre'!Y407*'Gübre oranlar'!AB$2</f>
        <v>0</v>
      </c>
      <c r="Z407">
        <f>'Kullanılan gübre'!Z407*'Gübre oranlar'!AC$2</f>
        <v>0</v>
      </c>
      <c r="AA407">
        <f>'Kullanılan gübre'!AA407*'Gübre oranlar'!AD$2</f>
        <v>0</v>
      </c>
      <c r="AB407">
        <f>'Kullanılan gübre'!AB407*'Gübre oranlar'!AE$2</f>
        <v>0</v>
      </c>
      <c r="AC407">
        <f>'Kullanılan gübre'!AC407*'Gübre oranlar'!AF$2</f>
        <v>0</v>
      </c>
      <c r="AD407">
        <f>'Kullanılan gübre'!AD407*'Gübre oranlar'!AG$2</f>
        <v>0</v>
      </c>
      <c r="AE407">
        <f>'Kullanılan gübre'!AE407*'Gübre oranlar'!AH$2</f>
        <v>0</v>
      </c>
      <c r="AF407">
        <f>'Kullanılan gübre'!AF407*'Gübre oranlar'!AI$2</f>
        <v>0</v>
      </c>
      <c r="AG407">
        <f>'Kullanılan gübre'!AG407*'Gübre oranlar'!AJ$2</f>
        <v>0</v>
      </c>
      <c r="AH407">
        <f>'Kullanılan gübre'!AH407*'Gübre oranlar'!AK$2</f>
        <v>0</v>
      </c>
      <c r="AI407">
        <f>'Kullanılan gübre'!AI407*'Gübre oranlar'!AL$2</f>
        <v>0</v>
      </c>
      <c r="AJ407">
        <f>'Kullanılan gübre'!AJ407*'Gübre oranlar'!AM$2</f>
        <v>0</v>
      </c>
      <c r="AK407">
        <f>'Kullanılan gübre'!AK407*'Gübre oranlar'!AN$2</f>
        <v>0</v>
      </c>
      <c r="AL407">
        <f>'Kullanılan gübre'!AL407*'Gübre oranlar'!AO$2</f>
        <v>0</v>
      </c>
      <c r="AM407">
        <f>'Kullanılan gübre'!AM407*'Gübre oranlar'!AP$2</f>
        <v>0</v>
      </c>
      <c r="AN407">
        <f>'Kullanılan gübre'!AN407*'Gübre oranlar'!AQ$2</f>
        <v>0</v>
      </c>
      <c r="AO407">
        <f>'Kullanılan gübre'!AO407*'Gübre oranlar'!AR$2</f>
        <v>0</v>
      </c>
      <c r="AP407">
        <f>'Kullanılan gübre'!AP407*'Gübre oranlar'!AS$2</f>
        <v>0</v>
      </c>
      <c r="AQ407">
        <f>'Kullanılan gübre'!AQ407*'Gübre oranlar'!AT$2</f>
        <v>0</v>
      </c>
      <c r="AR407">
        <f>'Kullanılan gübre'!AR407*'Gübre oranlar'!AU$2</f>
        <v>0</v>
      </c>
      <c r="AS407">
        <f>'Kullanılan gübre'!AS407*'Gübre oranlar'!AV$2</f>
        <v>0</v>
      </c>
      <c r="AT407">
        <f>'Kullanılan gübre'!AT407*'Gübre oranlar'!AW$2</f>
        <v>0</v>
      </c>
      <c r="AU407">
        <f>'Kullanılan gübre'!AU407*'Gübre oranlar'!AX$2</f>
        <v>0</v>
      </c>
      <c r="AV407">
        <f>'Kullanılan gübre'!AV407*'Gübre oranlar'!AY$2</f>
        <v>0</v>
      </c>
      <c r="AW407">
        <f t="shared" si="6"/>
        <v>1511.3207</v>
      </c>
    </row>
    <row r="408" spans="1:49" hidden="1" x14ac:dyDescent="0.25">
      <c r="A408" t="str">
        <f>'Kullanılan gübre'!A408</f>
        <v>YI</v>
      </c>
      <c r="B408" t="str">
        <f>'Kullanılan gübre'!B408</f>
        <v>TOKAT</v>
      </c>
      <c r="C408" t="str">
        <f>'Kullanılan gübre'!C408</f>
        <v>NIKSAR</v>
      </c>
      <c r="D408">
        <f>'Kullanılan gübre'!D408</f>
        <v>2017</v>
      </c>
      <c r="E408">
        <f>'Kullanılan gübre'!E408*'Gübre oranlar'!H$2</f>
        <v>14.027999999999999</v>
      </c>
      <c r="F408">
        <f>'Kullanılan gübre'!F408*'Gübre oranlar'!I$2</f>
        <v>37.946999999999996</v>
      </c>
      <c r="G408">
        <f>'Kullanılan gübre'!G408*'Gübre oranlar'!J$2</f>
        <v>0</v>
      </c>
      <c r="H408">
        <f>'Kullanılan gübre'!H408*'Gübre oranlar'!K$2</f>
        <v>498.36400000000009</v>
      </c>
      <c r="I408">
        <f>'Kullanılan gübre'!I408*'Gübre oranlar'!L$2</f>
        <v>0</v>
      </c>
      <c r="J408">
        <f>'Kullanılan gübre'!J408*'Gübre oranlar'!M$2</f>
        <v>45.710999999999999</v>
      </c>
      <c r="K408">
        <f>'Kullanılan gübre'!K408*'Gübre oranlar'!N$2</f>
        <v>18.71</v>
      </c>
      <c r="L408">
        <f>'Kullanılan gübre'!L408*'Gübre oranlar'!O$2</f>
        <v>39.17</v>
      </c>
      <c r="M408">
        <f>'Kullanılan gübre'!M408*'Gübre oranlar'!P$2</f>
        <v>13.755000000000001</v>
      </c>
      <c r="N408">
        <f>'Kullanılan gübre'!N408*'Gübre oranlar'!Q$2</f>
        <v>70.05</v>
      </c>
      <c r="O408">
        <f>'Kullanılan gübre'!O408*'Gübre oranlar'!R$2</f>
        <v>0</v>
      </c>
      <c r="P408">
        <f>'Kullanılan gübre'!P408*'Gübre oranlar'!S$2</f>
        <v>1.3715000000000002</v>
      </c>
      <c r="Q408">
        <f>'Kullanılan gübre'!Q408*'Gübre oranlar'!T$2</f>
        <v>33.72</v>
      </c>
      <c r="R408">
        <f>'Kullanılan gübre'!R408*'Gübre oranlar'!U$2</f>
        <v>0</v>
      </c>
      <c r="S408">
        <f>'Kullanılan gübre'!S408*'Gübre oranlar'!V$2</f>
        <v>0</v>
      </c>
      <c r="T408">
        <f>'Kullanılan gübre'!T408*'Gübre oranlar'!W$2</f>
        <v>0</v>
      </c>
      <c r="U408">
        <f>'Kullanılan gübre'!U408*'Gübre oranlar'!X$2</f>
        <v>0</v>
      </c>
      <c r="V408">
        <f>'Kullanılan gübre'!V408*'Gübre oranlar'!Y$2</f>
        <v>0</v>
      </c>
      <c r="W408">
        <f>'Kullanılan gübre'!W408*'Gübre oranlar'!Z$2</f>
        <v>0</v>
      </c>
      <c r="X408">
        <f>'Kullanılan gübre'!X408*'Gübre oranlar'!AA$2</f>
        <v>0</v>
      </c>
      <c r="Y408">
        <f>'Kullanılan gübre'!Y408*'Gübre oranlar'!AB$2</f>
        <v>0</v>
      </c>
      <c r="Z408">
        <f>'Kullanılan gübre'!Z408*'Gübre oranlar'!AC$2</f>
        <v>0</v>
      </c>
      <c r="AA408">
        <f>'Kullanılan gübre'!AA408*'Gübre oranlar'!AD$2</f>
        <v>0</v>
      </c>
      <c r="AB408">
        <f>'Kullanılan gübre'!AB408*'Gübre oranlar'!AE$2</f>
        <v>0</v>
      </c>
      <c r="AC408">
        <f>'Kullanılan gübre'!AC408*'Gübre oranlar'!AF$2</f>
        <v>0</v>
      </c>
      <c r="AD408">
        <f>'Kullanılan gübre'!AD408*'Gübre oranlar'!AG$2</f>
        <v>0</v>
      </c>
      <c r="AE408">
        <f>'Kullanılan gübre'!AE408*'Gübre oranlar'!AH$2</f>
        <v>0</v>
      </c>
      <c r="AF408">
        <f>'Kullanılan gübre'!AF408*'Gübre oranlar'!AI$2</f>
        <v>0</v>
      </c>
      <c r="AG408">
        <f>'Kullanılan gübre'!AG408*'Gübre oranlar'!AJ$2</f>
        <v>0</v>
      </c>
      <c r="AH408">
        <f>'Kullanılan gübre'!AH408*'Gübre oranlar'!AK$2</f>
        <v>0</v>
      </c>
      <c r="AI408">
        <f>'Kullanılan gübre'!AI408*'Gübre oranlar'!AL$2</f>
        <v>0</v>
      </c>
      <c r="AJ408">
        <f>'Kullanılan gübre'!AJ408*'Gübre oranlar'!AM$2</f>
        <v>0</v>
      </c>
      <c r="AK408">
        <f>'Kullanılan gübre'!AK408*'Gübre oranlar'!AN$2</f>
        <v>0</v>
      </c>
      <c r="AL408">
        <f>'Kullanılan gübre'!AL408*'Gübre oranlar'!AO$2</f>
        <v>0</v>
      </c>
      <c r="AM408">
        <f>'Kullanılan gübre'!AM408*'Gübre oranlar'!AP$2</f>
        <v>0</v>
      </c>
      <c r="AN408">
        <f>'Kullanılan gübre'!AN408*'Gübre oranlar'!AQ$2</f>
        <v>0</v>
      </c>
      <c r="AO408">
        <f>'Kullanılan gübre'!AO408*'Gübre oranlar'!AR$2</f>
        <v>0</v>
      </c>
      <c r="AP408">
        <f>'Kullanılan gübre'!AP408*'Gübre oranlar'!AS$2</f>
        <v>0</v>
      </c>
      <c r="AQ408">
        <f>'Kullanılan gübre'!AQ408*'Gübre oranlar'!AT$2</f>
        <v>0</v>
      </c>
      <c r="AR408">
        <f>'Kullanılan gübre'!AR408*'Gübre oranlar'!AU$2</f>
        <v>0</v>
      </c>
      <c r="AS408">
        <f>'Kullanılan gübre'!AS408*'Gübre oranlar'!AV$2</f>
        <v>0</v>
      </c>
      <c r="AT408">
        <f>'Kullanılan gübre'!AT408*'Gübre oranlar'!AW$2</f>
        <v>0</v>
      </c>
      <c r="AU408">
        <f>'Kullanılan gübre'!AU408*'Gübre oranlar'!AX$2</f>
        <v>0</v>
      </c>
      <c r="AV408">
        <f>'Kullanılan gübre'!AV408*'Gübre oranlar'!AY$2</f>
        <v>0</v>
      </c>
      <c r="AW408">
        <f t="shared" si="6"/>
        <v>772.82650000000001</v>
      </c>
    </row>
    <row r="409" spans="1:49" hidden="1" x14ac:dyDescent="0.25">
      <c r="A409" t="str">
        <f>'Kullanılan gübre'!A409</f>
        <v>YI</v>
      </c>
      <c r="B409" t="str">
        <f>'Kullanılan gübre'!B409</f>
        <v>TOKAT</v>
      </c>
      <c r="C409" t="str">
        <f>'Kullanılan gübre'!C409</f>
        <v>PAZAR</v>
      </c>
      <c r="D409">
        <f>'Kullanılan gübre'!D409</f>
        <v>2017</v>
      </c>
      <c r="E409">
        <f>'Kullanılan gübre'!E409*'Gübre oranlar'!H$2</f>
        <v>17.461500000000001</v>
      </c>
      <c r="F409">
        <f>'Kullanılan gübre'!F409*'Gübre oranlar'!I$2</f>
        <v>3.7050000000000001</v>
      </c>
      <c r="G409">
        <f>'Kullanılan gübre'!G409*'Gübre oranlar'!J$2</f>
        <v>0</v>
      </c>
      <c r="H409">
        <f>'Kullanılan gübre'!H409*'Gübre oranlar'!K$2</f>
        <v>469.54500000000002</v>
      </c>
      <c r="I409">
        <f>'Kullanılan gübre'!I409*'Gübre oranlar'!L$2</f>
        <v>0</v>
      </c>
      <c r="J409">
        <f>'Kullanılan gübre'!J409*'Gübre oranlar'!M$2</f>
        <v>26.577000000000002</v>
      </c>
      <c r="K409">
        <f>'Kullanılan gübre'!K409*'Gübre oranlar'!N$2</f>
        <v>10.740000000000002</v>
      </c>
      <c r="L409">
        <f>'Kullanılan gübre'!L409*'Gübre oranlar'!O$2</f>
        <v>18.490000000000002</v>
      </c>
      <c r="M409">
        <f>'Kullanılan gübre'!M409*'Gübre oranlar'!P$2</f>
        <v>0</v>
      </c>
      <c r="N409">
        <f>'Kullanılan gübre'!N409*'Gübre oranlar'!Q$2</f>
        <v>43.709999999999994</v>
      </c>
      <c r="O409">
        <f>'Kullanılan gübre'!O409*'Gübre oranlar'!R$2</f>
        <v>0</v>
      </c>
      <c r="P409">
        <f>'Kullanılan gübre'!P409*'Gübre oranlar'!S$2</f>
        <v>1.8134999999999999</v>
      </c>
      <c r="Q409">
        <f>'Kullanılan gübre'!Q409*'Gübre oranlar'!T$2</f>
        <v>57.12</v>
      </c>
      <c r="R409">
        <f>'Kullanılan gübre'!R409*'Gübre oranlar'!U$2</f>
        <v>0</v>
      </c>
      <c r="S409">
        <f>'Kullanılan gübre'!S409*'Gübre oranlar'!V$2</f>
        <v>0</v>
      </c>
      <c r="T409">
        <f>'Kullanılan gübre'!T409*'Gübre oranlar'!W$2</f>
        <v>0</v>
      </c>
      <c r="U409">
        <f>'Kullanılan gübre'!U409*'Gübre oranlar'!X$2</f>
        <v>0</v>
      </c>
      <c r="V409">
        <f>'Kullanılan gübre'!V409*'Gübre oranlar'!Y$2</f>
        <v>0</v>
      </c>
      <c r="W409">
        <f>'Kullanılan gübre'!W409*'Gübre oranlar'!Z$2</f>
        <v>0</v>
      </c>
      <c r="X409">
        <f>'Kullanılan gübre'!X409*'Gübre oranlar'!AA$2</f>
        <v>0</v>
      </c>
      <c r="Y409">
        <f>'Kullanılan gübre'!Y409*'Gübre oranlar'!AB$2</f>
        <v>0</v>
      </c>
      <c r="Z409">
        <f>'Kullanılan gübre'!Z409*'Gübre oranlar'!AC$2</f>
        <v>0</v>
      </c>
      <c r="AA409">
        <f>'Kullanılan gübre'!AA409*'Gübre oranlar'!AD$2</f>
        <v>0</v>
      </c>
      <c r="AB409">
        <f>'Kullanılan gübre'!AB409*'Gübre oranlar'!AE$2</f>
        <v>0</v>
      </c>
      <c r="AC409">
        <f>'Kullanılan gübre'!AC409*'Gübre oranlar'!AF$2</f>
        <v>0</v>
      </c>
      <c r="AD409">
        <f>'Kullanılan gübre'!AD409*'Gübre oranlar'!AG$2</f>
        <v>0</v>
      </c>
      <c r="AE409">
        <f>'Kullanılan gübre'!AE409*'Gübre oranlar'!AH$2</f>
        <v>0</v>
      </c>
      <c r="AF409">
        <f>'Kullanılan gübre'!AF409*'Gübre oranlar'!AI$2</f>
        <v>0</v>
      </c>
      <c r="AG409">
        <f>'Kullanılan gübre'!AG409*'Gübre oranlar'!AJ$2</f>
        <v>0</v>
      </c>
      <c r="AH409">
        <f>'Kullanılan gübre'!AH409*'Gübre oranlar'!AK$2</f>
        <v>0</v>
      </c>
      <c r="AI409">
        <f>'Kullanılan gübre'!AI409*'Gübre oranlar'!AL$2</f>
        <v>0</v>
      </c>
      <c r="AJ409">
        <f>'Kullanılan gübre'!AJ409*'Gübre oranlar'!AM$2</f>
        <v>0</v>
      </c>
      <c r="AK409">
        <f>'Kullanılan gübre'!AK409*'Gübre oranlar'!AN$2</f>
        <v>0</v>
      </c>
      <c r="AL409">
        <f>'Kullanılan gübre'!AL409*'Gübre oranlar'!AO$2</f>
        <v>0</v>
      </c>
      <c r="AM409">
        <f>'Kullanılan gübre'!AM409*'Gübre oranlar'!AP$2</f>
        <v>0</v>
      </c>
      <c r="AN409">
        <f>'Kullanılan gübre'!AN409*'Gübre oranlar'!AQ$2</f>
        <v>0</v>
      </c>
      <c r="AO409">
        <f>'Kullanılan gübre'!AO409*'Gübre oranlar'!AR$2</f>
        <v>0</v>
      </c>
      <c r="AP409">
        <f>'Kullanılan gübre'!AP409*'Gübre oranlar'!AS$2</f>
        <v>0</v>
      </c>
      <c r="AQ409">
        <f>'Kullanılan gübre'!AQ409*'Gübre oranlar'!AT$2</f>
        <v>0</v>
      </c>
      <c r="AR409">
        <f>'Kullanılan gübre'!AR409*'Gübre oranlar'!AU$2</f>
        <v>0</v>
      </c>
      <c r="AS409">
        <f>'Kullanılan gübre'!AS409*'Gübre oranlar'!AV$2</f>
        <v>0</v>
      </c>
      <c r="AT409">
        <f>'Kullanılan gübre'!AT409*'Gübre oranlar'!AW$2</f>
        <v>0</v>
      </c>
      <c r="AU409">
        <f>'Kullanılan gübre'!AU409*'Gübre oranlar'!AX$2</f>
        <v>0</v>
      </c>
      <c r="AV409">
        <f>'Kullanılan gübre'!AV409*'Gübre oranlar'!AY$2</f>
        <v>0</v>
      </c>
      <c r="AW409">
        <f t="shared" si="6"/>
        <v>649.16200000000003</v>
      </c>
    </row>
    <row r="410" spans="1:49" hidden="1" x14ac:dyDescent="0.25">
      <c r="A410" t="str">
        <f>'Kullanılan gübre'!A410</f>
        <v>YI</v>
      </c>
      <c r="B410" t="str">
        <f>'Kullanılan gübre'!B410</f>
        <v>TOKAT</v>
      </c>
      <c r="C410" t="str">
        <f>'Kullanılan gübre'!C410</f>
        <v>RESADIYE</v>
      </c>
      <c r="D410">
        <f>'Kullanılan gübre'!D410</f>
        <v>2017</v>
      </c>
      <c r="E410">
        <f>'Kullanılan gübre'!E410*'Gübre oranlar'!H$2</f>
        <v>3.7064999999999997</v>
      </c>
      <c r="F410">
        <f>'Kullanılan gübre'!F410*'Gübre oranlar'!I$2</f>
        <v>18.447000000000003</v>
      </c>
      <c r="G410">
        <f>'Kullanılan gübre'!G410*'Gübre oranlar'!J$2</f>
        <v>0</v>
      </c>
      <c r="H410">
        <f>'Kullanılan gübre'!H410*'Gübre oranlar'!K$2</f>
        <v>15.478999999999999</v>
      </c>
      <c r="I410">
        <f>'Kullanılan gübre'!I410*'Gübre oranlar'!L$2</f>
        <v>0</v>
      </c>
      <c r="J410">
        <f>'Kullanılan gübre'!J410*'Gübre oranlar'!M$2</f>
        <v>3.8699999999999997</v>
      </c>
      <c r="K410">
        <f>'Kullanılan gübre'!K410*'Gübre oranlar'!N$2</f>
        <v>2.1</v>
      </c>
      <c r="L410">
        <f>'Kullanılan gübre'!L410*'Gübre oranlar'!O$2</f>
        <v>1.2000000000000002</v>
      </c>
      <c r="M410">
        <f>'Kullanılan gübre'!M410*'Gübre oranlar'!P$2</f>
        <v>0</v>
      </c>
      <c r="N410">
        <f>'Kullanılan gübre'!N410*'Gübre oranlar'!Q$2</f>
        <v>7.4324999999999992</v>
      </c>
      <c r="O410">
        <f>'Kullanılan gübre'!O410*'Gübre oranlar'!R$2</f>
        <v>0</v>
      </c>
      <c r="P410">
        <f>'Kullanılan gübre'!P410*'Gübre oranlar'!S$2</f>
        <v>0</v>
      </c>
      <c r="Q410">
        <f>'Kullanılan gübre'!Q410*'Gübre oranlar'!T$2</f>
        <v>0</v>
      </c>
      <c r="R410">
        <f>'Kullanılan gübre'!R410*'Gübre oranlar'!U$2</f>
        <v>0</v>
      </c>
      <c r="S410">
        <f>'Kullanılan gübre'!S410*'Gübre oranlar'!V$2</f>
        <v>0</v>
      </c>
      <c r="T410">
        <f>'Kullanılan gübre'!T410*'Gübre oranlar'!W$2</f>
        <v>0</v>
      </c>
      <c r="U410">
        <f>'Kullanılan gübre'!U410*'Gübre oranlar'!X$2</f>
        <v>0</v>
      </c>
      <c r="V410">
        <f>'Kullanılan gübre'!V410*'Gübre oranlar'!Y$2</f>
        <v>0</v>
      </c>
      <c r="W410">
        <f>'Kullanılan gübre'!W410*'Gübre oranlar'!Z$2</f>
        <v>0</v>
      </c>
      <c r="X410">
        <f>'Kullanılan gübre'!X410*'Gübre oranlar'!AA$2</f>
        <v>0</v>
      </c>
      <c r="Y410">
        <f>'Kullanılan gübre'!Y410*'Gübre oranlar'!AB$2</f>
        <v>0</v>
      </c>
      <c r="Z410">
        <f>'Kullanılan gübre'!Z410*'Gübre oranlar'!AC$2</f>
        <v>0</v>
      </c>
      <c r="AA410">
        <f>'Kullanılan gübre'!AA410*'Gübre oranlar'!AD$2</f>
        <v>0</v>
      </c>
      <c r="AB410">
        <f>'Kullanılan gübre'!AB410*'Gübre oranlar'!AE$2</f>
        <v>0</v>
      </c>
      <c r="AC410">
        <f>'Kullanılan gübre'!AC410*'Gübre oranlar'!AF$2</f>
        <v>0</v>
      </c>
      <c r="AD410">
        <f>'Kullanılan gübre'!AD410*'Gübre oranlar'!AG$2</f>
        <v>0</v>
      </c>
      <c r="AE410">
        <f>'Kullanılan gübre'!AE410*'Gübre oranlar'!AH$2</f>
        <v>0</v>
      </c>
      <c r="AF410">
        <f>'Kullanılan gübre'!AF410*'Gübre oranlar'!AI$2</f>
        <v>0</v>
      </c>
      <c r="AG410">
        <f>'Kullanılan gübre'!AG410*'Gübre oranlar'!AJ$2</f>
        <v>0</v>
      </c>
      <c r="AH410">
        <f>'Kullanılan gübre'!AH410*'Gübre oranlar'!AK$2</f>
        <v>0</v>
      </c>
      <c r="AI410">
        <f>'Kullanılan gübre'!AI410*'Gübre oranlar'!AL$2</f>
        <v>0</v>
      </c>
      <c r="AJ410">
        <f>'Kullanılan gübre'!AJ410*'Gübre oranlar'!AM$2</f>
        <v>0</v>
      </c>
      <c r="AK410">
        <f>'Kullanılan gübre'!AK410*'Gübre oranlar'!AN$2</f>
        <v>0</v>
      </c>
      <c r="AL410">
        <f>'Kullanılan gübre'!AL410*'Gübre oranlar'!AO$2</f>
        <v>0</v>
      </c>
      <c r="AM410">
        <f>'Kullanılan gübre'!AM410*'Gübre oranlar'!AP$2</f>
        <v>0</v>
      </c>
      <c r="AN410">
        <f>'Kullanılan gübre'!AN410*'Gübre oranlar'!AQ$2</f>
        <v>0</v>
      </c>
      <c r="AO410">
        <f>'Kullanılan gübre'!AO410*'Gübre oranlar'!AR$2</f>
        <v>0</v>
      </c>
      <c r="AP410">
        <f>'Kullanılan gübre'!AP410*'Gübre oranlar'!AS$2</f>
        <v>0</v>
      </c>
      <c r="AQ410">
        <f>'Kullanılan gübre'!AQ410*'Gübre oranlar'!AT$2</f>
        <v>0</v>
      </c>
      <c r="AR410">
        <f>'Kullanılan gübre'!AR410*'Gübre oranlar'!AU$2</f>
        <v>0</v>
      </c>
      <c r="AS410">
        <f>'Kullanılan gübre'!AS410*'Gübre oranlar'!AV$2</f>
        <v>0</v>
      </c>
      <c r="AT410">
        <f>'Kullanılan gübre'!AT410*'Gübre oranlar'!AW$2</f>
        <v>0</v>
      </c>
      <c r="AU410">
        <f>'Kullanılan gübre'!AU410*'Gübre oranlar'!AX$2</f>
        <v>0</v>
      </c>
      <c r="AV410">
        <f>'Kullanılan gübre'!AV410*'Gübre oranlar'!AY$2</f>
        <v>0</v>
      </c>
      <c r="AW410">
        <f t="shared" si="6"/>
        <v>52.234999999999999</v>
      </c>
    </row>
    <row r="411" spans="1:49" hidden="1" x14ac:dyDescent="0.25">
      <c r="A411" t="str">
        <f>'Kullanılan gübre'!A411</f>
        <v>YI</v>
      </c>
      <c r="B411" t="str">
        <f>'Kullanılan gübre'!B411</f>
        <v>TOKAT</v>
      </c>
      <c r="C411" t="str">
        <f>'Kullanılan gübre'!C411</f>
        <v>SULUSARAY</v>
      </c>
      <c r="D411">
        <f>'Kullanılan gübre'!D411</f>
        <v>2017</v>
      </c>
      <c r="E411">
        <f>'Kullanılan gübre'!E411*'Gübre oranlar'!H$2</f>
        <v>5.6174999999999997</v>
      </c>
      <c r="F411">
        <f>'Kullanılan gübre'!F411*'Gübre oranlar'!I$2</f>
        <v>99.853000000000009</v>
      </c>
      <c r="G411">
        <f>'Kullanılan gübre'!G411*'Gübre oranlar'!J$2</f>
        <v>0</v>
      </c>
      <c r="H411">
        <f>'Kullanılan gübre'!H411*'Gübre oranlar'!K$2</f>
        <v>83.650999999999996</v>
      </c>
      <c r="I411">
        <f>'Kullanılan gübre'!I411*'Gübre oranlar'!L$2</f>
        <v>0</v>
      </c>
      <c r="J411">
        <f>'Kullanılan gübre'!J411*'Gübre oranlar'!M$2</f>
        <v>55.574999999999996</v>
      </c>
      <c r="K411">
        <f>'Kullanılan gübre'!K411*'Gübre oranlar'!N$2</f>
        <v>13.690000000000001</v>
      </c>
      <c r="L411">
        <f>'Kullanılan gübre'!L411*'Gübre oranlar'!O$2</f>
        <v>23.47</v>
      </c>
      <c r="M411">
        <f>'Kullanılan gübre'!M411*'Gübre oranlar'!P$2</f>
        <v>0</v>
      </c>
      <c r="N411">
        <f>'Kullanılan gübre'!N411*'Gübre oranlar'!Q$2</f>
        <v>0</v>
      </c>
      <c r="O411">
        <f>'Kullanılan gübre'!O411*'Gübre oranlar'!R$2</f>
        <v>0</v>
      </c>
      <c r="P411">
        <f>'Kullanılan gübre'!P411*'Gübre oranlar'!S$2</f>
        <v>0</v>
      </c>
      <c r="Q411">
        <f>'Kullanılan gübre'!Q411*'Gübre oranlar'!T$2</f>
        <v>0</v>
      </c>
      <c r="R411">
        <f>'Kullanılan gübre'!R411*'Gübre oranlar'!U$2</f>
        <v>0</v>
      </c>
      <c r="S411">
        <f>'Kullanılan gübre'!S411*'Gübre oranlar'!V$2</f>
        <v>0</v>
      </c>
      <c r="T411">
        <f>'Kullanılan gübre'!T411*'Gübre oranlar'!W$2</f>
        <v>0</v>
      </c>
      <c r="U411">
        <f>'Kullanılan gübre'!U411*'Gübre oranlar'!X$2</f>
        <v>0</v>
      </c>
      <c r="V411">
        <f>'Kullanılan gübre'!V411*'Gübre oranlar'!Y$2</f>
        <v>0</v>
      </c>
      <c r="W411">
        <f>'Kullanılan gübre'!W411*'Gübre oranlar'!Z$2</f>
        <v>0</v>
      </c>
      <c r="X411">
        <f>'Kullanılan gübre'!X411*'Gübre oranlar'!AA$2</f>
        <v>0</v>
      </c>
      <c r="Y411">
        <f>'Kullanılan gübre'!Y411*'Gübre oranlar'!AB$2</f>
        <v>0</v>
      </c>
      <c r="Z411">
        <f>'Kullanılan gübre'!Z411*'Gübre oranlar'!AC$2</f>
        <v>0</v>
      </c>
      <c r="AA411">
        <f>'Kullanılan gübre'!AA411*'Gübre oranlar'!AD$2</f>
        <v>0</v>
      </c>
      <c r="AB411">
        <f>'Kullanılan gübre'!AB411*'Gübre oranlar'!AE$2</f>
        <v>0</v>
      </c>
      <c r="AC411">
        <f>'Kullanılan gübre'!AC411*'Gübre oranlar'!AF$2</f>
        <v>0</v>
      </c>
      <c r="AD411">
        <f>'Kullanılan gübre'!AD411*'Gübre oranlar'!AG$2</f>
        <v>0</v>
      </c>
      <c r="AE411">
        <f>'Kullanılan gübre'!AE411*'Gübre oranlar'!AH$2</f>
        <v>0</v>
      </c>
      <c r="AF411">
        <f>'Kullanılan gübre'!AF411*'Gübre oranlar'!AI$2</f>
        <v>0</v>
      </c>
      <c r="AG411">
        <f>'Kullanılan gübre'!AG411*'Gübre oranlar'!AJ$2</f>
        <v>0</v>
      </c>
      <c r="AH411">
        <f>'Kullanılan gübre'!AH411*'Gübre oranlar'!AK$2</f>
        <v>0</v>
      </c>
      <c r="AI411">
        <f>'Kullanılan gübre'!AI411*'Gübre oranlar'!AL$2</f>
        <v>0</v>
      </c>
      <c r="AJ411">
        <f>'Kullanılan gübre'!AJ411*'Gübre oranlar'!AM$2</f>
        <v>0</v>
      </c>
      <c r="AK411">
        <f>'Kullanılan gübre'!AK411*'Gübre oranlar'!AN$2</f>
        <v>0</v>
      </c>
      <c r="AL411">
        <f>'Kullanılan gübre'!AL411*'Gübre oranlar'!AO$2</f>
        <v>0</v>
      </c>
      <c r="AM411">
        <f>'Kullanılan gübre'!AM411*'Gübre oranlar'!AP$2</f>
        <v>0</v>
      </c>
      <c r="AN411">
        <f>'Kullanılan gübre'!AN411*'Gübre oranlar'!AQ$2</f>
        <v>0</v>
      </c>
      <c r="AO411">
        <f>'Kullanılan gübre'!AO411*'Gübre oranlar'!AR$2</f>
        <v>0</v>
      </c>
      <c r="AP411">
        <f>'Kullanılan gübre'!AP411*'Gübre oranlar'!AS$2</f>
        <v>0</v>
      </c>
      <c r="AQ411">
        <f>'Kullanılan gübre'!AQ411*'Gübre oranlar'!AT$2</f>
        <v>0</v>
      </c>
      <c r="AR411">
        <f>'Kullanılan gübre'!AR411*'Gübre oranlar'!AU$2</f>
        <v>0</v>
      </c>
      <c r="AS411">
        <f>'Kullanılan gübre'!AS411*'Gübre oranlar'!AV$2</f>
        <v>0</v>
      </c>
      <c r="AT411">
        <f>'Kullanılan gübre'!AT411*'Gübre oranlar'!AW$2</f>
        <v>0</v>
      </c>
      <c r="AU411">
        <f>'Kullanılan gübre'!AU411*'Gübre oranlar'!AX$2</f>
        <v>0</v>
      </c>
      <c r="AV411">
        <f>'Kullanılan gübre'!AV411*'Gübre oranlar'!AY$2</f>
        <v>0</v>
      </c>
      <c r="AW411">
        <f t="shared" si="6"/>
        <v>281.85649999999998</v>
      </c>
    </row>
    <row r="412" spans="1:49" hidden="1" x14ac:dyDescent="0.25">
      <c r="A412" t="str">
        <f>'Kullanılan gübre'!A412</f>
        <v>YI</v>
      </c>
      <c r="B412" t="str">
        <f>'Kullanılan gübre'!B412</f>
        <v>TOKAT</v>
      </c>
      <c r="C412" t="str">
        <f>'Kullanılan gübre'!C412</f>
        <v>TURHAL</v>
      </c>
      <c r="D412">
        <f>'Kullanılan gübre'!D412</f>
        <v>2017</v>
      </c>
      <c r="E412">
        <f>'Kullanılan gübre'!E412*'Gübre oranlar'!H$2</f>
        <v>50.410499999999999</v>
      </c>
      <c r="F412">
        <f>'Kullanılan gübre'!F412*'Gübre oranlar'!I$2</f>
        <v>227.05799999999999</v>
      </c>
      <c r="G412">
        <f>'Kullanılan gübre'!G412*'Gübre oranlar'!J$2</f>
        <v>0</v>
      </c>
      <c r="H412">
        <f>'Kullanılan gübre'!H412*'Gübre oranlar'!K$2</f>
        <v>141.58800000000002</v>
      </c>
      <c r="I412">
        <f>'Kullanılan gübre'!I412*'Gübre oranlar'!L$2</f>
        <v>0</v>
      </c>
      <c r="J412">
        <f>'Kullanılan gübre'!J412*'Gübre oranlar'!M$2</f>
        <v>24.074999999999999</v>
      </c>
      <c r="K412">
        <f>'Kullanılan gübre'!K412*'Gübre oranlar'!N$2</f>
        <v>19.580000000000002</v>
      </c>
      <c r="L412">
        <f>'Kullanılan gübre'!L412*'Gübre oranlar'!O$2</f>
        <v>13.27</v>
      </c>
      <c r="M412">
        <f>'Kullanılan gübre'!M412*'Gübre oranlar'!P$2</f>
        <v>5.7224999999999993</v>
      </c>
      <c r="N412">
        <f>'Kullanılan gübre'!N412*'Gübre oranlar'!Q$2</f>
        <v>5.0474999999999994</v>
      </c>
      <c r="O412">
        <f>'Kullanılan gübre'!O412*'Gübre oranlar'!R$2</f>
        <v>0</v>
      </c>
      <c r="P412">
        <f>'Kullanılan gübre'!P412*'Gübre oranlar'!S$2</f>
        <v>0.57200000000000006</v>
      </c>
      <c r="Q412">
        <f>'Kullanılan gübre'!Q412*'Gübre oranlar'!T$2</f>
        <v>9</v>
      </c>
      <c r="R412">
        <f>'Kullanılan gübre'!R412*'Gübre oranlar'!U$2</f>
        <v>0</v>
      </c>
      <c r="S412">
        <f>'Kullanılan gübre'!S412*'Gübre oranlar'!V$2</f>
        <v>0</v>
      </c>
      <c r="T412">
        <f>'Kullanılan gübre'!T412*'Gübre oranlar'!W$2</f>
        <v>0</v>
      </c>
      <c r="U412">
        <f>'Kullanılan gübre'!U412*'Gübre oranlar'!X$2</f>
        <v>0</v>
      </c>
      <c r="V412">
        <f>'Kullanılan gübre'!V412*'Gübre oranlar'!Y$2</f>
        <v>0</v>
      </c>
      <c r="W412">
        <f>'Kullanılan gübre'!W412*'Gübre oranlar'!Z$2</f>
        <v>0</v>
      </c>
      <c r="X412">
        <f>'Kullanılan gübre'!X412*'Gübre oranlar'!AA$2</f>
        <v>0</v>
      </c>
      <c r="Y412">
        <f>'Kullanılan gübre'!Y412*'Gübre oranlar'!AB$2</f>
        <v>0</v>
      </c>
      <c r="Z412">
        <f>'Kullanılan gübre'!Z412*'Gübre oranlar'!AC$2</f>
        <v>0</v>
      </c>
      <c r="AA412">
        <f>'Kullanılan gübre'!AA412*'Gübre oranlar'!AD$2</f>
        <v>0</v>
      </c>
      <c r="AB412">
        <f>'Kullanılan gübre'!AB412*'Gübre oranlar'!AE$2</f>
        <v>0</v>
      </c>
      <c r="AC412">
        <f>'Kullanılan gübre'!AC412*'Gübre oranlar'!AF$2</f>
        <v>0</v>
      </c>
      <c r="AD412">
        <f>'Kullanılan gübre'!AD412*'Gübre oranlar'!AG$2</f>
        <v>0</v>
      </c>
      <c r="AE412">
        <f>'Kullanılan gübre'!AE412*'Gübre oranlar'!AH$2</f>
        <v>0</v>
      </c>
      <c r="AF412">
        <f>'Kullanılan gübre'!AF412*'Gübre oranlar'!AI$2</f>
        <v>0</v>
      </c>
      <c r="AG412">
        <f>'Kullanılan gübre'!AG412*'Gübre oranlar'!AJ$2</f>
        <v>0</v>
      </c>
      <c r="AH412">
        <f>'Kullanılan gübre'!AH412*'Gübre oranlar'!AK$2</f>
        <v>0</v>
      </c>
      <c r="AI412">
        <f>'Kullanılan gübre'!AI412*'Gübre oranlar'!AL$2</f>
        <v>0</v>
      </c>
      <c r="AJ412">
        <f>'Kullanılan gübre'!AJ412*'Gübre oranlar'!AM$2</f>
        <v>0</v>
      </c>
      <c r="AK412">
        <f>'Kullanılan gübre'!AK412*'Gübre oranlar'!AN$2</f>
        <v>0</v>
      </c>
      <c r="AL412">
        <f>'Kullanılan gübre'!AL412*'Gübre oranlar'!AO$2</f>
        <v>0</v>
      </c>
      <c r="AM412">
        <f>'Kullanılan gübre'!AM412*'Gübre oranlar'!AP$2</f>
        <v>0</v>
      </c>
      <c r="AN412">
        <f>'Kullanılan gübre'!AN412*'Gübre oranlar'!AQ$2</f>
        <v>0</v>
      </c>
      <c r="AO412">
        <f>'Kullanılan gübre'!AO412*'Gübre oranlar'!AR$2</f>
        <v>0</v>
      </c>
      <c r="AP412">
        <f>'Kullanılan gübre'!AP412*'Gübre oranlar'!AS$2</f>
        <v>0</v>
      </c>
      <c r="AQ412">
        <f>'Kullanılan gübre'!AQ412*'Gübre oranlar'!AT$2</f>
        <v>0</v>
      </c>
      <c r="AR412">
        <f>'Kullanılan gübre'!AR412*'Gübre oranlar'!AU$2</f>
        <v>0</v>
      </c>
      <c r="AS412">
        <f>'Kullanılan gübre'!AS412*'Gübre oranlar'!AV$2</f>
        <v>0</v>
      </c>
      <c r="AT412">
        <f>'Kullanılan gübre'!AT412*'Gübre oranlar'!AW$2</f>
        <v>0</v>
      </c>
      <c r="AU412">
        <f>'Kullanılan gübre'!AU412*'Gübre oranlar'!AX$2</f>
        <v>0</v>
      </c>
      <c r="AV412">
        <f>'Kullanılan gübre'!AV412*'Gübre oranlar'!AY$2</f>
        <v>0</v>
      </c>
      <c r="AW412">
        <f t="shared" si="6"/>
        <v>496.32350000000002</v>
      </c>
    </row>
    <row r="413" spans="1:49" hidden="1" x14ac:dyDescent="0.25">
      <c r="A413" t="str">
        <f>'Kullanılan gübre'!A413</f>
        <v>YI</v>
      </c>
      <c r="B413" t="str">
        <f>'Kullanılan gübre'!B413</f>
        <v>TOKAT</v>
      </c>
      <c r="C413" t="str">
        <f>'Kullanılan gübre'!C413</f>
        <v>YESILYURT</v>
      </c>
      <c r="D413">
        <f>'Kullanılan gübre'!D413</f>
        <v>2017</v>
      </c>
      <c r="E413">
        <f>'Kullanılan gübre'!E413*'Gübre oranlar'!H$2</f>
        <v>19.477499999999999</v>
      </c>
      <c r="F413">
        <f>'Kullanılan gübre'!F413*'Gübre oranlar'!I$2</f>
        <v>49.244</v>
      </c>
      <c r="G413">
        <f>'Kullanılan gübre'!G413*'Gübre oranlar'!J$2</f>
        <v>0</v>
      </c>
      <c r="H413">
        <f>'Kullanılan gübre'!H413*'Gübre oranlar'!K$2</f>
        <v>127.53500000000001</v>
      </c>
      <c r="I413">
        <f>'Kullanılan gübre'!I413*'Gübre oranlar'!L$2</f>
        <v>0</v>
      </c>
      <c r="J413">
        <f>'Kullanılan gübre'!J413*'Gübre oranlar'!M$2</f>
        <v>29.637</v>
      </c>
      <c r="K413">
        <f>'Kullanılan gübre'!K413*'Gübre oranlar'!N$2</f>
        <v>4.7600000000000007</v>
      </c>
      <c r="L413">
        <f>'Kullanılan gübre'!L413*'Gübre oranlar'!O$2</f>
        <v>4</v>
      </c>
      <c r="M413">
        <f>'Kullanılan gübre'!M413*'Gübre oranlar'!P$2</f>
        <v>0</v>
      </c>
      <c r="N413">
        <f>'Kullanılan gübre'!N413*'Gübre oranlar'!Q$2</f>
        <v>0</v>
      </c>
      <c r="O413">
        <f>'Kullanılan gübre'!O413*'Gübre oranlar'!R$2</f>
        <v>0</v>
      </c>
      <c r="P413">
        <f>'Kullanılan gübre'!P413*'Gübre oranlar'!S$2</f>
        <v>0</v>
      </c>
      <c r="Q413">
        <f>'Kullanılan gübre'!Q413*'Gübre oranlar'!T$2</f>
        <v>0.66599999999999993</v>
      </c>
      <c r="R413">
        <f>'Kullanılan gübre'!R413*'Gübre oranlar'!U$2</f>
        <v>0</v>
      </c>
      <c r="S413">
        <f>'Kullanılan gübre'!S413*'Gübre oranlar'!V$2</f>
        <v>0</v>
      </c>
      <c r="T413">
        <f>'Kullanılan gübre'!T413*'Gübre oranlar'!W$2</f>
        <v>0</v>
      </c>
      <c r="U413">
        <f>'Kullanılan gübre'!U413*'Gübre oranlar'!X$2</f>
        <v>0</v>
      </c>
      <c r="V413">
        <f>'Kullanılan gübre'!V413*'Gübre oranlar'!Y$2</f>
        <v>0</v>
      </c>
      <c r="W413">
        <f>'Kullanılan gübre'!W413*'Gübre oranlar'!Z$2</f>
        <v>0</v>
      </c>
      <c r="X413">
        <f>'Kullanılan gübre'!X413*'Gübre oranlar'!AA$2</f>
        <v>0</v>
      </c>
      <c r="Y413">
        <f>'Kullanılan gübre'!Y413*'Gübre oranlar'!AB$2</f>
        <v>0</v>
      </c>
      <c r="Z413">
        <f>'Kullanılan gübre'!Z413*'Gübre oranlar'!AC$2</f>
        <v>0</v>
      </c>
      <c r="AA413">
        <f>'Kullanılan gübre'!AA413*'Gübre oranlar'!AD$2</f>
        <v>0</v>
      </c>
      <c r="AB413">
        <f>'Kullanılan gübre'!AB413*'Gübre oranlar'!AE$2</f>
        <v>0</v>
      </c>
      <c r="AC413">
        <f>'Kullanılan gübre'!AC413*'Gübre oranlar'!AF$2</f>
        <v>0</v>
      </c>
      <c r="AD413">
        <f>'Kullanılan gübre'!AD413*'Gübre oranlar'!AG$2</f>
        <v>0</v>
      </c>
      <c r="AE413">
        <f>'Kullanılan gübre'!AE413*'Gübre oranlar'!AH$2</f>
        <v>0</v>
      </c>
      <c r="AF413">
        <f>'Kullanılan gübre'!AF413*'Gübre oranlar'!AI$2</f>
        <v>0</v>
      </c>
      <c r="AG413">
        <f>'Kullanılan gübre'!AG413*'Gübre oranlar'!AJ$2</f>
        <v>0</v>
      </c>
      <c r="AH413">
        <f>'Kullanılan gübre'!AH413*'Gübre oranlar'!AK$2</f>
        <v>0</v>
      </c>
      <c r="AI413">
        <f>'Kullanılan gübre'!AI413*'Gübre oranlar'!AL$2</f>
        <v>0</v>
      </c>
      <c r="AJ413">
        <f>'Kullanılan gübre'!AJ413*'Gübre oranlar'!AM$2</f>
        <v>0</v>
      </c>
      <c r="AK413">
        <f>'Kullanılan gübre'!AK413*'Gübre oranlar'!AN$2</f>
        <v>0</v>
      </c>
      <c r="AL413">
        <f>'Kullanılan gübre'!AL413*'Gübre oranlar'!AO$2</f>
        <v>0</v>
      </c>
      <c r="AM413">
        <f>'Kullanılan gübre'!AM413*'Gübre oranlar'!AP$2</f>
        <v>0</v>
      </c>
      <c r="AN413">
        <f>'Kullanılan gübre'!AN413*'Gübre oranlar'!AQ$2</f>
        <v>0</v>
      </c>
      <c r="AO413">
        <f>'Kullanılan gübre'!AO413*'Gübre oranlar'!AR$2</f>
        <v>0</v>
      </c>
      <c r="AP413">
        <f>'Kullanılan gübre'!AP413*'Gübre oranlar'!AS$2</f>
        <v>0</v>
      </c>
      <c r="AQ413">
        <f>'Kullanılan gübre'!AQ413*'Gübre oranlar'!AT$2</f>
        <v>0</v>
      </c>
      <c r="AR413">
        <f>'Kullanılan gübre'!AR413*'Gübre oranlar'!AU$2</f>
        <v>0</v>
      </c>
      <c r="AS413">
        <f>'Kullanılan gübre'!AS413*'Gübre oranlar'!AV$2</f>
        <v>0</v>
      </c>
      <c r="AT413">
        <f>'Kullanılan gübre'!AT413*'Gübre oranlar'!AW$2</f>
        <v>0</v>
      </c>
      <c r="AU413">
        <f>'Kullanılan gübre'!AU413*'Gübre oranlar'!AX$2</f>
        <v>0</v>
      </c>
      <c r="AV413">
        <f>'Kullanılan gübre'!AV413*'Gübre oranlar'!AY$2</f>
        <v>0</v>
      </c>
      <c r="AW413">
        <f t="shared" si="6"/>
        <v>235.31950000000001</v>
      </c>
    </row>
    <row r="414" spans="1:49" hidden="1" x14ac:dyDescent="0.25">
      <c r="A414" t="str">
        <f>'Kullanılan gübre'!A414</f>
        <v>YI</v>
      </c>
      <c r="B414" t="str">
        <f>'Kullanılan gübre'!B414</f>
        <v>TOKAT</v>
      </c>
      <c r="C414" t="str">
        <f>'Kullanılan gübre'!C414</f>
        <v>ZILE</v>
      </c>
      <c r="D414">
        <f>'Kullanılan gübre'!D414</f>
        <v>2017</v>
      </c>
      <c r="E414">
        <f>'Kullanılan gübre'!E414*'Gübre oranlar'!H$2</f>
        <v>138.34799999999998</v>
      </c>
      <c r="F414">
        <f>'Kullanılan gübre'!F414*'Gübre oranlar'!I$2</f>
        <v>975.92820000000006</v>
      </c>
      <c r="G414">
        <f>'Kullanılan gübre'!G414*'Gübre oranlar'!J$2</f>
        <v>0</v>
      </c>
      <c r="H414">
        <f>'Kullanılan gübre'!H414*'Gübre oranlar'!K$2</f>
        <v>2216.4133999999999</v>
      </c>
      <c r="I414">
        <f>'Kullanılan gübre'!I414*'Gübre oranlar'!L$2</f>
        <v>0</v>
      </c>
      <c r="J414">
        <f>'Kullanılan gübre'!J414*'Gübre oranlar'!M$2</f>
        <v>121.27679999999999</v>
      </c>
      <c r="K414">
        <f>'Kullanılan gübre'!K414*'Gübre oranlar'!N$2</f>
        <v>233.58000000000004</v>
      </c>
      <c r="L414">
        <f>'Kullanılan gübre'!L414*'Gübre oranlar'!O$2</f>
        <v>53.670000000000009</v>
      </c>
      <c r="M414">
        <f>'Kullanılan gübre'!M414*'Gübre oranlar'!P$2</f>
        <v>57.929999999999993</v>
      </c>
      <c r="N414">
        <f>'Kullanılan gübre'!N414*'Gübre oranlar'!Q$2</f>
        <v>28.035</v>
      </c>
      <c r="O414">
        <f>'Kullanılan gübre'!O414*'Gübre oranlar'!R$2</f>
        <v>0</v>
      </c>
      <c r="P414">
        <f>'Kullanılan gübre'!P414*'Gübre oranlar'!S$2</f>
        <v>0</v>
      </c>
      <c r="Q414">
        <f>'Kullanılan gübre'!Q414*'Gübre oranlar'!T$2</f>
        <v>115.19999999999999</v>
      </c>
      <c r="R414">
        <f>'Kullanılan gübre'!R414*'Gübre oranlar'!U$2</f>
        <v>0</v>
      </c>
      <c r="S414">
        <f>'Kullanılan gübre'!S414*'Gübre oranlar'!V$2</f>
        <v>0</v>
      </c>
      <c r="T414">
        <f>'Kullanılan gübre'!T414*'Gübre oranlar'!W$2</f>
        <v>0</v>
      </c>
      <c r="U414">
        <f>'Kullanılan gübre'!U414*'Gübre oranlar'!X$2</f>
        <v>0</v>
      </c>
      <c r="V414">
        <f>'Kullanılan gübre'!V414*'Gübre oranlar'!Y$2</f>
        <v>0</v>
      </c>
      <c r="W414">
        <f>'Kullanılan gübre'!W414*'Gübre oranlar'!Z$2</f>
        <v>0</v>
      </c>
      <c r="X414">
        <f>'Kullanılan gübre'!X414*'Gübre oranlar'!AA$2</f>
        <v>0</v>
      </c>
      <c r="Y414">
        <f>'Kullanılan gübre'!Y414*'Gübre oranlar'!AB$2</f>
        <v>0</v>
      </c>
      <c r="Z414">
        <f>'Kullanılan gübre'!Z414*'Gübre oranlar'!AC$2</f>
        <v>0</v>
      </c>
      <c r="AA414">
        <f>'Kullanılan gübre'!AA414*'Gübre oranlar'!AD$2</f>
        <v>0</v>
      </c>
      <c r="AB414">
        <f>'Kullanılan gübre'!AB414*'Gübre oranlar'!AE$2</f>
        <v>0</v>
      </c>
      <c r="AC414">
        <f>'Kullanılan gübre'!AC414*'Gübre oranlar'!AF$2</f>
        <v>0</v>
      </c>
      <c r="AD414">
        <f>'Kullanılan gübre'!AD414*'Gübre oranlar'!AG$2</f>
        <v>0</v>
      </c>
      <c r="AE414">
        <f>'Kullanılan gübre'!AE414*'Gübre oranlar'!AH$2</f>
        <v>0</v>
      </c>
      <c r="AF414">
        <f>'Kullanılan gübre'!AF414*'Gübre oranlar'!AI$2</f>
        <v>0</v>
      </c>
      <c r="AG414">
        <f>'Kullanılan gübre'!AG414*'Gübre oranlar'!AJ$2</f>
        <v>0</v>
      </c>
      <c r="AH414">
        <f>'Kullanılan gübre'!AH414*'Gübre oranlar'!AK$2</f>
        <v>0</v>
      </c>
      <c r="AI414">
        <f>'Kullanılan gübre'!AI414*'Gübre oranlar'!AL$2</f>
        <v>0</v>
      </c>
      <c r="AJ414">
        <f>'Kullanılan gübre'!AJ414*'Gübre oranlar'!AM$2</f>
        <v>0</v>
      </c>
      <c r="AK414">
        <f>'Kullanılan gübre'!AK414*'Gübre oranlar'!AN$2</f>
        <v>0</v>
      </c>
      <c r="AL414">
        <f>'Kullanılan gübre'!AL414*'Gübre oranlar'!AO$2</f>
        <v>0</v>
      </c>
      <c r="AM414">
        <f>'Kullanılan gübre'!AM414*'Gübre oranlar'!AP$2</f>
        <v>0</v>
      </c>
      <c r="AN414">
        <f>'Kullanılan gübre'!AN414*'Gübre oranlar'!AQ$2</f>
        <v>0</v>
      </c>
      <c r="AO414">
        <f>'Kullanılan gübre'!AO414*'Gübre oranlar'!AR$2</f>
        <v>0</v>
      </c>
      <c r="AP414">
        <f>'Kullanılan gübre'!AP414*'Gübre oranlar'!AS$2</f>
        <v>0</v>
      </c>
      <c r="AQ414">
        <f>'Kullanılan gübre'!AQ414*'Gübre oranlar'!AT$2</f>
        <v>0</v>
      </c>
      <c r="AR414">
        <f>'Kullanılan gübre'!AR414*'Gübre oranlar'!AU$2</f>
        <v>0</v>
      </c>
      <c r="AS414">
        <f>'Kullanılan gübre'!AS414*'Gübre oranlar'!AV$2</f>
        <v>0</v>
      </c>
      <c r="AT414">
        <f>'Kullanılan gübre'!AT414*'Gübre oranlar'!AW$2</f>
        <v>0</v>
      </c>
      <c r="AU414">
        <f>'Kullanılan gübre'!AU414*'Gübre oranlar'!AX$2</f>
        <v>0</v>
      </c>
      <c r="AV414">
        <f>'Kullanılan gübre'!AV414*'Gübre oranlar'!AY$2</f>
        <v>0</v>
      </c>
      <c r="AW414">
        <f t="shared" si="6"/>
        <v>3940.3813999999993</v>
      </c>
    </row>
  </sheetData>
  <autoFilter ref="A1:AW414">
    <filterColumn colId="1">
      <filters>
        <filter val="AFYONKARAHISAR"/>
      </filters>
    </filterColumn>
    <filterColumn colId="3">
      <filters>
        <filter val="2017"/>
      </filters>
    </filterColumn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414"/>
  <sheetViews>
    <sheetView zoomScale="55" zoomScaleNormal="55" workbookViewId="0">
      <selection activeCell="AW2" sqref="AW2"/>
    </sheetView>
  </sheetViews>
  <sheetFormatPr defaultRowHeight="15" x14ac:dyDescent="0.25"/>
  <sheetData>
    <row r="1" spans="1:49" x14ac:dyDescent="0.25">
      <c r="A1" t="s">
        <v>2</v>
      </c>
      <c r="B1" t="s">
        <v>1</v>
      </c>
      <c r="C1" t="s">
        <v>0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20</v>
      </c>
      <c r="P1" t="s">
        <v>21</v>
      </c>
      <c r="Q1" t="s">
        <v>19</v>
      </c>
      <c r="R1" t="s">
        <v>11</v>
      </c>
      <c r="S1" t="s">
        <v>23</v>
      </c>
      <c r="T1" t="s">
        <v>26</v>
      </c>
      <c r="U1" t="s">
        <v>17</v>
      </c>
      <c r="V1" t="s">
        <v>24</v>
      </c>
      <c r="W1" t="s">
        <v>64</v>
      </c>
      <c r="X1" t="s">
        <v>53</v>
      </c>
      <c r="Y1" t="s">
        <v>93</v>
      </c>
      <c r="Z1" t="s">
        <v>106</v>
      </c>
      <c r="AA1" t="s">
        <v>52</v>
      </c>
      <c r="AB1" t="s">
        <v>22</v>
      </c>
      <c r="AC1" t="s">
        <v>107</v>
      </c>
      <c r="AD1" t="s">
        <v>108</v>
      </c>
      <c r="AE1" t="s">
        <v>18</v>
      </c>
      <c r="AF1" t="s">
        <v>86</v>
      </c>
      <c r="AG1" t="s">
        <v>109</v>
      </c>
      <c r="AH1" t="s">
        <v>70</v>
      </c>
      <c r="AI1" t="s">
        <v>69</v>
      </c>
      <c r="AJ1" t="s">
        <v>72</v>
      </c>
      <c r="AK1" t="s">
        <v>85</v>
      </c>
      <c r="AL1" t="s">
        <v>68</v>
      </c>
      <c r="AM1" t="s">
        <v>71</v>
      </c>
      <c r="AN1" t="s">
        <v>73</v>
      </c>
      <c r="AO1" t="s">
        <v>25</v>
      </c>
      <c r="AP1" t="s">
        <v>27</v>
      </c>
      <c r="AQ1" t="s">
        <v>54</v>
      </c>
      <c r="AR1" t="s">
        <v>55</v>
      </c>
      <c r="AS1" t="s">
        <v>77</v>
      </c>
      <c r="AT1" t="s">
        <v>84</v>
      </c>
      <c r="AU1" t="s">
        <v>91</v>
      </c>
      <c r="AV1" t="s">
        <v>92</v>
      </c>
      <c r="AW1" t="s">
        <v>129</v>
      </c>
    </row>
    <row r="2" spans="1:49" x14ac:dyDescent="0.25">
      <c r="A2" t="str">
        <f>'Kullanılan gübre'!A2</f>
        <v>AK</v>
      </c>
      <c r="B2" t="str">
        <f>'Kullanılan gübre'!B2</f>
        <v>AFYONKARAHISAR</v>
      </c>
      <c r="C2" t="str">
        <f>'Kullanılan gübre'!C2</f>
        <v>MERKEZ</v>
      </c>
      <c r="D2">
        <f>'Kullanılan gübre'!D2</f>
        <v>2008</v>
      </c>
      <c r="E2">
        <f>'Kullanılan gübre'!E2*'Gübre oranlar'!H$3</f>
        <v>0</v>
      </c>
      <c r="F2">
        <f>'Kullanılan gübre'!F2*'Gübre oranlar'!I$3</f>
        <v>0</v>
      </c>
      <c r="G2">
        <f>'Kullanılan gübre'!G2*'Gübre oranlar'!J$3</f>
        <v>0</v>
      </c>
      <c r="H2">
        <f>'Kullanılan gübre'!H2*'Gübre oranlar'!K$3</f>
        <v>0</v>
      </c>
      <c r="I2">
        <f>'Kullanılan gübre'!I2*'Gübre oranlar'!L$3</f>
        <v>18.704999999999998</v>
      </c>
      <c r="J2">
        <f>'Kullanılan gübre'!J2*'Gübre oranlar'!M$3</f>
        <v>0</v>
      </c>
      <c r="K2">
        <f>'Kullanılan gübre'!K2*'Gübre oranlar'!N$3</f>
        <v>369.06799999999998</v>
      </c>
      <c r="L2">
        <f>'Kullanılan gübre'!L2*'Gübre oranlar'!O$3</f>
        <v>101.98</v>
      </c>
      <c r="M2">
        <f>'Kullanılan gübre'!M2*'Gübre oranlar'!P$3</f>
        <v>57.997500000000002</v>
      </c>
      <c r="N2">
        <f>'Kullanılan gübre'!N2*'Gübre oranlar'!Q$3</f>
        <v>37.447499999999998</v>
      </c>
      <c r="O2">
        <f>'Kullanılan gübre'!O2*'Gübre oranlar'!R$3</f>
        <v>0</v>
      </c>
      <c r="P2">
        <f>'Kullanılan gübre'!P2*'Gübre oranlar'!S$3</f>
        <v>0</v>
      </c>
      <c r="Q2">
        <f>'Kullanılan gübre'!Q2*'Gübre oranlar'!T$3</f>
        <v>110.1</v>
      </c>
      <c r="R2">
        <f>'Kullanılan gübre'!R2*'Gübre oranlar'!U$3</f>
        <v>0</v>
      </c>
      <c r="S2">
        <f>'Kullanılan gübre'!S2*'Gübre oranlar'!V$3</f>
        <v>0</v>
      </c>
      <c r="T2">
        <f>'Kullanılan gübre'!T2*'Gübre oranlar'!W$3</f>
        <v>0</v>
      </c>
      <c r="U2">
        <f>'Kullanılan gübre'!U2*'Gübre oranlar'!X$3</f>
        <v>0</v>
      </c>
      <c r="V2">
        <f>'Kullanılan gübre'!V2*'Gübre oranlar'!Y$3</f>
        <v>0</v>
      </c>
      <c r="W2">
        <f>'Kullanılan gübre'!W2*'Gübre oranlar'!Z$3</f>
        <v>0</v>
      </c>
      <c r="X2">
        <f>'Kullanılan gübre'!X2*'Gübre oranlar'!AA$3</f>
        <v>0</v>
      </c>
      <c r="Y2">
        <f>'Kullanılan gübre'!Y2*'Gübre oranlar'!AB$3</f>
        <v>0</v>
      </c>
      <c r="Z2">
        <f>'Kullanılan gübre'!Z2*'Gübre oranlar'!AC$3</f>
        <v>0</v>
      </c>
      <c r="AA2">
        <f>'Kullanılan gübre'!AA2*'Gübre oranlar'!AD$3</f>
        <v>0</v>
      </c>
      <c r="AB2">
        <f>'Kullanılan gübre'!AB2*'Gübre oranlar'!AE$3</f>
        <v>0</v>
      </c>
      <c r="AC2">
        <f>'Kullanılan gübre'!AC2*'Gübre oranlar'!AF$3</f>
        <v>0</v>
      </c>
      <c r="AD2">
        <f>'Kullanılan gübre'!AD2*'Gübre oranlar'!AG$3</f>
        <v>0</v>
      </c>
      <c r="AE2">
        <f>'Kullanılan gübre'!AE2*'Gübre oranlar'!AH$3</f>
        <v>0</v>
      </c>
      <c r="AF2">
        <f>'Kullanılan gübre'!AF2*'Gübre oranlar'!AI$3</f>
        <v>0</v>
      </c>
      <c r="AG2">
        <f>'Kullanılan gübre'!AG2*'Gübre oranlar'!AJ$3</f>
        <v>0</v>
      </c>
      <c r="AH2">
        <f>'Kullanılan gübre'!AH2*'Gübre oranlar'!AK$3</f>
        <v>0</v>
      </c>
      <c r="AI2">
        <f>'Kullanılan gübre'!AI2*'Gübre oranlar'!AL$3</f>
        <v>0</v>
      </c>
      <c r="AJ2">
        <f>'Kullanılan gübre'!AJ2*'Gübre oranlar'!AM$3</f>
        <v>0</v>
      </c>
      <c r="AK2">
        <f>'Kullanılan gübre'!AK2*'Gübre oranlar'!AN$3</f>
        <v>0</v>
      </c>
      <c r="AL2">
        <f>'Kullanılan gübre'!AL2*'Gübre oranlar'!AO$3</f>
        <v>0</v>
      </c>
      <c r="AM2">
        <f>'Kullanılan gübre'!AM2*'Gübre oranlar'!AP$3</f>
        <v>0</v>
      </c>
      <c r="AN2">
        <f>'Kullanılan gübre'!AN2*'Gübre oranlar'!AQ$3</f>
        <v>0</v>
      </c>
      <c r="AO2">
        <f>'Kullanılan gübre'!AO2*'Gübre oranlar'!AR$3</f>
        <v>0</v>
      </c>
      <c r="AP2">
        <f>'Kullanılan gübre'!AP2*'Gübre oranlar'!AS$3</f>
        <v>0</v>
      </c>
      <c r="AQ2">
        <f>'Kullanılan gübre'!AQ2*'Gübre oranlar'!AT$3</f>
        <v>0</v>
      </c>
      <c r="AR2">
        <f>'Kullanılan gübre'!AR2*'Gübre oranlar'!AU$3</f>
        <v>0</v>
      </c>
      <c r="AS2">
        <f>'Kullanılan gübre'!AS2*'Gübre oranlar'!AV$3</f>
        <v>0</v>
      </c>
      <c r="AT2">
        <f>'Kullanılan gübre'!AT2*'Gübre oranlar'!AW$3</f>
        <v>0</v>
      </c>
      <c r="AU2">
        <f>'Kullanılan gübre'!AU2*'Gübre oranlar'!AX$3</f>
        <v>0</v>
      </c>
      <c r="AV2">
        <f>'Kullanılan gübre'!AV2*'Gübre oranlar'!AY$3</f>
        <v>0</v>
      </c>
      <c r="AW2">
        <f>SUM(E2:AV2)</f>
        <v>695.298</v>
      </c>
    </row>
    <row r="3" spans="1:49" x14ac:dyDescent="0.25">
      <c r="A3" t="str">
        <f>'Kullanılan gübre'!A3</f>
        <v>AK</v>
      </c>
      <c r="B3" t="str">
        <f>'Kullanılan gübre'!B3</f>
        <v>AFYONKARAHISAR</v>
      </c>
      <c r="C3" t="str">
        <f>'Kullanılan gübre'!C3</f>
        <v>BAYAT</v>
      </c>
      <c r="D3">
        <f>'Kullanılan gübre'!D3</f>
        <v>2008</v>
      </c>
      <c r="E3">
        <f>'Kullanılan gübre'!E3*'Gübre oranlar'!H$3</f>
        <v>0</v>
      </c>
      <c r="F3">
        <f>'Kullanılan gübre'!F3*'Gübre oranlar'!I$3</f>
        <v>0</v>
      </c>
      <c r="G3">
        <f>'Kullanılan gübre'!G3*'Gübre oranlar'!J$3</f>
        <v>0</v>
      </c>
      <c r="H3">
        <f>'Kullanılan gübre'!H3*'Gübre oranlar'!K$3</f>
        <v>0</v>
      </c>
      <c r="I3">
        <f>'Kullanılan gübre'!I3*'Gübre oranlar'!L$3</f>
        <v>10.169499999999999</v>
      </c>
      <c r="J3">
        <f>'Kullanılan gübre'!J3*'Gübre oranlar'!M$3</f>
        <v>0</v>
      </c>
      <c r="K3">
        <f>'Kullanılan gübre'!K3*'Gübre oranlar'!N$3</f>
        <v>7.8000000000000007</v>
      </c>
      <c r="L3">
        <f>'Kullanılan gübre'!L3*'Gübre oranlar'!O$3</f>
        <v>5.9600000000000009</v>
      </c>
      <c r="M3">
        <f>'Kullanılan gübre'!M3*'Gübre oranlar'!P$3</f>
        <v>0</v>
      </c>
      <c r="N3">
        <f>'Kullanılan gübre'!N3*'Gübre oranlar'!Q$3</f>
        <v>0</v>
      </c>
      <c r="O3">
        <f>'Kullanılan gübre'!O3*'Gübre oranlar'!R$3</f>
        <v>0</v>
      </c>
      <c r="P3">
        <f>'Kullanılan gübre'!P3*'Gübre oranlar'!S$3</f>
        <v>0</v>
      </c>
      <c r="Q3">
        <f>'Kullanılan gübre'!Q3*'Gübre oranlar'!T$3</f>
        <v>0</v>
      </c>
      <c r="R3">
        <f>'Kullanılan gübre'!R3*'Gübre oranlar'!U$3</f>
        <v>0</v>
      </c>
      <c r="S3">
        <f>'Kullanılan gübre'!S3*'Gübre oranlar'!V$3</f>
        <v>0</v>
      </c>
      <c r="T3">
        <f>'Kullanılan gübre'!T3*'Gübre oranlar'!W$3</f>
        <v>0</v>
      </c>
      <c r="U3">
        <f>'Kullanılan gübre'!U3*'Gübre oranlar'!X$3</f>
        <v>0</v>
      </c>
      <c r="V3">
        <f>'Kullanılan gübre'!V3*'Gübre oranlar'!Y$3</f>
        <v>0</v>
      </c>
      <c r="W3">
        <f>'Kullanılan gübre'!W3*'Gübre oranlar'!Z$3</f>
        <v>0</v>
      </c>
      <c r="X3">
        <f>'Kullanılan gübre'!X3*'Gübre oranlar'!AA$3</f>
        <v>0</v>
      </c>
      <c r="Y3">
        <f>'Kullanılan gübre'!Y3*'Gübre oranlar'!AB$3</f>
        <v>0</v>
      </c>
      <c r="Z3">
        <f>'Kullanılan gübre'!Z3*'Gübre oranlar'!AC$3</f>
        <v>0</v>
      </c>
      <c r="AA3">
        <f>'Kullanılan gübre'!AA3*'Gübre oranlar'!AD$3</f>
        <v>0</v>
      </c>
      <c r="AB3">
        <f>'Kullanılan gübre'!AB3*'Gübre oranlar'!AE$3</f>
        <v>0</v>
      </c>
      <c r="AC3">
        <f>'Kullanılan gübre'!AC3*'Gübre oranlar'!AF$3</f>
        <v>0</v>
      </c>
      <c r="AD3">
        <f>'Kullanılan gübre'!AD3*'Gübre oranlar'!AG$3</f>
        <v>0</v>
      </c>
      <c r="AE3">
        <f>'Kullanılan gübre'!AE3*'Gübre oranlar'!AH$3</f>
        <v>0</v>
      </c>
      <c r="AF3">
        <f>'Kullanılan gübre'!AF3*'Gübre oranlar'!AI$3</f>
        <v>0</v>
      </c>
      <c r="AG3">
        <f>'Kullanılan gübre'!AG3*'Gübre oranlar'!AJ$3</f>
        <v>0</v>
      </c>
      <c r="AH3">
        <f>'Kullanılan gübre'!AH3*'Gübre oranlar'!AK$3</f>
        <v>0</v>
      </c>
      <c r="AI3">
        <f>'Kullanılan gübre'!AI3*'Gübre oranlar'!AL$3</f>
        <v>0</v>
      </c>
      <c r="AJ3">
        <f>'Kullanılan gübre'!AJ3*'Gübre oranlar'!AM$3</f>
        <v>0</v>
      </c>
      <c r="AK3">
        <f>'Kullanılan gübre'!AK3*'Gübre oranlar'!AN$3</f>
        <v>0</v>
      </c>
      <c r="AL3">
        <f>'Kullanılan gübre'!AL3*'Gübre oranlar'!AO$3</f>
        <v>0</v>
      </c>
      <c r="AM3">
        <f>'Kullanılan gübre'!AM3*'Gübre oranlar'!AP$3</f>
        <v>0</v>
      </c>
      <c r="AN3">
        <f>'Kullanılan gübre'!AN3*'Gübre oranlar'!AQ$3</f>
        <v>0</v>
      </c>
      <c r="AO3">
        <f>'Kullanılan gübre'!AO3*'Gübre oranlar'!AR$3</f>
        <v>0</v>
      </c>
      <c r="AP3">
        <f>'Kullanılan gübre'!AP3*'Gübre oranlar'!AS$3</f>
        <v>0</v>
      </c>
      <c r="AQ3">
        <f>'Kullanılan gübre'!AQ3*'Gübre oranlar'!AT$3</f>
        <v>0</v>
      </c>
      <c r="AR3">
        <f>'Kullanılan gübre'!AR3*'Gübre oranlar'!AU$3</f>
        <v>0</v>
      </c>
      <c r="AS3">
        <f>'Kullanılan gübre'!AS3*'Gübre oranlar'!AV$3</f>
        <v>0</v>
      </c>
      <c r="AT3">
        <f>'Kullanılan gübre'!AT3*'Gübre oranlar'!AW$3</f>
        <v>0</v>
      </c>
      <c r="AU3">
        <f>'Kullanılan gübre'!AU3*'Gübre oranlar'!AX$3</f>
        <v>0</v>
      </c>
      <c r="AV3">
        <f>'Kullanılan gübre'!AV3*'Gübre oranlar'!AY$3</f>
        <v>0</v>
      </c>
      <c r="AW3">
        <f t="shared" ref="AW3:AW66" si="0">SUM(E3:AV3)</f>
        <v>23.929500000000001</v>
      </c>
    </row>
    <row r="4" spans="1:49" x14ac:dyDescent="0.25">
      <c r="A4" t="str">
        <f>'Kullanılan gübre'!A4</f>
        <v>AK</v>
      </c>
      <c r="B4" t="str">
        <f>'Kullanılan gübre'!B4</f>
        <v>AFYONKARAHISAR</v>
      </c>
      <c r="C4" t="str">
        <f>'Kullanılan gübre'!C4</f>
        <v>BOLVADIN</v>
      </c>
      <c r="D4">
        <f>'Kullanılan gübre'!D4</f>
        <v>2008</v>
      </c>
      <c r="E4">
        <f>'Kullanılan gübre'!E4*'Gübre oranlar'!H$3</f>
        <v>0</v>
      </c>
      <c r="F4">
        <f>'Kullanılan gübre'!F4*'Gübre oranlar'!I$3</f>
        <v>0</v>
      </c>
      <c r="G4">
        <f>'Kullanılan gübre'!G4*'Gübre oranlar'!J$3</f>
        <v>0</v>
      </c>
      <c r="H4">
        <f>'Kullanılan gübre'!H4*'Gübre oranlar'!K$3</f>
        <v>0</v>
      </c>
      <c r="I4">
        <f>'Kullanılan gübre'!I4*'Gübre oranlar'!L$3</f>
        <v>24.273499999999999</v>
      </c>
      <c r="J4">
        <f>'Kullanılan gübre'!J4*'Gübre oranlar'!M$3</f>
        <v>0</v>
      </c>
      <c r="K4">
        <f>'Kullanılan gübre'!K4*'Gübre oranlar'!N$3</f>
        <v>0</v>
      </c>
      <c r="L4">
        <f>'Kullanılan gübre'!L4*'Gübre oranlar'!O$3</f>
        <v>96.070000000000007</v>
      </c>
      <c r="M4">
        <f>'Kullanılan gübre'!M4*'Gübre oranlar'!P$3</f>
        <v>0</v>
      </c>
      <c r="N4">
        <f>'Kullanılan gübre'!N4*'Gübre oranlar'!Q$3</f>
        <v>0</v>
      </c>
      <c r="O4">
        <f>'Kullanılan gübre'!O4*'Gübre oranlar'!R$3</f>
        <v>0</v>
      </c>
      <c r="P4">
        <f>'Kullanılan gübre'!P4*'Gübre oranlar'!S$3</f>
        <v>0</v>
      </c>
      <c r="Q4">
        <f>'Kullanılan gübre'!Q4*'Gübre oranlar'!T$3</f>
        <v>0</v>
      </c>
      <c r="R4">
        <f>'Kullanılan gübre'!R4*'Gübre oranlar'!U$3</f>
        <v>0</v>
      </c>
      <c r="S4">
        <f>'Kullanılan gübre'!S4*'Gübre oranlar'!V$3</f>
        <v>0</v>
      </c>
      <c r="T4">
        <f>'Kullanılan gübre'!T4*'Gübre oranlar'!W$3</f>
        <v>0</v>
      </c>
      <c r="U4">
        <f>'Kullanılan gübre'!U4*'Gübre oranlar'!X$3</f>
        <v>0</v>
      </c>
      <c r="V4">
        <f>'Kullanılan gübre'!V4*'Gübre oranlar'!Y$3</f>
        <v>0</v>
      </c>
      <c r="W4">
        <f>'Kullanılan gübre'!W4*'Gübre oranlar'!Z$3</f>
        <v>0</v>
      </c>
      <c r="X4">
        <f>'Kullanılan gübre'!X4*'Gübre oranlar'!AA$3</f>
        <v>0</v>
      </c>
      <c r="Y4">
        <f>'Kullanılan gübre'!Y4*'Gübre oranlar'!AB$3</f>
        <v>0</v>
      </c>
      <c r="Z4">
        <f>'Kullanılan gübre'!Z4*'Gübre oranlar'!AC$3</f>
        <v>0</v>
      </c>
      <c r="AA4">
        <f>'Kullanılan gübre'!AA4*'Gübre oranlar'!AD$3</f>
        <v>0</v>
      </c>
      <c r="AB4">
        <f>'Kullanılan gübre'!AB4*'Gübre oranlar'!AE$3</f>
        <v>0</v>
      </c>
      <c r="AC4">
        <f>'Kullanılan gübre'!AC4*'Gübre oranlar'!AF$3</f>
        <v>0</v>
      </c>
      <c r="AD4">
        <f>'Kullanılan gübre'!AD4*'Gübre oranlar'!AG$3</f>
        <v>0</v>
      </c>
      <c r="AE4">
        <f>'Kullanılan gübre'!AE4*'Gübre oranlar'!AH$3</f>
        <v>0</v>
      </c>
      <c r="AF4">
        <f>'Kullanılan gübre'!AF4*'Gübre oranlar'!AI$3</f>
        <v>0</v>
      </c>
      <c r="AG4">
        <f>'Kullanılan gübre'!AG4*'Gübre oranlar'!AJ$3</f>
        <v>0</v>
      </c>
      <c r="AH4">
        <f>'Kullanılan gübre'!AH4*'Gübre oranlar'!AK$3</f>
        <v>0</v>
      </c>
      <c r="AI4">
        <f>'Kullanılan gübre'!AI4*'Gübre oranlar'!AL$3</f>
        <v>0</v>
      </c>
      <c r="AJ4">
        <f>'Kullanılan gübre'!AJ4*'Gübre oranlar'!AM$3</f>
        <v>0</v>
      </c>
      <c r="AK4">
        <f>'Kullanılan gübre'!AK4*'Gübre oranlar'!AN$3</f>
        <v>0</v>
      </c>
      <c r="AL4">
        <f>'Kullanılan gübre'!AL4*'Gübre oranlar'!AO$3</f>
        <v>0</v>
      </c>
      <c r="AM4">
        <f>'Kullanılan gübre'!AM4*'Gübre oranlar'!AP$3</f>
        <v>0</v>
      </c>
      <c r="AN4">
        <f>'Kullanılan gübre'!AN4*'Gübre oranlar'!AQ$3</f>
        <v>0</v>
      </c>
      <c r="AO4">
        <f>'Kullanılan gübre'!AO4*'Gübre oranlar'!AR$3</f>
        <v>0</v>
      </c>
      <c r="AP4">
        <f>'Kullanılan gübre'!AP4*'Gübre oranlar'!AS$3</f>
        <v>0</v>
      </c>
      <c r="AQ4">
        <f>'Kullanılan gübre'!AQ4*'Gübre oranlar'!AT$3</f>
        <v>0</v>
      </c>
      <c r="AR4">
        <f>'Kullanılan gübre'!AR4*'Gübre oranlar'!AU$3</f>
        <v>0</v>
      </c>
      <c r="AS4">
        <f>'Kullanılan gübre'!AS4*'Gübre oranlar'!AV$3</f>
        <v>0</v>
      </c>
      <c r="AT4">
        <f>'Kullanılan gübre'!AT4*'Gübre oranlar'!AW$3</f>
        <v>0</v>
      </c>
      <c r="AU4">
        <f>'Kullanılan gübre'!AU4*'Gübre oranlar'!AX$3</f>
        <v>0</v>
      </c>
      <c r="AV4">
        <f>'Kullanılan gübre'!AV4*'Gübre oranlar'!AY$3</f>
        <v>0</v>
      </c>
      <c r="AW4">
        <f t="shared" si="0"/>
        <v>120.34350000000001</v>
      </c>
    </row>
    <row r="5" spans="1:49" x14ac:dyDescent="0.25">
      <c r="A5" t="str">
        <f>'Kullanılan gübre'!A5</f>
        <v>AK</v>
      </c>
      <c r="B5" t="str">
        <f>'Kullanılan gübre'!B5</f>
        <v>AFYONKARAHISAR</v>
      </c>
      <c r="C5" t="str">
        <f>'Kullanılan gübre'!C5</f>
        <v>CAY</v>
      </c>
      <c r="D5">
        <f>'Kullanılan gübre'!D5</f>
        <v>2008</v>
      </c>
      <c r="E5">
        <f>'Kullanılan gübre'!E5*'Gübre oranlar'!H$3</f>
        <v>0</v>
      </c>
      <c r="F5">
        <f>'Kullanılan gübre'!F5*'Gübre oranlar'!I$3</f>
        <v>0</v>
      </c>
      <c r="G5">
        <f>'Kullanılan gübre'!G5*'Gübre oranlar'!J$3</f>
        <v>0</v>
      </c>
      <c r="H5">
        <f>'Kullanılan gübre'!H5*'Gübre oranlar'!K$3</f>
        <v>0</v>
      </c>
      <c r="I5">
        <f>'Kullanılan gübre'!I5*'Gübre oranlar'!L$3</f>
        <v>72.928000000000011</v>
      </c>
      <c r="J5">
        <f>'Kullanılan gübre'!J5*'Gübre oranlar'!M$3</f>
        <v>0</v>
      </c>
      <c r="K5">
        <f>'Kullanılan gübre'!K5*'Gübre oranlar'!N$3</f>
        <v>40.370000000000005</v>
      </c>
      <c r="L5">
        <f>'Kullanılan gübre'!L5*'Gübre oranlar'!O$3</f>
        <v>99.19</v>
      </c>
      <c r="M5">
        <f>'Kullanılan gübre'!M5*'Gübre oranlar'!P$3</f>
        <v>13.68</v>
      </c>
      <c r="N5">
        <f>'Kullanılan gübre'!N5*'Gübre oranlar'!Q$3</f>
        <v>17.16</v>
      </c>
      <c r="O5">
        <f>'Kullanılan gübre'!O5*'Gübre oranlar'!R$3</f>
        <v>0</v>
      </c>
      <c r="P5">
        <f>'Kullanılan gübre'!P5*'Gübre oranlar'!S$3</f>
        <v>0</v>
      </c>
      <c r="Q5">
        <f>'Kullanılan gübre'!Q5*'Gübre oranlar'!T$3</f>
        <v>1.875</v>
      </c>
      <c r="R5">
        <f>'Kullanılan gübre'!R5*'Gübre oranlar'!U$3</f>
        <v>0</v>
      </c>
      <c r="S5">
        <f>'Kullanılan gübre'!S5*'Gübre oranlar'!V$3</f>
        <v>0</v>
      </c>
      <c r="T5">
        <f>'Kullanılan gübre'!T5*'Gübre oranlar'!W$3</f>
        <v>0</v>
      </c>
      <c r="U5">
        <f>'Kullanılan gübre'!U5*'Gübre oranlar'!X$3</f>
        <v>0</v>
      </c>
      <c r="V5">
        <f>'Kullanılan gübre'!V5*'Gübre oranlar'!Y$3</f>
        <v>0</v>
      </c>
      <c r="W5">
        <f>'Kullanılan gübre'!W5*'Gübre oranlar'!Z$3</f>
        <v>0</v>
      </c>
      <c r="X5">
        <f>'Kullanılan gübre'!X5*'Gübre oranlar'!AA$3</f>
        <v>0</v>
      </c>
      <c r="Y5">
        <f>'Kullanılan gübre'!Y5*'Gübre oranlar'!AB$3</f>
        <v>0</v>
      </c>
      <c r="Z5">
        <f>'Kullanılan gübre'!Z5*'Gübre oranlar'!AC$3</f>
        <v>0</v>
      </c>
      <c r="AA5">
        <f>'Kullanılan gübre'!AA5*'Gübre oranlar'!AD$3</f>
        <v>0</v>
      </c>
      <c r="AB5">
        <f>'Kullanılan gübre'!AB5*'Gübre oranlar'!AE$3</f>
        <v>0</v>
      </c>
      <c r="AC5">
        <f>'Kullanılan gübre'!AC5*'Gübre oranlar'!AF$3</f>
        <v>0</v>
      </c>
      <c r="AD5">
        <f>'Kullanılan gübre'!AD5*'Gübre oranlar'!AG$3</f>
        <v>0</v>
      </c>
      <c r="AE5">
        <f>'Kullanılan gübre'!AE5*'Gübre oranlar'!AH$3</f>
        <v>0</v>
      </c>
      <c r="AF5">
        <f>'Kullanılan gübre'!AF5*'Gübre oranlar'!AI$3</f>
        <v>0</v>
      </c>
      <c r="AG5">
        <f>'Kullanılan gübre'!AG5*'Gübre oranlar'!AJ$3</f>
        <v>0</v>
      </c>
      <c r="AH5">
        <f>'Kullanılan gübre'!AH5*'Gübre oranlar'!AK$3</f>
        <v>0</v>
      </c>
      <c r="AI5">
        <f>'Kullanılan gübre'!AI5*'Gübre oranlar'!AL$3</f>
        <v>0</v>
      </c>
      <c r="AJ5">
        <f>'Kullanılan gübre'!AJ5*'Gübre oranlar'!AM$3</f>
        <v>0</v>
      </c>
      <c r="AK5">
        <f>'Kullanılan gübre'!AK5*'Gübre oranlar'!AN$3</f>
        <v>0</v>
      </c>
      <c r="AL5">
        <f>'Kullanılan gübre'!AL5*'Gübre oranlar'!AO$3</f>
        <v>0</v>
      </c>
      <c r="AM5">
        <f>'Kullanılan gübre'!AM5*'Gübre oranlar'!AP$3</f>
        <v>0</v>
      </c>
      <c r="AN5">
        <f>'Kullanılan gübre'!AN5*'Gübre oranlar'!AQ$3</f>
        <v>0</v>
      </c>
      <c r="AO5">
        <f>'Kullanılan gübre'!AO5*'Gübre oranlar'!AR$3</f>
        <v>0</v>
      </c>
      <c r="AP5">
        <f>'Kullanılan gübre'!AP5*'Gübre oranlar'!AS$3</f>
        <v>0</v>
      </c>
      <c r="AQ5">
        <f>'Kullanılan gübre'!AQ5*'Gübre oranlar'!AT$3</f>
        <v>0</v>
      </c>
      <c r="AR5">
        <f>'Kullanılan gübre'!AR5*'Gübre oranlar'!AU$3</f>
        <v>0</v>
      </c>
      <c r="AS5">
        <f>'Kullanılan gübre'!AS5*'Gübre oranlar'!AV$3</f>
        <v>0</v>
      </c>
      <c r="AT5">
        <f>'Kullanılan gübre'!AT5*'Gübre oranlar'!AW$3</f>
        <v>0</v>
      </c>
      <c r="AU5">
        <f>'Kullanılan gübre'!AU5*'Gübre oranlar'!AX$3</f>
        <v>0</v>
      </c>
      <c r="AV5">
        <f>'Kullanılan gübre'!AV5*'Gübre oranlar'!AY$3</f>
        <v>0</v>
      </c>
      <c r="AW5">
        <f t="shared" si="0"/>
        <v>245.203</v>
      </c>
    </row>
    <row r="6" spans="1:49" x14ac:dyDescent="0.25">
      <c r="A6" t="str">
        <f>'Kullanılan gübre'!A6</f>
        <v>AK</v>
      </c>
      <c r="B6" t="str">
        <f>'Kullanılan gübre'!B6</f>
        <v>AFYONKARAHISAR</v>
      </c>
      <c r="C6" t="str">
        <f>'Kullanılan gübre'!C6</f>
        <v>COBANLAR</v>
      </c>
      <c r="D6">
        <f>'Kullanılan gübre'!D6</f>
        <v>2008</v>
      </c>
      <c r="E6">
        <f>'Kullanılan gübre'!E6*'Gübre oranlar'!H$3</f>
        <v>0</v>
      </c>
      <c r="F6">
        <f>'Kullanılan gübre'!F6*'Gübre oranlar'!I$3</f>
        <v>0</v>
      </c>
      <c r="G6">
        <f>'Kullanılan gübre'!G6*'Gübre oranlar'!J$3</f>
        <v>0</v>
      </c>
      <c r="H6">
        <f>'Kullanılan gübre'!H6*'Gübre oranlar'!K$3</f>
        <v>0</v>
      </c>
      <c r="I6">
        <f>'Kullanılan gübre'!I6*'Gübre oranlar'!L$3</f>
        <v>10.470500000000001</v>
      </c>
      <c r="J6">
        <f>'Kullanılan gübre'!J6*'Gübre oranlar'!M$3</f>
        <v>0</v>
      </c>
      <c r="K6">
        <f>'Kullanılan gübre'!K6*'Gübre oranlar'!N$3</f>
        <v>11.730000000000002</v>
      </c>
      <c r="L6">
        <f>'Kullanılan gübre'!L6*'Gübre oranlar'!O$3</f>
        <v>37.130000000000003</v>
      </c>
      <c r="M6">
        <f>'Kullanılan gübre'!M6*'Gübre oranlar'!P$3</f>
        <v>1.1324999999999998</v>
      </c>
      <c r="N6">
        <f>'Kullanılan gübre'!N6*'Gübre oranlar'!Q$3</f>
        <v>8.7674999999999983</v>
      </c>
      <c r="O6">
        <f>'Kullanılan gübre'!O6*'Gübre oranlar'!R$3</f>
        <v>0</v>
      </c>
      <c r="P6">
        <f>'Kullanılan gübre'!P6*'Gübre oranlar'!S$3</f>
        <v>0</v>
      </c>
      <c r="Q6">
        <f>'Kullanılan gübre'!Q6*'Gübre oranlar'!T$3</f>
        <v>0</v>
      </c>
      <c r="R6">
        <f>'Kullanılan gübre'!R6*'Gübre oranlar'!U$3</f>
        <v>0</v>
      </c>
      <c r="S6">
        <f>'Kullanılan gübre'!S6*'Gübre oranlar'!V$3</f>
        <v>0</v>
      </c>
      <c r="T6">
        <f>'Kullanılan gübre'!T6*'Gübre oranlar'!W$3</f>
        <v>0</v>
      </c>
      <c r="U6">
        <f>'Kullanılan gübre'!U6*'Gübre oranlar'!X$3</f>
        <v>0</v>
      </c>
      <c r="V6">
        <f>'Kullanılan gübre'!V6*'Gübre oranlar'!Y$3</f>
        <v>0</v>
      </c>
      <c r="W6">
        <f>'Kullanılan gübre'!W6*'Gübre oranlar'!Z$3</f>
        <v>0</v>
      </c>
      <c r="X6">
        <f>'Kullanılan gübre'!X6*'Gübre oranlar'!AA$3</f>
        <v>0</v>
      </c>
      <c r="Y6">
        <f>'Kullanılan gübre'!Y6*'Gübre oranlar'!AB$3</f>
        <v>0</v>
      </c>
      <c r="Z6">
        <f>'Kullanılan gübre'!Z6*'Gübre oranlar'!AC$3</f>
        <v>0</v>
      </c>
      <c r="AA6">
        <f>'Kullanılan gübre'!AA6*'Gübre oranlar'!AD$3</f>
        <v>0</v>
      </c>
      <c r="AB6">
        <f>'Kullanılan gübre'!AB6*'Gübre oranlar'!AE$3</f>
        <v>0</v>
      </c>
      <c r="AC6">
        <f>'Kullanılan gübre'!AC6*'Gübre oranlar'!AF$3</f>
        <v>0</v>
      </c>
      <c r="AD6">
        <f>'Kullanılan gübre'!AD6*'Gübre oranlar'!AG$3</f>
        <v>0</v>
      </c>
      <c r="AE6">
        <f>'Kullanılan gübre'!AE6*'Gübre oranlar'!AH$3</f>
        <v>0</v>
      </c>
      <c r="AF6">
        <f>'Kullanılan gübre'!AF6*'Gübre oranlar'!AI$3</f>
        <v>0</v>
      </c>
      <c r="AG6">
        <f>'Kullanılan gübre'!AG6*'Gübre oranlar'!AJ$3</f>
        <v>0</v>
      </c>
      <c r="AH6">
        <f>'Kullanılan gübre'!AH6*'Gübre oranlar'!AK$3</f>
        <v>0</v>
      </c>
      <c r="AI6">
        <f>'Kullanılan gübre'!AI6*'Gübre oranlar'!AL$3</f>
        <v>0</v>
      </c>
      <c r="AJ6">
        <f>'Kullanılan gübre'!AJ6*'Gübre oranlar'!AM$3</f>
        <v>0</v>
      </c>
      <c r="AK6">
        <f>'Kullanılan gübre'!AK6*'Gübre oranlar'!AN$3</f>
        <v>0</v>
      </c>
      <c r="AL6">
        <f>'Kullanılan gübre'!AL6*'Gübre oranlar'!AO$3</f>
        <v>0</v>
      </c>
      <c r="AM6">
        <f>'Kullanılan gübre'!AM6*'Gübre oranlar'!AP$3</f>
        <v>0</v>
      </c>
      <c r="AN6">
        <f>'Kullanılan gübre'!AN6*'Gübre oranlar'!AQ$3</f>
        <v>0</v>
      </c>
      <c r="AO6">
        <f>'Kullanılan gübre'!AO6*'Gübre oranlar'!AR$3</f>
        <v>0</v>
      </c>
      <c r="AP6">
        <f>'Kullanılan gübre'!AP6*'Gübre oranlar'!AS$3</f>
        <v>0</v>
      </c>
      <c r="AQ6">
        <f>'Kullanılan gübre'!AQ6*'Gübre oranlar'!AT$3</f>
        <v>0</v>
      </c>
      <c r="AR6">
        <f>'Kullanılan gübre'!AR6*'Gübre oranlar'!AU$3</f>
        <v>0</v>
      </c>
      <c r="AS6">
        <f>'Kullanılan gübre'!AS6*'Gübre oranlar'!AV$3</f>
        <v>0</v>
      </c>
      <c r="AT6">
        <f>'Kullanılan gübre'!AT6*'Gübre oranlar'!AW$3</f>
        <v>0</v>
      </c>
      <c r="AU6">
        <f>'Kullanılan gübre'!AU6*'Gübre oranlar'!AX$3</f>
        <v>0</v>
      </c>
      <c r="AV6">
        <f>'Kullanılan gübre'!AV6*'Gübre oranlar'!AY$3</f>
        <v>0</v>
      </c>
      <c r="AW6">
        <f t="shared" si="0"/>
        <v>69.230500000000006</v>
      </c>
    </row>
    <row r="7" spans="1:49" x14ac:dyDescent="0.25">
      <c r="A7" t="str">
        <f>'Kullanılan gübre'!A7</f>
        <v>AK</v>
      </c>
      <c r="B7" t="str">
        <f>'Kullanılan gübre'!B7</f>
        <v>AFYONKARAHISAR</v>
      </c>
      <c r="C7" t="str">
        <f>'Kullanılan gübre'!C7</f>
        <v>IHSANIYE</v>
      </c>
      <c r="D7">
        <f>'Kullanılan gübre'!D7</f>
        <v>2008</v>
      </c>
      <c r="E7">
        <f>'Kullanılan gübre'!E7*'Gübre oranlar'!H$3</f>
        <v>0</v>
      </c>
      <c r="F7">
        <f>'Kullanılan gübre'!F7*'Gübre oranlar'!I$3</f>
        <v>0</v>
      </c>
      <c r="G7">
        <f>'Kullanılan gübre'!G7*'Gübre oranlar'!J$3</f>
        <v>0</v>
      </c>
      <c r="H7">
        <f>'Kullanılan gübre'!H7*'Gübre oranlar'!K$3</f>
        <v>0</v>
      </c>
      <c r="I7">
        <f>'Kullanılan gübre'!I7*'Gübre oranlar'!L$3</f>
        <v>0</v>
      </c>
      <c r="J7">
        <f>'Kullanılan gübre'!J7*'Gübre oranlar'!M$3</f>
        <v>0</v>
      </c>
      <c r="K7">
        <f>'Kullanılan gübre'!K7*'Gübre oranlar'!N$3</f>
        <v>177.63</v>
      </c>
      <c r="L7">
        <f>'Kullanılan gübre'!L7*'Gübre oranlar'!O$3</f>
        <v>0.5</v>
      </c>
      <c r="M7">
        <f>'Kullanılan gübre'!M7*'Gübre oranlar'!P$3</f>
        <v>0</v>
      </c>
      <c r="N7">
        <f>'Kullanılan gübre'!N7*'Gübre oranlar'!Q$3</f>
        <v>0.105</v>
      </c>
      <c r="O7">
        <f>'Kullanılan gübre'!O7*'Gübre oranlar'!R$3</f>
        <v>0</v>
      </c>
      <c r="P7">
        <f>'Kullanılan gübre'!P7*'Gübre oranlar'!S$3</f>
        <v>0</v>
      </c>
      <c r="Q7">
        <f>'Kullanılan gübre'!Q7*'Gübre oranlar'!T$3</f>
        <v>0</v>
      </c>
      <c r="R7">
        <f>'Kullanılan gübre'!R7*'Gübre oranlar'!U$3</f>
        <v>0</v>
      </c>
      <c r="S7">
        <f>'Kullanılan gübre'!S7*'Gübre oranlar'!V$3</f>
        <v>0</v>
      </c>
      <c r="T7">
        <f>'Kullanılan gübre'!T7*'Gübre oranlar'!W$3</f>
        <v>0</v>
      </c>
      <c r="U7">
        <f>'Kullanılan gübre'!U7*'Gübre oranlar'!X$3</f>
        <v>0</v>
      </c>
      <c r="V7">
        <f>'Kullanılan gübre'!V7*'Gübre oranlar'!Y$3</f>
        <v>0</v>
      </c>
      <c r="W7">
        <f>'Kullanılan gübre'!W7*'Gübre oranlar'!Z$3</f>
        <v>0</v>
      </c>
      <c r="X7">
        <f>'Kullanılan gübre'!X7*'Gübre oranlar'!AA$3</f>
        <v>0</v>
      </c>
      <c r="Y7">
        <f>'Kullanılan gübre'!Y7*'Gübre oranlar'!AB$3</f>
        <v>0</v>
      </c>
      <c r="Z7">
        <f>'Kullanılan gübre'!Z7*'Gübre oranlar'!AC$3</f>
        <v>0</v>
      </c>
      <c r="AA7">
        <f>'Kullanılan gübre'!AA7*'Gübre oranlar'!AD$3</f>
        <v>0</v>
      </c>
      <c r="AB7">
        <f>'Kullanılan gübre'!AB7*'Gübre oranlar'!AE$3</f>
        <v>0</v>
      </c>
      <c r="AC7">
        <f>'Kullanılan gübre'!AC7*'Gübre oranlar'!AF$3</f>
        <v>0</v>
      </c>
      <c r="AD7">
        <f>'Kullanılan gübre'!AD7*'Gübre oranlar'!AG$3</f>
        <v>0</v>
      </c>
      <c r="AE7">
        <f>'Kullanılan gübre'!AE7*'Gübre oranlar'!AH$3</f>
        <v>0</v>
      </c>
      <c r="AF7">
        <f>'Kullanılan gübre'!AF7*'Gübre oranlar'!AI$3</f>
        <v>0</v>
      </c>
      <c r="AG7">
        <f>'Kullanılan gübre'!AG7*'Gübre oranlar'!AJ$3</f>
        <v>0</v>
      </c>
      <c r="AH7">
        <f>'Kullanılan gübre'!AH7*'Gübre oranlar'!AK$3</f>
        <v>0</v>
      </c>
      <c r="AI7">
        <f>'Kullanılan gübre'!AI7*'Gübre oranlar'!AL$3</f>
        <v>0</v>
      </c>
      <c r="AJ7">
        <f>'Kullanılan gübre'!AJ7*'Gübre oranlar'!AM$3</f>
        <v>0</v>
      </c>
      <c r="AK7">
        <f>'Kullanılan gübre'!AK7*'Gübre oranlar'!AN$3</f>
        <v>0</v>
      </c>
      <c r="AL7">
        <f>'Kullanılan gübre'!AL7*'Gübre oranlar'!AO$3</f>
        <v>0</v>
      </c>
      <c r="AM7">
        <f>'Kullanılan gübre'!AM7*'Gübre oranlar'!AP$3</f>
        <v>0</v>
      </c>
      <c r="AN7">
        <f>'Kullanılan gübre'!AN7*'Gübre oranlar'!AQ$3</f>
        <v>0</v>
      </c>
      <c r="AO7">
        <f>'Kullanılan gübre'!AO7*'Gübre oranlar'!AR$3</f>
        <v>0</v>
      </c>
      <c r="AP7">
        <f>'Kullanılan gübre'!AP7*'Gübre oranlar'!AS$3</f>
        <v>0</v>
      </c>
      <c r="AQ7">
        <f>'Kullanılan gübre'!AQ7*'Gübre oranlar'!AT$3</f>
        <v>0</v>
      </c>
      <c r="AR7">
        <f>'Kullanılan gübre'!AR7*'Gübre oranlar'!AU$3</f>
        <v>0</v>
      </c>
      <c r="AS7">
        <f>'Kullanılan gübre'!AS7*'Gübre oranlar'!AV$3</f>
        <v>0</v>
      </c>
      <c r="AT7">
        <f>'Kullanılan gübre'!AT7*'Gübre oranlar'!AW$3</f>
        <v>0</v>
      </c>
      <c r="AU7">
        <f>'Kullanılan gübre'!AU7*'Gübre oranlar'!AX$3</f>
        <v>0</v>
      </c>
      <c r="AV7">
        <f>'Kullanılan gübre'!AV7*'Gübre oranlar'!AY$3</f>
        <v>0</v>
      </c>
      <c r="AW7">
        <f t="shared" si="0"/>
        <v>178.23499999999999</v>
      </c>
    </row>
    <row r="8" spans="1:49" x14ac:dyDescent="0.25">
      <c r="A8" t="str">
        <f>'Kullanılan gübre'!A8</f>
        <v>AK</v>
      </c>
      <c r="B8" t="str">
        <f>'Kullanılan gübre'!B8</f>
        <v>AFYONKARAHISAR</v>
      </c>
      <c r="C8" t="str">
        <f>'Kullanılan gübre'!C8</f>
        <v>ISCEHISAR</v>
      </c>
      <c r="D8">
        <f>'Kullanılan gübre'!D8</f>
        <v>2008</v>
      </c>
      <c r="E8">
        <f>'Kullanılan gübre'!E8*'Gübre oranlar'!H$3</f>
        <v>0</v>
      </c>
      <c r="F8">
        <f>'Kullanılan gübre'!F8*'Gübre oranlar'!I$3</f>
        <v>0</v>
      </c>
      <c r="G8">
        <f>'Kullanılan gübre'!G8*'Gübre oranlar'!J$3</f>
        <v>0</v>
      </c>
      <c r="H8">
        <f>'Kullanılan gübre'!H8*'Gübre oranlar'!K$3</f>
        <v>0</v>
      </c>
      <c r="I8">
        <f>'Kullanılan gübre'!I8*'Gübre oranlar'!L$3</f>
        <v>0</v>
      </c>
      <c r="J8">
        <f>'Kullanılan gübre'!J8*'Gübre oranlar'!M$3</f>
        <v>0</v>
      </c>
      <c r="K8">
        <f>'Kullanılan gübre'!K8*'Gübre oranlar'!N$3</f>
        <v>1.2000000000000002</v>
      </c>
      <c r="L8">
        <f>'Kullanılan gübre'!L8*'Gübre oranlar'!O$3</f>
        <v>14.62</v>
      </c>
      <c r="M8">
        <f>'Kullanılan gübre'!M8*'Gübre oranlar'!P$3</f>
        <v>0</v>
      </c>
      <c r="N8">
        <f>'Kullanılan gübre'!N8*'Gübre oranlar'!Q$3</f>
        <v>0</v>
      </c>
      <c r="O8">
        <f>'Kullanılan gübre'!O8*'Gübre oranlar'!R$3</f>
        <v>0</v>
      </c>
      <c r="P8">
        <f>'Kullanılan gübre'!P8*'Gübre oranlar'!S$3</f>
        <v>0</v>
      </c>
      <c r="Q8">
        <f>'Kullanılan gübre'!Q8*'Gübre oranlar'!T$3</f>
        <v>0</v>
      </c>
      <c r="R8">
        <f>'Kullanılan gübre'!R8*'Gübre oranlar'!U$3</f>
        <v>0</v>
      </c>
      <c r="S8">
        <f>'Kullanılan gübre'!S8*'Gübre oranlar'!V$3</f>
        <v>0</v>
      </c>
      <c r="T8">
        <f>'Kullanılan gübre'!T8*'Gübre oranlar'!W$3</f>
        <v>0</v>
      </c>
      <c r="U8">
        <f>'Kullanılan gübre'!U8*'Gübre oranlar'!X$3</f>
        <v>0</v>
      </c>
      <c r="V8">
        <f>'Kullanılan gübre'!V8*'Gübre oranlar'!Y$3</f>
        <v>0</v>
      </c>
      <c r="W8">
        <f>'Kullanılan gübre'!W8*'Gübre oranlar'!Z$3</f>
        <v>0</v>
      </c>
      <c r="X8">
        <f>'Kullanılan gübre'!X8*'Gübre oranlar'!AA$3</f>
        <v>0</v>
      </c>
      <c r="Y8">
        <f>'Kullanılan gübre'!Y8*'Gübre oranlar'!AB$3</f>
        <v>0</v>
      </c>
      <c r="Z8">
        <f>'Kullanılan gübre'!Z8*'Gübre oranlar'!AC$3</f>
        <v>0</v>
      </c>
      <c r="AA8">
        <f>'Kullanılan gübre'!AA8*'Gübre oranlar'!AD$3</f>
        <v>0</v>
      </c>
      <c r="AB8">
        <f>'Kullanılan gübre'!AB8*'Gübre oranlar'!AE$3</f>
        <v>0</v>
      </c>
      <c r="AC8">
        <f>'Kullanılan gübre'!AC8*'Gübre oranlar'!AF$3</f>
        <v>0</v>
      </c>
      <c r="AD8">
        <f>'Kullanılan gübre'!AD8*'Gübre oranlar'!AG$3</f>
        <v>0</v>
      </c>
      <c r="AE8">
        <f>'Kullanılan gübre'!AE8*'Gübre oranlar'!AH$3</f>
        <v>0</v>
      </c>
      <c r="AF8">
        <f>'Kullanılan gübre'!AF8*'Gübre oranlar'!AI$3</f>
        <v>0</v>
      </c>
      <c r="AG8">
        <f>'Kullanılan gübre'!AG8*'Gübre oranlar'!AJ$3</f>
        <v>0</v>
      </c>
      <c r="AH8">
        <f>'Kullanılan gübre'!AH8*'Gübre oranlar'!AK$3</f>
        <v>0</v>
      </c>
      <c r="AI8">
        <f>'Kullanılan gübre'!AI8*'Gübre oranlar'!AL$3</f>
        <v>0</v>
      </c>
      <c r="AJ8">
        <f>'Kullanılan gübre'!AJ8*'Gübre oranlar'!AM$3</f>
        <v>0</v>
      </c>
      <c r="AK8">
        <f>'Kullanılan gübre'!AK8*'Gübre oranlar'!AN$3</f>
        <v>0</v>
      </c>
      <c r="AL8">
        <f>'Kullanılan gübre'!AL8*'Gübre oranlar'!AO$3</f>
        <v>0</v>
      </c>
      <c r="AM8">
        <f>'Kullanılan gübre'!AM8*'Gübre oranlar'!AP$3</f>
        <v>0</v>
      </c>
      <c r="AN8">
        <f>'Kullanılan gübre'!AN8*'Gübre oranlar'!AQ$3</f>
        <v>0</v>
      </c>
      <c r="AO8">
        <f>'Kullanılan gübre'!AO8*'Gübre oranlar'!AR$3</f>
        <v>0</v>
      </c>
      <c r="AP8">
        <f>'Kullanılan gübre'!AP8*'Gübre oranlar'!AS$3</f>
        <v>0</v>
      </c>
      <c r="AQ8">
        <f>'Kullanılan gübre'!AQ8*'Gübre oranlar'!AT$3</f>
        <v>0</v>
      </c>
      <c r="AR8">
        <f>'Kullanılan gübre'!AR8*'Gübre oranlar'!AU$3</f>
        <v>0</v>
      </c>
      <c r="AS8">
        <f>'Kullanılan gübre'!AS8*'Gübre oranlar'!AV$3</f>
        <v>0</v>
      </c>
      <c r="AT8">
        <f>'Kullanılan gübre'!AT8*'Gübre oranlar'!AW$3</f>
        <v>0</v>
      </c>
      <c r="AU8">
        <f>'Kullanılan gübre'!AU8*'Gübre oranlar'!AX$3</f>
        <v>0</v>
      </c>
      <c r="AV8">
        <f>'Kullanılan gübre'!AV8*'Gübre oranlar'!AY$3</f>
        <v>0</v>
      </c>
      <c r="AW8">
        <f t="shared" si="0"/>
        <v>15.82</v>
      </c>
    </row>
    <row r="9" spans="1:49" x14ac:dyDescent="0.25">
      <c r="A9" t="str">
        <f>'Kullanılan gübre'!A9</f>
        <v>AK</v>
      </c>
      <c r="B9" t="str">
        <f>'Kullanılan gübre'!B9</f>
        <v>AFYONKARAHISAR</v>
      </c>
      <c r="C9" t="str">
        <f>'Kullanılan gübre'!C9</f>
        <v>SINANPASA</v>
      </c>
      <c r="D9">
        <f>'Kullanılan gübre'!D9</f>
        <v>2008</v>
      </c>
      <c r="E9">
        <f>'Kullanılan gübre'!E9*'Gübre oranlar'!H$3</f>
        <v>0</v>
      </c>
      <c r="F9">
        <f>'Kullanılan gübre'!F9*'Gübre oranlar'!I$3</f>
        <v>0</v>
      </c>
      <c r="G9">
        <f>'Kullanılan gübre'!G9*'Gübre oranlar'!J$3</f>
        <v>0</v>
      </c>
      <c r="H9">
        <f>'Kullanılan gübre'!H9*'Gübre oranlar'!K$3</f>
        <v>0</v>
      </c>
      <c r="I9">
        <f>'Kullanılan gübre'!I9*'Gübre oranlar'!L$3</f>
        <v>0</v>
      </c>
      <c r="J9">
        <f>'Kullanılan gübre'!J9*'Gübre oranlar'!M$3</f>
        <v>0</v>
      </c>
      <c r="K9">
        <f>'Kullanılan gübre'!K9*'Gübre oranlar'!N$3</f>
        <v>108.73</v>
      </c>
      <c r="L9">
        <f>'Kullanılan gübre'!L9*'Gübre oranlar'!O$3</f>
        <v>135.04999999999998</v>
      </c>
      <c r="M9">
        <f>'Kullanılan gübre'!M9*'Gübre oranlar'!P$3</f>
        <v>7.8</v>
      </c>
      <c r="N9">
        <f>'Kullanılan gübre'!N9*'Gübre oranlar'!Q$3</f>
        <v>0</v>
      </c>
      <c r="O9">
        <f>'Kullanılan gübre'!O9*'Gübre oranlar'!R$3</f>
        <v>0</v>
      </c>
      <c r="P9">
        <f>'Kullanılan gübre'!P9*'Gübre oranlar'!S$3</f>
        <v>0</v>
      </c>
      <c r="Q9">
        <f>'Kullanılan gübre'!Q9*'Gübre oranlar'!T$3</f>
        <v>61.199999999999996</v>
      </c>
      <c r="R9">
        <f>'Kullanılan gübre'!R9*'Gübre oranlar'!U$3</f>
        <v>0</v>
      </c>
      <c r="S9">
        <f>'Kullanılan gübre'!S9*'Gübre oranlar'!V$3</f>
        <v>0</v>
      </c>
      <c r="T9">
        <f>'Kullanılan gübre'!T9*'Gübre oranlar'!W$3</f>
        <v>0</v>
      </c>
      <c r="U9">
        <f>'Kullanılan gübre'!U9*'Gübre oranlar'!X$3</f>
        <v>0</v>
      </c>
      <c r="V9">
        <f>'Kullanılan gübre'!V9*'Gübre oranlar'!Y$3</f>
        <v>0</v>
      </c>
      <c r="W9">
        <f>'Kullanılan gübre'!W9*'Gübre oranlar'!Z$3</f>
        <v>0</v>
      </c>
      <c r="X9">
        <f>'Kullanılan gübre'!X9*'Gübre oranlar'!AA$3</f>
        <v>0</v>
      </c>
      <c r="Y9">
        <f>'Kullanılan gübre'!Y9*'Gübre oranlar'!AB$3</f>
        <v>0</v>
      </c>
      <c r="Z9">
        <f>'Kullanılan gübre'!Z9*'Gübre oranlar'!AC$3</f>
        <v>0</v>
      </c>
      <c r="AA9">
        <f>'Kullanılan gübre'!AA9*'Gübre oranlar'!AD$3</f>
        <v>0</v>
      </c>
      <c r="AB9">
        <f>'Kullanılan gübre'!AB9*'Gübre oranlar'!AE$3</f>
        <v>0</v>
      </c>
      <c r="AC9">
        <f>'Kullanılan gübre'!AC9*'Gübre oranlar'!AF$3</f>
        <v>0</v>
      </c>
      <c r="AD9">
        <f>'Kullanılan gübre'!AD9*'Gübre oranlar'!AG$3</f>
        <v>0</v>
      </c>
      <c r="AE9">
        <f>'Kullanılan gübre'!AE9*'Gübre oranlar'!AH$3</f>
        <v>0</v>
      </c>
      <c r="AF9">
        <f>'Kullanılan gübre'!AF9*'Gübre oranlar'!AI$3</f>
        <v>0</v>
      </c>
      <c r="AG9">
        <f>'Kullanılan gübre'!AG9*'Gübre oranlar'!AJ$3</f>
        <v>0</v>
      </c>
      <c r="AH9">
        <f>'Kullanılan gübre'!AH9*'Gübre oranlar'!AK$3</f>
        <v>0</v>
      </c>
      <c r="AI9">
        <f>'Kullanılan gübre'!AI9*'Gübre oranlar'!AL$3</f>
        <v>0</v>
      </c>
      <c r="AJ9">
        <f>'Kullanılan gübre'!AJ9*'Gübre oranlar'!AM$3</f>
        <v>0</v>
      </c>
      <c r="AK9">
        <f>'Kullanılan gübre'!AK9*'Gübre oranlar'!AN$3</f>
        <v>0</v>
      </c>
      <c r="AL9">
        <f>'Kullanılan gübre'!AL9*'Gübre oranlar'!AO$3</f>
        <v>0</v>
      </c>
      <c r="AM9">
        <f>'Kullanılan gübre'!AM9*'Gübre oranlar'!AP$3</f>
        <v>0</v>
      </c>
      <c r="AN9">
        <f>'Kullanılan gübre'!AN9*'Gübre oranlar'!AQ$3</f>
        <v>0</v>
      </c>
      <c r="AO9">
        <f>'Kullanılan gübre'!AO9*'Gübre oranlar'!AR$3</f>
        <v>0</v>
      </c>
      <c r="AP9">
        <f>'Kullanılan gübre'!AP9*'Gübre oranlar'!AS$3</f>
        <v>0</v>
      </c>
      <c r="AQ9">
        <f>'Kullanılan gübre'!AQ9*'Gübre oranlar'!AT$3</f>
        <v>0</v>
      </c>
      <c r="AR9">
        <f>'Kullanılan gübre'!AR9*'Gübre oranlar'!AU$3</f>
        <v>0</v>
      </c>
      <c r="AS9">
        <f>'Kullanılan gübre'!AS9*'Gübre oranlar'!AV$3</f>
        <v>0</v>
      </c>
      <c r="AT9">
        <f>'Kullanılan gübre'!AT9*'Gübre oranlar'!AW$3</f>
        <v>0</v>
      </c>
      <c r="AU9">
        <f>'Kullanılan gübre'!AU9*'Gübre oranlar'!AX$3</f>
        <v>0</v>
      </c>
      <c r="AV9">
        <f>'Kullanılan gübre'!AV9*'Gübre oranlar'!AY$3</f>
        <v>0</v>
      </c>
      <c r="AW9">
        <f t="shared" si="0"/>
        <v>312.77999999999997</v>
      </c>
    </row>
    <row r="10" spans="1:49" x14ac:dyDescent="0.25">
      <c r="A10" t="str">
        <f>'Kullanılan gübre'!A10</f>
        <v>AK</v>
      </c>
      <c r="B10" t="str">
        <f>'Kullanılan gübre'!B10</f>
        <v>AFYONKARAHISAR</v>
      </c>
      <c r="C10" t="str">
        <f>'Kullanılan gübre'!C10</f>
        <v>SULTANDAGI</v>
      </c>
      <c r="D10">
        <f>'Kullanılan gübre'!D10</f>
        <v>2008</v>
      </c>
      <c r="E10">
        <f>'Kullanılan gübre'!E10*'Gübre oranlar'!H$3</f>
        <v>0</v>
      </c>
      <c r="F10">
        <f>'Kullanılan gübre'!F10*'Gübre oranlar'!I$3</f>
        <v>0</v>
      </c>
      <c r="G10">
        <f>'Kullanılan gübre'!G10*'Gübre oranlar'!J$3</f>
        <v>0</v>
      </c>
      <c r="H10">
        <f>'Kullanılan gübre'!H10*'Gübre oranlar'!K$3</f>
        <v>0</v>
      </c>
      <c r="I10">
        <f>'Kullanılan gübre'!I10*'Gübre oranlar'!L$3</f>
        <v>26.595499999999998</v>
      </c>
      <c r="J10">
        <f>'Kullanılan gübre'!J10*'Gübre oranlar'!M$3</f>
        <v>0</v>
      </c>
      <c r="K10">
        <f>'Kullanılan gübre'!K10*'Gübre oranlar'!N$3</f>
        <v>0.21000000000000002</v>
      </c>
      <c r="L10">
        <f>'Kullanılan gübre'!L10*'Gübre oranlar'!O$3</f>
        <v>9.23</v>
      </c>
      <c r="M10">
        <f>'Kullanılan gübre'!M10*'Gübre oranlar'!P$3</f>
        <v>3.3075000000000001</v>
      </c>
      <c r="N10">
        <f>'Kullanılan gübre'!N10*'Gübre oranlar'!Q$3</f>
        <v>17.3325</v>
      </c>
      <c r="O10">
        <f>'Kullanılan gübre'!O10*'Gübre oranlar'!R$3</f>
        <v>0</v>
      </c>
      <c r="P10">
        <f>'Kullanılan gübre'!P10*'Gübre oranlar'!S$3</f>
        <v>0</v>
      </c>
      <c r="Q10">
        <f>'Kullanılan gübre'!Q10*'Gübre oranlar'!T$3</f>
        <v>0</v>
      </c>
      <c r="R10">
        <f>'Kullanılan gübre'!R10*'Gübre oranlar'!U$3</f>
        <v>0</v>
      </c>
      <c r="S10">
        <f>'Kullanılan gübre'!S10*'Gübre oranlar'!V$3</f>
        <v>0</v>
      </c>
      <c r="T10">
        <f>'Kullanılan gübre'!T10*'Gübre oranlar'!W$3</f>
        <v>0</v>
      </c>
      <c r="U10">
        <f>'Kullanılan gübre'!U10*'Gübre oranlar'!X$3</f>
        <v>0</v>
      </c>
      <c r="V10">
        <f>'Kullanılan gübre'!V10*'Gübre oranlar'!Y$3</f>
        <v>0</v>
      </c>
      <c r="W10">
        <f>'Kullanılan gübre'!W10*'Gübre oranlar'!Z$3</f>
        <v>0</v>
      </c>
      <c r="X10">
        <f>'Kullanılan gübre'!X10*'Gübre oranlar'!AA$3</f>
        <v>0</v>
      </c>
      <c r="Y10">
        <f>'Kullanılan gübre'!Y10*'Gübre oranlar'!AB$3</f>
        <v>0</v>
      </c>
      <c r="Z10">
        <f>'Kullanılan gübre'!Z10*'Gübre oranlar'!AC$3</f>
        <v>0</v>
      </c>
      <c r="AA10">
        <f>'Kullanılan gübre'!AA10*'Gübre oranlar'!AD$3</f>
        <v>0</v>
      </c>
      <c r="AB10">
        <f>'Kullanılan gübre'!AB10*'Gübre oranlar'!AE$3</f>
        <v>0</v>
      </c>
      <c r="AC10">
        <f>'Kullanılan gübre'!AC10*'Gübre oranlar'!AF$3</f>
        <v>0</v>
      </c>
      <c r="AD10">
        <f>'Kullanılan gübre'!AD10*'Gübre oranlar'!AG$3</f>
        <v>0</v>
      </c>
      <c r="AE10">
        <f>'Kullanılan gübre'!AE10*'Gübre oranlar'!AH$3</f>
        <v>0</v>
      </c>
      <c r="AF10">
        <f>'Kullanılan gübre'!AF10*'Gübre oranlar'!AI$3</f>
        <v>0</v>
      </c>
      <c r="AG10">
        <f>'Kullanılan gübre'!AG10*'Gübre oranlar'!AJ$3</f>
        <v>0</v>
      </c>
      <c r="AH10">
        <f>'Kullanılan gübre'!AH10*'Gübre oranlar'!AK$3</f>
        <v>0</v>
      </c>
      <c r="AI10">
        <f>'Kullanılan gübre'!AI10*'Gübre oranlar'!AL$3</f>
        <v>0</v>
      </c>
      <c r="AJ10">
        <f>'Kullanılan gübre'!AJ10*'Gübre oranlar'!AM$3</f>
        <v>0</v>
      </c>
      <c r="AK10">
        <f>'Kullanılan gübre'!AK10*'Gübre oranlar'!AN$3</f>
        <v>0</v>
      </c>
      <c r="AL10">
        <f>'Kullanılan gübre'!AL10*'Gübre oranlar'!AO$3</f>
        <v>0</v>
      </c>
      <c r="AM10">
        <f>'Kullanılan gübre'!AM10*'Gübre oranlar'!AP$3</f>
        <v>0</v>
      </c>
      <c r="AN10">
        <f>'Kullanılan gübre'!AN10*'Gübre oranlar'!AQ$3</f>
        <v>0</v>
      </c>
      <c r="AO10">
        <f>'Kullanılan gübre'!AO10*'Gübre oranlar'!AR$3</f>
        <v>0</v>
      </c>
      <c r="AP10">
        <f>'Kullanılan gübre'!AP10*'Gübre oranlar'!AS$3</f>
        <v>0</v>
      </c>
      <c r="AQ10">
        <f>'Kullanılan gübre'!AQ10*'Gübre oranlar'!AT$3</f>
        <v>0</v>
      </c>
      <c r="AR10">
        <f>'Kullanılan gübre'!AR10*'Gübre oranlar'!AU$3</f>
        <v>0</v>
      </c>
      <c r="AS10">
        <f>'Kullanılan gübre'!AS10*'Gübre oranlar'!AV$3</f>
        <v>0</v>
      </c>
      <c r="AT10">
        <f>'Kullanılan gübre'!AT10*'Gübre oranlar'!AW$3</f>
        <v>0</v>
      </c>
      <c r="AU10">
        <f>'Kullanılan gübre'!AU10*'Gübre oranlar'!AX$3</f>
        <v>0</v>
      </c>
      <c r="AV10">
        <f>'Kullanılan gübre'!AV10*'Gübre oranlar'!AY$3</f>
        <v>0</v>
      </c>
      <c r="AW10">
        <f t="shared" si="0"/>
        <v>56.6755</v>
      </c>
    </row>
    <row r="11" spans="1:49" x14ac:dyDescent="0.25">
      <c r="A11" t="str">
        <f>'Kullanılan gübre'!A11</f>
        <v>AK</v>
      </c>
      <c r="B11" t="str">
        <f>'Kullanılan gübre'!B11</f>
        <v>AFYONKARAHISAR</v>
      </c>
      <c r="C11" t="str">
        <f>'Kullanılan gübre'!C11</f>
        <v>SUHUT</v>
      </c>
      <c r="D11">
        <f>'Kullanılan gübre'!D11</f>
        <v>2008</v>
      </c>
      <c r="E11">
        <f>'Kullanılan gübre'!E11*'Gübre oranlar'!H$3</f>
        <v>0</v>
      </c>
      <c r="F11">
        <f>'Kullanılan gübre'!F11*'Gübre oranlar'!I$3</f>
        <v>0</v>
      </c>
      <c r="G11">
        <f>'Kullanılan gübre'!G11*'Gübre oranlar'!J$3</f>
        <v>0</v>
      </c>
      <c r="H11">
        <f>'Kullanılan gübre'!H11*'Gübre oranlar'!K$3</f>
        <v>0</v>
      </c>
      <c r="I11">
        <f>'Kullanılan gübre'!I11*'Gübre oranlar'!L$3</f>
        <v>17.307500000000001</v>
      </c>
      <c r="J11">
        <f>'Kullanılan gübre'!J11*'Gübre oranlar'!M$3</f>
        <v>0</v>
      </c>
      <c r="K11">
        <f>'Kullanılan gübre'!K11*'Gübre oranlar'!N$3</f>
        <v>12.990000000000002</v>
      </c>
      <c r="L11">
        <f>'Kullanılan gübre'!L11*'Gübre oranlar'!O$3</f>
        <v>76.569999999999993</v>
      </c>
      <c r="M11">
        <f>'Kullanılan gübre'!M11*'Gübre oranlar'!P$3</f>
        <v>148.23749999999998</v>
      </c>
      <c r="N11">
        <f>'Kullanılan gübre'!N11*'Gübre oranlar'!Q$3</f>
        <v>174.25499999999997</v>
      </c>
      <c r="O11">
        <f>'Kullanılan gübre'!O11*'Gübre oranlar'!R$3</f>
        <v>0</v>
      </c>
      <c r="P11">
        <f>'Kullanılan gübre'!P11*'Gübre oranlar'!S$3</f>
        <v>0</v>
      </c>
      <c r="Q11">
        <f>'Kullanılan gübre'!Q11*'Gübre oranlar'!T$3</f>
        <v>165.39</v>
      </c>
      <c r="R11">
        <f>'Kullanılan gübre'!R11*'Gübre oranlar'!U$3</f>
        <v>0</v>
      </c>
      <c r="S11">
        <f>'Kullanılan gübre'!S11*'Gübre oranlar'!V$3</f>
        <v>0</v>
      </c>
      <c r="T11">
        <f>'Kullanılan gübre'!T11*'Gübre oranlar'!W$3</f>
        <v>0</v>
      </c>
      <c r="U11">
        <f>'Kullanılan gübre'!U11*'Gübre oranlar'!X$3</f>
        <v>0</v>
      </c>
      <c r="V11">
        <f>'Kullanılan gübre'!V11*'Gübre oranlar'!Y$3</f>
        <v>0</v>
      </c>
      <c r="W11">
        <f>'Kullanılan gübre'!W11*'Gübre oranlar'!Z$3</f>
        <v>0</v>
      </c>
      <c r="X11">
        <f>'Kullanılan gübre'!X11*'Gübre oranlar'!AA$3</f>
        <v>0</v>
      </c>
      <c r="Y11">
        <f>'Kullanılan gübre'!Y11*'Gübre oranlar'!AB$3</f>
        <v>0</v>
      </c>
      <c r="Z11">
        <f>'Kullanılan gübre'!Z11*'Gübre oranlar'!AC$3</f>
        <v>0</v>
      </c>
      <c r="AA11">
        <f>'Kullanılan gübre'!AA11*'Gübre oranlar'!AD$3</f>
        <v>0</v>
      </c>
      <c r="AB11">
        <f>'Kullanılan gübre'!AB11*'Gübre oranlar'!AE$3</f>
        <v>0</v>
      </c>
      <c r="AC11">
        <f>'Kullanılan gübre'!AC11*'Gübre oranlar'!AF$3</f>
        <v>0</v>
      </c>
      <c r="AD11">
        <f>'Kullanılan gübre'!AD11*'Gübre oranlar'!AG$3</f>
        <v>0</v>
      </c>
      <c r="AE11">
        <f>'Kullanılan gübre'!AE11*'Gübre oranlar'!AH$3</f>
        <v>0</v>
      </c>
      <c r="AF11">
        <f>'Kullanılan gübre'!AF11*'Gübre oranlar'!AI$3</f>
        <v>0</v>
      </c>
      <c r="AG11">
        <f>'Kullanılan gübre'!AG11*'Gübre oranlar'!AJ$3</f>
        <v>0</v>
      </c>
      <c r="AH11">
        <f>'Kullanılan gübre'!AH11*'Gübre oranlar'!AK$3</f>
        <v>0</v>
      </c>
      <c r="AI11">
        <f>'Kullanılan gübre'!AI11*'Gübre oranlar'!AL$3</f>
        <v>0</v>
      </c>
      <c r="AJ11">
        <f>'Kullanılan gübre'!AJ11*'Gübre oranlar'!AM$3</f>
        <v>0</v>
      </c>
      <c r="AK11">
        <f>'Kullanılan gübre'!AK11*'Gübre oranlar'!AN$3</f>
        <v>0</v>
      </c>
      <c r="AL11">
        <f>'Kullanılan gübre'!AL11*'Gübre oranlar'!AO$3</f>
        <v>0</v>
      </c>
      <c r="AM11">
        <f>'Kullanılan gübre'!AM11*'Gübre oranlar'!AP$3</f>
        <v>0</v>
      </c>
      <c r="AN11">
        <f>'Kullanılan gübre'!AN11*'Gübre oranlar'!AQ$3</f>
        <v>0</v>
      </c>
      <c r="AO11">
        <f>'Kullanılan gübre'!AO11*'Gübre oranlar'!AR$3</f>
        <v>0</v>
      </c>
      <c r="AP11">
        <f>'Kullanılan gübre'!AP11*'Gübre oranlar'!AS$3</f>
        <v>0</v>
      </c>
      <c r="AQ11">
        <f>'Kullanılan gübre'!AQ11*'Gübre oranlar'!AT$3</f>
        <v>0</v>
      </c>
      <c r="AR11">
        <f>'Kullanılan gübre'!AR11*'Gübre oranlar'!AU$3</f>
        <v>0</v>
      </c>
      <c r="AS11">
        <f>'Kullanılan gübre'!AS11*'Gübre oranlar'!AV$3</f>
        <v>0</v>
      </c>
      <c r="AT11">
        <f>'Kullanılan gübre'!AT11*'Gübre oranlar'!AW$3</f>
        <v>0</v>
      </c>
      <c r="AU11">
        <f>'Kullanılan gübre'!AU11*'Gübre oranlar'!AX$3</f>
        <v>0</v>
      </c>
      <c r="AV11">
        <f>'Kullanılan gübre'!AV11*'Gübre oranlar'!AY$3</f>
        <v>0</v>
      </c>
      <c r="AW11">
        <f t="shared" si="0"/>
        <v>594.74999999999989</v>
      </c>
    </row>
    <row r="12" spans="1:49" x14ac:dyDescent="0.25">
      <c r="A12" t="str">
        <f>'Kullanılan gübre'!A12</f>
        <v>AK</v>
      </c>
      <c r="B12" t="str">
        <f>'Kullanılan gübre'!B12</f>
        <v>AFYONKARAHISAR</v>
      </c>
      <c r="C12" t="str">
        <f>'Kullanılan gübre'!C12</f>
        <v>MERKEZ</v>
      </c>
      <c r="D12">
        <f>'Kullanılan gübre'!D12</f>
        <v>2006</v>
      </c>
      <c r="E12">
        <f>'Kullanılan gübre'!E12*'Gübre oranlar'!H$3</f>
        <v>0</v>
      </c>
      <c r="F12">
        <f>'Kullanılan gübre'!F12*'Gübre oranlar'!I$3</f>
        <v>0</v>
      </c>
      <c r="G12">
        <f>'Kullanılan gübre'!G12*'Gübre oranlar'!J$3</f>
        <v>0</v>
      </c>
      <c r="H12">
        <f>'Kullanılan gübre'!H12*'Gübre oranlar'!K$3</f>
        <v>0</v>
      </c>
      <c r="I12">
        <f>'Kullanılan gübre'!I12*'Gübre oranlar'!L$3</f>
        <v>4.4720000000000004</v>
      </c>
      <c r="J12">
        <f>'Kullanılan gübre'!J12*'Gübre oranlar'!M$3</f>
        <v>0</v>
      </c>
      <c r="K12">
        <f>'Kullanılan gübre'!K12*'Gübre oranlar'!N$3</f>
        <v>452.32</v>
      </c>
      <c r="L12">
        <f>'Kullanılan gübre'!L12*'Gübre oranlar'!O$3</f>
        <v>97.73</v>
      </c>
      <c r="M12">
        <f>'Kullanılan gübre'!M12*'Gübre oranlar'!P$3</f>
        <v>32.557499999999997</v>
      </c>
      <c r="N12">
        <f>'Kullanılan gübre'!N12*'Gübre oranlar'!Q$3</f>
        <v>75.47999999999999</v>
      </c>
      <c r="O12">
        <f>'Kullanılan gübre'!O12*'Gübre oranlar'!R$3</f>
        <v>0</v>
      </c>
      <c r="P12">
        <f>'Kullanılan gübre'!P12*'Gübre oranlar'!S$3</f>
        <v>0</v>
      </c>
      <c r="Q12">
        <f>'Kullanılan gübre'!Q12*'Gübre oranlar'!T$3</f>
        <v>97.784999999999997</v>
      </c>
      <c r="R12">
        <f>'Kullanılan gübre'!R12*'Gübre oranlar'!U$3</f>
        <v>0</v>
      </c>
      <c r="S12">
        <f>'Kullanılan gübre'!S12*'Gübre oranlar'!V$3</f>
        <v>0</v>
      </c>
      <c r="T12">
        <f>'Kullanılan gübre'!T12*'Gübre oranlar'!W$3</f>
        <v>0</v>
      </c>
      <c r="U12">
        <f>'Kullanılan gübre'!U12*'Gübre oranlar'!X$3</f>
        <v>0</v>
      </c>
      <c r="V12">
        <f>'Kullanılan gübre'!V12*'Gübre oranlar'!Y$3</f>
        <v>0</v>
      </c>
      <c r="W12">
        <f>'Kullanılan gübre'!W12*'Gübre oranlar'!Z$3</f>
        <v>0</v>
      </c>
      <c r="X12">
        <f>'Kullanılan gübre'!X12*'Gübre oranlar'!AA$3</f>
        <v>0</v>
      </c>
      <c r="Y12">
        <f>'Kullanılan gübre'!Y12*'Gübre oranlar'!AB$3</f>
        <v>0</v>
      </c>
      <c r="Z12">
        <f>'Kullanılan gübre'!Z12*'Gübre oranlar'!AC$3</f>
        <v>0</v>
      </c>
      <c r="AA12">
        <f>'Kullanılan gübre'!AA12*'Gübre oranlar'!AD$3</f>
        <v>0</v>
      </c>
      <c r="AB12">
        <f>'Kullanılan gübre'!AB12*'Gübre oranlar'!AE$3</f>
        <v>0</v>
      </c>
      <c r="AC12">
        <f>'Kullanılan gübre'!AC12*'Gübre oranlar'!AF$3</f>
        <v>0</v>
      </c>
      <c r="AD12">
        <f>'Kullanılan gübre'!AD12*'Gübre oranlar'!AG$3</f>
        <v>0</v>
      </c>
      <c r="AE12">
        <f>'Kullanılan gübre'!AE12*'Gübre oranlar'!AH$3</f>
        <v>0</v>
      </c>
      <c r="AF12">
        <f>'Kullanılan gübre'!AF12*'Gübre oranlar'!AI$3</f>
        <v>0</v>
      </c>
      <c r="AG12">
        <f>'Kullanılan gübre'!AG12*'Gübre oranlar'!AJ$3</f>
        <v>0</v>
      </c>
      <c r="AH12">
        <f>'Kullanılan gübre'!AH12*'Gübre oranlar'!AK$3</f>
        <v>0</v>
      </c>
      <c r="AI12">
        <f>'Kullanılan gübre'!AI12*'Gübre oranlar'!AL$3</f>
        <v>0</v>
      </c>
      <c r="AJ12">
        <f>'Kullanılan gübre'!AJ12*'Gübre oranlar'!AM$3</f>
        <v>0</v>
      </c>
      <c r="AK12">
        <f>'Kullanılan gübre'!AK12*'Gübre oranlar'!AN$3</f>
        <v>0</v>
      </c>
      <c r="AL12">
        <f>'Kullanılan gübre'!AL12*'Gübre oranlar'!AO$3</f>
        <v>0</v>
      </c>
      <c r="AM12">
        <f>'Kullanılan gübre'!AM12*'Gübre oranlar'!AP$3</f>
        <v>0</v>
      </c>
      <c r="AN12">
        <f>'Kullanılan gübre'!AN12*'Gübre oranlar'!AQ$3</f>
        <v>0</v>
      </c>
      <c r="AO12">
        <f>'Kullanılan gübre'!AO12*'Gübre oranlar'!AR$3</f>
        <v>0</v>
      </c>
      <c r="AP12">
        <f>'Kullanılan gübre'!AP12*'Gübre oranlar'!AS$3</f>
        <v>0</v>
      </c>
      <c r="AQ12">
        <f>'Kullanılan gübre'!AQ12*'Gübre oranlar'!AT$3</f>
        <v>0</v>
      </c>
      <c r="AR12">
        <f>'Kullanılan gübre'!AR12*'Gübre oranlar'!AU$3</f>
        <v>0</v>
      </c>
      <c r="AS12">
        <f>'Kullanılan gübre'!AS12*'Gübre oranlar'!AV$3</f>
        <v>0</v>
      </c>
      <c r="AT12">
        <f>'Kullanılan gübre'!AT12*'Gübre oranlar'!AW$3</f>
        <v>0</v>
      </c>
      <c r="AU12">
        <f>'Kullanılan gübre'!AU12*'Gübre oranlar'!AX$3</f>
        <v>0</v>
      </c>
      <c r="AV12">
        <f>'Kullanılan gübre'!AV12*'Gübre oranlar'!AY$3</f>
        <v>0</v>
      </c>
      <c r="AW12">
        <f t="shared" si="0"/>
        <v>760.34449999999993</v>
      </c>
    </row>
    <row r="13" spans="1:49" x14ac:dyDescent="0.25">
      <c r="A13" t="str">
        <f>'Kullanılan gübre'!A13</f>
        <v>AK</v>
      </c>
      <c r="B13" t="str">
        <f>'Kullanılan gübre'!B13</f>
        <v>AFYONKARAHISAR</v>
      </c>
      <c r="C13" t="str">
        <f>'Kullanılan gübre'!C13</f>
        <v>BAYAT</v>
      </c>
      <c r="D13">
        <f>'Kullanılan gübre'!D13</f>
        <v>2006</v>
      </c>
      <c r="E13">
        <f>'Kullanılan gübre'!E13*'Gübre oranlar'!H$3</f>
        <v>0</v>
      </c>
      <c r="F13">
        <f>'Kullanılan gübre'!F13*'Gübre oranlar'!I$3</f>
        <v>0</v>
      </c>
      <c r="G13">
        <f>'Kullanılan gübre'!G13*'Gübre oranlar'!J$3</f>
        <v>0</v>
      </c>
      <c r="H13">
        <f>'Kullanılan gübre'!H13*'Gübre oranlar'!K$3</f>
        <v>0</v>
      </c>
      <c r="I13">
        <f>'Kullanılan gübre'!I13*'Gübre oranlar'!L$3</f>
        <v>8.6</v>
      </c>
      <c r="J13">
        <f>'Kullanılan gübre'!J13*'Gübre oranlar'!M$3</f>
        <v>0</v>
      </c>
      <c r="K13">
        <f>'Kullanılan gübre'!K13*'Gübre oranlar'!N$3</f>
        <v>0</v>
      </c>
      <c r="L13">
        <f>'Kullanılan gübre'!L13*'Gübre oranlar'!O$3</f>
        <v>0</v>
      </c>
      <c r="M13">
        <f>'Kullanılan gübre'!M13*'Gübre oranlar'!P$3</f>
        <v>0</v>
      </c>
      <c r="N13">
        <f>'Kullanılan gübre'!N13*'Gübre oranlar'!Q$3</f>
        <v>0</v>
      </c>
      <c r="O13">
        <f>'Kullanılan gübre'!O13*'Gübre oranlar'!R$3</f>
        <v>0</v>
      </c>
      <c r="P13">
        <f>'Kullanılan gübre'!P13*'Gübre oranlar'!S$3</f>
        <v>0</v>
      </c>
      <c r="Q13">
        <f>'Kullanılan gübre'!Q13*'Gübre oranlar'!T$3</f>
        <v>0</v>
      </c>
      <c r="R13">
        <f>'Kullanılan gübre'!R13*'Gübre oranlar'!U$3</f>
        <v>0</v>
      </c>
      <c r="S13">
        <f>'Kullanılan gübre'!S13*'Gübre oranlar'!V$3</f>
        <v>0</v>
      </c>
      <c r="T13">
        <f>'Kullanılan gübre'!T13*'Gübre oranlar'!W$3</f>
        <v>0</v>
      </c>
      <c r="U13">
        <f>'Kullanılan gübre'!U13*'Gübre oranlar'!X$3</f>
        <v>0</v>
      </c>
      <c r="V13">
        <f>'Kullanılan gübre'!V13*'Gübre oranlar'!Y$3</f>
        <v>0</v>
      </c>
      <c r="W13">
        <f>'Kullanılan gübre'!W13*'Gübre oranlar'!Z$3</f>
        <v>0</v>
      </c>
      <c r="X13">
        <f>'Kullanılan gübre'!X13*'Gübre oranlar'!AA$3</f>
        <v>0</v>
      </c>
      <c r="Y13">
        <f>'Kullanılan gübre'!Y13*'Gübre oranlar'!AB$3</f>
        <v>0</v>
      </c>
      <c r="Z13">
        <f>'Kullanılan gübre'!Z13*'Gübre oranlar'!AC$3</f>
        <v>0</v>
      </c>
      <c r="AA13">
        <f>'Kullanılan gübre'!AA13*'Gübre oranlar'!AD$3</f>
        <v>0</v>
      </c>
      <c r="AB13">
        <f>'Kullanılan gübre'!AB13*'Gübre oranlar'!AE$3</f>
        <v>0</v>
      </c>
      <c r="AC13">
        <f>'Kullanılan gübre'!AC13*'Gübre oranlar'!AF$3</f>
        <v>0</v>
      </c>
      <c r="AD13">
        <f>'Kullanılan gübre'!AD13*'Gübre oranlar'!AG$3</f>
        <v>0</v>
      </c>
      <c r="AE13">
        <f>'Kullanılan gübre'!AE13*'Gübre oranlar'!AH$3</f>
        <v>0</v>
      </c>
      <c r="AF13">
        <f>'Kullanılan gübre'!AF13*'Gübre oranlar'!AI$3</f>
        <v>0</v>
      </c>
      <c r="AG13">
        <f>'Kullanılan gübre'!AG13*'Gübre oranlar'!AJ$3</f>
        <v>0</v>
      </c>
      <c r="AH13">
        <f>'Kullanılan gübre'!AH13*'Gübre oranlar'!AK$3</f>
        <v>0</v>
      </c>
      <c r="AI13">
        <f>'Kullanılan gübre'!AI13*'Gübre oranlar'!AL$3</f>
        <v>0</v>
      </c>
      <c r="AJ13">
        <f>'Kullanılan gübre'!AJ13*'Gübre oranlar'!AM$3</f>
        <v>0</v>
      </c>
      <c r="AK13">
        <f>'Kullanılan gübre'!AK13*'Gübre oranlar'!AN$3</f>
        <v>0</v>
      </c>
      <c r="AL13">
        <f>'Kullanılan gübre'!AL13*'Gübre oranlar'!AO$3</f>
        <v>0</v>
      </c>
      <c r="AM13">
        <f>'Kullanılan gübre'!AM13*'Gübre oranlar'!AP$3</f>
        <v>0</v>
      </c>
      <c r="AN13">
        <f>'Kullanılan gübre'!AN13*'Gübre oranlar'!AQ$3</f>
        <v>0</v>
      </c>
      <c r="AO13">
        <f>'Kullanılan gübre'!AO13*'Gübre oranlar'!AR$3</f>
        <v>0</v>
      </c>
      <c r="AP13">
        <f>'Kullanılan gübre'!AP13*'Gübre oranlar'!AS$3</f>
        <v>0</v>
      </c>
      <c r="AQ13">
        <f>'Kullanılan gübre'!AQ13*'Gübre oranlar'!AT$3</f>
        <v>0</v>
      </c>
      <c r="AR13">
        <f>'Kullanılan gübre'!AR13*'Gübre oranlar'!AU$3</f>
        <v>0</v>
      </c>
      <c r="AS13">
        <f>'Kullanılan gübre'!AS13*'Gübre oranlar'!AV$3</f>
        <v>0</v>
      </c>
      <c r="AT13">
        <f>'Kullanılan gübre'!AT13*'Gübre oranlar'!AW$3</f>
        <v>0</v>
      </c>
      <c r="AU13">
        <f>'Kullanılan gübre'!AU13*'Gübre oranlar'!AX$3</f>
        <v>0</v>
      </c>
      <c r="AV13">
        <f>'Kullanılan gübre'!AV13*'Gübre oranlar'!AY$3</f>
        <v>0</v>
      </c>
      <c r="AW13">
        <f t="shared" si="0"/>
        <v>8.6</v>
      </c>
    </row>
    <row r="14" spans="1:49" x14ac:dyDescent="0.25">
      <c r="A14" t="str">
        <f>'Kullanılan gübre'!A14</f>
        <v>AK</v>
      </c>
      <c r="B14" t="str">
        <f>'Kullanılan gübre'!B14</f>
        <v>AFYONKARAHISAR</v>
      </c>
      <c r="C14" t="str">
        <f>'Kullanılan gübre'!C14</f>
        <v>BOLVADIN</v>
      </c>
      <c r="D14">
        <f>'Kullanılan gübre'!D14</f>
        <v>2006</v>
      </c>
      <c r="E14">
        <f>'Kullanılan gübre'!E14*'Gübre oranlar'!H$3</f>
        <v>0</v>
      </c>
      <c r="F14">
        <f>'Kullanılan gübre'!F14*'Gübre oranlar'!I$3</f>
        <v>0</v>
      </c>
      <c r="G14">
        <f>'Kullanılan gübre'!G14*'Gübre oranlar'!J$3</f>
        <v>0</v>
      </c>
      <c r="H14">
        <f>'Kullanılan gübre'!H14*'Gübre oranlar'!K$3</f>
        <v>0</v>
      </c>
      <c r="I14">
        <f>'Kullanılan gübre'!I14*'Gübre oranlar'!L$3</f>
        <v>92.277999999999992</v>
      </c>
      <c r="J14">
        <f>'Kullanılan gübre'!J14*'Gübre oranlar'!M$3</f>
        <v>0</v>
      </c>
      <c r="K14">
        <f>'Kullanılan gübre'!K14*'Gübre oranlar'!N$3</f>
        <v>16.8</v>
      </c>
      <c r="L14">
        <f>'Kullanılan gübre'!L14*'Gübre oranlar'!O$3</f>
        <v>73.7</v>
      </c>
      <c r="M14">
        <f>'Kullanılan gübre'!M14*'Gübre oranlar'!P$3</f>
        <v>1.6875</v>
      </c>
      <c r="N14">
        <f>'Kullanılan gübre'!N14*'Gübre oranlar'!Q$3</f>
        <v>10.395</v>
      </c>
      <c r="O14">
        <f>'Kullanılan gübre'!O14*'Gübre oranlar'!R$3</f>
        <v>0</v>
      </c>
      <c r="P14">
        <f>'Kullanılan gübre'!P14*'Gübre oranlar'!S$3</f>
        <v>0</v>
      </c>
      <c r="Q14">
        <f>'Kullanılan gübre'!Q14*'Gübre oranlar'!T$3</f>
        <v>0</v>
      </c>
      <c r="R14">
        <f>'Kullanılan gübre'!R14*'Gübre oranlar'!U$3</f>
        <v>0</v>
      </c>
      <c r="S14">
        <f>'Kullanılan gübre'!S14*'Gübre oranlar'!V$3</f>
        <v>0</v>
      </c>
      <c r="T14">
        <f>'Kullanılan gübre'!T14*'Gübre oranlar'!W$3</f>
        <v>0</v>
      </c>
      <c r="U14">
        <f>'Kullanılan gübre'!U14*'Gübre oranlar'!X$3</f>
        <v>0</v>
      </c>
      <c r="V14">
        <f>'Kullanılan gübre'!V14*'Gübre oranlar'!Y$3</f>
        <v>0</v>
      </c>
      <c r="W14">
        <f>'Kullanılan gübre'!W14*'Gübre oranlar'!Z$3</f>
        <v>0</v>
      </c>
      <c r="X14">
        <f>'Kullanılan gübre'!X14*'Gübre oranlar'!AA$3</f>
        <v>0</v>
      </c>
      <c r="Y14">
        <f>'Kullanılan gübre'!Y14*'Gübre oranlar'!AB$3</f>
        <v>0</v>
      </c>
      <c r="Z14">
        <f>'Kullanılan gübre'!Z14*'Gübre oranlar'!AC$3</f>
        <v>0</v>
      </c>
      <c r="AA14">
        <f>'Kullanılan gübre'!AA14*'Gübre oranlar'!AD$3</f>
        <v>0</v>
      </c>
      <c r="AB14">
        <f>'Kullanılan gübre'!AB14*'Gübre oranlar'!AE$3</f>
        <v>0</v>
      </c>
      <c r="AC14">
        <f>'Kullanılan gübre'!AC14*'Gübre oranlar'!AF$3</f>
        <v>0</v>
      </c>
      <c r="AD14">
        <f>'Kullanılan gübre'!AD14*'Gübre oranlar'!AG$3</f>
        <v>0</v>
      </c>
      <c r="AE14">
        <f>'Kullanılan gübre'!AE14*'Gübre oranlar'!AH$3</f>
        <v>0</v>
      </c>
      <c r="AF14">
        <f>'Kullanılan gübre'!AF14*'Gübre oranlar'!AI$3</f>
        <v>0</v>
      </c>
      <c r="AG14">
        <f>'Kullanılan gübre'!AG14*'Gübre oranlar'!AJ$3</f>
        <v>0</v>
      </c>
      <c r="AH14">
        <f>'Kullanılan gübre'!AH14*'Gübre oranlar'!AK$3</f>
        <v>0</v>
      </c>
      <c r="AI14">
        <f>'Kullanılan gübre'!AI14*'Gübre oranlar'!AL$3</f>
        <v>0</v>
      </c>
      <c r="AJ14">
        <f>'Kullanılan gübre'!AJ14*'Gübre oranlar'!AM$3</f>
        <v>0</v>
      </c>
      <c r="AK14">
        <f>'Kullanılan gübre'!AK14*'Gübre oranlar'!AN$3</f>
        <v>0</v>
      </c>
      <c r="AL14">
        <f>'Kullanılan gübre'!AL14*'Gübre oranlar'!AO$3</f>
        <v>0</v>
      </c>
      <c r="AM14">
        <f>'Kullanılan gübre'!AM14*'Gübre oranlar'!AP$3</f>
        <v>0</v>
      </c>
      <c r="AN14">
        <f>'Kullanılan gübre'!AN14*'Gübre oranlar'!AQ$3</f>
        <v>0</v>
      </c>
      <c r="AO14">
        <f>'Kullanılan gübre'!AO14*'Gübre oranlar'!AR$3</f>
        <v>0</v>
      </c>
      <c r="AP14">
        <f>'Kullanılan gübre'!AP14*'Gübre oranlar'!AS$3</f>
        <v>0</v>
      </c>
      <c r="AQ14">
        <f>'Kullanılan gübre'!AQ14*'Gübre oranlar'!AT$3</f>
        <v>0</v>
      </c>
      <c r="AR14">
        <f>'Kullanılan gübre'!AR14*'Gübre oranlar'!AU$3</f>
        <v>0</v>
      </c>
      <c r="AS14">
        <f>'Kullanılan gübre'!AS14*'Gübre oranlar'!AV$3</f>
        <v>0</v>
      </c>
      <c r="AT14">
        <f>'Kullanılan gübre'!AT14*'Gübre oranlar'!AW$3</f>
        <v>0</v>
      </c>
      <c r="AU14">
        <f>'Kullanılan gübre'!AU14*'Gübre oranlar'!AX$3</f>
        <v>0</v>
      </c>
      <c r="AV14">
        <f>'Kullanılan gübre'!AV14*'Gübre oranlar'!AY$3</f>
        <v>0</v>
      </c>
      <c r="AW14">
        <f t="shared" si="0"/>
        <v>194.8605</v>
      </c>
    </row>
    <row r="15" spans="1:49" x14ac:dyDescent="0.25">
      <c r="A15" t="str">
        <f>'Kullanılan gübre'!A15</f>
        <v>AK</v>
      </c>
      <c r="B15" t="str">
        <f>'Kullanılan gübre'!B15</f>
        <v>AFYONKARAHISAR</v>
      </c>
      <c r="C15" t="str">
        <f>'Kullanılan gübre'!C15</f>
        <v>CAY</v>
      </c>
      <c r="D15">
        <f>'Kullanılan gübre'!D15</f>
        <v>2006</v>
      </c>
      <c r="E15">
        <f>'Kullanılan gübre'!E15*'Gübre oranlar'!H$3</f>
        <v>0</v>
      </c>
      <c r="F15">
        <f>'Kullanılan gübre'!F15*'Gübre oranlar'!I$3</f>
        <v>0</v>
      </c>
      <c r="G15">
        <f>'Kullanılan gübre'!G15*'Gübre oranlar'!J$3</f>
        <v>0</v>
      </c>
      <c r="H15">
        <f>'Kullanılan gübre'!H15*'Gübre oranlar'!K$3</f>
        <v>0</v>
      </c>
      <c r="I15">
        <f>'Kullanılan gübre'!I15*'Gübre oranlar'!L$3</f>
        <v>137.51400000000001</v>
      </c>
      <c r="J15">
        <f>'Kullanılan gübre'!J15*'Gübre oranlar'!M$3</f>
        <v>0</v>
      </c>
      <c r="K15">
        <f>'Kullanılan gübre'!K15*'Gübre oranlar'!N$3</f>
        <v>29.3</v>
      </c>
      <c r="L15">
        <f>'Kullanılan gübre'!L15*'Gübre oranlar'!O$3</f>
        <v>136.32000000000002</v>
      </c>
      <c r="M15">
        <f>'Kullanılan gübre'!M15*'Gübre oranlar'!P$3</f>
        <v>3.2324999999999995</v>
      </c>
      <c r="N15">
        <f>'Kullanılan gübre'!N15*'Gübre oranlar'!Q$3</f>
        <v>15.982500000000002</v>
      </c>
      <c r="O15">
        <f>'Kullanılan gübre'!O15*'Gübre oranlar'!R$3</f>
        <v>0</v>
      </c>
      <c r="P15">
        <f>'Kullanılan gübre'!P15*'Gübre oranlar'!S$3</f>
        <v>0</v>
      </c>
      <c r="Q15">
        <f>'Kullanılan gübre'!Q15*'Gübre oranlar'!T$3</f>
        <v>0</v>
      </c>
      <c r="R15">
        <f>'Kullanılan gübre'!R15*'Gübre oranlar'!U$3</f>
        <v>0</v>
      </c>
      <c r="S15">
        <f>'Kullanılan gübre'!S15*'Gübre oranlar'!V$3</f>
        <v>0</v>
      </c>
      <c r="T15">
        <f>'Kullanılan gübre'!T15*'Gübre oranlar'!W$3</f>
        <v>0</v>
      </c>
      <c r="U15">
        <f>'Kullanılan gübre'!U15*'Gübre oranlar'!X$3</f>
        <v>0</v>
      </c>
      <c r="V15">
        <f>'Kullanılan gübre'!V15*'Gübre oranlar'!Y$3</f>
        <v>0</v>
      </c>
      <c r="W15">
        <f>'Kullanılan gübre'!W15*'Gübre oranlar'!Z$3</f>
        <v>0</v>
      </c>
      <c r="X15">
        <f>'Kullanılan gübre'!X15*'Gübre oranlar'!AA$3</f>
        <v>0</v>
      </c>
      <c r="Y15">
        <f>'Kullanılan gübre'!Y15*'Gübre oranlar'!AB$3</f>
        <v>0</v>
      </c>
      <c r="Z15">
        <f>'Kullanılan gübre'!Z15*'Gübre oranlar'!AC$3</f>
        <v>0</v>
      </c>
      <c r="AA15">
        <f>'Kullanılan gübre'!AA15*'Gübre oranlar'!AD$3</f>
        <v>0</v>
      </c>
      <c r="AB15">
        <f>'Kullanılan gübre'!AB15*'Gübre oranlar'!AE$3</f>
        <v>0</v>
      </c>
      <c r="AC15">
        <f>'Kullanılan gübre'!AC15*'Gübre oranlar'!AF$3</f>
        <v>0</v>
      </c>
      <c r="AD15">
        <f>'Kullanılan gübre'!AD15*'Gübre oranlar'!AG$3</f>
        <v>0</v>
      </c>
      <c r="AE15">
        <f>'Kullanılan gübre'!AE15*'Gübre oranlar'!AH$3</f>
        <v>0</v>
      </c>
      <c r="AF15">
        <f>'Kullanılan gübre'!AF15*'Gübre oranlar'!AI$3</f>
        <v>0</v>
      </c>
      <c r="AG15">
        <f>'Kullanılan gübre'!AG15*'Gübre oranlar'!AJ$3</f>
        <v>0</v>
      </c>
      <c r="AH15">
        <f>'Kullanılan gübre'!AH15*'Gübre oranlar'!AK$3</f>
        <v>0</v>
      </c>
      <c r="AI15">
        <f>'Kullanılan gübre'!AI15*'Gübre oranlar'!AL$3</f>
        <v>0</v>
      </c>
      <c r="AJ15">
        <f>'Kullanılan gübre'!AJ15*'Gübre oranlar'!AM$3</f>
        <v>0</v>
      </c>
      <c r="AK15">
        <f>'Kullanılan gübre'!AK15*'Gübre oranlar'!AN$3</f>
        <v>0</v>
      </c>
      <c r="AL15">
        <f>'Kullanılan gübre'!AL15*'Gübre oranlar'!AO$3</f>
        <v>0</v>
      </c>
      <c r="AM15">
        <f>'Kullanılan gübre'!AM15*'Gübre oranlar'!AP$3</f>
        <v>0</v>
      </c>
      <c r="AN15">
        <f>'Kullanılan gübre'!AN15*'Gübre oranlar'!AQ$3</f>
        <v>0</v>
      </c>
      <c r="AO15">
        <f>'Kullanılan gübre'!AO15*'Gübre oranlar'!AR$3</f>
        <v>0</v>
      </c>
      <c r="AP15">
        <f>'Kullanılan gübre'!AP15*'Gübre oranlar'!AS$3</f>
        <v>0</v>
      </c>
      <c r="AQ15">
        <f>'Kullanılan gübre'!AQ15*'Gübre oranlar'!AT$3</f>
        <v>0</v>
      </c>
      <c r="AR15">
        <f>'Kullanılan gübre'!AR15*'Gübre oranlar'!AU$3</f>
        <v>0</v>
      </c>
      <c r="AS15">
        <f>'Kullanılan gübre'!AS15*'Gübre oranlar'!AV$3</f>
        <v>0</v>
      </c>
      <c r="AT15">
        <f>'Kullanılan gübre'!AT15*'Gübre oranlar'!AW$3</f>
        <v>0</v>
      </c>
      <c r="AU15">
        <f>'Kullanılan gübre'!AU15*'Gübre oranlar'!AX$3</f>
        <v>0</v>
      </c>
      <c r="AV15">
        <f>'Kullanılan gübre'!AV15*'Gübre oranlar'!AY$3</f>
        <v>0</v>
      </c>
      <c r="AW15">
        <f t="shared" si="0"/>
        <v>322.34900000000005</v>
      </c>
    </row>
    <row r="16" spans="1:49" x14ac:dyDescent="0.25">
      <c r="A16" t="str">
        <f>'Kullanılan gübre'!A16</f>
        <v>AK</v>
      </c>
      <c r="B16" t="str">
        <f>'Kullanılan gübre'!B16</f>
        <v>AFYONKARAHISAR</v>
      </c>
      <c r="C16" t="str">
        <f>'Kullanılan gübre'!C16</f>
        <v>COBANLAR</v>
      </c>
      <c r="D16">
        <f>'Kullanılan gübre'!D16</f>
        <v>2006</v>
      </c>
      <c r="E16">
        <f>'Kullanılan gübre'!E16*'Gübre oranlar'!H$3</f>
        <v>0</v>
      </c>
      <c r="F16">
        <f>'Kullanılan gübre'!F16*'Gübre oranlar'!I$3</f>
        <v>0</v>
      </c>
      <c r="G16">
        <f>'Kullanılan gübre'!G16*'Gübre oranlar'!J$3</f>
        <v>0</v>
      </c>
      <c r="H16">
        <f>'Kullanılan gübre'!H16*'Gübre oranlar'!K$3</f>
        <v>0</v>
      </c>
      <c r="I16">
        <f>'Kullanılan gübre'!I16*'Gübre oranlar'!L$3</f>
        <v>18.489999999999998</v>
      </c>
      <c r="J16">
        <f>'Kullanılan gübre'!J16*'Gübre oranlar'!M$3</f>
        <v>0</v>
      </c>
      <c r="K16">
        <f>'Kullanılan gübre'!K16*'Gübre oranlar'!N$3</f>
        <v>18.87</v>
      </c>
      <c r="L16">
        <f>'Kullanılan gübre'!L16*'Gübre oranlar'!O$3</f>
        <v>44.070000000000007</v>
      </c>
      <c r="M16">
        <f>'Kullanılan gübre'!M16*'Gübre oranlar'!P$3</f>
        <v>3.7499999999999999E-2</v>
      </c>
      <c r="N16">
        <f>'Kullanılan gübre'!N16*'Gübre oranlar'!Q$3</f>
        <v>4.6574999999999998</v>
      </c>
      <c r="O16">
        <f>'Kullanılan gübre'!O16*'Gübre oranlar'!R$3</f>
        <v>0</v>
      </c>
      <c r="P16">
        <f>'Kullanılan gübre'!P16*'Gübre oranlar'!S$3</f>
        <v>0</v>
      </c>
      <c r="Q16">
        <f>'Kullanılan gübre'!Q16*'Gübre oranlar'!T$3</f>
        <v>0</v>
      </c>
      <c r="R16">
        <f>'Kullanılan gübre'!R16*'Gübre oranlar'!U$3</f>
        <v>0</v>
      </c>
      <c r="S16">
        <f>'Kullanılan gübre'!S16*'Gübre oranlar'!V$3</f>
        <v>0</v>
      </c>
      <c r="T16">
        <f>'Kullanılan gübre'!T16*'Gübre oranlar'!W$3</f>
        <v>0</v>
      </c>
      <c r="U16">
        <f>'Kullanılan gübre'!U16*'Gübre oranlar'!X$3</f>
        <v>0</v>
      </c>
      <c r="V16">
        <f>'Kullanılan gübre'!V16*'Gübre oranlar'!Y$3</f>
        <v>0</v>
      </c>
      <c r="W16">
        <f>'Kullanılan gübre'!W16*'Gübre oranlar'!Z$3</f>
        <v>0</v>
      </c>
      <c r="X16">
        <f>'Kullanılan gübre'!X16*'Gübre oranlar'!AA$3</f>
        <v>0</v>
      </c>
      <c r="Y16">
        <f>'Kullanılan gübre'!Y16*'Gübre oranlar'!AB$3</f>
        <v>0</v>
      </c>
      <c r="Z16">
        <f>'Kullanılan gübre'!Z16*'Gübre oranlar'!AC$3</f>
        <v>0</v>
      </c>
      <c r="AA16">
        <f>'Kullanılan gübre'!AA16*'Gübre oranlar'!AD$3</f>
        <v>0</v>
      </c>
      <c r="AB16">
        <f>'Kullanılan gübre'!AB16*'Gübre oranlar'!AE$3</f>
        <v>0</v>
      </c>
      <c r="AC16">
        <f>'Kullanılan gübre'!AC16*'Gübre oranlar'!AF$3</f>
        <v>0</v>
      </c>
      <c r="AD16">
        <f>'Kullanılan gübre'!AD16*'Gübre oranlar'!AG$3</f>
        <v>0</v>
      </c>
      <c r="AE16">
        <f>'Kullanılan gübre'!AE16*'Gübre oranlar'!AH$3</f>
        <v>0</v>
      </c>
      <c r="AF16">
        <f>'Kullanılan gübre'!AF16*'Gübre oranlar'!AI$3</f>
        <v>0</v>
      </c>
      <c r="AG16">
        <f>'Kullanılan gübre'!AG16*'Gübre oranlar'!AJ$3</f>
        <v>0</v>
      </c>
      <c r="AH16">
        <f>'Kullanılan gübre'!AH16*'Gübre oranlar'!AK$3</f>
        <v>0</v>
      </c>
      <c r="AI16">
        <f>'Kullanılan gübre'!AI16*'Gübre oranlar'!AL$3</f>
        <v>0</v>
      </c>
      <c r="AJ16">
        <f>'Kullanılan gübre'!AJ16*'Gübre oranlar'!AM$3</f>
        <v>0</v>
      </c>
      <c r="AK16">
        <f>'Kullanılan gübre'!AK16*'Gübre oranlar'!AN$3</f>
        <v>0</v>
      </c>
      <c r="AL16">
        <f>'Kullanılan gübre'!AL16*'Gübre oranlar'!AO$3</f>
        <v>0</v>
      </c>
      <c r="AM16">
        <f>'Kullanılan gübre'!AM16*'Gübre oranlar'!AP$3</f>
        <v>0</v>
      </c>
      <c r="AN16">
        <f>'Kullanılan gübre'!AN16*'Gübre oranlar'!AQ$3</f>
        <v>0</v>
      </c>
      <c r="AO16">
        <f>'Kullanılan gübre'!AO16*'Gübre oranlar'!AR$3</f>
        <v>0</v>
      </c>
      <c r="AP16">
        <f>'Kullanılan gübre'!AP16*'Gübre oranlar'!AS$3</f>
        <v>0</v>
      </c>
      <c r="AQ16">
        <f>'Kullanılan gübre'!AQ16*'Gübre oranlar'!AT$3</f>
        <v>0</v>
      </c>
      <c r="AR16">
        <f>'Kullanılan gübre'!AR16*'Gübre oranlar'!AU$3</f>
        <v>0</v>
      </c>
      <c r="AS16">
        <f>'Kullanılan gübre'!AS16*'Gübre oranlar'!AV$3</f>
        <v>0</v>
      </c>
      <c r="AT16">
        <f>'Kullanılan gübre'!AT16*'Gübre oranlar'!AW$3</f>
        <v>0</v>
      </c>
      <c r="AU16">
        <f>'Kullanılan gübre'!AU16*'Gübre oranlar'!AX$3</f>
        <v>0</v>
      </c>
      <c r="AV16">
        <f>'Kullanılan gübre'!AV16*'Gübre oranlar'!AY$3</f>
        <v>0</v>
      </c>
      <c r="AW16">
        <f t="shared" si="0"/>
        <v>86.125</v>
      </c>
    </row>
    <row r="17" spans="1:49" x14ac:dyDescent="0.25">
      <c r="A17" t="str">
        <f>'Kullanılan gübre'!A17</f>
        <v>AK</v>
      </c>
      <c r="B17" t="str">
        <f>'Kullanılan gübre'!B17</f>
        <v>AFYONKARAHISAR</v>
      </c>
      <c r="C17" t="str">
        <f>'Kullanılan gübre'!C17</f>
        <v>IHSANIYE</v>
      </c>
      <c r="D17">
        <f>'Kullanılan gübre'!D17</f>
        <v>2006</v>
      </c>
      <c r="E17">
        <f>'Kullanılan gübre'!E17*'Gübre oranlar'!H$3</f>
        <v>0</v>
      </c>
      <c r="F17">
        <f>'Kullanılan gübre'!F17*'Gübre oranlar'!I$3</f>
        <v>0</v>
      </c>
      <c r="G17">
        <f>'Kullanılan gübre'!G17*'Gübre oranlar'!J$3</f>
        <v>0</v>
      </c>
      <c r="H17">
        <f>'Kullanılan gübre'!H17*'Gübre oranlar'!K$3</f>
        <v>0</v>
      </c>
      <c r="I17">
        <f>'Kullanılan gübre'!I17*'Gübre oranlar'!L$3</f>
        <v>0</v>
      </c>
      <c r="J17">
        <f>'Kullanılan gübre'!J17*'Gübre oranlar'!M$3</f>
        <v>0</v>
      </c>
      <c r="K17">
        <f>'Kullanılan gübre'!K17*'Gübre oranlar'!N$3</f>
        <v>0</v>
      </c>
      <c r="L17">
        <f>'Kullanılan gübre'!L17*'Gübre oranlar'!O$3</f>
        <v>0</v>
      </c>
      <c r="M17">
        <f>'Kullanılan gübre'!M17*'Gübre oranlar'!P$3</f>
        <v>0</v>
      </c>
      <c r="N17">
        <f>'Kullanılan gübre'!N17*'Gübre oranlar'!Q$3</f>
        <v>0</v>
      </c>
      <c r="O17">
        <f>'Kullanılan gübre'!O17*'Gübre oranlar'!R$3</f>
        <v>0</v>
      </c>
      <c r="P17">
        <f>'Kullanılan gübre'!P17*'Gübre oranlar'!S$3</f>
        <v>0</v>
      </c>
      <c r="Q17">
        <f>'Kullanılan gübre'!Q17*'Gübre oranlar'!T$3</f>
        <v>0</v>
      </c>
      <c r="R17">
        <f>'Kullanılan gübre'!R17*'Gübre oranlar'!U$3</f>
        <v>91.872</v>
      </c>
      <c r="S17">
        <f>'Kullanılan gübre'!S17*'Gübre oranlar'!V$3</f>
        <v>0</v>
      </c>
      <c r="T17">
        <f>'Kullanılan gübre'!T17*'Gübre oranlar'!W$3</f>
        <v>0</v>
      </c>
      <c r="U17">
        <f>'Kullanılan gübre'!U17*'Gübre oranlar'!X$3</f>
        <v>0</v>
      </c>
      <c r="V17">
        <f>'Kullanılan gübre'!V17*'Gübre oranlar'!Y$3</f>
        <v>0</v>
      </c>
      <c r="W17">
        <f>'Kullanılan gübre'!W17*'Gübre oranlar'!Z$3</f>
        <v>0</v>
      </c>
      <c r="X17">
        <f>'Kullanılan gübre'!X17*'Gübre oranlar'!AA$3</f>
        <v>0</v>
      </c>
      <c r="Y17">
        <f>'Kullanılan gübre'!Y17*'Gübre oranlar'!AB$3</f>
        <v>0</v>
      </c>
      <c r="Z17">
        <f>'Kullanılan gübre'!Z17*'Gübre oranlar'!AC$3</f>
        <v>0</v>
      </c>
      <c r="AA17">
        <f>'Kullanılan gübre'!AA17*'Gübre oranlar'!AD$3</f>
        <v>0</v>
      </c>
      <c r="AB17">
        <f>'Kullanılan gübre'!AB17*'Gübre oranlar'!AE$3</f>
        <v>0</v>
      </c>
      <c r="AC17">
        <f>'Kullanılan gübre'!AC17*'Gübre oranlar'!AF$3</f>
        <v>0</v>
      </c>
      <c r="AD17">
        <f>'Kullanılan gübre'!AD17*'Gübre oranlar'!AG$3</f>
        <v>0</v>
      </c>
      <c r="AE17">
        <f>'Kullanılan gübre'!AE17*'Gübre oranlar'!AH$3</f>
        <v>0</v>
      </c>
      <c r="AF17">
        <f>'Kullanılan gübre'!AF17*'Gübre oranlar'!AI$3</f>
        <v>0</v>
      </c>
      <c r="AG17">
        <f>'Kullanılan gübre'!AG17*'Gübre oranlar'!AJ$3</f>
        <v>0</v>
      </c>
      <c r="AH17">
        <f>'Kullanılan gübre'!AH17*'Gübre oranlar'!AK$3</f>
        <v>0</v>
      </c>
      <c r="AI17">
        <f>'Kullanılan gübre'!AI17*'Gübre oranlar'!AL$3</f>
        <v>0</v>
      </c>
      <c r="AJ17">
        <f>'Kullanılan gübre'!AJ17*'Gübre oranlar'!AM$3</f>
        <v>0</v>
      </c>
      <c r="AK17">
        <f>'Kullanılan gübre'!AK17*'Gübre oranlar'!AN$3</f>
        <v>0</v>
      </c>
      <c r="AL17">
        <f>'Kullanılan gübre'!AL17*'Gübre oranlar'!AO$3</f>
        <v>0</v>
      </c>
      <c r="AM17">
        <f>'Kullanılan gübre'!AM17*'Gübre oranlar'!AP$3</f>
        <v>0</v>
      </c>
      <c r="AN17">
        <f>'Kullanılan gübre'!AN17*'Gübre oranlar'!AQ$3</f>
        <v>0</v>
      </c>
      <c r="AO17">
        <f>'Kullanılan gübre'!AO17*'Gübre oranlar'!AR$3</f>
        <v>0</v>
      </c>
      <c r="AP17">
        <f>'Kullanılan gübre'!AP17*'Gübre oranlar'!AS$3</f>
        <v>0</v>
      </c>
      <c r="AQ17">
        <f>'Kullanılan gübre'!AQ17*'Gübre oranlar'!AT$3</f>
        <v>0</v>
      </c>
      <c r="AR17">
        <f>'Kullanılan gübre'!AR17*'Gübre oranlar'!AU$3</f>
        <v>0</v>
      </c>
      <c r="AS17">
        <f>'Kullanılan gübre'!AS17*'Gübre oranlar'!AV$3</f>
        <v>0</v>
      </c>
      <c r="AT17">
        <f>'Kullanılan gübre'!AT17*'Gübre oranlar'!AW$3</f>
        <v>0</v>
      </c>
      <c r="AU17">
        <f>'Kullanılan gübre'!AU17*'Gübre oranlar'!AX$3</f>
        <v>0</v>
      </c>
      <c r="AV17">
        <f>'Kullanılan gübre'!AV17*'Gübre oranlar'!AY$3</f>
        <v>0</v>
      </c>
      <c r="AW17">
        <f t="shared" si="0"/>
        <v>91.872</v>
      </c>
    </row>
    <row r="18" spans="1:49" x14ac:dyDescent="0.25">
      <c r="A18" t="str">
        <f>'Kullanılan gübre'!A18</f>
        <v>AK</v>
      </c>
      <c r="B18" t="str">
        <f>'Kullanılan gübre'!B18</f>
        <v>AFYONKARAHISAR</v>
      </c>
      <c r="C18" t="str">
        <f>'Kullanılan gübre'!C18</f>
        <v>ISCEHISAR</v>
      </c>
      <c r="D18">
        <f>'Kullanılan gübre'!D18</f>
        <v>2006</v>
      </c>
      <c r="E18">
        <f>'Kullanılan gübre'!E18*'Gübre oranlar'!H$3</f>
        <v>0</v>
      </c>
      <c r="F18">
        <f>'Kullanılan gübre'!F18*'Gübre oranlar'!I$3</f>
        <v>0</v>
      </c>
      <c r="G18">
        <f>'Kullanılan gübre'!G18*'Gübre oranlar'!J$3</f>
        <v>0</v>
      </c>
      <c r="H18">
        <f>'Kullanılan gübre'!H18*'Gübre oranlar'!K$3</f>
        <v>0</v>
      </c>
      <c r="I18">
        <f>'Kullanılan gübre'!I18*'Gübre oranlar'!L$3</f>
        <v>0</v>
      </c>
      <c r="J18">
        <f>'Kullanılan gübre'!J18*'Gübre oranlar'!M$3</f>
        <v>0</v>
      </c>
      <c r="K18">
        <f>'Kullanılan gübre'!K18*'Gübre oranlar'!N$3</f>
        <v>0</v>
      </c>
      <c r="L18">
        <f>'Kullanılan gübre'!L18*'Gübre oranlar'!O$3</f>
        <v>17.150000000000002</v>
      </c>
      <c r="M18">
        <f>'Kullanılan gübre'!M18*'Gübre oranlar'!P$3</f>
        <v>0</v>
      </c>
      <c r="N18">
        <f>'Kullanılan gübre'!N18*'Gübre oranlar'!Q$3</f>
        <v>0</v>
      </c>
      <c r="O18">
        <f>'Kullanılan gübre'!O18*'Gübre oranlar'!R$3</f>
        <v>0</v>
      </c>
      <c r="P18">
        <f>'Kullanılan gübre'!P18*'Gübre oranlar'!S$3</f>
        <v>0</v>
      </c>
      <c r="Q18">
        <f>'Kullanılan gübre'!Q18*'Gübre oranlar'!T$3</f>
        <v>0</v>
      </c>
      <c r="R18">
        <f>'Kullanılan gübre'!R18*'Gübre oranlar'!U$3</f>
        <v>0</v>
      </c>
      <c r="S18">
        <f>'Kullanılan gübre'!S18*'Gübre oranlar'!V$3</f>
        <v>0</v>
      </c>
      <c r="T18">
        <f>'Kullanılan gübre'!T18*'Gübre oranlar'!W$3</f>
        <v>0</v>
      </c>
      <c r="U18">
        <f>'Kullanılan gübre'!U18*'Gübre oranlar'!X$3</f>
        <v>0</v>
      </c>
      <c r="V18">
        <f>'Kullanılan gübre'!V18*'Gübre oranlar'!Y$3</f>
        <v>0</v>
      </c>
      <c r="W18">
        <f>'Kullanılan gübre'!W18*'Gübre oranlar'!Z$3</f>
        <v>0</v>
      </c>
      <c r="X18">
        <f>'Kullanılan gübre'!X18*'Gübre oranlar'!AA$3</f>
        <v>0</v>
      </c>
      <c r="Y18">
        <f>'Kullanılan gübre'!Y18*'Gübre oranlar'!AB$3</f>
        <v>0</v>
      </c>
      <c r="Z18">
        <f>'Kullanılan gübre'!Z18*'Gübre oranlar'!AC$3</f>
        <v>0</v>
      </c>
      <c r="AA18">
        <f>'Kullanılan gübre'!AA18*'Gübre oranlar'!AD$3</f>
        <v>0</v>
      </c>
      <c r="AB18">
        <f>'Kullanılan gübre'!AB18*'Gübre oranlar'!AE$3</f>
        <v>0</v>
      </c>
      <c r="AC18">
        <f>'Kullanılan gübre'!AC18*'Gübre oranlar'!AF$3</f>
        <v>0</v>
      </c>
      <c r="AD18">
        <f>'Kullanılan gübre'!AD18*'Gübre oranlar'!AG$3</f>
        <v>0</v>
      </c>
      <c r="AE18">
        <f>'Kullanılan gübre'!AE18*'Gübre oranlar'!AH$3</f>
        <v>0</v>
      </c>
      <c r="AF18">
        <f>'Kullanılan gübre'!AF18*'Gübre oranlar'!AI$3</f>
        <v>0</v>
      </c>
      <c r="AG18">
        <f>'Kullanılan gübre'!AG18*'Gübre oranlar'!AJ$3</f>
        <v>0</v>
      </c>
      <c r="AH18">
        <f>'Kullanılan gübre'!AH18*'Gübre oranlar'!AK$3</f>
        <v>0</v>
      </c>
      <c r="AI18">
        <f>'Kullanılan gübre'!AI18*'Gübre oranlar'!AL$3</f>
        <v>0</v>
      </c>
      <c r="AJ18">
        <f>'Kullanılan gübre'!AJ18*'Gübre oranlar'!AM$3</f>
        <v>0</v>
      </c>
      <c r="AK18">
        <f>'Kullanılan gübre'!AK18*'Gübre oranlar'!AN$3</f>
        <v>0</v>
      </c>
      <c r="AL18">
        <f>'Kullanılan gübre'!AL18*'Gübre oranlar'!AO$3</f>
        <v>0</v>
      </c>
      <c r="AM18">
        <f>'Kullanılan gübre'!AM18*'Gübre oranlar'!AP$3</f>
        <v>0</v>
      </c>
      <c r="AN18">
        <f>'Kullanılan gübre'!AN18*'Gübre oranlar'!AQ$3</f>
        <v>0</v>
      </c>
      <c r="AO18">
        <f>'Kullanılan gübre'!AO18*'Gübre oranlar'!AR$3</f>
        <v>0</v>
      </c>
      <c r="AP18">
        <f>'Kullanılan gübre'!AP18*'Gübre oranlar'!AS$3</f>
        <v>0</v>
      </c>
      <c r="AQ18">
        <f>'Kullanılan gübre'!AQ18*'Gübre oranlar'!AT$3</f>
        <v>0</v>
      </c>
      <c r="AR18">
        <f>'Kullanılan gübre'!AR18*'Gübre oranlar'!AU$3</f>
        <v>0</v>
      </c>
      <c r="AS18">
        <f>'Kullanılan gübre'!AS18*'Gübre oranlar'!AV$3</f>
        <v>0</v>
      </c>
      <c r="AT18">
        <f>'Kullanılan gübre'!AT18*'Gübre oranlar'!AW$3</f>
        <v>0</v>
      </c>
      <c r="AU18">
        <f>'Kullanılan gübre'!AU18*'Gübre oranlar'!AX$3</f>
        <v>0</v>
      </c>
      <c r="AV18">
        <f>'Kullanılan gübre'!AV18*'Gübre oranlar'!AY$3</f>
        <v>0</v>
      </c>
      <c r="AW18">
        <f t="shared" si="0"/>
        <v>17.150000000000002</v>
      </c>
    </row>
    <row r="19" spans="1:49" x14ac:dyDescent="0.25">
      <c r="A19" t="str">
        <f>'Kullanılan gübre'!A19</f>
        <v>AK</v>
      </c>
      <c r="B19" t="str">
        <f>'Kullanılan gübre'!B19</f>
        <v>AFYONKARAHISAR</v>
      </c>
      <c r="C19" t="str">
        <f>'Kullanılan gübre'!C19</f>
        <v>SINANPASA</v>
      </c>
      <c r="D19">
        <f>'Kullanılan gübre'!D19</f>
        <v>2006</v>
      </c>
      <c r="E19">
        <f>'Kullanılan gübre'!E19*'Gübre oranlar'!H$3</f>
        <v>0</v>
      </c>
      <c r="F19">
        <f>'Kullanılan gübre'!F19*'Gübre oranlar'!I$3</f>
        <v>0</v>
      </c>
      <c r="G19">
        <f>'Kullanılan gübre'!G19*'Gübre oranlar'!J$3</f>
        <v>0</v>
      </c>
      <c r="H19">
        <f>'Kullanılan gübre'!H19*'Gübre oranlar'!K$3</f>
        <v>0</v>
      </c>
      <c r="I19">
        <f>'Kullanılan gübre'!I19*'Gübre oranlar'!L$3</f>
        <v>0</v>
      </c>
      <c r="J19">
        <f>'Kullanılan gübre'!J19*'Gübre oranlar'!M$3</f>
        <v>0</v>
      </c>
      <c r="K19">
        <f>'Kullanılan gübre'!K19*'Gübre oranlar'!N$3</f>
        <v>110.59000000000002</v>
      </c>
      <c r="L19">
        <f>'Kullanılan gübre'!L19*'Gübre oranlar'!O$3</f>
        <v>131</v>
      </c>
      <c r="M19">
        <f>'Kullanılan gübre'!M19*'Gübre oranlar'!P$3</f>
        <v>4.95</v>
      </c>
      <c r="N19">
        <f>'Kullanılan gübre'!N19*'Gübre oranlar'!Q$3</f>
        <v>7.4999999999999982</v>
      </c>
      <c r="O19">
        <f>'Kullanılan gübre'!O19*'Gübre oranlar'!R$3</f>
        <v>0</v>
      </c>
      <c r="P19">
        <f>'Kullanılan gübre'!P19*'Gübre oranlar'!S$3</f>
        <v>0</v>
      </c>
      <c r="Q19">
        <f>'Kullanılan gübre'!Q19*'Gübre oranlar'!T$3</f>
        <v>0</v>
      </c>
      <c r="R19">
        <f>'Kullanılan gübre'!R19*'Gübre oranlar'!U$3</f>
        <v>0</v>
      </c>
      <c r="S19">
        <f>'Kullanılan gübre'!S19*'Gübre oranlar'!V$3</f>
        <v>0</v>
      </c>
      <c r="T19">
        <f>'Kullanılan gübre'!T19*'Gübre oranlar'!W$3</f>
        <v>0</v>
      </c>
      <c r="U19">
        <f>'Kullanılan gübre'!U19*'Gübre oranlar'!X$3</f>
        <v>0</v>
      </c>
      <c r="V19">
        <f>'Kullanılan gübre'!V19*'Gübre oranlar'!Y$3</f>
        <v>0</v>
      </c>
      <c r="W19">
        <f>'Kullanılan gübre'!W19*'Gübre oranlar'!Z$3</f>
        <v>0</v>
      </c>
      <c r="X19">
        <f>'Kullanılan gübre'!X19*'Gübre oranlar'!AA$3</f>
        <v>0</v>
      </c>
      <c r="Y19">
        <f>'Kullanılan gübre'!Y19*'Gübre oranlar'!AB$3</f>
        <v>0</v>
      </c>
      <c r="Z19">
        <f>'Kullanılan gübre'!Z19*'Gübre oranlar'!AC$3</f>
        <v>0</v>
      </c>
      <c r="AA19">
        <f>'Kullanılan gübre'!AA19*'Gübre oranlar'!AD$3</f>
        <v>0</v>
      </c>
      <c r="AB19">
        <f>'Kullanılan gübre'!AB19*'Gübre oranlar'!AE$3</f>
        <v>0</v>
      </c>
      <c r="AC19">
        <f>'Kullanılan gübre'!AC19*'Gübre oranlar'!AF$3</f>
        <v>0</v>
      </c>
      <c r="AD19">
        <f>'Kullanılan gübre'!AD19*'Gübre oranlar'!AG$3</f>
        <v>0</v>
      </c>
      <c r="AE19">
        <f>'Kullanılan gübre'!AE19*'Gübre oranlar'!AH$3</f>
        <v>0</v>
      </c>
      <c r="AF19">
        <f>'Kullanılan gübre'!AF19*'Gübre oranlar'!AI$3</f>
        <v>0</v>
      </c>
      <c r="AG19">
        <f>'Kullanılan gübre'!AG19*'Gübre oranlar'!AJ$3</f>
        <v>0</v>
      </c>
      <c r="AH19">
        <f>'Kullanılan gübre'!AH19*'Gübre oranlar'!AK$3</f>
        <v>0</v>
      </c>
      <c r="AI19">
        <f>'Kullanılan gübre'!AI19*'Gübre oranlar'!AL$3</f>
        <v>0</v>
      </c>
      <c r="AJ19">
        <f>'Kullanılan gübre'!AJ19*'Gübre oranlar'!AM$3</f>
        <v>0</v>
      </c>
      <c r="AK19">
        <f>'Kullanılan gübre'!AK19*'Gübre oranlar'!AN$3</f>
        <v>0</v>
      </c>
      <c r="AL19">
        <f>'Kullanılan gübre'!AL19*'Gübre oranlar'!AO$3</f>
        <v>0</v>
      </c>
      <c r="AM19">
        <f>'Kullanılan gübre'!AM19*'Gübre oranlar'!AP$3</f>
        <v>0</v>
      </c>
      <c r="AN19">
        <f>'Kullanılan gübre'!AN19*'Gübre oranlar'!AQ$3</f>
        <v>0</v>
      </c>
      <c r="AO19">
        <f>'Kullanılan gübre'!AO19*'Gübre oranlar'!AR$3</f>
        <v>0</v>
      </c>
      <c r="AP19">
        <f>'Kullanılan gübre'!AP19*'Gübre oranlar'!AS$3</f>
        <v>0</v>
      </c>
      <c r="AQ19">
        <f>'Kullanılan gübre'!AQ19*'Gübre oranlar'!AT$3</f>
        <v>0</v>
      </c>
      <c r="AR19">
        <f>'Kullanılan gübre'!AR19*'Gübre oranlar'!AU$3</f>
        <v>0</v>
      </c>
      <c r="AS19">
        <f>'Kullanılan gübre'!AS19*'Gübre oranlar'!AV$3</f>
        <v>0</v>
      </c>
      <c r="AT19">
        <f>'Kullanılan gübre'!AT19*'Gübre oranlar'!AW$3</f>
        <v>0</v>
      </c>
      <c r="AU19">
        <f>'Kullanılan gübre'!AU19*'Gübre oranlar'!AX$3</f>
        <v>0</v>
      </c>
      <c r="AV19">
        <f>'Kullanılan gübre'!AV19*'Gübre oranlar'!AY$3</f>
        <v>0</v>
      </c>
      <c r="AW19">
        <f t="shared" si="0"/>
        <v>254.04000000000002</v>
      </c>
    </row>
    <row r="20" spans="1:49" x14ac:dyDescent="0.25">
      <c r="A20" t="str">
        <f>'Kullanılan gübre'!A20</f>
        <v>AK</v>
      </c>
      <c r="B20" t="str">
        <f>'Kullanılan gübre'!B20</f>
        <v>AFYONKARAHISAR</v>
      </c>
      <c r="C20" t="str">
        <f>'Kullanılan gübre'!C20</f>
        <v>SULTANDAGI</v>
      </c>
      <c r="D20">
        <f>'Kullanılan gübre'!D20</f>
        <v>2006</v>
      </c>
      <c r="E20">
        <f>'Kullanılan gübre'!E20*'Gübre oranlar'!H$3</f>
        <v>0</v>
      </c>
      <c r="F20">
        <f>'Kullanılan gübre'!F20*'Gübre oranlar'!I$3</f>
        <v>0</v>
      </c>
      <c r="G20">
        <f>'Kullanılan gübre'!G20*'Gübre oranlar'!J$3</f>
        <v>0</v>
      </c>
      <c r="H20">
        <f>'Kullanılan gübre'!H20*'Gübre oranlar'!K$3</f>
        <v>0</v>
      </c>
      <c r="I20">
        <f>'Kullanılan gübre'!I20*'Gübre oranlar'!L$3</f>
        <v>86.515999999999991</v>
      </c>
      <c r="J20">
        <f>'Kullanılan gübre'!J20*'Gübre oranlar'!M$3</f>
        <v>0</v>
      </c>
      <c r="K20">
        <f>'Kullanılan gübre'!K20*'Gübre oranlar'!N$3</f>
        <v>9.4999999999999982</v>
      </c>
      <c r="L20">
        <f>'Kullanılan gübre'!L20*'Gübre oranlar'!O$3</f>
        <v>41.95</v>
      </c>
      <c r="M20">
        <f>'Kullanılan gübre'!M20*'Gübre oranlar'!P$3</f>
        <v>2.6999999999999997</v>
      </c>
      <c r="N20">
        <f>'Kullanılan gübre'!N20*'Gübre oranlar'!Q$3</f>
        <v>36.284999999999997</v>
      </c>
      <c r="O20">
        <f>'Kullanılan gübre'!O20*'Gübre oranlar'!R$3</f>
        <v>0</v>
      </c>
      <c r="P20">
        <f>'Kullanılan gübre'!P20*'Gübre oranlar'!S$3</f>
        <v>0</v>
      </c>
      <c r="Q20">
        <f>'Kullanılan gübre'!Q20*'Gübre oranlar'!T$3</f>
        <v>0</v>
      </c>
      <c r="R20">
        <f>'Kullanılan gübre'!R20*'Gübre oranlar'!U$3</f>
        <v>0</v>
      </c>
      <c r="S20">
        <f>'Kullanılan gübre'!S20*'Gübre oranlar'!V$3</f>
        <v>0</v>
      </c>
      <c r="T20">
        <f>'Kullanılan gübre'!T20*'Gübre oranlar'!W$3</f>
        <v>0</v>
      </c>
      <c r="U20">
        <f>'Kullanılan gübre'!U20*'Gübre oranlar'!X$3</f>
        <v>0</v>
      </c>
      <c r="V20">
        <f>'Kullanılan gübre'!V20*'Gübre oranlar'!Y$3</f>
        <v>0</v>
      </c>
      <c r="W20">
        <f>'Kullanılan gübre'!W20*'Gübre oranlar'!Z$3</f>
        <v>0</v>
      </c>
      <c r="X20">
        <f>'Kullanılan gübre'!X20*'Gübre oranlar'!AA$3</f>
        <v>0</v>
      </c>
      <c r="Y20">
        <f>'Kullanılan gübre'!Y20*'Gübre oranlar'!AB$3</f>
        <v>0</v>
      </c>
      <c r="Z20">
        <f>'Kullanılan gübre'!Z20*'Gübre oranlar'!AC$3</f>
        <v>0</v>
      </c>
      <c r="AA20">
        <f>'Kullanılan gübre'!AA20*'Gübre oranlar'!AD$3</f>
        <v>0</v>
      </c>
      <c r="AB20">
        <f>'Kullanılan gübre'!AB20*'Gübre oranlar'!AE$3</f>
        <v>0</v>
      </c>
      <c r="AC20">
        <f>'Kullanılan gübre'!AC20*'Gübre oranlar'!AF$3</f>
        <v>0</v>
      </c>
      <c r="AD20">
        <f>'Kullanılan gübre'!AD20*'Gübre oranlar'!AG$3</f>
        <v>0</v>
      </c>
      <c r="AE20">
        <f>'Kullanılan gübre'!AE20*'Gübre oranlar'!AH$3</f>
        <v>0</v>
      </c>
      <c r="AF20">
        <f>'Kullanılan gübre'!AF20*'Gübre oranlar'!AI$3</f>
        <v>0</v>
      </c>
      <c r="AG20">
        <f>'Kullanılan gübre'!AG20*'Gübre oranlar'!AJ$3</f>
        <v>0</v>
      </c>
      <c r="AH20">
        <f>'Kullanılan gübre'!AH20*'Gübre oranlar'!AK$3</f>
        <v>0</v>
      </c>
      <c r="AI20">
        <f>'Kullanılan gübre'!AI20*'Gübre oranlar'!AL$3</f>
        <v>0</v>
      </c>
      <c r="AJ20">
        <f>'Kullanılan gübre'!AJ20*'Gübre oranlar'!AM$3</f>
        <v>0</v>
      </c>
      <c r="AK20">
        <f>'Kullanılan gübre'!AK20*'Gübre oranlar'!AN$3</f>
        <v>0</v>
      </c>
      <c r="AL20">
        <f>'Kullanılan gübre'!AL20*'Gübre oranlar'!AO$3</f>
        <v>0</v>
      </c>
      <c r="AM20">
        <f>'Kullanılan gübre'!AM20*'Gübre oranlar'!AP$3</f>
        <v>0</v>
      </c>
      <c r="AN20">
        <f>'Kullanılan gübre'!AN20*'Gübre oranlar'!AQ$3</f>
        <v>0</v>
      </c>
      <c r="AO20">
        <f>'Kullanılan gübre'!AO20*'Gübre oranlar'!AR$3</f>
        <v>0</v>
      </c>
      <c r="AP20">
        <f>'Kullanılan gübre'!AP20*'Gübre oranlar'!AS$3</f>
        <v>0</v>
      </c>
      <c r="AQ20">
        <f>'Kullanılan gübre'!AQ20*'Gübre oranlar'!AT$3</f>
        <v>0</v>
      </c>
      <c r="AR20">
        <f>'Kullanılan gübre'!AR20*'Gübre oranlar'!AU$3</f>
        <v>0</v>
      </c>
      <c r="AS20">
        <f>'Kullanılan gübre'!AS20*'Gübre oranlar'!AV$3</f>
        <v>0</v>
      </c>
      <c r="AT20">
        <f>'Kullanılan gübre'!AT20*'Gübre oranlar'!AW$3</f>
        <v>0</v>
      </c>
      <c r="AU20">
        <f>'Kullanılan gübre'!AU20*'Gübre oranlar'!AX$3</f>
        <v>0</v>
      </c>
      <c r="AV20">
        <f>'Kullanılan gübre'!AV20*'Gübre oranlar'!AY$3</f>
        <v>0</v>
      </c>
      <c r="AW20">
        <f t="shared" si="0"/>
        <v>176.95099999999999</v>
      </c>
    </row>
    <row r="21" spans="1:49" x14ac:dyDescent="0.25">
      <c r="A21" t="str">
        <f>'Kullanılan gübre'!A21</f>
        <v>AK</v>
      </c>
      <c r="B21" t="str">
        <f>'Kullanılan gübre'!B21</f>
        <v>AFYONKARAHISAR</v>
      </c>
      <c r="C21" t="str">
        <f>'Kullanılan gübre'!C21</f>
        <v>SUHUT</v>
      </c>
      <c r="D21">
        <f>'Kullanılan gübre'!D21</f>
        <v>2006</v>
      </c>
      <c r="E21">
        <f>'Kullanılan gübre'!E21*'Gübre oranlar'!H$3</f>
        <v>0</v>
      </c>
      <c r="F21">
        <f>'Kullanılan gübre'!F21*'Gübre oranlar'!I$3</f>
        <v>0</v>
      </c>
      <c r="G21">
        <f>'Kullanılan gübre'!G21*'Gübre oranlar'!J$3</f>
        <v>0</v>
      </c>
      <c r="H21">
        <f>'Kullanılan gübre'!H21*'Gübre oranlar'!K$3</f>
        <v>0</v>
      </c>
      <c r="I21">
        <f>'Kullanılan gübre'!I21*'Gübre oranlar'!L$3</f>
        <v>10.083499999999999</v>
      </c>
      <c r="J21">
        <f>'Kullanılan gübre'!J21*'Gübre oranlar'!M$3</f>
        <v>0</v>
      </c>
      <c r="K21">
        <f>'Kullanılan gübre'!K21*'Gübre oranlar'!N$3</f>
        <v>10.740000000000002</v>
      </c>
      <c r="L21">
        <f>'Kullanılan gübre'!L21*'Gübre oranlar'!O$3</f>
        <v>72.910000000000011</v>
      </c>
      <c r="M21">
        <f>'Kullanılan gübre'!M21*'Gübre oranlar'!P$3</f>
        <v>22.777500000000003</v>
      </c>
      <c r="N21">
        <f>'Kullanılan gübre'!N21*'Gübre oranlar'!Q$3</f>
        <v>149.0325</v>
      </c>
      <c r="O21">
        <f>'Kullanılan gübre'!O21*'Gübre oranlar'!R$3</f>
        <v>0</v>
      </c>
      <c r="P21">
        <f>'Kullanılan gübre'!P21*'Gübre oranlar'!S$3</f>
        <v>0</v>
      </c>
      <c r="Q21">
        <f>'Kullanılan gübre'!Q21*'Gübre oranlar'!T$3</f>
        <v>180</v>
      </c>
      <c r="R21">
        <f>'Kullanılan gübre'!R21*'Gübre oranlar'!U$3</f>
        <v>0</v>
      </c>
      <c r="S21">
        <f>'Kullanılan gübre'!S21*'Gübre oranlar'!V$3</f>
        <v>0</v>
      </c>
      <c r="T21">
        <f>'Kullanılan gübre'!T21*'Gübre oranlar'!W$3</f>
        <v>0</v>
      </c>
      <c r="U21">
        <f>'Kullanılan gübre'!U21*'Gübre oranlar'!X$3</f>
        <v>0</v>
      </c>
      <c r="V21">
        <f>'Kullanılan gübre'!V21*'Gübre oranlar'!Y$3</f>
        <v>0</v>
      </c>
      <c r="W21">
        <f>'Kullanılan gübre'!W21*'Gübre oranlar'!Z$3</f>
        <v>0</v>
      </c>
      <c r="X21">
        <f>'Kullanılan gübre'!X21*'Gübre oranlar'!AA$3</f>
        <v>0</v>
      </c>
      <c r="Y21">
        <f>'Kullanılan gübre'!Y21*'Gübre oranlar'!AB$3</f>
        <v>0</v>
      </c>
      <c r="Z21">
        <f>'Kullanılan gübre'!Z21*'Gübre oranlar'!AC$3</f>
        <v>0</v>
      </c>
      <c r="AA21">
        <f>'Kullanılan gübre'!AA21*'Gübre oranlar'!AD$3</f>
        <v>0</v>
      </c>
      <c r="AB21">
        <f>'Kullanılan gübre'!AB21*'Gübre oranlar'!AE$3</f>
        <v>0</v>
      </c>
      <c r="AC21">
        <f>'Kullanılan gübre'!AC21*'Gübre oranlar'!AF$3</f>
        <v>0</v>
      </c>
      <c r="AD21">
        <f>'Kullanılan gübre'!AD21*'Gübre oranlar'!AG$3</f>
        <v>0</v>
      </c>
      <c r="AE21">
        <f>'Kullanılan gübre'!AE21*'Gübre oranlar'!AH$3</f>
        <v>0</v>
      </c>
      <c r="AF21">
        <f>'Kullanılan gübre'!AF21*'Gübre oranlar'!AI$3</f>
        <v>0</v>
      </c>
      <c r="AG21">
        <f>'Kullanılan gübre'!AG21*'Gübre oranlar'!AJ$3</f>
        <v>0</v>
      </c>
      <c r="AH21">
        <f>'Kullanılan gübre'!AH21*'Gübre oranlar'!AK$3</f>
        <v>0</v>
      </c>
      <c r="AI21">
        <f>'Kullanılan gübre'!AI21*'Gübre oranlar'!AL$3</f>
        <v>0</v>
      </c>
      <c r="AJ21">
        <f>'Kullanılan gübre'!AJ21*'Gübre oranlar'!AM$3</f>
        <v>0</v>
      </c>
      <c r="AK21">
        <f>'Kullanılan gübre'!AK21*'Gübre oranlar'!AN$3</f>
        <v>0</v>
      </c>
      <c r="AL21">
        <f>'Kullanılan gübre'!AL21*'Gübre oranlar'!AO$3</f>
        <v>0</v>
      </c>
      <c r="AM21">
        <f>'Kullanılan gübre'!AM21*'Gübre oranlar'!AP$3</f>
        <v>0</v>
      </c>
      <c r="AN21">
        <f>'Kullanılan gübre'!AN21*'Gübre oranlar'!AQ$3</f>
        <v>0</v>
      </c>
      <c r="AO21">
        <f>'Kullanılan gübre'!AO21*'Gübre oranlar'!AR$3</f>
        <v>0</v>
      </c>
      <c r="AP21">
        <f>'Kullanılan gübre'!AP21*'Gübre oranlar'!AS$3</f>
        <v>0</v>
      </c>
      <c r="AQ21">
        <f>'Kullanılan gübre'!AQ21*'Gübre oranlar'!AT$3</f>
        <v>0</v>
      </c>
      <c r="AR21">
        <f>'Kullanılan gübre'!AR21*'Gübre oranlar'!AU$3</f>
        <v>0</v>
      </c>
      <c r="AS21">
        <f>'Kullanılan gübre'!AS21*'Gübre oranlar'!AV$3</f>
        <v>0</v>
      </c>
      <c r="AT21">
        <f>'Kullanılan gübre'!AT21*'Gübre oranlar'!AW$3</f>
        <v>0</v>
      </c>
      <c r="AU21">
        <f>'Kullanılan gübre'!AU21*'Gübre oranlar'!AX$3</f>
        <v>0</v>
      </c>
      <c r="AV21">
        <f>'Kullanılan gübre'!AV21*'Gübre oranlar'!AY$3</f>
        <v>0</v>
      </c>
      <c r="AW21">
        <f t="shared" si="0"/>
        <v>445.54349999999999</v>
      </c>
    </row>
    <row r="22" spans="1:49" x14ac:dyDescent="0.25">
      <c r="A22" t="str">
        <f>'Kullanılan gübre'!A22</f>
        <v>AK</v>
      </c>
      <c r="B22" t="str">
        <f>'Kullanılan gübre'!B22</f>
        <v>AFYONKARAHISAR</v>
      </c>
      <c r="C22" t="str">
        <f>'Kullanılan gübre'!C22</f>
        <v>MERKEZ</v>
      </c>
      <c r="D22">
        <f>'Kullanılan gübre'!D22</f>
        <v>2007</v>
      </c>
      <c r="E22">
        <f>'Kullanılan gübre'!E22*'Gübre oranlar'!H$3</f>
        <v>0</v>
      </c>
      <c r="F22">
        <f>'Kullanılan gübre'!F22*'Gübre oranlar'!I$3</f>
        <v>0</v>
      </c>
      <c r="G22">
        <f>'Kullanılan gübre'!G22*'Gübre oranlar'!J$3</f>
        <v>0</v>
      </c>
      <c r="H22">
        <f>'Kullanılan gübre'!H22*'Gübre oranlar'!K$3</f>
        <v>0</v>
      </c>
      <c r="I22">
        <f>'Kullanılan gübre'!I22*'Gübre oranlar'!L$3</f>
        <v>40.204999999999998</v>
      </c>
      <c r="J22">
        <f>'Kullanılan gübre'!J22*'Gübre oranlar'!M$3</f>
        <v>0</v>
      </c>
      <c r="K22">
        <f>'Kullanılan gübre'!K22*'Gübre oranlar'!N$3</f>
        <v>468.61000000000007</v>
      </c>
      <c r="L22">
        <f>'Kullanılan gübre'!L22*'Gübre oranlar'!O$3</f>
        <v>66.59</v>
      </c>
      <c r="M22">
        <f>'Kullanılan gübre'!M22*'Gübre oranlar'!P$3</f>
        <v>18.884999999999994</v>
      </c>
      <c r="N22">
        <f>'Kullanılan gübre'!N22*'Gübre oranlar'!Q$3</f>
        <v>81.607499999999987</v>
      </c>
      <c r="O22">
        <f>'Kullanılan gübre'!O22*'Gübre oranlar'!R$3</f>
        <v>0</v>
      </c>
      <c r="P22">
        <f>'Kullanılan gübre'!P22*'Gübre oranlar'!S$3</f>
        <v>0</v>
      </c>
      <c r="Q22">
        <f>'Kullanılan gübre'!Q22*'Gübre oranlar'!T$3</f>
        <v>105.75</v>
      </c>
      <c r="R22">
        <f>'Kullanılan gübre'!R22*'Gübre oranlar'!U$3</f>
        <v>0</v>
      </c>
      <c r="S22">
        <f>'Kullanılan gübre'!S22*'Gübre oranlar'!V$3</f>
        <v>0</v>
      </c>
      <c r="T22">
        <f>'Kullanılan gübre'!T22*'Gübre oranlar'!W$3</f>
        <v>0</v>
      </c>
      <c r="U22">
        <f>'Kullanılan gübre'!U22*'Gübre oranlar'!X$3</f>
        <v>0</v>
      </c>
      <c r="V22">
        <f>'Kullanılan gübre'!V22*'Gübre oranlar'!Y$3</f>
        <v>0</v>
      </c>
      <c r="W22">
        <f>'Kullanılan gübre'!W22*'Gübre oranlar'!Z$3</f>
        <v>0</v>
      </c>
      <c r="X22">
        <f>'Kullanılan gübre'!X22*'Gübre oranlar'!AA$3</f>
        <v>0</v>
      </c>
      <c r="Y22">
        <f>'Kullanılan gübre'!Y22*'Gübre oranlar'!AB$3</f>
        <v>0</v>
      </c>
      <c r="Z22">
        <f>'Kullanılan gübre'!Z22*'Gübre oranlar'!AC$3</f>
        <v>0</v>
      </c>
      <c r="AA22">
        <f>'Kullanılan gübre'!AA22*'Gübre oranlar'!AD$3</f>
        <v>0</v>
      </c>
      <c r="AB22">
        <f>'Kullanılan gübre'!AB22*'Gübre oranlar'!AE$3</f>
        <v>0</v>
      </c>
      <c r="AC22">
        <f>'Kullanılan gübre'!AC22*'Gübre oranlar'!AF$3</f>
        <v>0</v>
      </c>
      <c r="AD22">
        <f>'Kullanılan gübre'!AD22*'Gübre oranlar'!AG$3</f>
        <v>0</v>
      </c>
      <c r="AE22">
        <f>'Kullanılan gübre'!AE22*'Gübre oranlar'!AH$3</f>
        <v>0</v>
      </c>
      <c r="AF22">
        <f>'Kullanılan gübre'!AF22*'Gübre oranlar'!AI$3</f>
        <v>0</v>
      </c>
      <c r="AG22">
        <f>'Kullanılan gübre'!AG22*'Gübre oranlar'!AJ$3</f>
        <v>0</v>
      </c>
      <c r="AH22">
        <f>'Kullanılan gübre'!AH22*'Gübre oranlar'!AK$3</f>
        <v>0</v>
      </c>
      <c r="AI22">
        <f>'Kullanılan gübre'!AI22*'Gübre oranlar'!AL$3</f>
        <v>0</v>
      </c>
      <c r="AJ22">
        <f>'Kullanılan gübre'!AJ22*'Gübre oranlar'!AM$3</f>
        <v>0</v>
      </c>
      <c r="AK22">
        <f>'Kullanılan gübre'!AK22*'Gübre oranlar'!AN$3</f>
        <v>0</v>
      </c>
      <c r="AL22">
        <f>'Kullanılan gübre'!AL22*'Gübre oranlar'!AO$3</f>
        <v>0</v>
      </c>
      <c r="AM22">
        <f>'Kullanılan gübre'!AM22*'Gübre oranlar'!AP$3</f>
        <v>0</v>
      </c>
      <c r="AN22">
        <f>'Kullanılan gübre'!AN22*'Gübre oranlar'!AQ$3</f>
        <v>0</v>
      </c>
      <c r="AO22">
        <f>'Kullanılan gübre'!AO22*'Gübre oranlar'!AR$3</f>
        <v>0</v>
      </c>
      <c r="AP22">
        <f>'Kullanılan gübre'!AP22*'Gübre oranlar'!AS$3</f>
        <v>0</v>
      </c>
      <c r="AQ22">
        <f>'Kullanılan gübre'!AQ22*'Gübre oranlar'!AT$3</f>
        <v>0</v>
      </c>
      <c r="AR22">
        <f>'Kullanılan gübre'!AR22*'Gübre oranlar'!AU$3</f>
        <v>0</v>
      </c>
      <c r="AS22">
        <f>'Kullanılan gübre'!AS22*'Gübre oranlar'!AV$3</f>
        <v>0</v>
      </c>
      <c r="AT22">
        <f>'Kullanılan gübre'!AT22*'Gübre oranlar'!AW$3</f>
        <v>0</v>
      </c>
      <c r="AU22">
        <f>'Kullanılan gübre'!AU22*'Gübre oranlar'!AX$3</f>
        <v>0</v>
      </c>
      <c r="AV22">
        <f>'Kullanılan gübre'!AV22*'Gübre oranlar'!AY$3</f>
        <v>0</v>
      </c>
      <c r="AW22">
        <f t="shared" si="0"/>
        <v>781.64750000000004</v>
      </c>
    </row>
    <row r="23" spans="1:49" x14ac:dyDescent="0.25">
      <c r="A23" t="str">
        <f>'Kullanılan gübre'!A23</f>
        <v>AK</v>
      </c>
      <c r="B23" t="str">
        <f>'Kullanılan gübre'!B23</f>
        <v>AFYONKARAHISAR</v>
      </c>
      <c r="C23" t="str">
        <f>'Kullanılan gübre'!C23</f>
        <v>BAYAT</v>
      </c>
      <c r="D23">
        <f>'Kullanılan gübre'!D23</f>
        <v>2007</v>
      </c>
      <c r="E23">
        <f>'Kullanılan gübre'!E23*'Gübre oranlar'!H$3</f>
        <v>0</v>
      </c>
      <c r="F23">
        <f>'Kullanılan gübre'!F23*'Gübre oranlar'!I$3</f>
        <v>0</v>
      </c>
      <c r="G23">
        <f>'Kullanılan gübre'!G23*'Gübre oranlar'!J$3</f>
        <v>0</v>
      </c>
      <c r="H23">
        <f>'Kullanılan gübre'!H23*'Gübre oranlar'!K$3</f>
        <v>0</v>
      </c>
      <c r="I23">
        <f>'Kullanılan gübre'!I23*'Gübre oranlar'!L$3</f>
        <v>0</v>
      </c>
      <c r="J23">
        <f>'Kullanılan gübre'!J23*'Gübre oranlar'!M$3</f>
        <v>0</v>
      </c>
      <c r="K23">
        <f>'Kullanılan gübre'!K23*'Gübre oranlar'!N$3</f>
        <v>0</v>
      </c>
      <c r="L23">
        <f>'Kullanılan gübre'!L23*'Gübre oranlar'!O$3</f>
        <v>0</v>
      </c>
      <c r="M23">
        <f>'Kullanılan gübre'!M23*'Gübre oranlar'!P$3</f>
        <v>0</v>
      </c>
      <c r="N23">
        <f>'Kullanılan gübre'!N23*'Gübre oranlar'!Q$3</f>
        <v>0</v>
      </c>
      <c r="O23">
        <f>'Kullanılan gübre'!O23*'Gübre oranlar'!R$3</f>
        <v>0</v>
      </c>
      <c r="P23">
        <f>'Kullanılan gübre'!P23*'Gübre oranlar'!S$3</f>
        <v>0</v>
      </c>
      <c r="Q23">
        <f>'Kullanılan gübre'!Q23*'Gübre oranlar'!T$3</f>
        <v>0</v>
      </c>
      <c r="R23">
        <f>'Kullanılan gübre'!R23*'Gübre oranlar'!U$3</f>
        <v>0</v>
      </c>
      <c r="S23">
        <f>'Kullanılan gübre'!S23*'Gübre oranlar'!V$3</f>
        <v>0</v>
      </c>
      <c r="T23">
        <f>'Kullanılan gübre'!T23*'Gübre oranlar'!W$3</f>
        <v>0</v>
      </c>
      <c r="U23">
        <f>'Kullanılan gübre'!U23*'Gübre oranlar'!X$3</f>
        <v>0</v>
      </c>
      <c r="V23">
        <f>'Kullanılan gübre'!V23*'Gübre oranlar'!Y$3</f>
        <v>0</v>
      </c>
      <c r="W23">
        <f>'Kullanılan gübre'!W23*'Gübre oranlar'!Z$3</f>
        <v>0</v>
      </c>
      <c r="X23">
        <f>'Kullanılan gübre'!X23*'Gübre oranlar'!AA$3</f>
        <v>0</v>
      </c>
      <c r="Y23">
        <f>'Kullanılan gübre'!Y23*'Gübre oranlar'!AB$3</f>
        <v>0</v>
      </c>
      <c r="Z23">
        <f>'Kullanılan gübre'!Z23*'Gübre oranlar'!AC$3</f>
        <v>0</v>
      </c>
      <c r="AA23">
        <f>'Kullanılan gübre'!AA23*'Gübre oranlar'!AD$3</f>
        <v>0</v>
      </c>
      <c r="AB23">
        <f>'Kullanılan gübre'!AB23*'Gübre oranlar'!AE$3</f>
        <v>0</v>
      </c>
      <c r="AC23">
        <f>'Kullanılan gübre'!AC23*'Gübre oranlar'!AF$3</f>
        <v>0</v>
      </c>
      <c r="AD23">
        <f>'Kullanılan gübre'!AD23*'Gübre oranlar'!AG$3</f>
        <v>0</v>
      </c>
      <c r="AE23">
        <f>'Kullanılan gübre'!AE23*'Gübre oranlar'!AH$3</f>
        <v>0</v>
      </c>
      <c r="AF23">
        <f>'Kullanılan gübre'!AF23*'Gübre oranlar'!AI$3</f>
        <v>0</v>
      </c>
      <c r="AG23">
        <f>'Kullanılan gübre'!AG23*'Gübre oranlar'!AJ$3</f>
        <v>0</v>
      </c>
      <c r="AH23">
        <f>'Kullanılan gübre'!AH23*'Gübre oranlar'!AK$3</f>
        <v>0</v>
      </c>
      <c r="AI23">
        <f>'Kullanılan gübre'!AI23*'Gübre oranlar'!AL$3</f>
        <v>0</v>
      </c>
      <c r="AJ23">
        <f>'Kullanılan gübre'!AJ23*'Gübre oranlar'!AM$3</f>
        <v>0</v>
      </c>
      <c r="AK23">
        <f>'Kullanılan gübre'!AK23*'Gübre oranlar'!AN$3</f>
        <v>0</v>
      </c>
      <c r="AL23">
        <f>'Kullanılan gübre'!AL23*'Gübre oranlar'!AO$3</f>
        <v>0</v>
      </c>
      <c r="AM23">
        <f>'Kullanılan gübre'!AM23*'Gübre oranlar'!AP$3</f>
        <v>0</v>
      </c>
      <c r="AN23">
        <f>'Kullanılan gübre'!AN23*'Gübre oranlar'!AQ$3</f>
        <v>0</v>
      </c>
      <c r="AO23">
        <f>'Kullanılan gübre'!AO23*'Gübre oranlar'!AR$3</f>
        <v>0</v>
      </c>
      <c r="AP23">
        <f>'Kullanılan gübre'!AP23*'Gübre oranlar'!AS$3</f>
        <v>0</v>
      </c>
      <c r="AQ23">
        <f>'Kullanılan gübre'!AQ23*'Gübre oranlar'!AT$3</f>
        <v>0</v>
      </c>
      <c r="AR23">
        <f>'Kullanılan gübre'!AR23*'Gübre oranlar'!AU$3</f>
        <v>0</v>
      </c>
      <c r="AS23">
        <f>'Kullanılan gübre'!AS23*'Gübre oranlar'!AV$3</f>
        <v>0</v>
      </c>
      <c r="AT23">
        <f>'Kullanılan gübre'!AT23*'Gübre oranlar'!AW$3</f>
        <v>0</v>
      </c>
      <c r="AU23">
        <f>'Kullanılan gübre'!AU23*'Gübre oranlar'!AX$3</f>
        <v>0</v>
      </c>
      <c r="AV23">
        <f>'Kullanılan gübre'!AV23*'Gübre oranlar'!AY$3</f>
        <v>0</v>
      </c>
      <c r="AW23">
        <f t="shared" si="0"/>
        <v>0</v>
      </c>
    </row>
    <row r="24" spans="1:49" x14ac:dyDescent="0.25">
      <c r="A24" t="str">
        <f>'Kullanılan gübre'!A24</f>
        <v>AK</v>
      </c>
      <c r="B24" t="str">
        <f>'Kullanılan gübre'!B24</f>
        <v>AFYONKARAHISAR</v>
      </c>
      <c r="C24" t="str">
        <f>'Kullanılan gübre'!C24</f>
        <v>BOLVADIN</v>
      </c>
      <c r="D24">
        <f>'Kullanılan gübre'!D24</f>
        <v>2007</v>
      </c>
      <c r="E24">
        <f>'Kullanılan gübre'!E24*'Gübre oranlar'!H$3</f>
        <v>0</v>
      </c>
      <c r="F24">
        <f>'Kullanılan gübre'!F24*'Gübre oranlar'!I$3</f>
        <v>0</v>
      </c>
      <c r="G24">
        <f>'Kullanılan gübre'!G24*'Gübre oranlar'!J$3</f>
        <v>0</v>
      </c>
      <c r="H24">
        <f>'Kullanılan gübre'!H24*'Gübre oranlar'!K$3</f>
        <v>0</v>
      </c>
      <c r="I24">
        <f>'Kullanılan gübre'!I24*'Gübre oranlar'!L$3</f>
        <v>46.87</v>
      </c>
      <c r="J24">
        <f>'Kullanılan gübre'!J24*'Gübre oranlar'!M$3</f>
        <v>0</v>
      </c>
      <c r="K24">
        <f>'Kullanılan gübre'!K24*'Gübre oranlar'!N$3</f>
        <v>11.600000000000001</v>
      </c>
      <c r="L24">
        <f>'Kullanılan gübre'!L24*'Gübre oranlar'!O$3</f>
        <v>93.460000000000008</v>
      </c>
      <c r="M24">
        <f>'Kullanılan gübre'!M24*'Gübre oranlar'!P$3</f>
        <v>0</v>
      </c>
      <c r="N24">
        <f>'Kullanılan gübre'!N24*'Gübre oranlar'!Q$3</f>
        <v>1.71</v>
      </c>
      <c r="O24">
        <f>'Kullanılan gübre'!O24*'Gübre oranlar'!R$3</f>
        <v>0</v>
      </c>
      <c r="P24">
        <f>'Kullanılan gübre'!P24*'Gübre oranlar'!S$3</f>
        <v>0</v>
      </c>
      <c r="Q24">
        <f>'Kullanılan gübre'!Q24*'Gübre oranlar'!T$3</f>
        <v>0</v>
      </c>
      <c r="R24">
        <f>'Kullanılan gübre'!R24*'Gübre oranlar'!U$3</f>
        <v>0</v>
      </c>
      <c r="S24">
        <f>'Kullanılan gübre'!S24*'Gübre oranlar'!V$3</f>
        <v>0</v>
      </c>
      <c r="T24">
        <f>'Kullanılan gübre'!T24*'Gübre oranlar'!W$3</f>
        <v>0</v>
      </c>
      <c r="U24">
        <f>'Kullanılan gübre'!U24*'Gübre oranlar'!X$3</f>
        <v>0</v>
      </c>
      <c r="V24">
        <f>'Kullanılan gübre'!V24*'Gübre oranlar'!Y$3</f>
        <v>0</v>
      </c>
      <c r="W24">
        <f>'Kullanılan gübre'!W24*'Gübre oranlar'!Z$3</f>
        <v>0</v>
      </c>
      <c r="X24">
        <f>'Kullanılan gübre'!X24*'Gübre oranlar'!AA$3</f>
        <v>0</v>
      </c>
      <c r="Y24">
        <f>'Kullanılan gübre'!Y24*'Gübre oranlar'!AB$3</f>
        <v>0</v>
      </c>
      <c r="Z24">
        <f>'Kullanılan gübre'!Z24*'Gübre oranlar'!AC$3</f>
        <v>0</v>
      </c>
      <c r="AA24">
        <f>'Kullanılan gübre'!AA24*'Gübre oranlar'!AD$3</f>
        <v>0</v>
      </c>
      <c r="AB24">
        <f>'Kullanılan gübre'!AB24*'Gübre oranlar'!AE$3</f>
        <v>0</v>
      </c>
      <c r="AC24">
        <f>'Kullanılan gübre'!AC24*'Gübre oranlar'!AF$3</f>
        <v>0</v>
      </c>
      <c r="AD24">
        <f>'Kullanılan gübre'!AD24*'Gübre oranlar'!AG$3</f>
        <v>0</v>
      </c>
      <c r="AE24">
        <f>'Kullanılan gübre'!AE24*'Gübre oranlar'!AH$3</f>
        <v>0</v>
      </c>
      <c r="AF24">
        <f>'Kullanılan gübre'!AF24*'Gübre oranlar'!AI$3</f>
        <v>0</v>
      </c>
      <c r="AG24">
        <f>'Kullanılan gübre'!AG24*'Gübre oranlar'!AJ$3</f>
        <v>0</v>
      </c>
      <c r="AH24">
        <f>'Kullanılan gübre'!AH24*'Gübre oranlar'!AK$3</f>
        <v>0</v>
      </c>
      <c r="AI24">
        <f>'Kullanılan gübre'!AI24*'Gübre oranlar'!AL$3</f>
        <v>0</v>
      </c>
      <c r="AJ24">
        <f>'Kullanılan gübre'!AJ24*'Gübre oranlar'!AM$3</f>
        <v>0</v>
      </c>
      <c r="AK24">
        <f>'Kullanılan gübre'!AK24*'Gübre oranlar'!AN$3</f>
        <v>0</v>
      </c>
      <c r="AL24">
        <f>'Kullanılan gübre'!AL24*'Gübre oranlar'!AO$3</f>
        <v>0</v>
      </c>
      <c r="AM24">
        <f>'Kullanılan gübre'!AM24*'Gübre oranlar'!AP$3</f>
        <v>0</v>
      </c>
      <c r="AN24">
        <f>'Kullanılan gübre'!AN24*'Gübre oranlar'!AQ$3</f>
        <v>0</v>
      </c>
      <c r="AO24">
        <f>'Kullanılan gübre'!AO24*'Gübre oranlar'!AR$3</f>
        <v>0</v>
      </c>
      <c r="AP24">
        <f>'Kullanılan gübre'!AP24*'Gübre oranlar'!AS$3</f>
        <v>0</v>
      </c>
      <c r="AQ24">
        <f>'Kullanılan gübre'!AQ24*'Gübre oranlar'!AT$3</f>
        <v>0</v>
      </c>
      <c r="AR24">
        <f>'Kullanılan gübre'!AR24*'Gübre oranlar'!AU$3</f>
        <v>0</v>
      </c>
      <c r="AS24">
        <f>'Kullanılan gübre'!AS24*'Gübre oranlar'!AV$3</f>
        <v>0</v>
      </c>
      <c r="AT24">
        <f>'Kullanılan gübre'!AT24*'Gübre oranlar'!AW$3</f>
        <v>0</v>
      </c>
      <c r="AU24">
        <f>'Kullanılan gübre'!AU24*'Gübre oranlar'!AX$3</f>
        <v>0</v>
      </c>
      <c r="AV24">
        <f>'Kullanılan gübre'!AV24*'Gübre oranlar'!AY$3</f>
        <v>0</v>
      </c>
      <c r="AW24">
        <f t="shared" si="0"/>
        <v>153.64000000000001</v>
      </c>
    </row>
    <row r="25" spans="1:49" x14ac:dyDescent="0.25">
      <c r="A25" t="str">
        <f>'Kullanılan gübre'!A25</f>
        <v>AK</v>
      </c>
      <c r="B25" t="str">
        <f>'Kullanılan gübre'!B25</f>
        <v>AFYONKARAHISAR</v>
      </c>
      <c r="C25" t="str">
        <f>'Kullanılan gübre'!C25</f>
        <v>CAY</v>
      </c>
      <c r="D25">
        <f>'Kullanılan gübre'!D25</f>
        <v>2007</v>
      </c>
      <c r="E25">
        <f>'Kullanılan gübre'!E25*'Gübre oranlar'!H$3</f>
        <v>0</v>
      </c>
      <c r="F25">
        <f>'Kullanılan gübre'!F25*'Gübre oranlar'!I$3</f>
        <v>0</v>
      </c>
      <c r="G25">
        <f>'Kullanılan gübre'!G25*'Gübre oranlar'!J$3</f>
        <v>0</v>
      </c>
      <c r="H25">
        <f>'Kullanılan gübre'!H25*'Gübre oranlar'!K$3</f>
        <v>0</v>
      </c>
      <c r="I25">
        <f>'Kullanılan gübre'!I25*'Gübre oranlar'!L$3</f>
        <v>96.298500000000004</v>
      </c>
      <c r="J25">
        <f>'Kullanılan gübre'!J25*'Gübre oranlar'!M$3</f>
        <v>0</v>
      </c>
      <c r="K25">
        <f>'Kullanılan gübre'!K25*'Gübre oranlar'!N$3</f>
        <v>52.6</v>
      </c>
      <c r="L25">
        <f>'Kullanılan gübre'!L25*'Gübre oranlar'!O$3</f>
        <v>120.17000000000002</v>
      </c>
      <c r="M25">
        <f>'Kullanılan gübre'!M25*'Gübre oranlar'!P$3</f>
        <v>10.124999999999998</v>
      </c>
      <c r="N25">
        <f>'Kullanılan gübre'!N25*'Gübre oranlar'!Q$3</f>
        <v>39.142500000000005</v>
      </c>
      <c r="O25">
        <f>'Kullanılan gübre'!O25*'Gübre oranlar'!R$3</f>
        <v>0</v>
      </c>
      <c r="P25">
        <f>'Kullanılan gübre'!P25*'Gübre oranlar'!S$3</f>
        <v>0</v>
      </c>
      <c r="Q25">
        <f>'Kullanılan gübre'!Q25*'Gübre oranlar'!T$3</f>
        <v>6.3</v>
      </c>
      <c r="R25">
        <f>'Kullanılan gübre'!R25*'Gübre oranlar'!U$3</f>
        <v>0</v>
      </c>
      <c r="S25">
        <f>'Kullanılan gübre'!S25*'Gübre oranlar'!V$3</f>
        <v>0</v>
      </c>
      <c r="T25">
        <f>'Kullanılan gübre'!T25*'Gübre oranlar'!W$3</f>
        <v>0</v>
      </c>
      <c r="U25">
        <f>'Kullanılan gübre'!U25*'Gübre oranlar'!X$3</f>
        <v>0</v>
      </c>
      <c r="V25">
        <f>'Kullanılan gübre'!V25*'Gübre oranlar'!Y$3</f>
        <v>0</v>
      </c>
      <c r="W25">
        <f>'Kullanılan gübre'!W25*'Gübre oranlar'!Z$3</f>
        <v>0</v>
      </c>
      <c r="X25">
        <f>'Kullanılan gübre'!X25*'Gübre oranlar'!AA$3</f>
        <v>0</v>
      </c>
      <c r="Y25">
        <f>'Kullanılan gübre'!Y25*'Gübre oranlar'!AB$3</f>
        <v>0</v>
      </c>
      <c r="Z25">
        <f>'Kullanılan gübre'!Z25*'Gübre oranlar'!AC$3</f>
        <v>0</v>
      </c>
      <c r="AA25">
        <f>'Kullanılan gübre'!AA25*'Gübre oranlar'!AD$3</f>
        <v>0</v>
      </c>
      <c r="AB25">
        <f>'Kullanılan gübre'!AB25*'Gübre oranlar'!AE$3</f>
        <v>0</v>
      </c>
      <c r="AC25">
        <f>'Kullanılan gübre'!AC25*'Gübre oranlar'!AF$3</f>
        <v>0</v>
      </c>
      <c r="AD25">
        <f>'Kullanılan gübre'!AD25*'Gübre oranlar'!AG$3</f>
        <v>0</v>
      </c>
      <c r="AE25">
        <f>'Kullanılan gübre'!AE25*'Gübre oranlar'!AH$3</f>
        <v>0</v>
      </c>
      <c r="AF25">
        <f>'Kullanılan gübre'!AF25*'Gübre oranlar'!AI$3</f>
        <v>0</v>
      </c>
      <c r="AG25">
        <f>'Kullanılan gübre'!AG25*'Gübre oranlar'!AJ$3</f>
        <v>0</v>
      </c>
      <c r="AH25">
        <f>'Kullanılan gübre'!AH25*'Gübre oranlar'!AK$3</f>
        <v>0</v>
      </c>
      <c r="AI25">
        <f>'Kullanılan gübre'!AI25*'Gübre oranlar'!AL$3</f>
        <v>0</v>
      </c>
      <c r="AJ25">
        <f>'Kullanılan gübre'!AJ25*'Gübre oranlar'!AM$3</f>
        <v>0</v>
      </c>
      <c r="AK25">
        <f>'Kullanılan gübre'!AK25*'Gübre oranlar'!AN$3</f>
        <v>0</v>
      </c>
      <c r="AL25">
        <f>'Kullanılan gübre'!AL25*'Gübre oranlar'!AO$3</f>
        <v>0</v>
      </c>
      <c r="AM25">
        <f>'Kullanılan gübre'!AM25*'Gübre oranlar'!AP$3</f>
        <v>0</v>
      </c>
      <c r="AN25">
        <f>'Kullanılan gübre'!AN25*'Gübre oranlar'!AQ$3</f>
        <v>0</v>
      </c>
      <c r="AO25">
        <f>'Kullanılan gübre'!AO25*'Gübre oranlar'!AR$3</f>
        <v>0</v>
      </c>
      <c r="AP25">
        <f>'Kullanılan gübre'!AP25*'Gübre oranlar'!AS$3</f>
        <v>0</v>
      </c>
      <c r="AQ25">
        <f>'Kullanılan gübre'!AQ25*'Gübre oranlar'!AT$3</f>
        <v>0</v>
      </c>
      <c r="AR25">
        <f>'Kullanılan gübre'!AR25*'Gübre oranlar'!AU$3</f>
        <v>0</v>
      </c>
      <c r="AS25">
        <f>'Kullanılan gübre'!AS25*'Gübre oranlar'!AV$3</f>
        <v>0</v>
      </c>
      <c r="AT25">
        <f>'Kullanılan gübre'!AT25*'Gübre oranlar'!AW$3</f>
        <v>0</v>
      </c>
      <c r="AU25">
        <f>'Kullanılan gübre'!AU25*'Gübre oranlar'!AX$3</f>
        <v>0</v>
      </c>
      <c r="AV25">
        <f>'Kullanılan gübre'!AV25*'Gübre oranlar'!AY$3</f>
        <v>0</v>
      </c>
      <c r="AW25">
        <f t="shared" si="0"/>
        <v>324.63600000000002</v>
      </c>
    </row>
    <row r="26" spans="1:49" x14ac:dyDescent="0.25">
      <c r="A26" t="str">
        <f>'Kullanılan gübre'!A26</f>
        <v>AK</v>
      </c>
      <c r="B26" t="str">
        <f>'Kullanılan gübre'!B26</f>
        <v>AFYONKARAHISAR</v>
      </c>
      <c r="C26" t="str">
        <f>'Kullanılan gübre'!C26</f>
        <v>COBANLAR</v>
      </c>
      <c r="D26">
        <f>'Kullanılan gübre'!D26</f>
        <v>2007</v>
      </c>
      <c r="E26">
        <f>'Kullanılan gübre'!E26*'Gübre oranlar'!H$3</f>
        <v>0</v>
      </c>
      <c r="F26">
        <f>'Kullanılan gübre'!F26*'Gübre oranlar'!I$3</f>
        <v>0</v>
      </c>
      <c r="G26">
        <f>'Kullanılan gübre'!G26*'Gübre oranlar'!J$3</f>
        <v>0</v>
      </c>
      <c r="H26">
        <f>'Kullanılan gübre'!H26*'Gübre oranlar'!K$3</f>
        <v>0</v>
      </c>
      <c r="I26">
        <f>'Kullanılan gübre'!I26*'Gübre oranlar'!L$3</f>
        <v>6.2564999999999991</v>
      </c>
      <c r="J26">
        <f>'Kullanılan gübre'!J26*'Gübre oranlar'!M$3</f>
        <v>0</v>
      </c>
      <c r="K26">
        <f>'Kullanılan gübre'!K26*'Gübre oranlar'!N$3</f>
        <v>25.47</v>
      </c>
      <c r="L26">
        <f>'Kullanılan gübre'!L26*'Gübre oranlar'!O$3</f>
        <v>20.22</v>
      </c>
      <c r="M26">
        <f>'Kullanılan gübre'!M26*'Gübre oranlar'!P$3</f>
        <v>0</v>
      </c>
      <c r="N26">
        <f>'Kullanılan gübre'!N26*'Gübre oranlar'!Q$3</f>
        <v>8.3699999999999992</v>
      </c>
      <c r="O26">
        <f>'Kullanılan gübre'!O26*'Gübre oranlar'!R$3</f>
        <v>0</v>
      </c>
      <c r="P26">
        <f>'Kullanılan gübre'!P26*'Gübre oranlar'!S$3</f>
        <v>0</v>
      </c>
      <c r="Q26">
        <f>'Kullanılan gübre'!Q26*'Gübre oranlar'!T$3</f>
        <v>0</v>
      </c>
      <c r="R26">
        <f>'Kullanılan gübre'!R26*'Gübre oranlar'!U$3</f>
        <v>0</v>
      </c>
      <c r="S26">
        <f>'Kullanılan gübre'!S26*'Gübre oranlar'!V$3</f>
        <v>0</v>
      </c>
      <c r="T26">
        <f>'Kullanılan gübre'!T26*'Gübre oranlar'!W$3</f>
        <v>0</v>
      </c>
      <c r="U26">
        <f>'Kullanılan gübre'!U26*'Gübre oranlar'!X$3</f>
        <v>0</v>
      </c>
      <c r="V26">
        <f>'Kullanılan gübre'!V26*'Gübre oranlar'!Y$3</f>
        <v>0</v>
      </c>
      <c r="W26">
        <f>'Kullanılan gübre'!W26*'Gübre oranlar'!Z$3</f>
        <v>0</v>
      </c>
      <c r="X26">
        <f>'Kullanılan gübre'!X26*'Gübre oranlar'!AA$3</f>
        <v>0</v>
      </c>
      <c r="Y26">
        <f>'Kullanılan gübre'!Y26*'Gübre oranlar'!AB$3</f>
        <v>0</v>
      </c>
      <c r="Z26">
        <f>'Kullanılan gübre'!Z26*'Gübre oranlar'!AC$3</f>
        <v>0</v>
      </c>
      <c r="AA26">
        <f>'Kullanılan gübre'!AA26*'Gübre oranlar'!AD$3</f>
        <v>0</v>
      </c>
      <c r="AB26">
        <f>'Kullanılan gübre'!AB26*'Gübre oranlar'!AE$3</f>
        <v>0</v>
      </c>
      <c r="AC26">
        <f>'Kullanılan gübre'!AC26*'Gübre oranlar'!AF$3</f>
        <v>0</v>
      </c>
      <c r="AD26">
        <f>'Kullanılan gübre'!AD26*'Gübre oranlar'!AG$3</f>
        <v>0</v>
      </c>
      <c r="AE26">
        <f>'Kullanılan gübre'!AE26*'Gübre oranlar'!AH$3</f>
        <v>0</v>
      </c>
      <c r="AF26">
        <f>'Kullanılan gübre'!AF26*'Gübre oranlar'!AI$3</f>
        <v>0</v>
      </c>
      <c r="AG26">
        <f>'Kullanılan gübre'!AG26*'Gübre oranlar'!AJ$3</f>
        <v>0</v>
      </c>
      <c r="AH26">
        <f>'Kullanılan gübre'!AH26*'Gübre oranlar'!AK$3</f>
        <v>0</v>
      </c>
      <c r="AI26">
        <f>'Kullanılan gübre'!AI26*'Gübre oranlar'!AL$3</f>
        <v>0</v>
      </c>
      <c r="AJ26">
        <f>'Kullanılan gübre'!AJ26*'Gübre oranlar'!AM$3</f>
        <v>0</v>
      </c>
      <c r="AK26">
        <f>'Kullanılan gübre'!AK26*'Gübre oranlar'!AN$3</f>
        <v>0</v>
      </c>
      <c r="AL26">
        <f>'Kullanılan gübre'!AL26*'Gübre oranlar'!AO$3</f>
        <v>0</v>
      </c>
      <c r="AM26">
        <f>'Kullanılan gübre'!AM26*'Gübre oranlar'!AP$3</f>
        <v>0</v>
      </c>
      <c r="AN26">
        <f>'Kullanılan gübre'!AN26*'Gübre oranlar'!AQ$3</f>
        <v>0</v>
      </c>
      <c r="AO26">
        <f>'Kullanılan gübre'!AO26*'Gübre oranlar'!AR$3</f>
        <v>0</v>
      </c>
      <c r="AP26">
        <f>'Kullanılan gübre'!AP26*'Gübre oranlar'!AS$3</f>
        <v>0</v>
      </c>
      <c r="AQ26">
        <f>'Kullanılan gübre'!AQ26*'Gübre oranlar'!AT$3</f>
        <v>0</v>
      </c>
      <c r="AR26">
        <f>'Kullanılan gübre'!AR26*'Gübre oranlar'!AU$3</f>
        <v>0</v>
      </c>
      <c r="AS26">
        <f>'Kullanılan gübre'!AS26*'Gübre oranlar'!AV$3</f>
        <v>0</v>
      </c>
      <c r="AT26">
        <f>'Kullanılan gübre'!AT26*'Gübre oranlar'!AW$3</f>
        <v>0</v>
      </c>
      <c r="AU26">
        <f>'Kullanılan gübre'!AU26*'Gübre oranlar'!AX$3</f>
        <v>0</v>
      </c>
      <c r="AV26">
        <f>'Kullanılan gübre'!AV26*'Gübre oranlar'!AY$3</f>
        <v>0</v>
      </c>
      <c r="AW26">
        <f t="shared" si="0"/>
        <v>60.316499999999998</v>
      </c>
    </row>
    <row r="27" spans="1:49" x14ac:dyDescent="0.25">
      <c r="A27" t="str">
        <f>'Kullanılan gübre'!A27</f>
        <v>AK</v>
      </c>
      <c r="B27" t="str">
        <f>'Kullanılan gübre'!B27</f>
        <v>AFYONKARAHISAR</v>
      </c>
      <c r="C27" t="str">
        <f>'Kullanılan gübre'!C27</f>
        <v>IHSANIYE</v>
      </c>
      <c r="D27">
        <f>'Kullanılan gübre'!D27</f>
        <v>2007</v>
      </c>
      <c r="E27">
        <f>'Kullanılan gübre'!E27*'Gübre oranlar'!H$3</f>
        <v>0</v>
      </c>
      <c r="F27">
        <f>'Kullanılan gübre'!F27*'Gübre oranlar'!I$3</f>
        <v>0</v>
      </c>
      <c r="G27">
        <f>'Kullanılan gübre'!G27*'Gübre oranlar'!J$3</f>
        <v>0</v>
      </c>
      <c r="H27">
        <f>'Kullanılan gübre'!H27*'Gübre oranlar'!K$3</f>
        <v>0</v>
      </c>
      <c r="I27">
        <f>'Kullanılan gübre'!I27*'Gübre oranlar'!L$3</f>
        <v>0</v>
      </c>
      <c r="J27">
        <f>'Kullanılan gübre'!J27*'Gübre oranlar'!M$3</f>
        <v>0</v>
      </c>
      <c r="K27">
        <f>'Kullanılan gübre'!K27*'Gübre oranlar'!N$3</f>
        <v>77.27000000000001</v>
      </c>
      <c r="L27">
        <f>'Kullanılan gübre'!L27*'Gübre oranlar'!O$3</f>
        <v>0</v>
      </c>
      <c r="M27">
        <f>'Kullanılan gübre'!M27*'Gübre oranlar'!P$3</f>
        <v>0</v>
      </c>
      <c r="N27">
        <f>'Kullanılan gübre'!N27*'Gübre oranlar'!Q$3</f>
        <v>0</v>
      </c>
      <c r="O27">
        <f>'Kullanılan gübre'!O27*'Gübre oranlar'!R$3</f>
        <v>0</v>
      </c>
      <c r="P27">
        <f>'Kullanılan gübre'!P27*'Gübre oranlar'!S$3</f>
        <v>0</v>
      </c>
      <c r="Q27">
        <f>'Kullanılan gübre'!Q27*'Gübre oranlar'!T$3</f>
        <v>0</v>
      </c>
      <c r="R27">
        <f>'Kullanılan gübre'!R27*'Gübre oranlar'!U$3</f>
        <v>0</v>
      </c>
      <c r="S27">
        <f>'Kullanılan gübre'!S27*'Gübre oranlar'!V$3</f>
        <v>0</v>
      </c>
      <c r="T27">
        <f>'Kullanılan gübre'!T27*'Gübre oranlar'!W$3</f>
        <v>0</v>
      </c>
      <c r="U27">
        <f>'Kullanılan gübre'!U27*'Gübre oranlar'!X$3</f>
        <v>0</v>
      </c>
      <c r="V27">
        <f>'Kullanılan gübre'!V27*'Gübre oranlar'!Y$3</f>
        <v>0</v>
      </c>
      <c r="W27">
        <f>'Kullanılan gübre'!W27*'Gübre oranlar'!Z$3</f>
        <v>0</v>
      </c>
      <c r="X27">
        <f>'Kullanılan gübre'!X27*'Gübre oranlar'!AA$3</f>
        <v>0</v>
      </c>
      <c r="Y27">
        <f>'Kullanılan gübre'!Y27*'Gübre oranlar'!AB$3</f>
        <v>0</v>
      </c>
      <c r="Z27">
        <f>'Kullanılan gübre'!Z27*'Gübre oranlar'!AC$3</f>
        <v>0</v>
      </c>
      <c r="AA27">
        <f>'Kullanılan gübre'!AA27*'Gübre oranlar'!AD$3</f>
        <v>0</v>
      </c>
      <c r="AB27">
        <f>'Kullanılan gübre'!AB27*'Gübre oranlar'!AE$3</f>
        <v>0</v>
      </c>
      <c r="AC27">
        <f>'Kullanılan gübre'!AC27*'Gübre oranlar'!AF$3</f>
        <v>0</v>
      </c>
      <c r="AD27">
        <f>'Kullanılan gübre'!AD27*'Gübre oranlar'!AG$3</f>
        <v>0</v>
      </c>
      <c r="AE27">
        <f>'Kullanılan gübre'!AE27*'Gübre oranlar'!AH$3</f>
        <v>0</v>
      </c>
      <c r="AF27">
        <f>'Kullanılan gübre'!AF27*'Gübre oranlar'!AI$3</f>
        <v>0</v>
      </c>
      <c r="AG27">
        <f>'Kullanılan gübre'!AG27*'Gübre oranlar'!AJ$3</f>
        <v>0</v>
      </c>
      <c r="AH27">
        <f>'Kullanılan gübre'!AH27*'Gübre oranlar'!AK$3</f>
        <v>0</v>
      </c>
      <c r="AI27">
        <f>'Kullanılan gübre'!AI27*'Gübre oranlar'!AL$3</f>
        <v>0</v>
      </c>
      <c r="AJ27">
        <f>'Kullanılan gübre'!AJ27*'Gübre oranlar'!AM$3</f>
        <v>0</v>
      </c>
      <c r="AK27">
        <f>'Kullanılan gübre'!AK27*'Gübre oranlar'!AN$3</f>
        <v>0</v>
      </c>
      <c r="AL27">
        <f>'Kullanılan gübre'!AL27*'Gübre oranlar'!AO$3</f>
        <v>0</v>
      </c>
      <c r="AM27">
        <f>'Kullanılan gübre'!AM27*'Gübre oranlar'!AP$3</f>
        <v>0</v>
      </c>
      <c r="AN27">
        <f>'Kullanılan gübre'!AN27*'Gübre oranlar'!AQ$3</f>
        <v>0</v>
      </c>
      <c r="AO27">
        <f>'Kullanılan gübre'!AO27*'Gübre oranlar'!AR$3</f>
        <v>0</v>
      </c>
      <c r="AP27">
        <f>'Kullanılan gübre'!AP27*'Gübre oranlar'!AS$3</f>
        <v>0</v>
      </c>
      <c r="AQ27">
        <f>'Kullanılan gübre'!AQ27*'Gübre oranlar'!AT$3</f>
        <v>0</v>
      </c>
      <c r="AR27">
        <f>'Kullanılan gübre'!AR27*'Gübre oranlar'!AU$3</f>
        <v>0</v>
      </c>
      <c r="AS27">
        <f>'Kullanılan gübre'!AS27*'Gübre oranlar'!AV$3</f>
        <v>0</v>
      </c>
      <c r="AT27">
        <f>'Kullanılan gübre'!AT27*'Gübre oranlar'!AW$3</f>
        <v>0</v>
      </c>
      <c r="AU27">
        <f>'Kullanılan gübre'!AU27*'Gübre oranlar'!AX$3</f>
        <v>0</v>
      </c>
      <c r="AV27">
        <f>'Kullanılan gübre'!AV27*'Gübre oranlar'!AY$3</f>
        <v>0</v>
      </c>
      <c r="AW27">
        <f t="shared" si="0"/>
        <v>77.27000000000001</v>
      </c>
    </row>
    <row r="28" spans="1:49" x14ac:dyDescent="0.25">
      <c r="A28" t="str">
        <f>'Kullanılan gübre'!A28</f>
        <v>AK</v>
      </c>
      <c r="B28" t="str">
        <f>'Kullanılan gübre'!B28</f>
        <v>AFYONKARAHISAR</v>
      </c>
      <c r="C28" t="str">
        <f>'Kullanılan gübre'!C28</f>
        <v>ISCEHISAR</v>
      </c>
      <c r="D28">
        <f>'Kullanılan gübre'!D28</f>
        <v>2007</v>
      </c>
      <c r="E28">
        <f>'Kullanılan gübre'!E28*'Gübre oranlar'!H$3</f>
        <v>0</v>
      </c>
      <c r="F28">
        <f>'Kullanılan gübre'!F28*'Gübre oranlar'!I$3</f>
        <v>0</v>
      </c>
      <c r="G28">
        <f>'Kullanılan gübre'!G28*'Gübre oranlar'!J$3</f>
        <v>0</v>
      </c>
      <c r="H28">
        <f>'Kullanılan gübre'!H28*'Gübre oranlar'!K$3</f>
        <v>0</v>
      </c>
      <c r="I28">
        <f>'Kullanılan gübre'!I28*'Gübre oranlar'!L$3</f>
        <v>0</v>
      </c>
      <c r="J28">
        <f>'Kullanılan gübre'!J28*'Gübre oranlar'!M$3</f>
        <v>0</v>
      </c>
      <c r="K28">
        <f>'Kullanılan gübre'!K28*'Gübre oranlar'!N$3</f>
        <v>2.4499999999999997</v>
      </c>
      <c r="L28">
        <f>'Kullanılan gübre'!L28*'Gübre oranlar'!O$3</f>
        <v>9.23</v>
      </c>
      <c r="M28">
        <f>'Kullanılan gübre'!M28*'Gübre oranlar'!P$3</f>
        <v>0</v>
      </c>
      <c r="N28">
        <f>'Kullanılan gübre'!N28*'Gübre oranlar'!Q$3</f>
        <v>0</v>
      </c>
      <c r="O28">
        <f>'Kullanılan gübre'!O28*'Gübre oranlar'!R$3</f>
        <v>0</v>
      </c>
      <c r="P28">
        <f>'Kullanılan gübre'!P28*'Gübre oranlar'!S$3</f>
        <v>0</v>
      </c>
      <c r="Q28">
        <f>'Kullanılan gübre'!Q28*'Gübre oranlar'!T$3</f>
        <v>0</v>
      </c>
      <c r="R28">
        <f>'Kullanılan gübre'!R28*'Gübre oranlar'!U$3</f>
        <v>0</v>
      </c>
      <c r="S28">
        <f>'Kullanılan gübre'!S28*'Gübre oranlar'!V$3</f>
        <v>0</v>
      </c>
      <c r="T28">
        <f>'Kullanılan gübre'!T28*'Gübre oranlar'!W$3</f>
        <v>0</v>
      </c>
      <c r="U28">
        <f>'Kullanılan gübre'!U28*'Gübre oranlar'!X$3</f>
        <v>0</v>
      </c>
      <c r="V28">
        <f>'Kullanılan gübre'!V28*'Gübre oranlar'!Y$3</f>
        <v>0</v>
      </c>
      <c r="W28">
        <f>'Kullanılan gübre'!W28*'Gübre oranlar'!Z$3</f>
        <v>0</v>
      </c>
      <c r="X28">
        <f>'Kullanılan gübre'!X28*'Gübre oranlar'!AA$3</f>
        <v>0</v>
      </c>
      <c r="Y28">
        <f>'Kullanılan gübre'!Y28*'Gübre oranlar'!AB$3</f>
        <v>0</v>
      </c>
      <c r="Z28">
        <f>'Kullanılan gübre'!Z28*'Gübre oranlar'!AC$3</f>
        <v>0</v>
      </c>
      <c r="AA28">
        <f>'Kullanılan gübre'!AA28*'Gübre oranlar'!AD$3</f>
        <v>0</v>
      </c>
      <c r="AB28">
        <f>'Kullanılan gübre'!AB28*'Gübre oranlar'!AE$3</f>
        <v>0</v>
      </c>
      <c r="AC28">
        <f>'Kullanılan gübre'!AC28*'Gübre oranlar'!AF$3</f>
        <v>0</v>
      </c>
      <c r="AD28">
        <f>'Kullanılan gübre'!AD28*'Gübre oranlar'!AG$3</f>
        <v>0</v>
      </c>
      <c r="AE28">
        <f>'Kullanılan gübre'!AE28*'Gübre oranlar'!AH$3</f>
        <v>0</v>
      </c>
      <c r="AF28">
        <f>'Kullanılan gübre'!AF28*'Gübre oranlar'!AI$3</f>
        <v>0</v>
      </c>
      <c r="AG28">
        <f>'Kullanılan gübre'!AG28*'Gübre oranlar'!AJ$3</f>
        <v>0</v>
      </c>
      <c r="AH28">
        <f>'Kullanılan gübre'!AH28*'Gübre oranlar'!AK$3</f>
        <v>0</v>
      </c>
      <c r="AI28">
        <f>'Kullanılan gübre'!AI28*'Gübre oranlar'!AL$3</f>
        <v>0</v>
      </c>
      <c r="AJ28">
        <f>'Kullanılan gübre'!AJ28*'Gübre oranlar'!AM$3</f>
        <v>0</v>
      </c>
      <c r="AK28">
        <f>'Kullanılan gübre'!AK28*'Gübre oranlar'!AN$3</f>
        <v>0</v>
      </c>
      <c r="AL28">
        <f>'Kullanılan gübre'!AL28*'Gübre oranlar'!AO$3</f>
        <v>0</v>
      </c>
      <c r="AM28">
        <f>'Kullanılan gübre'!AM28*'Gübre oranlar'!AP$3</f>
        <v>0</v>
      </c>
      <c r="AN28">
        <f>'Kullanılan gübre'!AN28*'Gübre oranlar'!AQ$3</f>
        <v>0</v>
      </c>
      <c r="AO28">
        <f>'Kullanılan gübre'!AO28*'Gübre oranlar'!AR$3</f>
        <v>0</v>
      </c>
      <c r="AP28">
        <f>'Kullanılan gübre'!AP28*'Gübre oranlar'!AS$3</f>
        <v>0</v>
      </c>
      <c r="AQ28">
        <f>'Kullanılan gübre'!AQ28*'Gübre oranlar'!AT$3</f>
        <v>0</v>
      </c>
      <c r="AR28">
        <f>'Kullanılan gübre'!AR28*'Gübre oranlar'!AU$3</f>
        <v>0</v>
      </c>
      <c r="AS28">
        <f>'Kullanılan gübre'!AS28*'Gübre oranlar'!AV$3</f>
        <v>0</v>
      </c>
      <c r="AT28">
        <f>'Kullanılan gübre'!AT28*'Gübre oranlar'!AW$3</f>
        <v>0</v>
      </c>
      <c r="AU28">
        <f>'Kullanılan gübre'!AU28*'Gübre oranlar'!AX$3</f>
        <v>0</v>
      </c>
      <c r="AV28">
        <f>'Kullanılan gübre'!AV28*'Gübre oranlar'!AY$3</f>
        <v>0</v>
      </c>
      <c r="AW28">
        <f t="shared" si="0"/>
        <v>11.68</v>
      </c>
    </row>
    <row r="29" spans="1:49" x14ac:dyDescent="0.25">
      <c r="A29" t="str">
        <f>'Kullanılan gübre'!A29</f>
        <v>AK</v>
      </c>
      <c r="B29" t="str">
        <f>'Kullanılan gübre'!B29</f>
        <v>AFYONKARAHISAR</v>
      </c>
      <c r="C29" t="str">
        <f>'Kullanılan gübre'!C29</f>
        <v>SINANPASA</v>
      </c>
      <c r="D29">
        <f>'Kullanılan gübre'!D29</f>
        <v>2007</v>
      </c>
      <c r="E29">
        <f>'Kullanılan gübre'!E29*'Gübre oranlar'!H$3</f>
        <v>0</v>
      </c>
      <c r="F29">
        <f>'Kullanılan gübre'!F29*'Gübre oranlar'!I$3</f>
        <v>0</v>
      </c>
      <c r="G29">
        <f>'Kullanılan gübre'!G29*'Gübre oranlar'!J$3</f>
        <v>0</v>
      </c>
      <c r="H29">
        <f>'Kullanılan gübre'!H29*'Gübre oranlar'!K$3</f>
        <v>0</v>
      </c>
      <c r="I29">
        <f>'Kullanılan gübre'!I29*'Gübre oranlar'!L$3</f>
        <v>17.2</v>
      </c>
      <c r="J29">
        <f>'Kullanılan gübre'!J29*'Gübre oranlar'!M$3</f>
        <v>0</v>
      </c>
      <c r="K29">
        <f>'Kullanılan gübre'!K29*'Gübre oranlar'!N$3</f>
        <v>105.18000000000002</v>
      </c>
      <c r="L29">
        <f>'Kullanılan gübre'!L29*'Gübre oranlar'!O$3</f>
        <v>148.84</v>
      </c>
      <c r="M29">
        <f>'Kullanılan gübre'!M29*'Gübre oranlar'!P$3</f>
        <v>2.9249999999999998</v>
      </c>
      <c r="N29">
        <f>'Kullanılan gübre'!N29*'Gübre oranlar'!Q$3</f>
        <v>1.8075000000000001</v>
      </c>
      <c r="O29">
        <f>'Kullanılan gübre'!O29*'Gübre oranlar'!R$3</f>
        <v>0</v>
      </c>
      <c r="P29">
        <f>'Kullanılan gübre'!P29*'Gübre oranlar'!S$3</f>
        <v>0</v>
      </c>
      <c r="Q29">
        <f>'Kullanılan gübre'!Q29*'Gübre oranlar'!T$3</f>
        <v>0</v>
      </c>
      <c r="R29">
        <f>'Kullanılan gübre'!R29*'Gübre oranlar'!U$3</f>
        <v>0</v>
      </c>
      <c r="S29">
        <f>'Kullanılan gübre'!S29*'Gübre oranlar'!V$3</f>
        <v>0</v>
      </c>
      <c r="T29">
        <f>'Kullanılan gübre'!T29*'Gübre oranlar'!W$3</f>
        <v>0</v>
      </c>
      <c r="U29">
        <f>'Kullanılan gübre'!U29*'Gübre oranlar'!X$3</f>
        <v>0</v>
      </c>
      <c r="V29">
        <f>'Kullanılan gübre'!V29*'Gübre oranlar'!Y$3</f>
        <v>0</v>
      </c>
      <c r="W29">
        <f>'Kullanılan gübre'!W29*'Gübre oranlar'!Z$3</f>
        <v>0</v>
      </c>
      <c r="X29">
        <f>'Kullanılan gübre'!X29*'Gübre oranlar'!AA$3</f>
        <v>0</v>
      </c>
      <c r="Y29">
        <f>'Kullanılan gübre'!Y29*'Gübre oranlar'!AB$3</f>
        <v>0</v>
      </c>
      <c r="Z29">
        <f>'Kullanılan gübre'!Z29*'Gübre oranlar'!AC$3</f>
        <v>0</v>
      </c>
      <c r="AA29">
        <f>'Kullanılan gübre'!AA29*'Gübre oranlar'!AD$3</f>
        <v>0</v>
      </c>
      <c r="AB29">
        <f>'Kullanılan gübre'!AB29*'Gübre oranlar'!AE$3</f>
        <v>0</v>
      </c>
      <c r="AC29">
        <f>'Kullanılan gübre'!AC29*'Gübre oranlar'!AF$3</f>
        <v>0</v>
      </c>
      <c r="AD29">
        <f>'Kullanılan gübre'!AD29*'Gübre oranlar'!AG$3</f>
        <v>0</v>
      </c>
      <c r="AE29">
        <f>'Kullanılan gübre'!AE29*'Gübre oranlar'!AH$3</f>
        <v>0</v>
      </c>
      <c r="AF29">
        <f>'Kullanılan gübre'!AF29*'Gübre oranlar'!AI$3</f>
        <v>0</v>
      </c>
      <c r="AG29">
        <f>'Kullanılan gübre'!AG29*'Gübre oranlar'!AJ$3</f>
        <v>0</v>
      </c>
      <c r="AH29">
        <f>'Kullanılan gübre'!AH29*'Gübre oranlar'!AK$3</f>
        <v>0</v>
      </c>
      <c r="AI29">
        <f>'Kullanılan gübre'!AI29*'Gübre oranlar'!AL$3</f>
        <v>0</v>
      </c>
      <c r="AJ29">
        <f>'Kullanılan gübre'!AJ29*'Gübre oranlar'!AM$3</f>
        <v>0</v>
      </c>
      <c r="AK29">
        <f>'Kullanılan gübre'!AK29*'Gübre oranlar'!AN$3</f>
        <v>0</v>
      </c>
      <c r="AL29">
        <f>'Kullanılan gübre'!AL29*'Gübre oranlar'!AO$3</f>
        <v>0</v>
      </c>
      <c r="AM29">
        <f>'Kullanılan gübre'!AM29*'Gübre oranlar'!AP$3</f>
        <v>0</v>
      </c>
      <c r="AN29">
        <f>'Kullanılan gübre'!AN29*'Gübre oranlar'!AQ$3</f>
        <v>0</v>
      </c>
      <c r="AO29">
        <f>'Kullanılan gübre'!AO29*'Gübre oranlar'!AR$3</f>
        <v>0</v>
      </c>
      <c r="AP29">
        <f>'Kullanılan gübre'!AP29*'Gübre oranlar'!AS$3</f>
        <v>0</v>
      </c>
      <c r="AQ29">
        <f>'Kullanılan gübre'!AQ29*'Gübre oranlar'!AT$3</f>
        <v>0</v>
      </c>
      <c r="AR29">
        <f>'Kullanılan gübre'!AR29*'Gübre oranlar'!AU$3</f>
        <v>0</v>
      </c>
      <c r="AS29">
        <f>'Kullanılan gübre'!AS29*'Gübre oranlar'!AV$3</f>
        <v>0</v>
      </c>
      <c r="AT29">
        <f>'Kullanılan gübre'!AT29*'Gübre oranlar'!AW$3</f>
        <v>0</v>
      </c>
      <c r="AU29">
        <f>'Kullanılan gübre'!AU29*'Gübre oranlar'!AX$3</f>
        <v>0</v>
      </c>
      <c r="AV29">
        <f>'Kullanılan gübre'!AV29*'Gübre oranlar'!AY$3</f>
        <v>0</v>
      </c>
      <c r="AW29">
        <f t="shared" si="0"/>
        <v>275.95250000000004</v>
      </c>
    </row>
    <row r="30" spans="1:49" x14ac:dyDescent="0.25">
      <c r="A30" t="str">
        <f>'Kullanılan gübre'!A30</f>
        <v>AK</v>
      </c>
      <c r="B30" t="str">
        <f>'Kullanılan gübre'!B30</f>
        <v>AFYONKARAHISAR</v>
      </c>
      <c r="C30" t="str">
        <f>'Kullanılan gübre'!C30</f>
        <v>SULTANDAGI</v>
      </c>
      <c r="D30">
        <f>'Kullanılan gübre'!D30</f>
        <v>2007</v>
      </c>
      <c r="E30">
        <f>'Kullanılan gübre'!E30*'Gübre oranlar'!H$3</f>
        <v>0</v>
      </c>
      <c r="F30">
        <f>'Kullanılan gübre'!F30*'Gübre oranlar'!I$3</f>
        <v>0</v>
      </c>
      <c r="G30">
        <f>'Kullanılan gübre'!G30*'Gübre oranlar'!J$3</f>
        <v>0</v>
      </c>
      <c r="H30">
        <f>'Kullanılan gübre'!H30*'Gübre oranlar'!K$3</f>
        <v>0</v>
      </c>
      <c r="I30">
        <f>'Kullanılan gübre'!I30*'Gübre oranlar'!L$3</f>
        <v>34.034499999999994</v>
      </c>
      <c r="J30">
        <f>'Kullanılan gübre'!J30*'Gübre oranlar'!M$3</f>
        <v>0</v>
      </c>
      <c r="K30">
        <f>'Kullanılan gübre'!K30*'Gübre oranlar'!N$3</f>
        <v>1.1500000000000001</v>
      </c>
      <c r="L30">
        <f>'Kullanılan gübre'!L30*'Gübre oranlar'!O$3</f>
        <v>32.4</v>
      </c>
      <c r="M30">
        <f>'Kullanılan gübre'!M30*'Gübre oranlar'!P$3</f>
        <v>1.2</v>
      </c>
      <c r="N30">
        <f>'Kullanılan gübre'!N30*'Gübre oranlar'!Q$3</f>
        <v>32.174999999999997</v>
      </c>
      <c r="O30">
        <f>'Kullanılan gübre'!O30*'Gübre oranlar'!R$3</f>
        <v>0</v>
      </c>
      <c r="P30">
        <f>'Kullanılan gübre'!P30*'Gübre oranlar'!S$3</f>
        <v>0</v>
      </c>
      <c r="Q30">
        <f>'Kullanılan gübre'!Q30*'Gübre oranlar'!T$3</f>
        <v>0</v>
      </c>
      <c r="R30">
        <f>'Kullanılan gübre'!R30*'Gübre oranlar'!U$3</f>
        <v>0</v>
      </c>
      <c r="S30">
        <f>'Kullanılan gübre'!S30*'Gübre oranlar'!V$3</f>
        <v>0</v>
      </c>
      <c r="T30">
        <f>'Kullanılan gübre'!T30*'Gübre oranlar'!W$3</f>
        <v>0</v>
      </c>
      <c r="U30">
        <f>'Kullanılan gübre'!U30*'Gübre oranlar'!X$3</f>
        <v>0</v>
      </c>
      <c r="V30">
        <f>'Kullanılan gübre'!V30*'Gübre oranlar'!Y$3</f>
        <v>0</v>
      </c>
      <c r="W30">
        <f>'Kullanılan gübre'!W30*'Gübre oranlar'!Z$3</f>
        <v>0</v>
      </c>
      <c r="X30">
        <f>'Kullanılan gübre'!X30*'Gübre oranlar'!AA$3</f>
        <v>0</v>
      </c>
      <c r="Y30">
        <f>'Kullanılan gübre'!Y30*'Gübre oranlar'!AB$3</f>
        <v>0</v>
      </c>
      <c r="Z30">
        <f>'Kullanılan gübre'!Z30*'Gübre oranlar'!AC$3</f>
        <v>0</v>
      </c>
      <c r="AA30">
        <f>'Kullanılan gübre'!AA30*'Gübre oranlar'!AD$3</f>
        <v>0</v>
      </c>
      <c r="AB30">
        <f>'Kullanılan gübre'!AB30*'Gübre oranlar'!AE$3</f>
        <v>0</v>
      </c>
      <c r="AC30">
        <f>'Kullanılan gübre'!AC30*'Gübre oranlar'!AF$3</f>
        <v>0</v>
      </c>
      <c r="AD30">
        <f>'Kullanılan gübre'!AD30*'Gübre oranlar'!AG$3</f>
        <v>0</v>
      </c>
      <c r="AE30">
        <f>'Kullanılan gübre'!AE30*'Gübre oranlar'!AH$3</f>
        <v>0</v>
      </c>
      <c r="AF30">
        <f>'Kullanılan gübre'!AF30*'Gübre oranlar'!AI$3</f>
        <v>0</v>
      </c>
      <c r="AG30">
        <f>'Kullanılan gübre'!AG30*'Gübre oranlar'!AJ$3</f>
        <v>0</v>
      </c>
      <c r="AH30">
        <f>'Kullanılan gübre'!AH30*'Gübre oranlar'!AK$3</f>
        <v>0</v>
      </c>
      <c r="AI30">
        <f>'Kullanılan gübre'!AI30*'Gübre oranlar'!AL$3</f>
        <v>0</v>
      </c>
      <c r="AJ30">
        <f>'Kullanılan gübre'!AJ30*'Gübre oranlar'!AM$3</f>
        <v>0</v>
      </c>
      <c r="AK30">
        <f>'Kullanılan gübre'!AK30*'Gübre oranlar'!AN$3</f>
        <v>0</v>
      </c>
      <c r="AL30">
        <f>'Kullanılan gübre'!AL30*'Gübre oranlar'!AO$3</f>
        <v>0</v>
      </c>
      <c r="AM30">
        <f>'Kullanılan gübre'!AM30*'Gübre oranlar'!AP$3</f>
        <v>0</v>
      </c>
      <c r="AN30">
        <f>'Kullanılan gübre'!AN30*'Gübre oranlar'!AQ$3</f>
        <v>0</v>
      </c>
      <c r="AO30">
        <f>'Kullanılan gübre'!AO30*'Gübre oranlar'!AR$3</f>
        <v>0</v>
      </c>
      <c r="AP30">
        <f>'Kullanılan gübre'!AP30*'Gübre oranlar'!AS$3</f>
        <v>0</v>
      </c>
      <c r="AQ30">
        <f>'Kullanılan gübre'!AQ30*'Gübre oranlar'!AT$3</f>
        <v>0</v>
      </c>
      <c r="AR30">
        <f>'Kullanılan gübre'!AR30*'Gübre oranlar'!AU$3</f>
        <v>0</v>
      </c>
      <c r="AS30">
        <f>'Kullanılan gübre'!AS30*'Gübre oranlar'!AV$3</f>
        <v>0</v>
      </c>
      <c r="AT30">
        <f>'Kullanılan gübre'!AT30*'Gübre oranlar'!AW$3</f>
        <v>0</v>
      </c>
      <c r="AU30">
        <f>'Kullanılan gübre'!AU30*'Gübre oranlar'!AX$3</f>
        <v>0</v>
      </c>
      <c r="AV30">
        <f>'Kullanılan gübre'!AV30*'Gübre oranlar'!AY$3</f>
        <v>0</v>
      </c>
      <c r="AW30">
        <f t="shared" si="0"/>
        <v>100.95949999999999</v>
      </c>
    </row>
    <row r="31" spans="1:49" x14ac:dyDescent="0.25">
      <c r="A31" t="str">
        <f>'Kullanılan gübre'!A31</f>
        <v>AK</v>
      </c>
      <c r="B31" t="str">
        <f>'Kullanılan gübre'!B31</f>
        <v>AFYONKARAHISAR</v>
      </c>
      <c r="C31" t="str">
        <f>'Kullanılan gübre'!C31</f>
        <v>SUHUT</v>
      </c>
      <c r="D31">
        <f>'Kullanılan gübre'!D31</f>
        <v>2007</v>
      </c>
      <c r="E31">
        <f>'Kullanılan gübre'!E31*'Gübre oranlar'!H$3</f>
        <v>0</v>
      </c>
      <c r="F31">
        <f>'Kullanılan gübre'!F31*'Gübre oranlar'!I$3</f>
        <v>0</v>
      </c>
      <c r="G31">
        <f>'Kullanılan gübre'!G31*'Gübre oranlar'!J$3</f>
        <v>0</v>
      </c>
      <c r="H31">
        <f>'Kullanılan gübre'!H31*'Gübre oranlar'!K$3</f>
        <v>0</v>
      </c>
      <c r="I31">
        <f>'Kullanılan gübre'!I31*'Gübre oranlar'!L$3</f>
        <v>82.731999999999999</v>
      </c>
      <c r="J31">
        <f>'Kullanılan gübre'!J31*'Gübre oranlar'!M$3</f>
        <v>0</v>
      </c>
      <c r="K31">
        <f>'Kullanılan gübre'!K31*'Gübre oranlar'!N$3</f>
        <v>50.8</v>
      </c>
      <c r="L31">
        <f>'Kullanılan gübre'!L31*'Gübre oranlar'!O$3</f>
        <v>86.580000000000013</v>
      </c>
      <c r="M31">
        <f>'Kullanılan gübre'!M31*'Gübre oranlar'!P$3</f>
        <v>51.9375</v>
      </c>
      <c r="N31">
        <f>'Kullanılan gübre'!N31*'Gübre oranlar'!Q$3</f>
        <v>150.69</v>
      </c>
      <c r="O31">
        <f>'Kullanılan gübre'!O31*'Gübre oranlar'!R$3</f>
        <v>0</v>
      </c>
      <c r="P31">
        <f>'Kullanılan gübre'!P31*'Gübre oranlar'!S$3</f>
        <v>0</v>
      </c>
      <c r="Q31">
        <f>'Kullanılan gübre'!Q31*'Gübre oranlar'!T$3</f>
        <v>197.38500000000002</v>
      </c>
      <c r="R31">
        <f>'Kullanılan gübre'!R31*'Gübre oranlar'!U$3</f>
        <v>0</v>
      </c>
      <c r="S31">
        <f>'Kullanılan gübre'!S31*'Gübre oranlar'!V$3</f>
        <v>0</v>
      </c>
      <c r="T31">
        <f>'Kullanılan gübre'!T31*'Gübre oranlar'!W$3</f>
        <v>0</v>
      </c>
      <c r="U31">
        <f>'Kullanılan gübre'!U31*'Gübre oranlar'!X$3</f>
        <v>0</v>
      </c>
      <c r="V31">
        <f>'Kullanılan gübre'!V31*'Gübre oranlar'!Y$3</f>
        <v>0</v>
      </c>
      <c r="W31">
        <f>'Kullanılan gübre'!W31*'Gübre oranlar'!Z$3</f>
        <v>0</v>
      </c>
      <c r="X31">
        <f>'Kullanılan gübre'!X31*'Gübre oranlar'!AA$3</f>
        <v>0</v>
      </c>
      <c r="Y31">
        <f>'Kullanılan gübre'!Y31*'Gübre oranlar'!AB$3</f>
        <v>0</v>
      </c>
      <c r="Z31">
        <f>'Kullanılan gübre'!Z31*'Gübre oranlar'!AC$3</f>
        <v>0</v>
      </c>
      <c r="AA31">
        <f>'Kullanılan gübre'!AA31*'Gübre oranlar'!AD$3</f>
        <v>0</v>
      </c>
      <c r="AB31">
        <f>'Kullanılan gübre'!AB31*'Gübre oranlar'!AE$3</f>
        <v>0</v>
      </c>
      <c r="AC31">
        <f>'Kullanılan gübre'!AC31*'Gübre oranlar'!AF$3</f>
        <v>0</v>
      </c>
      <c r="AD31">
        <f>'Kullanılan gübre'!AD31*'Gübre oranlar'!AG$3</f>
        <v>0</v>
      </c>
      <c r="AE31">
        <f>'Kullanılan gübre'!AE31*'Gübre oranlar'!AH$3</f>
        <v>0</v>
      </c>
      <c r="AF31">
        <f>'Kullanılan gübre'!AF31*'Gübre oranlar'!AI$3</f>
        <v>0</v>
      </c>
      <c r="AG31">
        <f>'Kullanılan gübre'!AG31*'Gübre oranlar'!AJ$3</f>
        <v>0</v>
      </c>
      <c r="AH31">
        <f>'Kullanılan gübre'!AH31*'Gübre oranlar'!AK$3</f>
        <v>0</v>
      </c>
      <c r="AI31">
        <f>'Kullanılan gübre'!AI31*'Gübre oranlar'!AL$3</f>
        <v>0</v>
      </c>
      <c r="AJ31">
        <f>'Kullanılan gübre'!AJ31*'Gübre oranlar'!AM$3</f>
        <v>0</v>
      </c>
      <c r="AK31">
        <f>'Kullanılan gübre'!AK31*'Gübre oranlar'!AN$3</f>
        <v>0</v>
      </c>
      <c r="AL31">
        <f>'Kullanılan gübre'!AL31*'Gübre oranlar'!AO$3</f>
        <v>0</v>
      </c>
      <c r="AM31">
        <f>'Kullanılan gübre'!AM31*'Gübre oranlar'!AP$3</f>
        <v>0</v>
      </c>
      <c r="AN31">
        <f>'Kullanılan gübre'!AN31*'Gübre oranlar'!AQ$3</f>
        <v>0</v>
      </c>
      <c r="AO31">
        <f>'Kullanılan gübre'!AO31*'Gübre oranlar'!AR$3</f>
        <v>0</v>
      </c>
      <c r="AP31">
        <f>'Kullanılan gübre'!AP31*'Gübre oranlar'!AS$3</f>
        <v>0</v>
      </c>
      <c r="AQ31">
        <f>'Kullanılan gübre'!AQ31*'Gübre oranlar'!AT$3</f>
        <v>0</v>
      </c>
      <c r="AR31">
        <f>'Kullanılan gübre'!AR31*'Gübre oranlar'!AU$3</f>
        <v>0</v>
      </c>
      <c r="AS31">
        <f>'Kullanılan gübre'!AS31*'Gübre oranlar'!AV$3</f>
        <v>0</v>
      </c>
      <c r="AT31">
        <f>'Kullanılan gübre'!AT31*'Gübre oranlar'!AW$3</f>
        <v>0</v>
      </c>
      <c r="AU31">
        <f>'Kullanılan gübre'!AU31*'Gübre oranlar'!AX$3</f>
        <v>0</v>
      </c>
      <c r="AV31">
        <f>'Kullanılan gübre'!AV31*'Gübre oranlar'!AY$3</f>
        <v>0</v>
      </c>
      <c r="AW31">
        <f t="shared" si="0"/>
        <v>620.12450000000001</v>
      </c>
    </row>
    <row r="32" spans="1:49" x14ac:dyDescent="0.25">
      <c r="A32" t="str">
        <f>'Kullanılan gübre'!A32</f>
        <v>AK</v>
      </c>
      <c r="B32" t="str">
        <f>'Kullanılan gübre'!B32</f>
        <v>AFYONKARAHISAR</v>
      </c>
      <c r="C32" t="str">
        <f>'Kullanılan gübre'!C32</f>
        <v>MERKEZ</v>
      </c>
      <c r="D32">
        <f>'Kullanılan gübre'!D32</f>
        <v>2009</v>
      </c>
      <c r="E32">
        <f>'Kullanılan gübre'!E32*'Gübre oranlar'!H$3</f>
        <v>0</v>
      </c>
      <c r="F32">
        <f>'Kullanılan gübre'!F32*'Gübre oranlar'!I$3</f>
        <v>0</v>
      </c>
      <c r="G32">
        <f>'Kullanılan gübre'!G32*'Gübre oranlar'!J$3</f>
        <v>0</v>
      </c>
      <c r="H32">
        <f>'Kullanılan gübre'!H32*'Gübre oranlar'!K$3</f>
        <v>0</v>
      </c>
      <c r="I32">
        <f>'Kullanılan gübre'!I32*'Gübre oranlar'!L$3</f>
        <v>10.491999999999999</v>
      </c>
      <c r="J32">
        <f>'Kullanılan gübre'!J32*'Gübre oranlar'!M$3</f>
        <v>0</v>
      </c>
      <c r="K32">
        <f>'Kullanılan gübre'!K32*'Gübre oranlar'!N$3</f>
        <v>277.5</v>
      </c>
      <c r="L32">
        <f>'Kullanılan gübre'!L32*'Gübre oranlar'!O$3</f>
        <v>121.17000000000002</v>
      </c>
      <c r="M32">
        <f>'Kullanılan gübre'!M32*'Gübre oranlar'!P$3</f>
        <v>23.55</v>
      </c>
      <c r="N32">
        <f>'Kullanılan gübre'!N32*'Gübre oranlar'!Q$3</f>
        <v>35.602499999999999</v>
      </c>
      <c r="O32">
        <f>'Kullanılan gübre'!O32*'Gübre oranlar'!R$3</f>
        <v>0</v>
      </c>
      <c r="P32">
        <f>'Kullanılan gübre'!P32*'Gübre oranlar'!S$3</f>
        <v>0</v>
      </c>
      <c r="Q32">
        <f>'Kullanılan gübre'!Q32*'Gübre oranlar'!T$3</f>
        <v>103.8</v>
      </c>
      <c r="R32">
        <f>'Kullanılan gübre'!R32*'Gübre oranlar'!U$3</f>
        <v>7.83</v>
      </c>
      <c r="S32">
        <f>'Kullanılan gübre'!S32*'Gübre oranlar'!V$3</f>
        <v>0</v>
      </c>
      <c r="T32">
        <f>'Kullanılan gübre'!T32*'Gübre oranlar'!W$3</f>
        <v>0</v>
      </c>
      <c r="U32">
        <f>'Kullanılan gübre'!U32*'Gübre oranlar'!X$3</f>
        <v>0</v>
      </c>
      <c r="V32">
        <f>'Kullanılan gübre'!V32*'Gübre oranlar'!Y$3</f>
        <v>0</v>
      </c>
      <c r="W32">
        <f>'Kullanılan gübre'!W32*'Gübre oranlar'!Z$3</f>
        <v>0</v>
      </c>
      <c r="X32">
        <f>'Kullanılan gübre'!X32*'Gübre oranlar'!AA$3</f>
        <v>0</v>
      </c>
      <c r="Y32">
        <f>'Kullanılan gübre'!Y32*'Gübre oranlar'!AB$3</f>
        <v>0</v>
      </c>
      <c r="Z32">
        <f>'Kullanılan gübre'!Z32*'Gübre oranlar'!AC$3</f>
        <v>0</v>
      </c>
      <c r="AA32">
        <f>'Kullanılan gübre'!AA32*'Gübre oranlar'!AD$3</f>
        <v>0</v>
      </c>
      <c r="AB32">
        <f>'Kullanılan gübre'!AB32*'Gübre oranlar'!AE$3</f>
        <v>0</v>
      </c>
      <c r="AC32">
        <f>'Kullanılan gübre'!AC32*'Gübre oranlar'!AF$3</f>
        <v>0</v>
      </c>
      <c r="AD32">
        <f>'Kullanılan gübre'!AD32*'Gübre oranlar'!AG$3</f>
        <v>0</v>
      </c>
      <c r="AE32">
        <f>'Kullanılan gübre'!AE32*'Gübre oranlar'!AH$3</f>
        <v>0</v>
      </c>
      <c r="AF32">
        <f>'Kullanılan gübre'!AF32*'Gübre oranlar'!AI$3</f>
        <v>0</v>
      </c>
      <c r="AG32">
        <f>'Kullanılan gübre'!AG32*'Gübre oranlar'!AJ$3</f>
        <v>0</v>
      </c>
      <c r="AH32">
        <f>'Kullanılan gübre'!AH32*'Gübre oranlar'!AK$3</f>
        <v>0</v>
      </c>
      <c r="AI32">
        <f>'Kullanılan gübre'!AI32*'Gübre oranlar'!AL$3</f>
        <v>0</v>
      </c>
      <c r="AJ32">
        <f>'Kullanılan gübre'!AJ32*'Gübre oranlar'!AM$3</f>
        <v>0</v>
      </c>
      <c r="AK32">
        <f>'Kullanılan gübre'!AK32*'Gübre oranlar'!AN$3</f>
        <v>0</v>
      </c>
      <c r="AL32">
        <f>'Kullanılan gübre'!AL32*'Gübre oranlar'!AO$3</f>
        <v>0</v>
      </c>
      <c r="AM32">
        <f>'Kullanılan gübre'!AM32*'Gübre oranlar'!AP$3</f>
        <v>0</v>
      </c>
      <c r="AN32">
        <f>'Kullanılan gübre'!AN32*'Gübre oranlar'!AQ$3</f>
        <v>0</v>
      </c>
      <c r="AO32">
        <f>'Kullanılan gübre'!AO32*'Gübre oranlar'!AR$3</f>
        <v>0</v>
      </c>
      <c r="AP32">
        <f>'Kullanılan gübre'!AP32*'Gübre oranlar'!AS$3</f>
        <v>0</v>
      </c>
      <c r="AQ32">
        <f>'Kullanılan gübre'!AQ32*'Gübre oranlar'!AT$3</f>
        <v>0</v>
      </c>
      <c r="AR32">
        <f>'Kullanılan gübre'!AR32*'Gübre oranlar'!AU$3</f>
        <v>0</v>
      </c>
      <c r="AS32">
        <f>'Kullanılan gübre'!AS32*'Gübre oranlar'!AV$3</f>
        <v>0</v>
      </c>
      <c r="AT32">
        <f>'Kullanılan gübre'!AT32*'Gübre oranlar'!AW$3</f>
        <v>0</v>
      </c>
      <c r="AU32">
        <f>'Kullanılan gübre'!AU32*'Gübre oranlar'!AX$3</f>
        <v>0</v>
      </c>
      <c r="AV32">
        <f>'Kullanılan gübre'!AV32*'Gübre oranlar'!AY$3</f>
        <v>0</v>
      </c>
      <c r="AW32">
        <f t="shared" si="0"/>
        <v>579.94450000000006</v>
      </c>
    </row>
    <row r="33" spans="1:49" x14ac:dyDescent="0.25">
      <c r="A33" t="str">
        <f>'Kullanılan gübre'!A33</f>
        <v>AK</v>
      </c>
      <c r="B33" t="str">
        <f>'Kullanılan gübre'!B33</f>
        <v>AFYONKARAHISAR</v>
      </c>
      <c r="C33" t="str">
        <f>'Kullanılan gübre'!C33</f>
        <v>BAYAT</v>
      </c>
      <c r="D33">
        <f>'Kullanılan gübre'!D33</f>
        <v>2009</v>
      </c>
      <c r="E33">
        <f>'Kullanılan gübre'!E33*'Gübre oranlar'!H$3</f>
        <v>0</v>
      </c>
      <c r="F33">
        <f>'Kullanılan gübre'!F33*'Gübre oranlar'!I$3</f>
        <v>0</v>
      </c>
      <c r="G33">
        <f>'Kullanılan gübre'!G33*'Gübre oranlar'!J$3</f>
        <v>0</v>
      </c>
      <c r="H33">
        <f>'Kullanılan gübre'!H33*'Gübre oranlar'!K$3</f>
        <v>0</v>
      </c>
      <c r="I33">
        <f>'Kullanılan gübre'!I33*'Gübre oranlar'!L$3</f>
        <v>0</v>
      </c>
      <c r="J33">
        <f>'Kullanılan gübre'!J33*'Gübre oranlar'!M$3</f>
        <v>0</v>
      </c>
      <c r="K33">
        <f>'Kullanılan gübre'!K33*'Gübre oranlar'!N$3</f>
        <v>10.8</v>
      </c>
      <c r="L33">
        <f>'Kullanılan gübre'!L33*'Gübre oranlar'!O$3</f>
        <v>7.120000000000001</v>
      </c>
      <c r="M33">
        <f>'Kullanılan gübre'!M33*'Gübre oranlar'!P$3</f>
        <v>0</v>
      </c>
      <c r="N33">
        <f>'Kullanılan gübre'!N33*'Gübre oranlar'!Q$3</f>
        <v>0</v>
      </c>
      <c r="O33">
        <f>'Kullanılan gübre'!O33*'Gübre oranlar'!R$3</f>
        <v>0</v>
      </c>
      <c r="P33">
        <f>'Kullanılan gübre'!P33*'Gübre oranlar'!S$3</f>
        <v>0</v>
      </c>
      <c r="Q33">
        <f>'Kullanılan gübre'!Q33*'Gübre oranlar'!T$3</f>
        <v>0</v>
      </c>
      <c r="R33">
        <f>'Kullanılan gübre'!R33*'Gübre oranlar'!U$3</f>
        <v>0</v>
      </c>
      <c r="S33">
        <f>'Kullanılan gübre'!S33*'Gübre oranlar'!V$3</f>
        <v>0</v>
      </c>
      <c r="T33">
        <f>'Kullanılan gübre'!T33*'Gübre oranlar'!W$3</f>
        <v>0</v>
      </c>
      <c r="U33">
        <f>'Kullanılan gübre'!U33*'Gübre oranlar'!X$3</f>
        <v>0</v>
      </c>
      <c r="V33">
        <f>'Kullanılan gübre'!V33*'Gübre oranlar'!Y$3</f>
        <v>0</v>
      </c>
      <c r="W33">
        <f>'Kullanılan gübre'!W33*'Gübre oranlar'!Z$3</f>
        <v>0</v>
      </c>
      <c r="X33">
        <f>'Kullanılan gübre'!X33*'Gübre oranlar'!AA$3</f>
        <v>0</v>
      </c>
      <c r="Y33">
        <f>'Kullanılan gübre'!Y33*'Gübre oranlar'!AB$3</f>
        <v>0</v>
      </c>
      <c r="Z33">
        <f>'Kullanılan gübre'!Z33*'Gübre oranlar'!AC$3</f>
        <v>0</v>
      </c>
      <c r="AA33">
        <f>'Kullanılan gübre'!AA33*'Gübre oranlar'!AD$3</f>
        <v>0</v>
      </c>
      <c r="AB33">
        <f>'Kullanılan gübre'!AB33*'Gübre oranlar'!AE$3</f>
        <v>0</v>
      </c>
      <c r="AC33">
        <f>'Kullanılan gübre'!AC33*'Gübre oranlar'!AF$3</f>
        <v>0</v>
      </c>
      <c r="AD33">
        <f>'Kullanılan gübre'!AD33*'Gübre oranlar'!AG$3</f>
        <v>0</v>
      </c>
      <c r="AE33">
        <f>'Kullanılan gübre'!AE33*'Gübre oranlar'!AH$3</f>
        <v>0</v>
      </c>
      <c r="AF33">
        <f>'Kullanılan gübre'!AF33*'Gübre oranlar'!AI$3</f>
        <v>0</v>
      </c>
      <c r="AG33">
        <f>'Kullanılan gübre'!AG33*'Gübre oranlar'!AJ$3</f>
        <v>0</v>
      </c>
      <c r="AH33">
        <f>'Kullanılan gübre'!AH33*'Gübre oranlar'!AK$3</f>
        <v>0</v>
      </c>
      <c r="AI33">
        <f>'Kullanılan gübre'!AI33*'Gübre oranlar'!AL$3</f>
        <v>0</v>
      </c>
      <c r="AJ33">
        <f>'Kullanılan gübre'!AJ33*'Gübre oranlar'!AM$3</f>
        <v>0</v>
      </c>
      <c r="AK33">
        <f>'Kullanılan gübre'!AK33*'Gübre oranlar'!AN$3</f>
        <v>0</v>
      </c>
      <c r="AL33">
        <f>'Kullanılan gübre'!AL33*'Gübre oranlar'!AO$3</f>
        <v>0</v>
      </c>
      <c r="AM33">
        <f>'Kullanılan gübre'!AM33*'Gübre oranlar'!AP$3</f>
        <v>0</v>
      </c>
      <c r="AN33">
        <f>'Kullanılan gübre'!AN33*'Gübre oranlar'!AQ$3</f>
        <v>0</v>
      </c>
      <c r="AO33">
        <f>'Kullanılan gübre'!AO33*'Gübre oranlar'!AR$3</f>
        <v>0</v>
      </c>
      <c r="AP33">
        <f>'Kullanılan gübre'!AP33*'Gübre oranlar'!AS$3</f>
        <v>0</v>
      </c>
      <c r="AQ33">
        <f>'Kullanılan gübre'!AQ33*'Gübre oranlar'!AT$3</f>
        <v>0</v>
      </c>
      <c r="AR33">
        <f>'Kullanılan gübre'!AR33*'Gübre oranlar'!AU$3</f>
        <v>0</v>
      </c>
      <c r="AS33">
        <f>'Kullanılan gübre'!AS33*'Gübre oranlar'!AV$3</f>
        <v>0</v>
      </c>
      <c r="AT33">
        <f>'Kullanılan gübre'!AT33*'Gübre oranlar'!AW$3</f>
        <v>0</v>
      </c>
      <c r="AU33">
        <f>'Kullanılan gübre'!AU33*'Gübre oranlar'!AX$3</f>
        <v>0</v>
      </c>
      <c r="AV33">
        <f>'Kullanılan gübre'!AV33*'Gübre oranlar'!AY$3</f>
        <v>0</v>
      </c>
      <c r="AW33">
        <f t="shared" si="0"/>
        <v>17.920000000000002</v>
      </c>
    </row>
    <row r="34" spans="1:49" x14ac:dyDescent="0.25">
      <c r="A34" t="str">
        <f>'Kullanılan gübre'!A34</f>
        <v>AK</v>
      </c>
      <c r="B34" t="str">
        <f>'Kullanılan gübre'!B34</f>
        <v>AFYONKARAHISAR</v>
      </c>
      <c r="C34" t="str">
        <f>'Kullanılan gübre'!C34</f>
        <v>BOLVADIN</v>
      </c>
      <c r="D34">
        <f>'Kullanılan gübre'!D34</f>
        <v>2009</v>
      </c>
      <c r="E34">
        <f>'Kullanılan gübre'!E34*'Gübre oranlar'!H$3</f>
        <v>0</v>
      </c>
      <c r="F34">
        <f>'Kullanılan gübre'!F34*'Gübre oranlar'!I$3</f>
        <v>0</v>
      </c>
      <c r="G34">
        <f>'Kullanılan gübre'!G34*'Gübre oranlar'!J$3</f>
        <v>0</v>
      </c>
      <c r="H34">
        <f>'Kullanılan gübre'!H34*'Gübre oranlar'!K$3</f>
        <v>0</v>
      </c>
      <c r="I34">
        <f>'Kullanılan gübre'!I34*'Gübre oranlar'!L$3</f>
        <v>3.7624999999999997</v>
      </c>
      <c r="J34">
        <f>'Kullanılan gübre'!J34*'Gübre oranlar'!M$3</f>
        <v>0</v>
      </c>
      <c r="K34">
        <f>'Kullanılan gübre'!K34*'Gübre oranlar'!N$3</f>
        <v>7.2</v>
      </c>
      <c r="L34">
        <f>'Kullanılan gübre'!L34*'Gübre oranlar'!O$3</f>
        <v>40.960000000000008</v>
      </c>
      <c r="M34">
        <f>'Kullanılan gübre'!M34*'Gübre oranlar'!P$3</f>
        <v>0</v>
      </c>
      <c r="N34">
        <f>'Kullanılan gübre'!N34*'Gübre oranlar'!Q$3</f>
        <v>0</v>
      </c>
      <c r="O34">
        <f>'Kullanılan gübre'!O34*'Gübre oranlar'!R$3</f>
        <v>0</v>
      </c>
      <c r="P34">
        <f>'Kullanılan gübre'!P34*'Gübre oranlar'!S$3</f>
        <v>0</v>
      </c>
      <c r="Q34">
        <f>'Kullanılan gübre'!Q34*'Gübre oranlar'!T$3</f>
        <v>0</v>
      </c>
      <c r="R34">
        <f>'Kullanılan gübre'!R34*'Gübre oranlar'!U$3</f>
        <v>0</v>
      </c>
      <c r="S34">
        <f>'Kullanılan gübre'!S34*'Gübre oranlar'!V$3</f>
        <v>0</v>
      </c>
      <c r="T34">
        <f>'Kullanılan gübre'!T34*'Gübre oranlar'!W$3</f>
        <v>0</v>
      </c>
      <c r="U34">
        <f>'Kullanılan gübre'!U34*'Gübre oranlar'!X$3</f>
        <v>0</v>
      </c>
      <c r="V34">
        <f>'Kullanılan gübre'!V34*'Gübre oranlar'!Y$3</f>
        <v>1.3374999999999999</v>
      </c>
      <c r="W34">
        <f>'Kullanılan gübre'!W34*'Gübre oranlar'!Z$3</f>
        <v>0</v>
      </c>
      <c r="X34">
        <f>'Kullanılan gübre'!X34*'Gübre oranlar'!AA$3</f>
        <v>0</v>
      </c>
      <c r="Y34">
        <f>'Kullanılan gübre'!Y34*'Gübre oranlar'!AB$3</f>
        <v>0</v>
      </c>
      <c r="Z34">
        <f>'Kullanılan gübre'!Z34*'Gübre oranlar'!AC$3</f>
        <v>0</v>
      </c>
      <c r="AA34">
        <f>'Kullanılan gübre'!AA34*'Gübre oranlar'!AD$3</f>
        <v>0</v>
      </c>
      <c r="AB34">
        <f>'Kullanılan gübre'!AB34*'Gübre oranlar'!AE$3</f>
        <v>0</v>
      </c>
      <c r="AC34">
        <f>'Kullanılan gübre'!AC34*'Gübre oranlar'!AF$3</f>
        <v>0</v>
      </c>
      <c r="AD34">
        <f>'Kullanılan gübre'!AD34*'Gübre oranlar'!AG$3</f>
        <v>0</v>
      </c>
      <c r="AE34">
        <f>'Kullanılan gübre'!AE34*'Gübre oranlar'!AH$3</f>
        <v>0</v>
      </c>
      <c r="AF34">
        <f>'Kullanılan gübre'!AF34*'Gübre oranlar'!AI$3</f>
        <v>0</v>
      </c>
      <c r="AG34">
        <f>'Kullanılan gübre'!AG34*'Gübre oranlar'!AJ$3</f>
        <v>0</v>
      </c>
      <c r="AH34">
        <f>'Kullanılan gübre'!AH34*'Gübre oranlar'!AK$3</f>
        <v>0</v>
      </c>
      <c r="AI34">
        <f>'Kullanılan gübre'!AI34*'Gübre oranlar'!AL$3</f>
        <v>0</v>
      </c>
      <c r="AJ34">
        <f>'Kullanılan gübre'!AJ34*'Gübre oranlar'!AM$3</f>
        <v>0</v>
      </c>
      <c r="AK34">
        <f>'Kullanılan gübre'!AK34*'Gübre oranlar'!AN$3</f>
        <v>0</v>
      </c>
      <c r="AL34">
        <f>'Kullanılan gübre'!AL34*'Gübre oranlar'!AO$3</f>
        <v>0</v>
      </c>
      <c r="AM34">
        <f>'Kullanılan gübre'!AM34*'Gübre oranlar'!AP$3</f>
        <v>0</v>
      </c>
      <c r="AN34">
        <f>'Kullanılan gübre'!AN34*'Gübre oranlar'!AQ$3</f>
        <v>0</v>
      </c>
      <c r="AO34">
        <f>'Kullanılan gübre'!AO34*'Gübre oranlar'!AR$3</f>
        <v>0</v>
      </c>
      <c r="AP34">
        <f>'Kullanılan gübre'!AP34*'Gübre oranlar'!AS$3</f>
        <v>0</v>
      </c>
      <c r="AQ34">
        <f>'Kullanılan gübre'!AQ34*'Gübre oranlar'!AT$3</f>
        <v>0</v>
      </c>
      <c r="AR34">
        <f>'Kullanılan gübre'!AR34*'Gübre oranlar'!AU$3</f>
        <v>0</v>
      </c>
      <c r="AS34">
        <f>'Kullanılan gübre'!AS34*'Gübre oranlar'!AV$3</f>
        <v>0</v>
      </c>
      <c r="AT34">
        <f>'Kullanılan gübre'!AT34*'Gübre oranlar'!AW$3</f>
        <v>0</v>
      </c>
      <c r="AU34">
        <f>'Kullanılan gübre'!AU34*'Gübre oranlar'!AX$3</f>
        <v>0</v>
      </c>
      <c r="AV34">
        <f>'Kullanılan gübre'!AV34*'Gübre oranlar'!AY$3</f>
        <v>0</v>
      </c>
      <c r="AW34">
        <f t="shared" si="0"/>
        <v>53.260000000000005</v>
      </c>
    </row>
    <row r="35" spans="1:49" x14ac:dyDescent="0.25">
      <c r="A35" t="str">
        <f>'Kullanılan gübre'!A35</f>
        <v>AK</v>
      </c>
      <c r="B35" t="str">
        <f>'Kullanılan gübre'!B35</f>
        <v>AFYONKARAHISAR</v>
      </c>
      <c r="C35" t="str">
        <f>'Kullanılan gübre'!C35</f>
        <v>CAY</v>
      </c>
      <c r="D35">
        <f>'Kullanılan gübre'!D35</f>
        <v>2009</v>
      </c>
      <c r="E35">
        <f>'Kullanılan gübre'!E35*'Gübre oranlar'!H$3</f>
        <v>0</v>
      </c>
      <c r="F35">
        <f>'Kullanılan gübre'!F35*'Gübre oranlar'!I$3</f>
        <v>0</v>
      </c>
      <c r="G35">
        <f>'Kullanılan gübre'!G35*'Gübre oranlar'!J$3</f>
        <v>0</v>
      </c>
      <c r="H35">
        <f>'Kullanılan gübre'!H35*'Gübre oranlar'!K$3</f>
        <v>0</v>
      </c>
      <c r="I35">
        <f>'Kullanılan gübre'!I35*'Gübre oranlar'!L$3</f>
        <v>55.512999999999998</v>
      </c>
      <c r="J35">
        <f>'Kullanılan gübre'!J35*'Gübre oranlar'!M$3</f>
        <v>0</v>
      </c>
      <c r="K35">
        <f>'Kullanılan gübre'!K35*'Gübre oranlar'!N$3</f>
        <v>15.230000000000002</v>
      </c>
      <c r="L35">
        <f>'Kullanılan gübre'!L35*'Gübre oranlar'!O$3</f>
        <v>105.19000000000001</v>
      </c>
      <c r="M35">
        <f>'Kullanılan gübre'!M35*'Gübre oranlar'!P$3</f>
        <v>6.7649999999999997</v>
      </c>
      <c r="N35">
        <f>'Kullanılan gübre'!N35*'Gübre oranlar'!Q$3</f>
        <v>15.9375</v>
      </c>
      <c r="O35">
        <f>'Kullanılan gübre'!O35*'Gübre oranlar'!R$3</f>
        <v>0</v>
      </c>
      <c r="P35">
        <f>'Kullanılan gübre'!P35*'Gübre oranlar'!S$3</f>
        <v>0</v>
      </c>
      <c r="Q35">
        <f>'Kullanılan gübre'!Q35*'Gübre oranlar'!T$3</f>
        <v>0</v>
      </c>
      <c r="R35">
        <f>'Kullanılan gübre'!R35*'Gübre oranlar'!U$3</f>
        <v>0</v>
      </c>
      <c r="S35">
        <f>'Kullanılan gübre'!S35*'Gübre oranlar'!V$3</f>
        <v>0</v>
      </c>
      <c r="T35">
        <f>'Kullanılan gübre'!T35*'Gübre oranlar'!W$3</f>
        <v>0</v>
      </c>
      <c r="U35">
        <f>'Kullanılan gübre'!U35*'Gübre oranlar'!X$3</f>
        <v>0</v>
      </c>
      <c r="V35">
        <f>'Kullanılan gübre'!V35*'Gübre oranlar'!Y$3</f>
        <v>0</v>
      </c>
      <c r="W35">
        <f>'Kullanılan gübre'!W35*'Gübre oranlar'!Z$3</f>
        <v>0</v>
      </c>
      <c r="X35">
        <f>'Kullanılan gübre'!X35*'Gübre oranlar'!AA$3</f>
        <v>0</v>
      </c>
      <c r="Y35">
        <f>'Kullanılan gübre'!Y35*'Gübre oranlar'!AB$3</f>
        <v>0</v>
      </c>
      <c r="Z35">
        <f>'Kullanılan gübre'!Z35*'Gübre oranlar'!AC$3</f>
        <v>0</v>
      </c>
      <c r="AA35">
        <f>'Kullanılan gübre'!AA35*'Gübre oranlar'!AD$3</f>
        <v>3.8519999999999999</v>
      </c>
      <c r="AB35">
        <f>'Kullanılan gübre'!AB35*'Gübre oranlar'!AE$3</f>
        <v>0</v>
      </c>
      <c r="AC35">
        <f>'Kullanılan gübre'!AC35*'Gübre oranlar'!AF$3</f>
        <v>0</v>
      </c>
      <c r="AD35">
        <f>'Kullanılan gübre'!AD35*'Gübre oranlar'!AG$3</f>
        <v>0</v>
      </c>
      <c r="AE35">
        <f>'Kullanılan gübre'!AE35*'Gübre oranlar'!AH$3</f>
        <v>0</v>
      </c>
      <c r="AF35">
        <f>'Kullanılan gübre'!AF35*'Gübre oranlar'!AI$3</f>
        <v>0</v>
      </c>
      <c r="AG35">
        <f>'Kullanılan gübre'!AG35*'Gübre oranlar'!AJ$3</f>
        <v>0</v>
      </c>
      <c r="AH35">
        <f>'Kullanılan gübre'!AH35*'Gübre oranlar'!AK$3</f>
        <v>0</v>
      </c>
      <c r="AI35">
        <f>'Kullanılan gübre'!AI35*'Gübre oranlar'!AL$3</f>
        <v>0</v>
      </c>
      <c r="AJ35">
        <f>'Kullanılan gübre'!AJ35*'Gübre oranlar'!AM$3</f>
        <v>0</v>
      </c>
      <c r="AK35">
        <f>'Kullanılan gübre'!AK35*'Gübre oranlar'!AN$3</f>
        <v>0</v>
      </c>
      <c r="AL35">
        <f>'Kullanılan gübre'!AL35*'Gübre oranlar'!AO$3</f>
        <v>0</v>
      </c>
      <c r="AM35">
        <f>'Kullanılan gübre'!AM35*'Gübre oranlar'!AP$3</f>
        <v>0</v>
      </c>
      <c r="AN35">
        <f>'Kullanılan gübre'!AN35*'Gübre oranlar'!AQ$3</f>
        <v>0</v>
      </c>
      <c r="AO35">
        <f>'Kullanılan gübre'!AO35*'Gübre oranlar'!AR$3</f>
        <v>0</v>
      </c>
      <c r="AP35">
        <f>'Kullanılan gübre'!AP35*'Gübre oranlar'!AS$3</f>
        <v>0</v>
      </c>
      <c r="AQ35">
        <f>'Kullanılan gübre'!AQ35*'Gübre oranlar'!AT$3</f>
        <v>0</v>
      </c>
      <c r="AR35">
        <f>'Kullanılan gübre'!AR35*'Gübre oranlar'!AU$3</f>
        <v>0</v>
      </c>
      <c r="AS35">
        <f>'Kullanılan gübre'!AS35*'Gübre oranlar'!AV$3</f>
        <v>0</v>
      </c>
      <c r="AT35">
        <f>'Kullanılan gübre'!AT35*'Gübre oranlar'!AW$3</f>
        <v>0</v>
      </c>
      <c r="AU35">
        <f>'Kullanılan gübre'!AU35*'Gübre oranlar'!AX$3</f>
        <v>0</v>
      </c>
      <c r="AV35">
        <f>'Kullanılan gübre'!AV35*'Gübre oranlar'!AY$3</f>
        <v>0</v>
      </c>
      <c r="AW35">
        <f t="shared" si="0"/>
        <v>202.48749999999998</v>
      </c>
    </row>
    <row r="36" spans="1:49" x14ac:dyDescent="0.25">
      <c r="A36" t="str">
        <f>'Kullanılan gübre'!A36</f>
        <v>AK</v>
      </c>
      <c r="B36" t="str">
        <f>'Kullanılan gübre'!B36</f>
        <v>AFYONKARAHISAR</v>
      </c>
      <c r="C36" t="str">
        <f>'Kullanılan gübre'!C36</f>
        <v>COBANLAR</v>
      </c>
      <c r="D36">
        <f>'Kullanılan gübre'!D36</f>
        <v>2009</v>
      </c>
      <c r="E36">
        <f>'Kullanılan gübre'!E36*'Gübre oranlar'!H$3</f>
        <v>0</v>
      </c>
      <c r="F36">
        <f>'Kullanılan gübre'!F36*'Gübre oranlar'!I$3</f>
        <v>0</v>
      </c>
      <c r="G36">
        <f>'Kullanılan gübre'!G36*'Gübre oranlar'!J$3</f>
        <v>0</v>
      </c>
      <c r="H36">
        <f>'Kullanılan gübre'!H36*'Gübre oranlar'!K$3</f>
        <v>0</v>
      </c>
      <c r="I36">
        <f>'Kullanılan gübre'!I36*'Gübre oranlar'!L$3</f>
        <v>10.75</v>
      </c>
      <c r="J36">
        <f>'Kullanılan gübre'!J36*'Gübre oranlar'!M$3</f>
        <v>0</v>
      </c>
      <c r="K36">
        <f>'Kullanılan gübre'!K36*'Gübre oranlar'!N$3</f>
        <v>0</v>
      </c>
      <c r="L36">
        <f>'Kullanılan gübre'!L36*'Gübre oranlar'!O$3</f>
        <v>52.320000000000007</v>
      </c>
      <c r="M36">
        <f>'Kullanılan gübre'!M36*'Gübre oranlar'!P$3</f>
        <v>0</v>
      </c>
      <c r="N36">
        <f>'Kullanılan gübre'!N36*'Gübre oranlar'!Q$3</f>
        <v>2.3174999999999999</v>
      </c>
      <c r="O36">
        <f>'Kullanılan gübre'!O36*'Gübre oranlar'!R$3</f>
        <v>0</v>
      </c>
      <c r="P36">
        <f>'Kullanılan gübre'!P36*'Gübre oranlar'!S$3</f>
        <v>0</v>
      </c>
      <c r="Q36">
        <f>'Kullanılan gübre'!Q36*'Gübre oranlar'!T$3</f>
        <v>0</v>
      </c>
      <c r="R36">
        <f>'Kullanılan gübre'!R36*'Gübre oranlar'!U$3</f>
        <v>0</v>
      </c>
      <c r="S36">
        <f>'Kullanılan gübre'!S36*'Gübre oranlar'!V$3</f>
        <v>0</v>
      </c>
      <c r="T36">
        <f>'Kullanılan gübre'!T36*'Gübre oranlar'!W$3</f>
        <v>0</v>
      </c>
      <c r="U36">
        <f>'Kullanılan gübre'!U36*'Gübre oranlar'!X$3</f>
        <v>0</v>
      </c>
      <c r="V36">
        <f>'Kullanılan gübre'!V36*'Gübre oranlar'!Y$3</f>
        <v>0</v>
      </c>
      <c r="W36">
        <f>'Kullanılan gübre'!W36*'Gübre oranlar'!Z$3</f>
        <v>0</v>
      </c>
      <c r="X36">
        <f>'Kullanılan gübre'!X36*'Gübre oranlar'!AA$3</f>
        <v>0</v>
      </c>
      <c r="Y36">
        <f>'Kullanılan gübre'!Y36*'Gübre oranlar'!AB$3</f>
        <v>0</v>
      </c>
      <c r="Z36">
        <f>'Kullanılan gübre'!Z36*'Gübre oranlar'!AC$3</f>
        <v>0</v>
      </c>
      <c r="AA36">
        <f>'Kullanılan gübre'!AA36*'Gübre oranlar'!AD$3</f>
        <v>0</v>
      </c>
      <c r="AB36">
        <f>'Kullanılan gübre'!AB36*'Gübre oranlar'!AE$3</f>
        <v>0</v>
      </c>
      <c r="AC36">
        <f>'Kullanılan gübre'!AC36*'Gübre oranlar'!AF$3</f>
        <v>0</v>
      </c>
      <c r="AD36">
        <f>'Kullanılan gübre'!AD36*'Gübre oranlar'!AG$3</f>
        <v>0</v>
      </c>
      <c r="AE36">
        <f>'Kullanılan gübre'!AE36*'Gübre oranlar'!AH$3</f>
        <v>0</v>
      </c>
      <c r="AF36">
        <f>'Kullanılan gübre'!AF36*'Gübre oranlar'!AI$3</f>
        <v>0</v>
      </c>
      <c r="AG36">
        <f>'Kullanılan gübre'!AG36*'Gübre oranlar'!AJ$3</f>
        <v>0</v>
      </c>
      <c r="AH36">
        <f>'Kullanılan gübre'!AH36*'Gübre oranlar'!AK$3</f>
        <v>0</v>
      </c>
      <c r="AI36">
        <f>'Kullanılan gübre'!AI36*'Gübre oranlar'!AL$3</f>
        <v>0</v>
      </c>
      <c r="AJ36">
        <f>'Kullanılan gübre'!AJ36*'Gübre oranlar'!AM$3</f>
        <v>0</v>
      </c>
      <c r="AK36">
        <f>'Kullanılan gübre'!AK36*'Gübre oranlar'!AN$3</f>
        <v>0</v>
      </c>
      <c r="AL36">
        <f>'Kullanılan gübre'!AL36*'Gübre oranlar'!AO$3</f>
        <v>0</v>
      </c>
      <c r="AM36">
        <f>'Kullanılan gübre'!AM36*'Gübre oranlar'!AP$3</f>
        <v>0</v>
      </c>
      <c r="AN36">
        <f>'Kullanılan gübre'!AN36*'Gübre oranlar'!AQ$3</f>
        <v>0</v>
      </c>
      <c r="AO36">
        <f>'Kullanılan gübre'!AO36*'Gübre oranlar'!AR$3</f>
        <v>0</v>
      </c>
      <c r="AP36">
        <f>'Kullanılan gübre'!AP36*'Gübre oranlar'!AS$3</f>
        <v>0</v>
      </c>
      <c r="AQ36">
        <f>'Kullanılan gübre'!AQ36*'Gübre oranlar'!AT$3</f>
        <v>0</v>
      </c>
      <c r="AR36">
        <f>'Kullanılan gübre'!AR36*'Gübre oranlar'!AU$3</f>
        <v>0</v>
      </c>
      <c r="AS36">
        <f>'Kullanılan gübre'!AS36*'Gübre oranlar'!AV$3</f>
        <v>0</v>
      </c>
      <c r="AT36">
        <f>'Kullanılan gübre'!AT36*'Gübre oranlar'!AW$3</f>
        <v>0</v>
      </c>
      <c r="AU36">
        <f>'Kullanılan gübre'!AU36*'Gübre oranlar'!AX$3</f>
        <v>0</v>
      </c>
      <c r="AV36">
        <f>'Kullanılan gübre'!AV36*'Gübre oranlar'!AY$3</f>
        <v>0</v>
      </c>
      <c r="AW36">
        <f t="shared" si="0"/>
        <v>65.387500000000003</v>
      </c>
    </row>
    <row r="37" spans="1:49" x14ac:dyDescent="0.25">
      <c r="A37" t="str">
        <f>'Kullanılan gübre'!A37</f>
        <v>AK</v>
      </c>
      <c r="B37" t="str">
        <f>'Kullanılan gübre'!B37</f>
        <v>AFYONKARAHISAR</v>
      </c>
      <c r="C37" t="str">
        <f>'Kullanılan gübre'!C37</f>
        <v>IHSANIYE</v>
      </c>
      <c r="D37">
        <f>'Kullanılan gübre'!D37</f>
        <v>2009</v>
      </c>
      <c r="E37">
        <f>'Kullanılan gübre'!E37*'Gübre oranlar'!H$3</f>
        <v>0</v>
      </c>
      <c r="F37">
        <f>'Kullanılan gübre'!F37*'Gübre oranlar'!I$3</f>
        <v>0</v>
      </c>
      <c r="G37">
        <f>'Kullanılan gübre'!G37*'Gübre oranlar'!J$3</f>
        <v>0</v>
      </c>
      <c r="H37">
        <f>'Kullanılan gübre'!H37*'Gübre oranlar'!K$3</f>
        <v>0</v>
      </c>
      <c r="I37">
        <f>'Kullanılan gübre'!I37*'Gübre oranlar'!L$3</f>
        <v>0</v>
      </c>
      <c r="J37">
        <f>'Kullanılan gübre'!J37*'Gübre oranlar'!M$3</f>
        <v>0</v>
      </c>
      <c r="K37">
        <f>'Kullanılan gübre'!K37*'Gübre oranlar'!N$3</f>
        <v>189.32000000000002</v>
      </c>
      <c r="L37">
        <f>'Kullanılan gübre'!L37*'Gübre oranlar'!O$3</f>
        <v>0.12</v>
      </c>
      <c r="M37">
        <f>'Kullanılan gübre'!M37*'Gübre oranlar'!P$3</f>
        <v>0</v>
      </c>
      <c r="N37">
        <f>'Kullanılan gübre'!N37*'Gübre oranlar'!Q$3</f>
        <v>0.14249999999999999</v>
      </c>
      <c r="O37">
        <f>'Kullanılan gübre'!O37*'Gübre oranlar'!R$3</f>
        <v>0</v>
      </c>
      <c r="P37">
        <f>'Kullanılan gübre'!P37*'Gübre oranlar'!S$3</f>
        <v>0</v>
      </c>
      <c r="Q37">
        <f>'Kullanılan gübre'!Q37*'Gübre oranlar'!T$3</f>
        <v>17.189999999999998</v>
      </c>
      <c r="R37">
        <f>'Kullanılan gübre'!R37*'Gübre oranlar'!U$3</f>
        <v>0</v>
      </c>
      <c r="S37">
        <f>'Kullanılan gübre'!S37*'Gübre oranlar'!V$3</f>
        <v>0</v>
      </c>
      <c r="T37">
        <f>'Kullanılan gübre'!T37*'Gübre oranlar'!W$3</f>
        <v>0</v>
      </c>
      <c r="U37">
        <f>'Kullanılan gübre'!U37*'Gübre oranlar'!X$3</f>
        <v>0</v>
      </c>
      <c r="V37">
        <f>'Kullanılan gübre'!V37*'Gübre oranlar'!Y$3</f>
        <v>0</v>
      </c>
      <c r="W37">
        <f>'Kullanılan gübre'!W37*'Gübre oranlar'!Z$3</f>
        <v>0</v>
      </c>
      <c r="X37">
        <f>'Kullanılan gübre'!X37*'Gübre oranlar'!AA$3</f>
        <v>0</v>
      </c>
      <c r="Y37">
        <f>'Kullanılan gübre'!Y37*'Gübre oranlar'!AB$3</f>
        <v>0</v>
      </c>
      <c r="Z37">
        <f>'Kullanılan gübre'!Z37*'Gübre oranlar'!AC$3</f>
        <v>0</v>
      </c>
      <c r="AA37">
        <f>'Kullanılan gübre'!AA37*'Gübre oranlar'!AD$3</f>
        <v>0</v>
      </c>
      <c r="AB37">
        <f>'Kullanılan gübre'!AB37*'Gübre oranlar'!AE$3</f>
        <v>0</v>
      </c>
      <c r="AC37">
        <f>'Kullanılan gübre'!AC37*'Gübre oranlar'!AF$3</f>
        <v>0</v>
      </c>
      <c r="AD37">
        <f>'Kullanılan gübre'!AD37*'Gübre oranlar'!AG$3</f>
        <v>0</v>
      </c>
      <c r="AE37">
        <f>'Kullanılan gübre'!AE37*'Gübre oranlar'!AH$3</f>
        <v>0</v>
      </c>
      <c r="AF37">
        <f>'Kullanılan gübre'!AF37*'Gübre oranlar'!AI$3</f>
        <v>0</v>
      </c>
      <c r="AG37">
        <f>'Kullanılan gübre'!AG37*'Gübre oranlar'!AJ$3</f>
        <v>0</v>
      </c>
      <c r="AH37">
        <f>'Kullanılan gübre'!AH37*'Gübre oranlar'!AK$3</f>
        <v>0</v>
      </c>
      <c r="AI37">
        <f>'Kullanılan gübre'!AI37*'Gübre oranlar'!AL$3</f>
        <v>0</v>
      </c>
      <c r="AJ37">
        <f>'Kullanılan gübre'!AJ37*'Gübre oranlar'!AM$3</f>
        <v>0</v>
      </c>
      <c r="AK37">
        <f>'Kullanılan gübre'!AK37*'Gübre oranlar'!AN$3</f>
        <v>0</v>
      </c>
      <c r="AL37">
        <f>'Kullanılan gübre'!AL37*'Gübre oranlar'!AO$3</f>
        <v>0</v>
      </c>
      <c r="AM37">
        <f>'Kullanılan gübre'!AM37*'Gübre oranlar'!AP$3</f>
        <v>0</v>
      </c>
      <c r="AN37">
        <f>'Kullanılan gübre'!AN37*'Gübre oranlar'!AQ$3</f>
        <v>0</v>
      </c>
      <c r="AO37">
        <f>'Kullanılan gübre'!AO37*'Gübre oranlar'!AR$3</f>
        <v>0</v>
      </c>
      <c r="AP37">
        <f>'Kullanılan gübre'!AP37*'Gübre oranlar'!AS$3</f>
        <v>0</v>
      </c>
      <c r="AQ37">
        <f>'Kullanılan gübre'!AQ37*'Gübre oranlar'!AT$3</f>
        <v>0</v>
      </c>
      <c r="AR37">
        <f>'Kullanılan gübre'!AR37*'Gübre oranlar'!AU$3</f>
        <v>0</v>
      </c>
      <c r="AS37">
        <f>'Kullanılan gübre'!AS37*'Gübre oranlar'!AV$3</f>
        <v>0</v>
      </c>
      <c r="AT37">
        <f>'Kullanılan gübre'!AT37*'Gübre oranlar'!AW$3</f>
        <v>0</v>
      </c>
      <c r="AU37">
        <f>'Kullanılan gübre'!AU37*'Gübre oranlar'!AX$3</f>
        <v>0</v>
      </c>
      <c r="AV37">
        <f>'Kullanılan gübre'!AV37*'Gübre oranlar'!AY$3</f>
        <v>0</v>
      </c>
      <c r="AW37">
        <f t="shared" si="0"/>
        <v>206.77250000000004</v>
      </c>
    </row>
    <row r="38" spans="1:49" x14ac:dyDescent="0.25">
      <c r="A38" t="str">
        <f>'Kullanılan gübre'!A38</f>
        <v>AK</v>
      </c>
      <c r="B38" t="str">
        <f>'Kullanılan gübre'!B38</f>
        <v>AFYONKARAHISAR</v>
      </c>
      <c r="C38" t="str">
        <f>'Kullanılan gübre'!C38</f>
        <v>ISCEHISAR</v>
      </c>
      <c r="D38">
        <f>'Kullanılan gübre'!D38</f>
        <v>2009</v>
      </c>
      <c r="E38">
        <f>'Kullanılan gübre'!E38*'Gübre oranlar'!H$3</f>
        <v>0</v>
      </c>
      <c r="F38">
        <f>'Kullanılan gübre'!F38*'Gübre oranlar'!I$3</f>
        <v>0</v>
      </c>
      <c r="G38">
        <f>'Kullanılan gübre'!G38*'Gübre oranlar'!J$3</f>
        <v>0</v>
      </c>
      <c r="H38">
        <f>'Kullanılan gübre'!H38*'Gübre oranlar'!K$3</f>
        <v>0</v>
      </c>
      <c r="I38">
        <f>'Kullanılan gübre'!I38*'Gübre oranlar'!L$3</f>
        <v>0</v>
      </c>
      <c r="J38">
        <f>'Kullanılan gübre'!J38*'Gübre oranlar'!M$3</f>
        <v>0</v>
      </c>
      <c r="K38">
        <f>'Kullanılan gübre'!K38*'Gübre oranlar'!N$3</f>
        <v>3.9200000000000004</v>
      </c>
      <c r="L38">
        <f>'Kullanılan gübre'!L38*'Gübre oranlar'!O$3</f>
        <v>23.16</v>
      </c>
      <c r="M38">
        <f>'Kullanılan gübre'!M38*'Gübre oranlar'!P$3</f>
        <v>0</v>
      </c>
      <c r="N38">
        <f>'Kullanılan gübre'!N38*'Gübre oranlar'!Q$3</f>
        <v>0</v>
      </c>
      <c r="O38">
        <f>'Kullanılan gübre'!O38*'Gübre oranlar'!R$3</f>
        <v>0</v>
      </c>
      <c r="P38">
        <f>'Kullanılan gübre'!P38*'Gübre oranlar'!S$3</f>
        <v>0</v>
      </c>
      <c r="Q38">
        <f>'Kullanılan gübre'!Q38*'Gübre oranlar'!T$3</f>
        <v>0</v>
      </c>
      <c r="R38">
        <f>'Kullanılan gübre'!R38*'Gübre oranlar'!U$3</f>
        <v>0</v>
      </c>
      <c r="S38">
        <f>'Kullanılan gübre'!S38*'Gübre oranlar'!V$3</f>
        <v>0</v>
      </c>
      <c r="T38">
        <f>'Kullanılan gübre'!T38*'Gübre oranlar'!W$3</f>
        <v>0</v>
      </c>
      <c r="U38">
        <f>'Kullanılan gübre'!U38*'Gübre oranlar'!X$3</f>
        <v>0</v>
      </c>
      <c r="V38">
        <f>'Kullanılan gübre'!V38*'Gübre oranlar'!Y$3</f>
        <v>0</v>
      </c>
      <c r="W38">
        <f>'Kullanılan gübre'!W38*'Gübre oranlar'!Z$3</f>
        <v>0</v>
      </c>
      <c r="X38">
        <f>'Kullanılan gübre'!X38*'Gübre oranlar'!AA$3</f>
        <v>0</v>
      </c>
      <c r="Y38">
        <f>'Kullanılan gübre'!Y38*'Gübre oranlar'!AB$3</f>
        <v>0</v>
      </c>
      <c r="Z38">
        <f>'Kullanılan gübre'!Z38*'Gübre oranlar'!AC$3</f>
        <v>0</v>
      </c>
      <c r="AA38">
        <f>'Kullanılan gübre'!AA38*'Gübre oranlar'!AD$3</f>
        <v>0</v>
      </c>
      <c r="AB38">
        <f>'Kullanılan gübre'!AB38*'Gübre oranlar'!AE$3</f>
        <v>0</v>
      </c>
      <c r="AC38">
        <f>'Kullanılan gübre'!AC38*'Gübre oranlar'!AF$3</f>
        <v>0</v>
      </c>
      <c r="AD38">
        <f>'Kullanılan gübre'!AD38*'Gübre oranlar'!AG$3</f>
        <v>0</v>
      </c>
      <c r="AE38">
        <f>'Kullanılan gübre'!AE38*'Gübre oranlar'!AH$3</f>
        <v>0</v>
      </c>
      <c r="AF38">
        <f>'Kullanılan gübre'!AF38*'Gübre oranlar'!AI$3</f>
        <v>0</v>
      </c>
      <c r="AG38">
        <f>'Kullanılan gübre'!AG38*'Gübre oranlar'!AJ$3</f>
        <v>0</v>
      </c>
      <c r="AH38">
        <f>'Kullanılan gübre'!AH38*'Gübre oranlar'!AK$3</f>
        <v>0</v>
      </c>
      <c r="AI38">
        <f>'Kullanılan gübre'!AI38*'Gübre oranlar'!AL$3</f>
        <v>0</v>
      </c>
      <c r="AJ38">
        <f>'Kullanılan gübre'!AJ38*'Gübre oranlar'!AM$3</f>
        <v>0</v>
      </c>
      <c r="AK38">
        <f>'Kullanılan gübre'!AK38*'Gübre oranlar'!AN$3</f>
        <v>0</v>
      </c>
      <c r="AL38">
        <f>'Kullanılan gübre'!AL38*'Gübre oranlar'!AO$3</f>
        <v>0</v>
      </c>
      <c r="AM38">
        <f>'Kullanılan gübre'!AM38*'Gübre oranlar'!AP$3</f>
        <v>0</v>
      </c>
      <c r="AN38">
        <f>'Kullanılan gübre'!AN38*'Gübre oranlar'!AQ$3</f>
        <v>0</v>
      </c>
      <c r="AO38">
        <f>'Kullanılan gübre'!AO38*'Gübre oranlar'!AR$3</f>
        <v>0</v>
      </c>
      <c r="AP38">
        <f>'Kullanılan gübre'!AP38*'Gübre oranlar'!AS$3</f>
        <v>0</v>
      </c>
      <c r="AQ38">
        <f>'Kullanılan gübre'!AQ38*'Gübre oranlar'!AT$3</f>
        <v>0</v>
      </c>
      <c r="AR38">
        <f>'Kullanılan gübre'!AR38*'Gübre oranlar'!AU$3</f>
        <v>0</v>
      </c>
      <c r="AS38">
        <f>'Kullanılan gübre'!AS38*'Gübre oranlar'!AV$3</f>
        <v>0</v>
      </c>
      <c r="AT38">
        <f>'Kullanılan gübre'!AT38*'Gübre oranlar'!AW$3</f>
        <v>0</v>
      </c>
      <c r="AU38">
        <f>'Kullanılan gübre'!AU38*'Gübre oranlar'!AX$3</f>
        <v>0</v>
      </c>
      <c r="AV38">
        <f>'Kullanılan gübre'!AV38*'Gübre oranlar'!AY$3</f>
        <v>0</v>
      </c>
      <c r="AW38">
        <f t="shared" si="0"/>
        <v>27.080000000000002</v>
      </c>
    </row>
    <row r="39" spans="1:49" x14ac:dyDescent="0.25">
      <c r="A39" t="str">
        <f>'Kullanılan gübre'!A39</f>
        <v>AK</v>
      </c>
      <c r="B39" t="str">
        <f>'Kullanılan gübre'!B39</f>
        <v>AFYONKARAHISAR</v>
      </c>
      <c r="C39" t="str">
        <f>'Kullanılan gübre'!C39</f>
        <v>SINANPASA</v>
      </c>
      <c r="D39">
        <f>'Kullanılan gübre'!D39</f>
        <v>2009</v>
      </c>
      <c r="E39">
        <f>'Kullanılan gübre'!E39*'Gübre oranlar'!H$3</f>
        <v>0</v>
      </c>
      <c r="F39">
        <f>'Kullanılan gübre'!F39*'Gübre oranlar'!I$3</f>
        <v>0</v>
      </c>
      <c r="G39">
        <f>'Kullanılan gübre'!G39*'Gübre oranlar'!J$3</f>
        <v>0</v>
      </c>
      <c r="H39">
        <f>'Kullanılan gübre'!H39*'Gübre oranlar'!K$3</f>
        <v>0</v>
      </c>
      <c r="I39">
        <f>'Kullanılan gübre'!I39*'Gübre oranlar'!L$3</f>
        <v>0</v>
      </c>
      <c r="J39">
        <f>'Kullanılan gübre'!J39*'Gübre oranlar'!M$3</f>
        <v>0</v>
      </c>
      <c r="K39">
        <f>'Kullanılan gübre'!K39*'Gübre oranlar'!N$3</f>
        <v>90.69</v>
      </c>
      <c r="L39">
        <f>'Kullanılan gübre'!L39*'Gübre oranlar'!O$3</f>
        <v>166.74</v>
      </c>
      <c r="M39">
        <f>'Kullanılan gübre'!M39*'Gübre oranlar'!P$3</f>
        <v>0.44999999999999996</v>
      </c>
      <c r="N39">
        <f>'Kullanılan gübre'!N39*'Gübre oranlar'!Q$3</f>
        <v>0</v>
      </c>
      <c r="O39">
        <f>'Kullanılan gübre'!O39*'Gübre oranlar'!R$3</f>
        <v>0</v>
      </c>
      <c r="P39">
        <f>'Kullanılan gübre'!P39*'Gübre oranlar'!S$3</f>
        <v>0</v>
      </c>
      <c r="Q39">
        <f>'Kullanılan gübre'!Q39*'Gübre oranlar'!T$3</f>
        <v>5.3999999999999995</v>
      </c>
      <c r="R39">
        <f>'Kullanılan gübre'!R39*'Gübre oranlar'!U$3</f>
        <v>0</v>
      </c>
      <c r="S39">
        <f>'Kullanılan gübre'!S39*'Gübre oranlar'!V$3</f>
        <v>0</v>
      </c>
      <c r="T39">
        <f>'Kullanılan gübre'!T39*'Gübre oranlar'!W$3</f>
        <v>0</v>
      </c>
      <c r="U39">
        <f>'Kullanılan gübre'!U39*'Gübre oranlar'!X$3</f>
        <v>0</v>
      </c>
      <c r="V39">
        <f>'Kullanılan gübre'!V39*'Gübre oranlar'!Y$3</f>
        <v>0</v>
      </c>
      <c r="W39">
        <f>'Kullanılan gübre'!W39*'Gübre oranlar'!Z$3</f>
        <v>0</v>
      </c>
      <c r="X39">
        <f>'Kullanılan gübre'!X39*'Gübre oranlar'!AA$3</f>
        <v>0</v>
      </c>
      <c r="Y39">
        <f>'Kullanılan gübre'!Y39*'Gübre oranlar'!AB$3</f>
        <v>0</v>
      </c>
      <c r="Z39">
        <f>'Kullanılan gübre'!Z39*'Gübre oranlar'!AC$3</f>
        <v>0</v>
      </c>
      <c r="AA39">
        <f>'Kullanılan gübre'!AA39*'Gübre oranlar'!AD$3</f>
        <v>0</v>
      </c>
      <c r="AB39">
        <f>'Kullanılan gübre'!AB39*'Gübre oranlar'!AE$3</f>
        <v>0</v>
      </c>
      <c r="AC39">
        <f>'Kullanılan gübre'!AC39*'Gübre oranlar'!AF$3</f>
        <v>0</v>
      </c>
      <c r="AD39">
        <f>'Kullanılan gübre'!AD39*'Gübre oranlar'!AG$3</f>
        <v>0</v>
      </c>
      <c r="AE39">
        <f>'Kullanılan gübre'!AE39*'Gübre oranlar'!AH$3</f>
        <v>0</v>
      </c>
      <c r="AF39">
        <f>'Kullanılan gübre'!AF39*'Gübre oranlar'!AI$3</f>
        <v>0</v>
      </c>
      <c r="AG39">
        <f>'Kullanılan gübre'!AG39*'Gübre oranlar'!AJ$3</f>
        <v>0</v>
      </c>
      <c r="AH39">
        <f>'Kullanılan gübre'!AH39*'Gübre oranlar'!AK$3</f>
        <v>0</v>
      </c>
      <c r="AI39">
        <f>'Kullanılan gübre'!AI39*'Gübre oranlar'!AL$3</f>
        <v>0</v>
      </c>
      <c r="AJ39">
        <f>'Kullanılan gübre'!AJ39*'Gübre oranlar'!AM$3</f>
        <v>0</v>
      </c>
      <c r="AK39">
        <f>'Kullanılan gübre'!AK39*'Gübre oranlar'!AN$3</f>
        <v>0</v>
      </c>
      <c r="AL39">
        <f>'Kullanılan gübre'!AL39*'Gübre oranlar'!AO$3</f>
        <v>0</v>
      </c>
      <c r="AM39">
        <f>'Kullanılan gübre'!AM39*'Gübre oranlar'!AP$3</f>
        <v>0</v>
      </c>
      <c r="AN39">
        <f>'Kullanılan gübre'!AN39*'Gübre oranlar'!AQ$3</f>
        <v>0</v>
      </c>
      <c r="AO39">
        <f>'Kullanılan gübre'!AO39*'Gübre oranlar'!AR$3</f>
        <v>0</v>
      </c>
      <c r="AP39">
        <f>'Kullanılan gübre'!AP39*'Gübre oranlar'!AS$3</f>
        <v>0</v>
      </c>
      <c r="AQ39">
        <f>'Kullanılan gübre'!AQ39*'Gübre oranlar'!AT$3</f>
        <v>0</v>
      </c>
      <c r="AR39">
        <f>'Kullanılan gübre'!AR39*'Gübre oranlar'!AU$3</f>
        <v>0</v>
      </c>
      <c r="AS39">
        <f>'Kullanılan gübre'!AS39*'Gübre oranlar'!AV$3</f>
        <v>0</v>
      </c>
      <c r="AT39">
        <f>'Kullanılan gübre'!AT39*'Gübre oranlar'!AW$3</f>
        <v>0</v>
      </c>
      <c r="AU39">
        <f>'Kullanılan gübre'!AU39*'Gübre oranlar'!AX$3</f>
        <v>0</v>
      </c>
      <c r="AV39">
        <f>'Kullanılan gübre'!AV39*'Gübre oranlar'!AY$3</f>
        <v>0</v>
      </c>
      <c r="AW39">
        <f t="shared" si="0"/>
        <v>263.27999999999997</v>
      </c>
    </row>
    <row r="40" spans="1:49" x14ac:dyDescent="0.25">
      <c r="A40" t="str">
        <f>'Kullanılan gübre'!A40</f>
        <v>AK</v>
      </c>
      <c r="B40" t="str">
        <f>'Kullanılan gübre'!B40</f>
        <v>AFYONKARAHISAR</v>
      </c>
      <c r="C40" t="str">
        <f>'Kullanılan gübre'!C40</f>
        <v>SULTANDAGI</v>
      </c>
      <c r="D40">
        <f>'Kullanılan gübre'!D40</f>
        <v>2009</v>
      </c>
      <c r="E40">
        <f>'Kullanılan gübre'!E40*'Gübre oranlar'!H$3</f>
        <v>0</v>
      </c>
      <c r="F40">
        <f>'Kullanılan gübre'!F40*'Gübre oranlar'!I$3</f>
        <v>0</v>
      </c>
      <c r="G40">
        <f>'Kullanılan gübre'!G40*'Gübre oranlar'!J$3</f>
        <v>0</v>
      </c>
      <c r="H40">
        <f>'Kullanılan gübre'!H40*'Gübre oranlar'!K$3</f>
        <v>0</v>
      </c>
      <c r="I40">
        <f>'Kullanılan gübre'!I40*'Gübre oranlar'!L$3</f>
        <v>36.227499999999999</v>
      </c>
      <c r="J40">
        <f>'Kullanılan gübre'!J40*'Gübre oranlar'!M$3</f>
        <v>0</v>
      </c>
      <c r="K40">
        <f>'Kullanılan gübre'!K40*'Gübre oranlar'!N$3</f>
        <v>0</v>
      </c>
      <c r="L40">
        <f>'Kullanılan gübre'!L40*'Gübre oranlar'!O$3</f>
        <v>22.47</v>
      </c>
      <c r="M40">
        <f>'Kullanılan gübre'!M40*'Gübre oranlar'!P$3</f>
        <v>1.08</v>
      </c>
      <c r="N40">
        <f>'Kullanılan gübre'!N40*'Gübre oranlar'!Q$3</f>
        <v>3.3</v>
      </c>
      <c r="O40">
        <f>'Kullanılan gübre'!O40*'Gübre oranlar'!R$3</f>
        <v>0</v>
      </c>
      <c r="P40">
        <f>'Kullanılan gübre'!P40*'Gübre oranlar'!S$3</f>
        <v>0</v>
      </c>
      <c r="Q40">
        <f>'Kullanılan gübre'!Q40*'Gübre oranlar'!T$3</f>
        <v>0</v>
      </c>
      <c r="R40">
        <f>'Kullanılan gübre'!R40*'Gübre oranlar'!U$3</f>
        <v>0</v>
      </c>
      <c r="S40">
        <f>'Kullanılan gübre'!S40*'Gübre oranlar'!V$3</f>
        <v>0</v>
      </c>
      <c r="T40">
        <f>'Kullanılan gübre'!T40*'Gübre oranlar'!W$3</f>
        <v>0</v>
      </c>
      <c r="U40">
        <f>'Kullanılan gübre'!U40*'Gübre oranlar'!X$3</f>
        <v>0</v>
      </c>
      <c r="V40">
        <f>'Kullanılan gübre'!V40*'Gübre oranlar'!Y$3</f>
        <v>0</v>
      </c>
      <c r="W40">
        <f>'Kullanılan gübre'!W40*'Gübre oranlar'!Z$3</f>
        <v>0</v>
      </c>
      <c r="X40">
        <f>'Kullanılan gübre'!X40*'Gübre oranlar'!AA$3</f>
        <v>0</v>
      </c>
      <c r="Y40">
        <f>'Kullanılan gübre'!Y40*'Gübre oranlar'!AB$3</f>
        <v>0</v>
      </c>
      <c r="Z40">
        <f>'Kullanılan gübre'!Z40*'Gübre oranlar'!AC$3</f>
        <v>0</v>
      </c>
      <c r="AA40">
        <f>'Kullanılan gübre'!AA40*'Gübre oranlar'!AD$3</f>
        <v>3.9479999999999995</v>
      </c>
      <c r="AB40">
        <f>'Kullanılan gübre'!AB40*'Gübre oranlar'!AE$3</f>
        <v>0</v>
      </c>
      <c r="AC40">
        <f>'Kullanılan gübre'!AC40*'Gübre oranlar'!AF$3</f>
        <v>0</v>
      </c>
      <c r="AD40">
        <f>'Kullanılan gübre'!AD40*'Gübre oranlar'!AG$3</f>
        <v>0</v>
      </c>
      <c r="AE40">
        <f>'Kullanılan gübre'!AE40*'Gübre oranlar'!AH$3</f>
        <v>0</v>
      </c>
      <c r="AF40">
        <f>'Kullanılan gübre'!AF40*'Gübre oranlar'!AI$3</f>
        <v>0</v>
      </c>
      <c r="AG40">
        <f>'Kullanılan gübre'!AG40*'Gübre oranlar'!AJ$3</f>
        <v>0</v>
      </c>
      <c r="AH40">
        <f>'Kullanılan gübre'!AH40*'Gübre oranlar'!AK$3</f>
        <v>0</v>
      </c>
      <c r="AI40">
        <f>'Kullanılan gübre'!AI40*'Gübre oranlar'!AL$3</f>
        <v>0</v>
      </c>
      <c r="AJ40">
        <f>'Kullanılan gübre'!AJ40*'Gübre oranlar'!AM$3</f>
        <v>0</v>
      </c>
      <c r="AK40">
        <f>'Kullanılan gübre'!AK40*'Gübre oranlar'!AN$3</f>
        <v>0</v>
      </c>
      <c r="AL40">
        <f>'Kullanılan gübre'!AL40*'Gübre oranlar'!AO$3</f>
        <v>0</v>
      </c>
      <c r="AM40">
        <f>'Kullanılan gübre'!AM40*'Gübre oranlar'!AP$3</f>
        <v>0</v>
      </c>
      <c r="AN40">
        <f>'Kullanılan gübre'!AN40*'Gübre oranlar'!AQ$3</f>
        <v>0</v>
      </c>
      <c r="AO40">
        <f>'Kullanılan gübre'!AO40*'Gübre oranlar'!AR$3</f>
        <v>0</v>
      </c>
      <c r="AP40">
        <f>'Kullanılan gübre'!AP40*'Gübre oranlar'!AS$3</f>
        <v>0</v>
      </c>
      <c r="AQ40">
        <f>'Kullanılan gübre'!AQ40*'Gübre oranlar'!AT$3</f>
        <v>0</v>
      </c>
      <c r="AR40">
        <f>'Kullanılan gübre'!AR40*'Gübre oranlar'!AU$3</f>
        <v>0</v>
      </c>
      <c r="AS40">
        <f>'Kullanılan gübre'!AS40*'Gübre oranlar'!AV$3</f>
        <v>0</v>
      </c>
      <c r="AT40">
        <f>'Kullanılan gübre'!AT40*'Gübre oranlar'!AW$3</f>
        <v>0</v>
      </c>
      <c r="AU40">
        <f>'Kullanılan gübre'!AU40*'Gübre oranlar'!AX$3</f>
        <v>0</v>
      </c>
      <c r="AV40">
        <f>'Kullanılan gübre'!AV40*'Gübre oranlar'!AY$3</f>
        <v>0</v>
      </c>
      <c r="AW40">
        <f t="shared" si="0"/>
        <v>67.025499999999994</v>
      </c>
    </row>
    <row r="41" spans="1:49" x14ac:dyDescent="0.25">
      <c r="A41" t="str">
        <f>'Kullanılan gübre'!A41</f>
        <v>AK</v>
      </c>
      <c r="B41" t="str">
        <f>'Kullanılan gübre'!B41</f>
        <v>AFYONKARAHISAR</v>
      </c>
      <c r="C41" t="str">
        <f>'Kullanılan gübre'!C41</f>
        <v>SUHUT</v>
      </c>
      <c r="D41">
        <f>'Kullanılan gübre'!D41</f>
        <v>2009</v>
      </c>
      <c r="E41">
        <f>'Kullanılan gübre'!E41*'Gübre oranlar'!H$3</f>
        <v>0</v>
      </c>
      <c r="F41">
        <f>'Kullanılan gübre'!F41*'Gübre oranlar'!I$3</f>
        <v>0</v>
      </c>
      <c r="G41">
        <f>'Kullanılan gübre'!G41*'Gübre oranlar'!J$3</f>
        <v>0</v>
      </c>
      <c r="H41">
        <f>'Kullanılan gübre'!H41*'Gübre oranlar'!K$3</f>
        <v>0</v>
      </c>
      <c r="I41">
        <f>'Kullanılan gübre'!I41*'Gübre oranlar'!L$3</f>
        <v>22.682500000000001</v>
      </c>
      <c r="J41">
        <f>'Kullanılan gübre'!J41*'Gübre oranlar'!M$3</f>
        <v>0</v>
      </c>
      <c r="K41">
        <f>'Kullanılan gübre'!K41*'Gübre oranlar'!N$3</f>
        <v>9.0400000000000009</v>
      </c>
      <c r="L41">
        <f>'Kullanılan gübre'!L41*'Gübre oranlar'!O$3</f>
        <v>67.150000000000006</v>
      </c>
      <c r="M41">
        <f>'Kullanılan gübre'!M41*'Gübre oranlar'!P$3</f>
        <v>10.005000000000001</v>
      </c>
      <c r="N41">
        <f>'Kullanılan gübre'!N41*'Gübre oranlar'!Q$3</f>
        <v>126.21</v>
      </c>
      <c r="O41">
        <f>'Kullanılan gübre'!O41*'Gübre oranlar'!R$3</f>
        <v>0</v>
      </c>
      <c r="P41">
        <f>'Kullanılan gübre'!P41*'Gübre oranlar'!S$3</f>
        <v>0</v>
      </c>
      <c r="Q41">
        <f>'Kullanılan gübre'!Q41*'Gübre oranlar'!T$3</f>
        <v>44.97</v>
      </c>
      <c r="R41">
        <f>'Kullanılan gübre'!R41*'Gübre oranlar'!U$3</f>
        <v>13.427999999999999</v>
      </c>
      <c r="S41">
        <f>'Kullanılan gübre'!S41*'Gübre oranlar'!V$3</f>
        <v>0</v>
      </c>
      <c r="T41">
        <f>'Kullanılan gübre'!T41*'Gübre oranlar'!W$3</f>
        <v>0</v>
      </c>
      <c r="U41">
        <f>'Kullanılan gübre'!U41*'Gübre oranlar'!X$3</f>
        <v>0</v>
      </c>
      <c r="V41">
        <f>'Kullanılan gübre'!V41*'Gübre oranlar'!Y$3</f>
        <v>0</v>
      </c>
      <c r="W41">
        <f>'Kullanılan gübre'!W41*'Gübre oranlar'!Z$3</f>
        <v>0</v>
      </c>
      <c r="X41">
        <f>'Kullanılan gübre'!X41*'Gübre oranlar'!AA$3</f>
        <v>7.620000000000001</v>
      </c>
      <c r="Y41">
        <f>'Kullanılan gübre'!Y41*'Gübre oranlar'!AB$3</f>
        <v>0</v>
      </c>
      <c r="Z41">
        <f>'Kullanılan gübre'!Z41*'Gübre oranlar'!AC$3</f>
        <v>0</v>
      </c>
      <c r="AA41">
        <f>'Kullanılan gübre'!AA41*'Gübre oranlar'!AD$3</f>
        <v>29.663999999999998</v>
      </c>
      <c r="AB41">
        <f>'Kullanılan gübre'!AB41*'Gübre oranlar'!AE$3</f>
        <v>0</v>
      </c>
      <c r="AC41">
        <f>'Kullanılan gübre'!AC41*'Gübre oranlar'!AF$3</f>
        <v>0</v>
      </c>
      <c r="AD41">
        <f>'Kullanılan gübre'!AD41*'Gübre oranlar'!AG$3</f>
        <v>0</v>
      </c>
      <c r="AE41">
        <f>'Kullanılan gübre'!AE41*'Gübre oranlar'!AH$3</f>
        <v>0</v>
      </c>
      <c r="AF41">
        <f>'Kullanılan gübre'!AF41*'Gübre oranlar'!AI$3</f>
        <v>0</v>
      </c>
      <c r="AG41">
        <f>'Kullanılan gübre'!AG41*'Gübre oranlar'!AJ$3</f>
        <v>0</v>
      </c>
      <c r="AH41">
        <f>'Kullanılan gübre'!AH41*'Gübre oranlar'!AK$3</f>
        <v>0</v>
      </c>
      <c r="AI41">
        <f>'Kullanılan gübre'!AI41*'Gübre oranlar'!AL$3</f>
        <v>0</v>
      </c>
      <c r="AJ41">
        <f>'Kullanılan gübre'!AJ41*'Gübre oranlar'!AM$3</f>
        <v>0</v>
      </c>
      <c r="AK41">
        <f>'Kullanılan gübre'!AK41*'Gübre oranlar'!AN$3</f>
        <v>0</v>
      </c>
      <c r="AL41">
        <f>'Kullanılan gübre'!AL41*'Gübre oranlar'!AO$3</f>
        <v>0</v>
      </c>
      <c r="AM41">
        <f>'Kullanılan gübre'!AM41*'Gübre oranlar'!AP$3</f>
        <v>0</v>
      </c>
      <c r="AN41">
        <f>'Kullanılan gübre'!AN41*'Gübre oranlar'!AQ$3</f>
        <v>0</v>
      </c>
      <c r="AO41">
        <f>'Kullanılan gübre'!AO41*'Gübre oranlar'!AR$3</f>
        <v>0</v>
      </c>
      <c r="AP41">
        <f>'Kullanılan gübre'!AP41*'Gübre oranlar'!AS$3</f>
        <v>0</v>
      </c>
      <c r="AQ41">
        <f>'Kullanılan gübre'!AQ41*'Gübre oranlar'!AT$3</f>
        <v>0</v>
      </c>
      <c r="AR41">
        <f>'Kullanılan gübre'!AR41*'Gübre oranlar'!AU$3</f>
        <v>0</v>
      </c>
      <c r="AS41">
        <f>'Kullanılan gübre'!AS41*'Gübre oranlar'!AV$3</f>
        <v>0</v>
      </c>
      <c r="AT41">
        <f>'Kullanılan gübre'!AT41*'Gübre oranlar'!AW$3</f>
        <v>0</v>
      </c>
      <c r="AU41">
        <f>'Kullanılan gübre'!AU41*'Gübre oranlar'!AX$3</f>
        <v>0</v>
      </c>
      <c r="AV41">
        <f>'Kullanılan gübre'!AV41*'Gübre oranlar'!AY$3</f>
        <v>0</v>
      </c>
      <c r="AW41">
        <f t="shared" si="0"/>
        <v>330.76949999999999</v>
      </c>
    </row>
    <row r="42" spans="1:49" x14ac:dyDescent="0.25">
      <c r="A42" t="str">
        <f>'Kullanılan gübre'!A42</f>
        <v>AK</v>
      </c>
      <c r="B42" t="str">
        <f>'Kullanılan gübre'!B42</f>
        <v>AFYONKARAHISAR</v>
      </c>
      <c r="C42" t="str">
        <f>'Kullanılan gübre'!C42</f>
        <v>MERKEZ</v>
      </c>
      <c r="D42">
        <f>'Kullanılan gübre'!D42</f>
        <v>2010</v>
      </c>
      <c r="E42">
        <f>'Kullanılan gübre'!E42*'Gübre oranlar'!H$3</f>
        <v>0</v>
      </c>
      <c r="F42">
        <f>'Kullanılan gübre'!F42*'Gübre oranlar'!I$3</f>
        <v>0</v>
      </c>
      <c r="G42">
        <f>'Kullanılan gübre'!G42*'Gübre oranlar'!J$3</f>
        <v>0</v>
      </c>
      <c r="H42">
        <f>'Kullanılan gübre'!H42*'Gübre oranlar'!K$3</f>
        <v>0</v>
      </c>
      <c r="I42">
        <f>'Kullanılan gübre'!I42*'Gübre oranlar'!L$3</f>
        <v>2.8810000000000002</v>
      </c>
      <c r="J42">
        <f>'Kullanılan gübre'!J42*'Gübre oranlar'!M$3</f>
        <v>0</v>
      </c>
      <c r="K42">
        <f>'Kullanılan gübre'!K42*'Gübre oranlar'!N$3</f>
        <v>475.31000000000006</v>
      </c>
      <c r="L42">
        <f>'Kullanılan gübre'!L42*'Gübre oranlar'!O$3</f>
        <v>96.550000000000011</v>
      </c>
      <c r="M42">
        <f>'Kullanılan gübre'!M42*'Gübre oranlar'!P$3</f>
        <v>41.032499999999999</v>
      </c>
      <c r="N42">
        <f>'Kullanılan gübre'!N42*'Gübre oranlar'!Q$3</f>
        <v>74.032499999999999</v>
      </c>
      <c r="O42">
        <f>'Kullanılan gübre'!O42*'Gübre oranlar'!R$3</f>
        <v>0</v>
      </c>
      <c r="P42">
        <f>'Kullanılan gübre'!P42*'Gübre oranlar'!S$3</f>
        <v>0</v>
      </c>
      <c r="Q42">
        <f>'Kullanılan gübre'!Q42*'Gübre oranlar'!T$3</f>
        <v>111.14999999999999</v>
      </c>
      <c r="R42">
        <f>'Kullanılan gübre'!R42*'Gübre oranlar'!U$3</f>
        <v>8.91</v>
      </c>
      <c r="S42">
        <f>'Kullanılan gübre'!S42*'Gübre oranlar'!V$3</f>
        <v>0</v>
      </c>
      <c r="T42">
        <f>'Kullanılan gübre'!T42*'Gübre oranlar'!W$3</f>
        <v>0</v>
      </c>
      <c r="U42">
        <f>'Kullanılan gübre'!U42*'Gübre oranlar'!X$3</f>
        <v>0</v>
      </c>
      <c r="V42">
        <f>'Kullanılan gübre'!V42*'Gübre oranlar'!Y$3</f>
        <v>0</v>
      </c>
      <c r="W42">
        <f>'Kullanılan gübre'!W42*'Gübre oranlar'!Z$3</f>
        <v>0</v>
      </c>
      <c r="X42">
        <f>'Kullanılan gübre'!X42*'Gübre oranlar'!AA$3</f>
        <v>0</v>
      </c>
      <c r="Y42">
        <f>'Kullanılan gübre'!Y42*'Gübre oranlar'!AB$3</f>
        <v>0</v>
      </c>
      <c r="Z42">
        <f>'Kullanılan gübre'!Z42*'Gübre oranlar'!AC$3</f>
        <v>0</v>
      </c>
      <c r="AA42">
        <f>'Kullanılan gübre'!AA42*'Gübre oranlar'!AD$3</f>
        <v>0</v>
      </c>
      <c r="AB42">
        <f>'Kullanılan gübre'!AB42*'Gübre oranlar'!AE$3</f>
        <v>0</v>
      </c>
      <c r="AC42">
        <f>'Kullanılan gübre'!AC42*'Gübre oranlar'!AF$3</f>
        <v>0</v>
      </c>
      <c r="AD42">
        <f>'Kullanılan gübre'!AD42*'Gübre oranlar'!AG$3</f>
        <v>0</v>
      </c>
      <c r="AE42">
        <f>'Kullanılan gübre'!AE42*'Gübre oranlar'!AH$3</f>
        <v>1.25</v>
      </c>
      <c r="AF42">
        <f>'Kullanılan gübre'!AF42*'Gübre oranlar'!AI$3</f>
        <v>0</v>
      </c>
      <c r="AG42">
        <f>'Kullanılan gübre'!AG42*'Gübre oranlar'!AJ$3</f>
        <v>0</v>
      </c>
      <c r="AH42">
        <f>'Kullanılan gübre'!AH42*'Gübre oranlar'!AK$3</f>
        <v>0</v>
      </c>
      <c r="AI42">
        <f>'Kullanılan gübre'!AI42*'Gübre oranlar'!AL$3</f>
        <v>0</v>
      </c>
      <c r="AJ42">
        <f>'Kullanılan gübre'!AJ42*'Gübre oranlar'!AM$3</f>
        <v>0</v>
      </c>
      <c r="AK42">
        <f>'Kullanılan gübre'!AK42*'Gübre oranlar'!AN$3</f>
        <v>0</v>
      </c>
      <c r="AL42">
        <f>'Kullanılan gübre'!AL42*'Gübre oranlar'!AO$3</f>
        <v>0</v>
      </c>
      <c r="AM42">
        <f>'Kullanılan gübre'!AM42*'Gübre oranlar'!AP$3</f>
        <v>0</v>
      </c>
      <c r="AN42">
        <f>'Kullanılan gübre'!AN42*'Gübre oranlar'!AQ$3</f>
        <v>0</v>
      </c>
      <c r="AO42">
        <f>'Kullanılan gübre'!AO42*'Gübre oranlar'!AR$3</f>
        <v>0</v>
      </c>
      <c r="AP42">
        <f>'Kullanılan gübre'!AP42*'Gübre oranlar'!AS$3</f>
        <v>0</v>
      </c>
      <c r="AQ42">
        <f>'Kullanılan gübre'!AQ42*'Gübre oranlar'!AT$3</f>
        <v>0</v>
      </c>
      <c r="AR42">
        <f>'Kullanılan gübre'!AR42*'Gübre oranlar'!AU$3</f>
        <v>0</v>
      </c>
      <c r="AS42">
        <f>'Kullanılan gübre'!AS42*'Gübre oranlar'!AV$3</f>
        <v>0</v>
      </c>
      <c r="AT42">
        <f>'Kullanılan gübre'!AT42*'Gübre oranlar'!AW$3</f>
        <v>0</v>
      </c>
      <c r="AU42">
        <f>'Kullanılan gübre'!AU42*'Gübre oranlar'!AX$3</f>
        <v>0</v>
      </c>
      <c r="AV42">
        <f>'Kullanılan gübre'!AV42*'Gübre oranlar'!AY$3</f>
        <v>0</v>
      </c>
      <c r="AW42">
        <f t="shared" si="0"/>
        <v>811.11599999999999</v>
      </c>
    </row>
    <row r="43" spans="1:49" x14ac:dyDescent="0.25">
      <c r="A43" t="str">
        <f>'Kullanılan gübre'!A43</f>
        <v>AK</v>
      </c>
      <c r="B43" t="str">
        <f>'Kullanılan gübre'!B43</f>
        <v>AFYONKARAHISAR</v>
      </c>
      <c r="C43" t="str">
        <f>'Kullanılan gübre'!C43</f>
        <v>BAYAT</v>
      </c>
      <c r="D43">
        <f>'Kullanılan gübre'!D43</f>
        <v>2010</v>
      </c>
      <c r="E43">
        <f>'Kullanılan gübre'!E43*'Gübre oranlar'!H$3</f>
        <v>0</v>
      </c>
      <c r="F43">
        <f>'Kullanılan gübre'!F43*'Gübre oranlar'!I$3</f>
        <v>0</v>
      </c>
      <c r="G43">
        <f>'Kullanılan gübre'!G43*'Gübre oranlar'!J$3</f>
        <v>0</v>
      </c>
      <c r="H43">
        <f>'Kullanılan gübre'!H43*'Gübre oranlar'!K$3</f>
        <v>0</v>
      </c>
      <c r="I43">
        <f>'Kullanılan gübre'!I43*'Gübre oranlar'!L$3</f>
        <v>0.55900000000000005</v>
      </c>
      <c r="J43">
        <f>'Kullanılan gübre'!J43*'Gübre oranlar'!M$3</f>
        <v>0</v>
      </c>
      <c r="K43">
        <f>'Kullanılan gübre'!K43*'Gübre oranlar'!N$3</f>
        <v>0</v>
      </c>
      <c r="L43">
        <f>'Kullanılan gübre'!L43*'Gübre oranlar'!O$3</f>
        <v>17.98</v>
      </c>
      <c r="M43">
        <f>'Kullanılan gübre'!M43*'Gübre oranlar'!P$3</f>
        <v>0</v>
      </c>
      <c r="N43">
        <f>'Kullanılan gübre'!N43*'Gübre oranlar'!Q$3</f>
        <v>0</v>
      </c>
      <c r="O43">
        <f>'Kullanılan gübre'!O43*'Gübre oranlar'!R$3</f>
        <v>0</v>
      </c>
      <c r="P43">
        <f>'Kullanılan gübre'!P43*'Gübre oranlar'!S$3</f>
        <v>0</v>
      </c>
      <c r="Q43">
        <f>'Kullanılan gübre'!Q43*'Gübre oranlar'!T$3</f>
        <v>0</v>
      </c>
      <c r="R43">
        <f>'Kullanılan gübre'!R43*'Gübre oranlar'!U$3</f>
        <v>0</v>
      </c>
      <c r="S43">
        <f>'Kullanılan gübre'!S43*'Gübre oranlar'!V$3</f>
        <v>0</v>
      </c>
      <c r="T43">
        <f>'Kullanılan gübre'!T43*'Gübre oranlar'!W$3</f>
        <v>0</v>
      </c>
      <c r="U43">
        <f>'Kullanılan gübre'!U43*'Gübre oranlar'!X$3</f>
        <v>0</v>
      </c>
      <c r="V43">
        <f>'Kullanılan gübre'!V43*'Gübre oranlar'!Y$3</f>
        <v>0</v>
      </c>
      <c r="W43">
        <f>'Kullanılan gübre'!W43*'Gübre oranlar'!Z$3</f>
        <v>0</v>
      </c>
      <c r="X43">
        <f>'Kullanılan gübre'!X43*'Gübre oranlar'!AA$3</f>
        <v>0</v>
      </c>
      <c r="Y43">
        <f>'Kullanılan gübre'!Y43*'Gübre oranlar'!AB$3</f>
        <v>0</v>
      </c>
      <c r="Z43">
        <f>'Kullanılan gübre'!Z43*'Gübre oranlar'!AC$3</f>
        <v>0</v>
      </c>
      <c r="AA43">
        <f>'Kullanılan gübre'!AA43*'Gübre oranlar'!AD$3</f>
        <v>0</v>
      </c>
      <c r="AB43">
        <f>'Kullanılan gübre'!AB43*'Gübre oranlar'!AE$3</f>
        <v>0</v>
      </c>
      <c r="AC43">
        <f>'Kullanılan gübre'!AC43*'Gübre oranlar'!AF$3</f>
        <v>0</v>
      </c>
      <c r="AD43">
        <f>'Kullanılan gübre'!AD43*'Gübre oranlar'!AG$3</f>
        <v>0</v>
      </c>
      <c r="AE43">
        <f>'Kullanılan gübre'!AE43*'Gübre oranlar'!AH$3</f>
        <v>0</v>
      </c>
      <c r="AF43">
        <f>'Kullanılan gübre'!AF43*'Gübre oranlar'!AI$3</f>
        <v>0</v>
      </c>
      <c r="AG43">
        <f>'Kullanılan gübre'!AG43*'Gübre oranlar'!AJ$3</f>
        <v>0</v>
      </c>
      <c r="AH43">
        <f>'Kullanılan gübre'!AH43*'Gübre oranlar'!AK$3</f>
        <v>0</v>
      </c>
      <c r="AI43">
        <f>'Kullanılan gübre'!AI43*'Gübre oranlar'!AL$3</f>
        <v>0</v>
      </c>
      <c r="AJ43">
        <f>'Kullanılan gübre'!AJ43*'Gübre oranlar'!AM$3</f>
        <v>0</v>
      </c>
      <c r="AK43">
        <f>'Kullanılan gübre'!AK43*'Gübre oranlar'!AN$3</f>
        <v>0</v>
      </c>
      <c r="AL43">
        <f>'Kullanılan gübre'!AL43*'Gübre oranlar'!AO$3</f>
        <v>0</v>
      </c>
      <c r="AM43">
        <f>'Kullanılan gübre'!AM43*'Gübre oranlar'!AP$3</f>
        <v>0</v>
      </c>
      <c r="AN43">
        <f>'Kullanılan gübre'!AN43*'Gübre oranlar'!AQ$3</f>
        <v>0</v>
      </c>
      <c r="AO43">
        <f>'Kullanılan gübre'!AO43*'Gübre oranlar'!AR$3</f>
        <v>0</v>
      </c>
      <c r="AP43">
        <f>'Kullanılan gübre'!AP43*'Gübre oranlar'!AS$3</f>
        <v>0</v>
      </c>
      <c r="AQ43">
        <f>'Kullanılan gübre'!AQ43*'Gübre oranlar'!AT$3</f>
        <v>0</v>
      </c>
      <c r="AR43">
        <f>'Kullanılan gübre'!AR43*'Gübre oranlar'!AU$3</f>
        <v>0</v>
      </c>
      <c r="AS43">
        <f>'Kullanılan gübre'!AS43*'Gübre oranlar'!AV$3</f>
        <v>0</v>
      </c>
      <c r="AT43">
        <f>'Kullanılan gübre'!AT43*'Gübre oranlar'!AW$3</f>
        <v>0</v>
      </c>
      <c r="AU43">
        <f>'Kullanılan gübre'!AU43*'Gübre oranlar'!AX$3</f>
        <v>0</v>
      </c>
      <c r="AV43">
        <f>'Kullanılan gübre'!AV43*'Gübre oranlar'!AY$3</f>
        <v>0</v>
      </c>
      <c r="AW43">
        <f t="shared" si="0"/>
        <v>18.539000000000001</v>
      </c>
    </row>
    <row r="44" spans="1:49" x14ac:dyDescent="0.25">
      <c r="A44" t="str">
        <f>'Kullanılan gübre'!A44</f>
        <v>AK</v>
      </c>
      <c r="B44" t="str">
        <f>'Kullanılan gübre'!B44</f>
        <v>AFYONKARAHISAR</v>
      </c>
      <c r="C44" t="str">
        <f>'Kullanılan gübre'!C44</f>
        <v>BOLVADIN</v>
      </c>
      <c r="D44">
        <f>'Kullanılan gübre'!D44</f>
        <v>2010</v>
      </c>
      <c r="E44">
        <f>'Kullanılan gübre'!E44*'Gübre oranlar'!H$3</f>
        <v>0</v>
      </c>
      <c r="F44">
        <f>'Kullanılan gübre'!F44*'Gübre oranlar'!I$3</f>
        <v>0</v>
      </c>
      <c r="G44">
        <f>'Kullanılan gübre'!G44*'Gübre oranlar'!J$3</f>
        <v>0</v>
      </c>
      <c r="H44">
        <f>'Kullanılan gübre'!H44*'Gübre oranlar'!K$3</f>
        <v>0</v>
      </c>
      <c r="I44">
        <f>'Kullanılan gübre'!I44*'Gübre oranlar'!L$3</f>
        <v>13.071999999999999</v>
      </c>
      <c r="J44">
        <f>'Kullanılan gübre'!J44*'Gübre oranlar'!M$3</f>
        <v>0</v>
      </c>
      <c r="K44">
        <f>'Kullanılan gübre'!K44*'Gübre oranlar'!N$3</f>
        <v>16.400000000000002</v>
      </c>
      <c r="L44">
        <f>'Kullanılan gübre'!L44*'Gübre oranlar'!O$3</f>
        <v>81.260000000000005</v>
      </c>
      <c r="M44">
        <f>'Kullanılan gübre'!M44*'Gübre oranlar'!P$3</f>
        <v>4.6499999999999995</v>
      </c>
      <c r="N44">
        <f>'Kullanılan gübre'!N44*'Gübre oranlar'!Q$3</f>
        <v>3.75</v>
      </c>
      <c r="O44">
        <f>'Kullanılan gübre'!O44*'Gübre oranlar'!R$3</f>
        <v>0</v>
      </c>
      <c r="P44">
        <f>'Kullanılan gübre'!P44*'Gübre oranlar'!S$3</f>
        <v>0</v>
      </c>
      <c r="Q44">
        <f>'Kullanılan gübre'!Q44*'Gübre oranlar'!T$3</f>
        <v>0</v>
      </c>
      <c r="R44">
        <f>'Kullanılan gübre'!R44*'Gübre oranlar'!U$3</f>
        <v>0</v>
      </c>
      <c r="S44">
        <f>'Kullanılan gübre'!S44*'Gübre oranlar'!V$3</f>
        <v>0</v>
      </c>
      <c r="T44">
        <f>'Kullanılan gübre'!T44*'Gübre oranlar'!W$3</f>
        <v>0</v>
      </c>
      <c r="U44">
        <f>'Kullanılan gübre'!U44*'Gübre oranlar'!X$3</f>
        <v>0</v>
      </c>
      <c r="V44">
        <f>'Kullanılan gübre'!V44*'Gübre oranlar'!Y$3</f>
        <v>1.25</v>
      </c>
      <c r="W44">
        <f>'Kullanılan gübre'!W44*'Gübre oranlar'!Z$3</f>
        <v>0</v>
      </c>
      <c r="X44">
        <f>'Kullanılan gübre'!X44*'Gübre oranlar'!AA$3</f>
        <v>0</v>
      </c>
      <c r="Y44">
        <f>'Kullanılan gübre'!Y44*'Gübre oranlar'!AB$3</f>
        <v>0</v>
      </c>
      <c r="Z44">
        <f>'Kullanılan gübre'!Z44*'Gübre oranlar'!AC$3</f>
        <v>0</v>
      </c>
      <c r="AA44">
        <f>'Kullanılan gübre'!AA44*'Gübre oranlar'!AD$3</f>
        <v>0</v>
      </c>
      <c r="AB44">
        <f>'Kullanılan gübre'!AB44*'Gübre oranlar'!AE$3</f>
        <v>0</v>
      </c>
      <c r="AC44">
        <f>'Kullanılan gübre'!AC44*'Gübre oranlar'!AF$3</f>
        <v>0</v>
      </c>
      <c r="AD44">
        <f>'Kullanılan gübre'!AD44*'Gübre oranlar'!AG$3</f>
        <v>0</v>
      </c>
      <c r="AE44">
        <f>'Kullanılan gübre'!AE44*'Gübre oranlar'!AH$3</f>
        <v>0</v>
      </c>
      <c r="AF44">
        <f>'Kullanılan gübre'!AF44*'Gübre oranlar'!AI$3</f>
        <v>0</v>
      </c>
      <c r="AG44">
        <f>'Kullanılan gübre'!AG44*'Gübre oranlar'!AJ$3</f>
        <v>0</v>
      </c>
      <c r="AH44">
        <f>'Kullanılan gübre'!AH44*'Gübre oranlar'!AK$3</f>
        <v>0</v>
      </c>
      <c r="AI44">
        <f>'Kullanılan gübre'!AI44*'Gübre oranlar'!AL$3</f>
        <v>0</v>
      </c>
      <c r="AJ44">
        <f>'Kullanılan gübre'!AJ44*'Gübre oranlar'!AM$3</f>
        <v>0</v>
      </c>
      <c r="AK44">
        <f>'Kullanılan gübre'!AK44*'Gübre oranlar'!AN$3</f>
        <v>0</v>
      </c>
      <c r="AL44">
        <f>'Kullanılan gübre'!AL44*'Gübre oranlar'!AO$3</f>
        <v>0</v>
      </c>
      <c r="AM44">
        <f>'Kullanılan gübre'!AM44*'Gübre oranlar'!AP$3</f>
        <v>0</v>
      </c>
      <c r="AN44">
        <f>'Kullanılan gübre'!AN44*'Gübre oranlar'!AQ$3</f>
        <v>0</v>
      </c>
      <c r="AO44">
        <f>'Kullanılan gübre'!AO44*'Gübre oranlar'!AR$3</f>
        <v>0</v>
      </c>
      <c r="AP44">
        <f>'Kullanılan gübre'!AP44*'Gübre oranlar'!AS$3</f>
        <v>0</v>
      </c>
      <c r="AQ44">
        <f>'Kullanılan gübre'!AQ44*'Gübre oranlar'!AT$3</f>
        <v>0</v>
      </c>
      <c r="AR44">
        <f>'Kullanılan gübre'!AR44*'Gübre oranlar'!AU$3</f>
        <v>0</v>
      </c>
      <c r="AS44">
        <f>'Kullanılan gübre'!AS44*'Gübre oranlar'!AV$3</f>
        <v>0</v>
      </c>
      <c r="AT44">
        <f>'Kullanılan gübre'!AT44*'Gübre oranlar'!AW$3</f>
        <v>0</v>
      </c>
      <c r="AU44">
        <f>'Kullanılan gübre'!AU44*'Gübre oranlar'!AX$3</f>
        <v>0</v>
      </c>
      <c r="AV44">
        <f>'Kullanılan gübre'!AV44*'Gübre oranlar'!AY$3</f>
        <v>0</v>
      </c>
      <c r="AW44">
        <f t="shared" si="0"/>
        <v>120.38200000000001</v>
      </c>
    </row>
    <row r="45" spans="1:49" x14ac:dyDescent="0.25">
      <c r="A45" t="str">
        <f>'Kullanılan gübre'!A45</f>
        <v>AK</v>
      </c>
      <c r="B45" t="str">
        <f>'Kullanılan gübre'!B45</f>
        <v>AFYONKARAHISAR</v>
      </c>
      <c r="C45" t="str">
        <f>'Kullanılan gübre'!C45</f>
        <v>CAY</v>
      </c>
      <c r="D45">
        <f>'Kullanılan gübre'!D45</f>
        <v>2010</v>
      </c>
      <c r="E45">
        <f>'Kullanılan gübre'!E45*'Gübre oranlar'!H$3</f>
        <v>0</v>
      </c>
      <c r="F45">
        <f>'Kullanılan gübre'!F45*'Gübre oranlar'!I$3</f>
        <v>0</v>
      </c>
      <c r="G45">
        <f>'Kullanılan gübre'!G45*'Gübre oranlar'!J$3</f>
        <v>0</v>
      </c>
      <c r="H45">
        <f>'Kullanılan gübre'!H45*'Gübre oranlar'!K$3</f>
        <v>0</v>
      </c>
      <c r="I45">
        <f>'Kullanılan gübre'!I45*'Gübre oranlar'!L$3</f>
        <v>63.554000000000002</v>
      </c>
      <c r="J45">
        <f>'Kullanılan gübre'!J45*'Gübre oranlar'!M$3</f>
        <v>0</v>
      </c>
      <c r="K45">
        <f>'Kullanılan gübre'!K45*'Gübre oranlar'!N$3</f>
        <v>17.100000000000001</v>
      </c>
      <c r="L45">
        <f>'Kullanılan gübre'!L45*'Gübre oranlar'!O$3</f>
        <v>129.24</v>
      </c>
      <c r="M45">
        <f>'Kullanılan gübre'!M45*'Gübre oranlar'!P$3</f>
        <v>16.237500000000001</v>
      </c>
      <c r="N45">
        <f>'Kullanılan gübre'!N45*'Gübre oranlar'!Q$3</f>
        <v>27.127499999999998</v>
      </c>
      <c r="O45">
        <f>'Kullanılan gübre'!O45*'Gübre oranlar'!R$3</f>
        <v>0</v>
      </c>
      <c r="P45">
        <f>'Kullanılan gübre'!P45*'Gübre oranlar'!S$3</f>
        <v>0</v>
      </c>
      <c r="Q45">
        <f>'Kullanılan gübre'!Q45*'Gübre oranlar'!T$3</f>
        <v>0</v>
      </c>
      <c r="R45">
        <f>'Kullanılan gübre'!R45*'Gübre oranlar'!U$3</f>
        <v>0</v>
      </c>
      <c r="S45">
        <f>'Kullanılan gübre'!S45*'Gübre oranlar'!V$3</f>
        <v>0</v>
      </c>
      <c r="T45">
        <f>'Kullanılan gübre'!T45*'Gübre oranlar'!W$3</f>
        <v>0</v>
      </c>
      <c r="U45">
        <f>'Kullanılan gübre'!U45*'Gübre oranlar'!X$3</f>
        <v>0</v>
      </c>
      <c r="V45">
        <f>'Kullanılan gübre'!V45*'Gübre oranlar'!Y$3</f>
        <v>5</v>
      </c>
      <c r="W45">
        <f>'Kullanılan gübre'!W45*'Gübre oranlar'!Z$3</f>
        <v>0</v>
      </c>
      <c r="X45">
        <f>'Kullanılan gübre'!X45*'Gübre oranlar'!AA$3</f>
        <v>0</v>
      </c>
      <c r="Y45">
        <f>'Kullanılan gübre'!Y45*'Gübre oranlar'!AB$3</f>
        <v>0</v>
      </c>
      <c r="Z45">
        <f>'Kullanılan gübre'!Z45*'Gübre oranlar'!AC$3</f>
        <v>0</v>
      </c>
      <c r="AA45">
        <f>'Kullanılan gübre'!AA45*'Gübre oranlar'!AD$3</f>
        <v>1.8719999999999999</v>
      </c>
      <c r="AB45">
        <f>'Kullanılan gübre'!AB45*'Gübre oranlar'!AE$3</f>
        <v>0</v>
      </c>
      <c r="AC45">
        <f>'Kullanılan gübre'!AC45*'Gübre oranlar'!AF$3</f>
        <v>0</v>
      </c>
      <c r="AD45">
        <f>'Kullanılan gübre'!AD45*'Gübre oranlar'!AG$3</f>
        <v>0</v>
      </c>
      <c r="AE45">
        <f>'Kullanılan gübre'!AE45*'Gübre oranlar'!AH$3</f>
        <v>0</v>
      </c>
      <c r="AF45">
        <f>'Kullanılan gübre'!AF45*'Gübre oranlar'!AI$3</f>
        <v>0</v>
      </c>
      <c r="AG45">
        <f>'Kullanılan gübre'!AG45*'Gübre oranlar'!AJ$3</f>
        <v>0</v>
      </c>
      <c r="AH45">
        <f>'Kullanılan gübre'!AH45*'Gübre oranlar'!AK$3</f>
        <v>0</v>
      </c>
      <c r="AI45">
        <f>'Kullanılan gübre'!AI45*'Gübre oranlar'!AL$3</f>
        <v>0</v>
      </c>
      <c r="AJ45">
        <f>'Kullanılan gübre'!AJ45*'Gübre oranlar'!AM$3</f>
        <v>0</v>
      </c>
      <c r="AK45">
        <f>'Kullanılan gübre'!AK45*'Gübre oranlar'!AN$3</f>
        <v>0</v>
      </c>
      <c r="AL45">
        <f>'Kullanılan gübre'!AL45*'Gübre oranlar'!AO$3</f>
        <v>0</v>
      </c>
      <c r="AM45">
        <f>'Kullanılan gübre'!AM45*'Gübre oranlar'!AP$3</f>
        <v>0</v>
      </c>
      <c r="AN45">
        <f>'Kullanılan gübre'!AN45*'Gübre oranlar'!AQ$3</f>
        <v>0</v>
      </c>
      <c r="AO45">
        <f>'Kullanılan gübre'!AO45*'Gübre oranlar'!AR$3</f>
        <v>0</v>
      </c>
      <c r="AP45">
        <f>'Kullanılan gübre'!AP45*'Gübre oranlar'!AS$3</f>
        <v>0</v>
      </c>
      <c r="AQ45">
        <f>'Kullanılan gübre'!AQ45*'Gübre oranlar'!AT$3</f>
        <v>0</v>
      </c>
      <c r="AR45">
        <f>'Kullanılan gübre'!AR45*'Gübre oranlar'!AU$3</f>
        <v>0</v>
      </c>
      <c r="AS45">
        <f>'Kullanılan gübre'!AS45*'Gübre oranlar'!AV$3</f>
        <v>0</v>
      </c>
      <c r="AT45">
        <f>'Kullanılan gübre'!AT45*'Gübre oranlar'!AW$3</f>
        <v>0</v>
      </c>
      <c r="AU45">
        <f>'Kullanılan gübre'!AU45*'Gübre oranlar'!AX$3</f>
        <v>0</v>
      </c>
      <c r="AV45">
        <f>'Kullanılan gübre'!AV45*'Gübre oranlar'!AY$3</f>
        <v>0</v>
      </c>
      <c r="AW45">
        <f t="shared" si="0"/>
        <v>260.13100000000003</v>
      </c>
    </row>
    <row r="46" spans="1:49" x14ac:dyDescent="0.25">
      <c r="A46" t="str">
        <f>'Kullanılan gübre'!A46</f>
        <v>AK</v>
      </c>
      <c r="B46" t="str">
        <f>'Kullanılan gübre'!B46</f>
        <v>AFYONKARAHISAR</v>
      </c>
      <c r="C46" t="str">
        <f>'Kullanılan gübre'!C46</f>
        <v>COBANLAR</v>
      </c>
      <c r="D46">
        <f>'Kullanılan gübre'!D46</f>
        <v>2010</v>
      </c>
      <c r="E46">
        <f>'Kullanılan gübre'!E46*'Gübre oranlar'!H$3</f>
        <v>0</v>
      </c>
      <c r="F46">
        <f>'Kullanılan gübre'!F46*'Gübre oranlar'!I$3</f>
        <v>0</v>
      </c>
      <c r="G46">
        <f>'Kullanılan gübre'!G46*'Gübre oranlar'!J$3</f>
        <v>0</v>
      </c>
      <c r="H46">
        <f>'Kullanılan gübre'!H46*'Gübre oranlar'!K$3</f>
        <v>0</v>
      </c>
      <c r="I46">
        <f>'Kullanılan gübre'!I46*'Gübre oranlar'!L$3</f>
        <v>15.651999999999999</v>
      </c>
      <c r="J46">
        <f>'Kullanılan gübre'!J46*'Gübre oranlar'!M$3</f>
        <v>0</v>
      </c>
      <c r="K46">
        <f>'Kullanılan gübre'!K46*'Gübre oranlar'!N$3</f>
        <v>11.200000000000001</v>
      </c>
      <c r="L46">
        <f>'Kullanılan gübre'!L46*'Gübre oranlar'!O$3</f>
        <v>44.800000000000004</v>
      </c>
      <c r="M46">
        <f>'Kullanılan gübre'!M46*'Gübre oranlar'!P$3</f>
        <v>6</v>
      </c>
      <c r="N46">
        <f>'Kullanılan gübre'!N46*'Gübre oranlar'!Q$3</f>
        <v>9.5699999999999985</v>
      </c>
      <c r="O46">
        <f>'Kullanılan gübre'!O46*'Gübre oranlar'!R$3</f>
        <v>0</v>
      </c>
      <c r="P46">
        <f>'Kullanılan gübre'!P46*'Gübre oranlar'!S$3</f>
        <v>0</v>
      </c>
      <c r="Q46">
        <f>'Kullanılan gübre'!Q46*'Gübre oranlar'!T$3</f>
        <v>0</v>
      </c>
      <c r="R46">
        <f>'Kullanılan gübre'!R46*'Gübre oranlar'!U$3</f>
        <v>0</v>
      </c>
      <c r="S46">
        <f>'Kullanılan gübre'!S46*'Gübre oranlar'!V$3</f>
        <v>0</v>
      </c>
      <c r="T46">
        <f>'Kullanılan gübre'!T46*'Gübre oranlar'!W$3</f>
        <v>0</v>
      </c>
      <c r="U46">
        <f>'Kullanılan gübre'!U46*'Gübre oranlar'!X$3</f>
        <v>0</v>
      </c>
      <c r="V46">
        <f>'Kullanılan gübre'!V46*'Gübre oranlar'!Y$3</f>
        <v>0</v>
      </c>
      <c r="W46">
        <f>'Kullanılan gübre'!W46*'Gübre oranlar'!Z$3</f>
        <v>0</v>
      </c>
      <c r="X46">
        <f>'Kullanılan gübre'!X46*'Gübre oranlar'!AA$3</f>
        <v>0</v>
      </c>
      <c r="Y46">
        <f>'Kullanılan gübre'!Y46*'Gübre oranlar'!AB$3</f>
        <v>0</v>
      </c>
      <c r="Z46">
        <f>'Kullanılan gübre'!Z46*'Gübre oranlar'!AC$3</f>
        <v>0</v>
      </c>
      <c r="AA46">
        <f>'Kullanılan gübre'!AA46*'Gübre oranlar'!AD$3</f>
        <v>0</v>
      </c>
      <c r="AB46">
        <f>'Kullanılan gübre'!AB46*'Gübre oranlar'!AE$3</f>
        <v>0</v>
      </c>
      <c r="AC46">
        <f>'Kullanılan gübre'!AC46*'Gübre oranlar'!AF$3</f>
        <v>0</v>
      </c>
      <c r="AD46">
        <f>'Kullanılan gübre'!AD46*'Gübre oranlar'!AG$3</f>
        <v>0</v>
      </c>
      <c r="AE46">
        <f>'Kullanılan gübre'!AE46*'Gübre oranlar'!AH$3</f>
        <v>0</v>
      </c>
      <c r="AF46">
        <f>'Kullanılan gübre'!AF46*'Gübre oranlar'!AI$3</f>
        <v>0</v>
      </c>
      <c r="AG46">
        <f>'Kullanılan gübre'!AG46*'Gübre oranlar'!AJ$3</f>
        <v>0</v>
      </c>
      <c r="AH46">
        <f>'Kullanılan gübre'!AH46*'Gübre oranlar'!AK$3</f>
        <v>0</v>
      </c>
      <c r="AI46">
        <f>'Kullanılan gübre'!AI46*'Gübre oranlar'!AL$3</f>
        <v>0</v>
      </c>
      <c r="AJ46">
        <f>'Kullanılan gübre'!AJ46*'Gübre oranlar'!AM$3</f>
        <v>0</v>
      </c>
      <c r="AK46">
        <f>'Kullanılan gübre'!AK46*'Gübre oranlar'!AN$3</f>
        <v>0</v>
      </c>
      <c r="AL46">
        <f>'Kullanılan gübre'!AL46*'Gübre oranlar'!AO$3</f>
        <v>0</v>
      </c>
      <c r="AM46">
        <f>'Kullanılan gübre'!AM46*'Gübre oranlar'!AP$3</f>
        <v>0</v>
      </c>
      <c r="AN46">
        <f>'Kullanılan gübre'!AN46*'Gübre oranlar'!AQ$3</f>
        <v>0</v>
      </c>
      <c r="AO46">
        <f>'Kullanılan gübre'!AO46*'Gübre oranlar'!AR$3</f>
        <v>0</v>
      </c>
      <c r="AP46">
        <f>'Kullanılan gübre'!AP46*'Gübre oranlar'!AS$3</f>
        <v>0</v>
      </c>
      <c r="AQ46">
        <f>'Kullanılan gübre'!AQ46*'Gübre oranlar'!AT$3</f>
        <v>0</v>
      </c>
      <c r="AR46">
        <f>'Kullanılan gübre'!AR46*'Gübre oranlar'!AU$3</f>
        <v>0</v>
      </c>
      <c r="AS46">
        <f>'Kullanılan gübre'!AS46*'Gübre oranlar'!AV$3</f>
        <v>0</v>
      </c>
      <c r="AT46">
        <f>'Kullanılan gübre'!AT46*'Gübre oranlar'!AW$3</f>
        <v>0</v>
      </c>
      <c r="AU46">
        <f>'Kullanılan gübre'!AU46*'Gübre oranlar'!AX$3</f>
        <v>0</v>
      </c>
      <c r="AV46">
        <f>'Kullanılan gübre'!AV46*'Gübre oranlar'!AY$3</f>
        <v>0</v>
      </c>
      <c r="AW46">
        <f t="shared" si="0"/>
        <v>87.221999999999994</v>
      </c>
    </row>
    <row r="47" spans="1:49" x14ac:dyDescent="0.25">
      <c r="A47" t="str">
        <f>'Kullanılan gübre'!A47</f>
        <v>AK</v>
      </c>
      <c r="B47" t="str">
        <f>'Kullanılan gübre'!B47</f>
        <v>AFYONKARAHISAR</v>
      </c>
      <c r="C47" t="str">
        <f>'Kullanılan gübre'!C47</f>
        <v>IHSANIYE</v>
      </c>
      <c r="D47">
        <f>'Kullanılan gübre'!D47</f>
        <v>2010</v>
      </c>
      <c r="E47">
        <f>'Kullanılan gübre'!E47*'Gübre oranlar'!H$3</f>
        <v>0</v>
      </c>
      <c r="F47">
        <f>'Kullanılan gübre'!F47*'Gübre oranlar'!I$3</f>
        <v>0</v>
      </c>
      <c r="G47">
        <f>'Kullanılan gübre'!G47*'Gübre oranlar'!J$3</f>
        <v>0</v>
      </c>
      <c r="H47">
        <f>'Kullanılan gübre'!H47*'Gübre oranlar'!K$3</f>
        <v>0</v>
      </c>
      <c r="I47">
        <f>'Kullanılan gübre'!I47*'Gübre oranlar'!L$3</f>
        <v>0</v>
      </c>
      <c r="J47">
        <f>'Kullanılan gübre'!J47*'Gübre oranlar'!M$3</f>
        <v>0</v>
      </c>
      <c r="K47">
        <f>'Kullanılan gübre'!K47*'Gübre oranlar'!N$3</f>
        <v>234.26999999999998</v>
      </c>
      <c r="L47">
        <f>'Kullanılan gübre'!L47*'Gübre oranlar'!O$3</f>
        <v>4</v>
      </c>
      <c r="M47">
        <f>'Kullanılan gübre'!M47*'Gübre oranlar'!P$3</f>
        <v>0</v>
      </c>
      <c r="N47">
        <f>'Kullanılan gübre'!N47*'Gübre oranlar'!Q$3</f>
        <v>0.6</v>
      </c>
      <c r="O47">
        <f>'Kullanılan gübre'!O47*'Gübre oranlar'!R$3</f>
        <v>0</v>
      </c>
      <c r="P47">
        <f>'Kullanılan gübre'!P47*'Gübre oranlar'!S$3</f>
        <v>0</v>
      </c>
      <c r="Q47">
        <f>'Kullanılan gübre'!Q47*'Gübre oranlar'!T$3</f>
        <v>20.399999999999999</v>
      </c>
      <c r="R47">
        <f>'Kullanılan gübre'!R47*'Gübre oranlar'!U$3</f>
        <v>0</v>
      </c>
      <c r="S47">
        <f>'Kullanılan gübre'!S47*'Gübre oranlar'!V$3</f>
        <v>0</v>
      </c>
      <c r="T47">
        <f>'Kullanılan gübre'!T47*'Gübre oranlar'!W$3</f>
        <v>0</v>
      </c>
      <c r="U47">
        <f>'Kullanılan gübre'!U47*'Gübre oranlar'!X$3</f>
        <v>0</v>
      </c>
      <c r="V47">
        <f>'Kullanılan gübre'!V47*'Gübre oranlar'!Y$3</f>
        <v>0</v>
      </c>
      <c r="W47">
        <f>'Kullanılan gübre'!W47*'Gübre oranlar'!Z$3</f>
        <v>0</v>
      </c>
      <c r="X47">
        <f>'Kullanılan gübre'!X47*'Gübre oranlar'!AA$3</f>
        <v>0</v>
      </c>
      <c r="Y47">
        <f>'Kullanılan gübre'!Y47*'Gübre oranlar'!AB$3</f>
        <v>0</v>
      </c>
      <c r="Z47">
        <f>'Kullanılan gübre'!Z47*'Gübre oranlar'!AC$3</f>
        <v>0</v>
      </c>
      <c r="AA47">
        <f>'Kullanılan gübre'!AA47*'Gübre oranlar'!AD$3</f>
        <v>0</v>
      </c>
      <c r="AB47">
        <f>'Kullanılan gübre'!AB47*'Gübre oranlar'!AE$3</f>
        <v>0</v>
      </c>
      <c r="AC47">
        <f>'Kullanılan gübre'!AC47*'Gübre oranlar'!AF$3</f>
        <v>0</v>
      </c>
      <c r="AD47">
        <f>'Kullanılan gübre'!AD47*'Gübre oranlar'!AG$3</f>
        <v>0</v>
      </c>
      <c r="AE47">
        <f>'Kullanılan gübre'!AE47*'Gübre oranlar'!AH$3</f>
        <v>0</v>
      </c>
      <c r="AF47">
        <f>'Kullanılan gübre'!AF47*'Gübre oranlar'!AI$3</f>
        <v>0</v>
      </c>
      <c r="AG47">
        <f>'Kullanılan gübre'!AG47*'Gübre oranlar'!AJ$3</f>
        <v>0</v>
      </c>
      <c r="AH47">
        <f>'Kullanılan gübre'!AH47*'Gübre oranlar'!AK$3</f>
        <v>0</v>
      </c>
      <c r="AI47">
        <f>'Kullanılan gübre'!AI47*'Gübre oranlar'!AL$3</f>
        <v>0</v>
      </c>
      <c r="AJ47">
        <f>'Kullanılan gübre'!AJ47*'Gübre oranlar'!AM$3</f>
        <v>0</v>
      </c>
      <c r="AK47">
        <f>'Kullanılan gübre'!AK47*'Gübre oranlar'!AN$3</f>
        <v>0</v>
      </c>
      <c r="AL47">
        <f>'Kullanılan gübre'!AL47*'Gübre oranlar'!AO$3</f>
        <v>0</v>
      </c>
      <c r="AM47">
        <f>'Kullanılan gübre'!AM47*'Gübre oranlar'!AP$3</f>
        <v>0</v>
      </c>
      <c r="AN47">
        <f>'Kullanılan gübre'!AN47*'Gübre oranlar'!AQ$3</f>
        <v>0</v>
      </c>
      <c r="AO47">
        <f>'Kullanılan gübre'!AO47*'Gübre oranlar'!AR$3</f>
        <v>0</v>
      </c>
      <c r="AP47">
        <f>'Kullanılan gübre'!AP47*'Gübre oranlar'!AS$3</f>
        <v>0</v>
      </c>
      <c r="AQ47">
        <f>'Kullanılan gübre'!AQ47*'Gübre oranlar'!AT$3</f>
        <v>0</v>
      </c>
      <c r="AR47">
        <f>'Kullanılan gübre'!AR47*'Gübre oranlar'!AU$3</f>
        <v>0</v>
      </c>
      <c r="AS47">
        <f>'Kullanılan gübre'!AS47*'Gübre oranlar'!AV$3</f>
        <v>0</v>
      </c>
      <c r="AT47">
        <f>'Kullanılan gübre'!AT47*'Gübre oranlar'!AW$3</f>
        <v>0</v>
      </c>
      <c r="AU47">
        <f>'Kullanılan gübre'!AU47*'Gübre oranlar'!AX$3</f>
        <v>0</v>
      </c>
      <c r="AV47">
        <f>'Kullanılan gübre'!AV47*'Gübre oranlar'!AY$3</f>
        <v>0</v>
      </c>
      <c r="AW47">
        <f t="shared" si="0"/>
        <v>259.27</v>
      </c>
    </row>
    <row r="48" spans="1:49" x14ac:dyDescent="0.25">
      <c r="A48" t="str">
        <f>'Kullanılan gübre'!A48</f>
        <v>AK</v>
      </c>
      <c r="B48" t="str">
        <f>'Kullanılan gübre'!B48</f>
        <v>AFYONKARAHISAR</v>
      </c>
      <c r="C48" t="str">
        <f>'Kullanılan gübre'!C48</f>
        <v>ISCEHISAR</v>
      </c>
      <c r="D48">
        <f>'Kullanılan gübre'!D48</f>
        <v>2010</v>
      </c>
      <c r="E48">
        <f>'Kullanılan gübre'!E48*'Gübre oranlar'!H$3</f>
        <v>0</v>
      </c>
      <c r="F48">
        <f>'Kullanılan gübre'!F48*'Gübre oranlar'!I$3</f>
        <v>0</v>
      </c>
      <c r="G48">
        <f>'Kullanılan gübre'!G48*'Gübre oranlar'!J$3</f>
        <v>0</v>
      </c>
      <c r="H48">
        <f>'Kullanılan gübre'!H48*'Gübre oranlar'!K$3</f>
        <v>0</v>
      </c>
      <c r="I48">
        <f>'Kullanılan gübre'!I48*'Gübre oranlar'!L$3</f>
        <v>0</v>
      </c>
      <c r="J48">
        <f>'Kullanılan gübre'!J48*'Gübre oranlar'!M$3</f>
        <v>0</v>
      </c>
      <c r="K48">
        <f>'Kullanılan gübre'!K48*'Gübre oranlar'!N$3</f>
        <v>8.0000000000000016E-2</v>
      </c>
      <c r="L48">
        <f>'Kullanılan gübre'!L48*'Gübre oranlar'!O$3</f>
        <v>24.6</v>
      </c>
      <c r="M48">
        <f>'Kullanılan gübre'!M48*'Gübre oranlar'!P$3</f>
        <v>0</v>
      </c>
      <c r="N48">
        <f>'Kullanılan gübre'!N48*'Gübre oranlar'!Q$3</f>
        <v>0</v>
      </c>
      <c r="O48">
        <f>'Kullanılan gübre'!O48*'Gübre oranlar'!R$3</f>
        <v>0</v>
      </c>
      <c r="P48">
        <f>'Kullanılan gübre'!P48*'Gübre oranlar'!S$3</f>
        <v>0</v>
      </c>
      <c r="Q48">
        <f>'Kullanılan gübre'!Q48*'Gübre oranlar'!T$3</f>
        <v>0</v>
      </c>
      <c r="R48">
        <f>'Kullanılan gübre'!R48*'Gübre oranlar'!U$3</f>
        <v>0</v>
      </c>
      <c r="S48">
        <f>'Kullanılan gübre'!S48*'Gübre oranlar'!V$3</f>
        <v>0</v>
      </c>
      <c r="T48">
        <f>'Kullanılan gübre'!T48*'Gübre oranlar'!W$3</f>
        <v>0</v>
      </c>
      <c r="U48">
        <f>'Kullanılan gübre'!U48*'Gübre oranlar'!X$3</f>
        <v>0</v>
      </c>
      <c r="V48">
        <f>'Kullanılan gübre'!V48*'Gübre oranlar'!Y$3</f>
        <v>0</v>
      </c>
      <c r="W48">
        <f>'Kullanılan gübre'!W48*'Gübre oranlar'!Z$3</f>
        <v>0</v>
      </c>
      <c r="X48">
        <f>'Kullanılan gübre'!X48*'Gübre oranlar'!AA$3</f>
        <v>0</v>
      </c>
      <c r="Y48">
        <f>'Kullanılan gübre'!Y48*'Gübre oranlar'!AB$3</f>
        <v>0</v>
      </c>
      <c r="Z48">
        <f>'Kullanılan gübre'!Z48*'Gübre oranlar'!AC$3</f>
        <v>0</v>
      </c>
      <c r="AA48">
        <f>'Kullanılan gübre'!AA48*'Gübre oranlar'!AD$3</f>
        <v>0</v>
      </c>
      <c r="AB48">
        <f>'Kullanılan gübre'!AB48*'Gübre oranlar'!AE$3</f>
        <v>0</v>
      </c>
      <c r="AC48">
        <f>'Kullanılan gübre'!AC48*'Gübre oranlar'!AF$3</f>
        <v>0</v>
      </c>
      <c r="AD48">
        <f>'Kullanılan gübre'!AD48*'Gübre oranlar'!AG$3</f>
        <v>0</v>
      </c>
      <c r="AE48">
        <f>'Kullanılan gübre'!AE48*'Gübre oranlar'!AH$3</f>
        <v>0</v>
      </c>
      <c r="AF48">
        <f>'Kullanılan gübre'!AF48*'Gübre oranlar'!AI$3</f>
        <v>0</v>
      </c>
      <c r="AG48">
        <f>'Kullanılan gübre'!AG48*'Gübre oranlar'!AJ$3</f>
        <v>0</v>
      </c>
      <c r="AH48">
        <f>'Kullanılan gübre'!AH48*'Gübre oranlar'!AK$3</f>
        <v>0</v>
      </c>
      <c r="AI48">
        <f>'Kullanılan gübre'!AI48*'Gübre oranlar'!AL$3</f>
        <v>0</v>
      </c>
      <c r="AJ48">
        <f>'Kullanılan gübre'!AJ48*'Gübre oranlar'!AM$3</f>
        <v>0</v>
      </c>
      <c r="AK48">
        <f>'Kullanılan gübre'!AK48*'Gübre oranlar'!AN$3</f>
        <v>0</v>
      </c>
      <c r="AL48">
        <f>'Kullanılan gübre'!AL48*'Gübre oranlar'!AO$3</f>
        <v>0</v>
      </c>
      <c r="AM48">
        <f>'Kullanılan gübre'!AM48*'Gübre oranlar'!AP$3</f>
        <v>0</v>
      </c>
      <c r="AN48">
        <f>'Kullanılan gübre'!AN48*'Gübre oranlar'!AQ$3</f>
        <v>0</v>
      </c>
      <c r="AO48">
        <f>'Kullanılan gübre'!AO48*'Gübre oranlar'!AR$3</f>
        <v>0</v>
      </c>
      <c r="AP48">
        <f>'Kullanılan gübre'!AP48*'Gübre oranlar'!AS$3</f>
        <v>0</v>
      </c>
      <c r="AQ48">
        <f>'Kullanılan gübre'!AQ48*'Gübre oranlar'!AT$3</f>
        <v>0</v>
      </c>
      <c r="AR48">
        <f>'Kullanılan gübre'!AR48*'Gübre oranlar'!AU$3</f>
        <v>0</v>
      </c>
      <c r="AS48">
        <f>'Kullanılan gübre'!AS48*'Gübre oranlar'!AV$3</f>
        <v>0</v>
      </c>
      <c r="AT48">
        <f>'Kullanılan gübre'!AT48*'Gübre oranlar'!AW$3</f>
        <v>0</v>
      </c>
      <c r="AU48">
        <f>'Kullanılan gübre'!AU48*'Gübre oranlar'!AX$3</f>
        <v>0</v>
      </c>
      <c r="AV48">
        <f>'Kullanılan gübre'!AV48*'Gübre oranlar'!AY$3</f>
        <v>0</v>
      </c>
      <c r="AW48">
        <f t="shared" si="0"/>
        <v>24.68</v>
      </c>
    </row>
    <row r="49" spans="1:49" x14ac:dyDescent="0.25">
      <c r="A49" t="str">
        <f>'Kullanılan gübre'!A49</f>
        <v>AK</v>
      </c>
      <c r="B49" t="str">
        <f>'Kullanılan gübre'!B49</f>
        <v>AFYONKARAHISAR</v>
      </c>
      <c r="C49" t="str">
        <f>'Kullanılan gübre'!C49</f>
        <v>SINANPASA</v>
      </c>
      <c r="D49">
        <f>'Kullanılan gübre'!D49</f>
        <v>2010</v>
      </c>
      <c r="E49">
        <f>'Kullanılan gübre'!E49*'Gübre oranlar'!H$3</f>
        <v>0</v>
      </c>
      <c r="F49">
        <f>'Kullanılan gübre'!F49*'Gübre oranlar'!I$3</f>
        <v>0</v>
      </c>
      <c r="G49">
        <f>'Kullanılan gübre'!G49*'Gübre oranlar'!J$3</f>
        <v>0</v>
      </c>
      <c r="H49">
        <f>'Kullanılan gübre'!H49*'Gübre oranlar'!K$3</f>
        <v>0</v>
      </c>
      <c r="I49">
        <f>'Kullanılan gübre'!I49*'Gübre oranlar'!L$3</f>
        <v>0</v>
      </c>
      <c r="J49">
        <f>'Kullanılan gübre'!J49*'Gübre oranlar'!M$3</f>
        <v>0</v>
      </c>
      <c r="K49">
        <f>'Kullanılan gübre'!K49*'Gübre oranlar'!N$3</f>
        <v>101.02000000000001</v>
      </c>
      <c r="L49">
        <f>'Kullanılan gübre'!L49*'Gübre oranlar'!O$3</f>
        <v>179.07000000000002</v>
      </c>
      <c r="M49">
        <f>'Kullanılan gübre'!M49*'Gübre oranlar'!P$3</f>
        <v>4.6499999999999995</v>
      </c>
      <c r="N49">
        <f>'Kullanılan gübre'!N49*'Gübre oranlar'!Q$3</f>
        <v>5.6475</v>
      </c>
      <c r="O49">
        <f>'Kullanılan gübre'!O49*'Gübre oranlar'!R$3</f>
        <v>0</v>
      </c>
      <c r="P49">
        <f>'Kullanılan gübre'!P49*'Gübre oranlar'!S$3</f>
        <v>0</v>
      </c>
      <c r="Q49">
        <f>'Kullanılan gübre'!Q49*'Gübre oranlar'!T$3</f>
        <v>7.1999999999999993</v>
      </c>
      <c r="R49">
        <f>'Kullanılan gübre'!R49*'Gübre oranlar'!U$3</f>
        <v>0</v>
      </c>
      <c r="S49">
        <f>'Kullanılan gübre'!S49*'Gübre oranlar'!V$3</f>
        <v>0</v>
      </c>
      <c r="T49">
        <f>'Kullanılan gübre'!T49*'Gübre oranlar'!W$3</f>
        <v>0</v>
      </c>
      <c r="U49">
        <f>'Kullanılan gübre'!U49*'Gübre oranlar'!X$3</f>
        <v>0</v>
      </c>
      <c r="V49">
        <f>'Kullanılan gübre'!V49*'Gübre oranlar'!Y$3</f>
        <v>0</v>
      </c>
      <c r="W49">
        <f>'Kullanılan gübre'!W49*'Gübre oranlar'!Z$3</f>
        <v>0</v>
      </c>
      <c r="X49">
        <f>'Kullanılan gübre'!X49*'Gübre oranlar'!AA$3</f>
        <v>0</v>
      </c>
      <c r="Y49">
        <f>'Kullanılan gübre'!Y49*'Gübre oranlar'!AB$3</f>
        <v>0</v>
      </c>
      <c r="Z49">
        <f>'Kullanılan gübre'!Z49*'Gübre oranlar'!AC$3</f>
        <v>0</v>
      </c>
      <c r="AA49">
        <f>'Kullanılan gübre'!AA49*'Gübre oranlar'!AD$3</f>
        <v>6.4799999999999995</v>
      </c>
      <c r="AB49">
        <f>'Kullanılan gübre'!AB49*'Gübre oranlar'!AE$3</f>
        <v>0</v>
      </c>
      <c r="AC49">
        <f>'Kullanılan gübre'!AC49*'Gübre oranlar'!AF$3</f>
        <v>0</v>
      </c>
      <c r="AD49">
        <f>'Kullanılan gübre'!AD49*'Gübre oranlar'!AG$3</f>
        <v>0</v>
      </c>
      <c r="AE49">
        <f>'Kullanılan gübre'!AE49*'Gübre oranlar'!AH$3</f>
        <v>0</v>
      </c>
      <c r="AF49">
        <f>'Kullanılan gübre'!AF49*'Gübre oranlar'!AI$3</f>
        <v>0</v>
      </c>
      <c r="AG49">
        <f>'Kullanılan gübre'!AG49*'Gübre oranlar'!AJ$3</f>
        <v>0</v>
      </c>
      <c r="AH49">
        <f>'Kullanılan gübre'!AH49*'Gübre oranlar'!AK$3</f>
        <v>0</v>
      </c>
      <c r="AI49">
        <f>'Kullanılan gübre'!AI49*'Gübre oranlar'!AL$3</f>
        <v>0</v>
      </c>
      <c r="AJ49">
        <f>'Kullanılan gübre'!AJ49*'Gübre oranlar'!AM$3</f>
        <v>0</v>
      </c>
      <c r="AK49">
        <f>'Kullanılan gübre'!AK49*'Gübre oranlar'!AN$3</f>
        <v>0</v>
      </c>
      <c r="AL49">
        <f>'Kullanılan gübre'!AL49*'Gübre oranlar'!AO$3</f>
        <v>0</v>
      </c>
      <c r="AM49">
        <f>'Kullanılan gübre'!AM49*'Gübre oranlar'!AP$3</f>
        <v>0</v>
      </c>
      <c r="AN49">
        <f>'Kullanılan gübre'!AN49*'Gübre oranlar'!AQ$3</f>
        <v>0</v>
      </c>
      <c r="AO49">
        <f>'Kullanılan gübre'!AO49*'Gübre oranlar'!AR$3</f>
        <v>0</v>
      </c>
      <c r="AP49">
        <f>'Kullanılan gübre'!AP49*'Gübre oranlar'!AS$3</f>
        <v>0</v>
      </c>
      <c r="AQ49">
        <f>'Kullanılan gübre'!AQ49*'Gübre oranlar'!AT$3</f>
        <v>0</v>
      </c>
      <c r="AR49">
        <f>'Kullanılan gübre'!AR49*'Gübre oranlar'!AU$3</f>
        <v>0</v>
      </c>
      <c r="AS49">
        <f>'Kullanılan gübre'!AS49*'Gübre oranlar'!AV$3</f>
        <v>0</v>
      </c>
      <c r="AT49">
        <f>'Kullanılan gübre'!AT49*'Gübre oranlar'!AW$3</f>
        <v>0</v>
      </c>
      <c r="AU49">
        <f>'Kullanılan gübre'!AU49*'Gübre oranlar'!AX$3</f>
        <v>0</v>
      </c>
      <c r="AV49">
        <f>'Kullanılan gübre'!AV49*'Gübre oranlar'!AY$3</f>
        <v>0</v>
      </c>
      <c r="AW49">
        <f t="shared" si="0"/>
        <v>304.0675</v>
      </c>
    </row>
    <row r="50" spans="1:49" x14ac:dyDescent="0.25">
      <c r="A50" t="str">
        <f>'Kullanılan gübre'!A50</f>
        <v>AK</v>
      </c>
      <c r="B50" t="str">
        <f>'Kullanılan gübre'!B50</f>
        <v>AFYONKARAHISAR</v>
      </c>
      <c r="C50" t="str">
        <f>'Kullanılan gübre'!C50</f>
        <v>SULTANDAGI</v>
      </c>
      <c r="D50">
        <f>'Kullanılan gübre'!D50</f>
        <v>2010</v>
      </c>
      <c r="E50">
        <f>'Kullanılan gübre'!E50*'Gübre oranlar'!H$3</f>
        <v>0</v>
      </c>
      <c r="F50">
        <f>'Kullanılan gübre'!F50*'Gübre oranlar'!I$3</f>
        <v>0</v>
      </c>
      <c r="G50">
        <f>'Kullanılan gübre'!G50*'Gübre oranlar'!J$3</f>
        <v>0</v>
      </c>
      <c r="H50">
        <f>'Kullanılan gübre'!H50*'Gübre oranlar'!K$3</f>
        <v>0</v>
      </c>
      <c r="I50">
        <f>'Kullanılan gübre'!I50*'Gübre oranlar'!L$3</f>
        <v>25.907499999999999</v>
      </c>
      <c r="J50">
        <f>'Kullanılan gübre'!J50*'Gübre oranlar'!M$3</f>
        <v>0</v>
      </c>
      <c r="K50">
        <f>'Kullanılan gübre'!K50*'Gübre oranlar'!N$3</f>
        <v>4</v>
      </c>
      <c r="L50">
        <f>'Kullanılan gübre'!L50*'Gübre oranlar'!O$3</f>
        <v>48.760000000000005</v>
      </c>
      <c r="M50">
        <f>'Kullanılan gübre'!M50*'Gübre oranlar'!P$3</f>
        <v>1.2</v>
      </c>
      <c r="N50">
        <f>'Kullanılan gübre'!N50*'Gübre oranlar'!Q$3</f>
        <v>12.3675</v>
      </c>
      <c r="O50">
        <f>'Kullanılan gübre'!O50*'Gübre oranlar'!R$3</f>
        <v>0</v>
      </c>
      <c r="P50">
        <f>'Kullanılan gübre'!P50*'Gübre oranlar'!S$3</f>
        <v>0</v>
      </c>
      <c r="Q50">
        <f>'Kullanılan gübre'!Q50*'Gübre oranlar'!T$3</f>
        <v>0</v>
      </c>
      <c r="R50">
        <f>'Kullanılan gübre'!R50*'Gübre oranlar'!U$3</f>
        <v>0</v>
      </c>
      <c r="S50">
        <f>'Kullanılan gübre'!S50*'Gübre oranlar'!V$3</f>
        <v>0</v>
      </c>
      <c r="T50">
        <f>'Kullanılan gübre'!T50*'Gübre oranlar'!W$3</f>
        <v>0</v>
      </c>
      <c r="U50">
        <f>'Kullanılan gübre'!U50*'Gübre oranlar'!X$3</f>
        <v>0</v>
      </c>
      <c r="V50">
        <f>'Kullanılan gübre'!V50*'Gübre oranlar'!Y$3</f>
        <v>15</v>
      </c>
      <c r="W50">
        <f>'Kullanılan gübre'!W50*'Gübre oranlar'!Z$3</f>
        <v>0</v>
      </c>
      <c r="X50">
        <f>'Kullanılan gübre'!X50*'Gübre oranlar'!AA$3</f>
        <v>0</v>
      </c>
      <c r="Y50">
        <f>'Kullanılan gübre'!Y50*'Gübre oranlar'!AB$3</f>
        <v>0</v>
      </c>
      <c r="Z50">
        <f>'Kullanılan gübre'!Z50*'Gübre oranlar'!AC$3</f>
        <v>0</v>
      </c>
      <c r="AA50">
        <f>'Kullanılan gübre'!AA50*'Gübre oranlar'!AD$3</f>
        <v>16.308</v>
      </c>
      <c r="AB50">
        <f>'Kullanılan gübre'!AB50*'Gübre oranlar'!AE$3</f>
        <v>0</v>
      </c>
      <c r="AC50">
        <f>'Kullanılan gübre'!AC50*'Gübre oranlar'!AF$3</f>
        <v>0</v>
      </c>
      <c r="AD50">
        <f>'Kullanılan gübre'!AD50*'Gübre oranlar'!AG$3</f>
        <v>0</v>
      </c>
      <c r="AE50">
        <f>'Kullanılan gübre'!AE50*'Gübre oranlar'!AH$3</f>
        <v>0</v>
      </c>
      <c r="AF50">
        <f>'Kullanılan gübre'!AF50*'Gübre oranlar'!AI$3</f>
        <v>0</v>
      </c>
      <c r="AG50">
        <f>'Kullanılan gübre'!AG50*'Gübre oranlar'!AJ$3</f>
        <v>0</v>
      </c>
      <c r="AH50">
        <f>'Kullanılan gübre'!AH50*'Gübre oranlar'!AK$3</f>
        <v>0</v>
      </c>
      <c r="AI50">
        <f>'Kullanılan gübre'!AI50*'Gübre oranlar'!AL$3</f>
        <v>0</v>
      </c>
      <c r="AJ50">
        <f>'Kullanılan gübre'!AJ50*'Gübre oranlar'!AM$3</f>
        <v>0</v>
      </c>
      <c r="AK50">
        <f>'Kullanılan gübre'!AK50*'Gübre oranlar'!AN$3</f>
        <v>0</v>
      </c>
      <c r="AL50">
        <f>'Kullanılan gübre'!AL50*'Gübre oranlar'!AO$3</f>
        <v>0</v>
      </c>
      <c r="AM50">
        <f>'Kullanılan gübre'!AM50*'Gübre oranlar'!AP$3</f>
        <v>0</v>
      </c>
      <c r="AN50">
        <f>'Kullanılan gübre'!AN50*'Gübre oranlar'!AQ$3</f>
        <v>0</v>
      </c>
      <c r="AO50">
        <f>'Kullanılan gübre'!AO50*'Gübre oranlar'!AR$3</f>
        <v>0</v>
      </c>
      <c r="AP50">
        <f>'Kullanılan gübre'!AP50*'Gübre oranlar'!AS$3</f>
        <v>0</v>
      </c>
      <c r="AQ50">
        <f>'Kullanılan gübre'!AQ50*'Gübre oranlar'!AT$3</f>
        <v>0</v>
      </c>
      <c r="AR50">
        <f>'Kullanılan gübre'!AR50*'Gübre oranlar'!AU$3</f>
        <v>0</v>
      </c>
      <c r="AS50">
        <f>'Kullanılan gübre'!AS50*'Gübre oranlar'!AV$3</f>
        <v>0</v>
      </c>
      <c r="AT50">
        <f>'Kullanılan gübre'!AT50*'Gübre oranlar'!AW$3</f>
        <v>0</v>
      </c>
      <c r="AU50">
        <f>'Kullanılan gübre'!AU50*'Gübre oranlar'!AX$3</f>
        <v>0</v>
      </c>
      <c r="AV50">
        <f>'Kullanılan gübre'!AV50*'Gübre oranlar'!AY$3</f>
        <v>0</v>
      </c>
      <c r="AW50">
        <f t="shared" si="0"/>
        <v>123.54300000000001</v>
      </c>
    </row>
    <row r="51" spans="1:49" x14ac:dyDescent="0.25">
      <c r="A51" t="str">
        <f>'Kullanılan gübre'!A51</f>
        <v>AK</v>
      </c>
      <c r="B51" t="str">
        <f>'Kullanılan gübre'!B51</f>
        <v>AFYONKARAHISAR</v>
      </c>
      <c r="C51" t="str">
        <f>'Kullanılan gübre'!C51</f>
        <v>SUHUT</v>
      </c>
      <c r="D51">
        <f>'Kullanılan gübre'!D51</f>
        <v>2010</v>
      </c>
      <c r="E51">
        <f>'Kullanılan gübre'!E51*'Gübre oranlar'!H$3</f>
        <v>0</v>
      </c>
      <c r="F51">
        <f>'Kullanılan gübre'!F51*'Gübre oranlar'!I$3</f>
        <v>0</v>
      </c>
      <c r="G51">
        <f>'Kullanılan gübre'!G51*'Gübre oranlar'!J$3</f>
        <v>0</v>
      </c>
      <c r="H51">
        <f>'Kullanılan gübre'!H51*'Gübre oranlar'!K$3</f>
        <v>0</v>
      </c>
      <c r="I51">
        <f>'Kullanılan gübre'!I51*'Gübre oranlar'!L$3</f>
        <v>27.132999999999999</v>
      </c>
      <c r="J51">
        <f>'Kullanılan gübre'!J51*'Gübre oranlar'!M$3</f>
        <v>0</v>
      </c>
      <c r="K51">
        <f>'Kullanılan gübre'!K51*'Gübre oranlar'!N$3</f>
        <v>7.6099999999999994</v>
      </c>
      <c r="L51">
        <f>'Kullanılan gübre'!L51*'Gübre oranlar'!O$3</f>
        <v>69.290000000000006</v>
      </c>
      <c r="M51">
        <f>'Kullanılan gübre'!M51*'Gübre oranlar'!P$3</f>
        <v>2.0924999999999998</v>
      </c>
      <c r="N51">
        <f>'Kullanılan gübre'!N51*'Gübre oranlar'!Q$3</f>
        <v>165.75</v>
      </c>
      <c r="O51">
        <f>'Kullanılan gübre'!O51*'Gübre oranlar'!R$3</f>
        <v>0</v>
      </c>
      <c r="P51">
        <f>'Kullanılan gübre'!P51*'Gübre oranlar'!S$3</f>
        <v>0</v>
      </c>
      <c r="Q51">
        <f>'Kullanılan gübre'!Q51*'Gübre oranlar'!T$3</f>
        <v>159</v>
      </c>
      <c r="R51">
        <f>'Kullanılan gübre'!R51*'Gübre oranlar'!U$3</f>
        <v>5.5979999999999999</v>
      </c>
      <c r="S51">
        <f>'Kullanılan gübre'!S51*'Gübre oranlar'!V$3</f>
        <v>0</v>
      </c>
      <c r="T51">
        <f>'Kullanılan gübre'!T51*'Gübre oranlar'!W$3</f>
        <v>0</v>
      </c>
      <c r="U51">
        <f>'Kullanılan gübre'!U51*'Gübre oranlar'!X$3</f>
        <v>0</v>
      </c>
      <c r="V51">
        <f>'Kullanılan gübre'!V51*'Gübre oranlar'!Y$3</f>
        <v>0</v>
      </c>
      <c r="W51">
        <f>'Kullanılan gübre'!W51*'Gübre oranlar'!Z$3</f>
        <v>0</v>
      </c>
      <c r="X51">
        <f>'Kullanılan gübre'!X51*'Gübre oranlar'!AA$3</f>
        <v>9.8500000000000014</v>
      </c>
      <c r="Y51">
        <f>'Kullanılan gübre'!Y51*'Gübre oranlar'!AB$3</f>
        <v>0</v>
      </c>
      <c r="Z51">
        <f>'Kullanılan gübre'!Z51*'Gübre oranlar'!AC$3</f>
        <v>0</v>
      </c>
      <c r="AA51">
        <f>'Kullanılan gübre'!AA51*'Gübre oranlar'!AD$3</f>
        <v>50.352000000000004</v>
      </c>
      <c r="AB51">
        <f>'Kullanılan gübre'!AB51*'Gübre oranlar'!AE$3</f>
        <v>0</v>
      </c>
      <c r="AC51">
        <f>'Kullanılan gübre'!AC51*'Gübre oranlar'!AF$3</f>
        <v>0</v>
      </c>
      <c r="AD51">
        <f>'Kullanılan gübre'!AD51*'Gübre oranlar'!AG$3</f>
        <v>0</v>
      </c>
      <c r="AE51">
        <f>'Kullanılan gübre'!AE51*'Gübre oranlar'!AH$3</f>
        <v>0.95</v>
      </c>
      <c r="AF51">
        <f>'Kullanılan gübre'!AF51*'Gübre oranlar'!AI$3</f>
        <v>0</v>
      </c>
      <c r="AG51">
        <f>'Kullanılan gübre'!AG51*'Gübre oranlar'!AJ$3</f>
        <v>0</v>
      </c>
      <c r="AH51">
        <f>'Kullanılan gübre'!AH51*'Gübre oranlar'!AK$3</f>
        <v>0</v>
      </c>
      <c r="AI51">
        <f>'Kullanılan gübre'!AI51*'Gübre oranlar'!AL$3</f>
        <v>0</v>
      </c>
      <c r="AJ51">
        <f>'Kullanılan gübre'!AJ51*'Gübre oranlar'!AM$3</f>
        <v>0</v>
      </c>
      <c r="AK51">
        <f>'Kullanılan gübre'!AK51*'Gübre oranlar'!AN$3</f>
        <v>0</v>
      </c>
      <c r="AL51">
        <f>'Kullanılan gübre'!AL51*'Gübre oranlar'!AO$3</f>
        <v>0</v>
      </c>
      <c r="AM51">
        <f>'Kullanılan gübre'!AM51*'Gübre oranlar'!AP$3</f>
        <v>0</v>
      </c>
      <c r="AN51">
        <f>'Kullanılan gübre'!AN51*'Gübre oranlar'!AQ$3</f>
        <v>0</v>
      </c>
      <c r="AO51">
        <f>'Kullanılan gübre'!AO51*'Gübre oranlar'!AR$3</f>
        <v>0</v>
      </c>
      <c r="AP51">
        <f>'Kullanılan gübre'!AP51*'Gübre oranlar'!AS$3</f>
        <v>0</v>
      </c>
      <c r="AQ51">
        <f>'Kullanılan gübre'!AQ51*'Gübre oranlar'!AT$3</f>
        <v>0</v>
      </c>
      <c r="AR51">
        <f>'Kullanılan gübre'!AR51*'Gübre oranlar'!AU$3</f>
        <v>0</v>
      </c>
      <c r="AS51">
        <f>'Kullanılan gübre'!AS51*'Gübre oranlar'!AV$3</f>
        <v>0</v>
      </c>
      <c r="AT51">
        <f>'Kullanılan gübre'!AT51*'Gübre oranlar'!AW$3</f>
        <v>0</v>
      </c>
      <c r="AU51">
        <f>'Kullanılan gübre'!AU51*'Gübre oranlar'!AX$3</f>
        <v>0</v>
      </c>
      <c r="AV51">
        <f>'Kullanılan gübre'!AV51*'Gübre oranlar'!AY$3</f>
        <v>0</v>
      </c>
      <c r="AW51">
        <f t="shared" si="0"/>
        <v>497.62550000000005</v>
      </c>
    </row>
    <row r="52" spans="1:49" x14ac:dyDescent="0.25">
      <c r="A52" t="str">
        <f>'Kullanılan gübre'!A52</f>
        <v>AK</v>
      </c>
      <c r="B52" t="str">
        <f>'Kullanılan gübre'!B52</f>
        <v>AFYONKARAHISAR</v>
      </c>
      <c r="C52" t="str">
        <f>'Kullanılan gübre'!C52</f>
        <v>MERKEZ</v>
      </c>
      <c r="D52">
        <f>'Kullanılan gübre'!D52</f>
        <v>2011</v>
      </c>
      <c r="E52">
        <f>'Kullanılan gübre'!E52*'Gübre oranlar'!H$3</f>
        <v>0</v>
      </c>
      <c r="F52">
        <f>'Kullanılan gübre'!F52*'Gübre oranlar'!I$3</f>
        <v>0</v>
      </c>
      <c r="G52">
        <f>'Kullanılan gübre'!G52*'Gübre oranlar'!J$3</f>
        <v>0</v>
      </c>
      <c r="H52">
        <f>'Kullanılan gübre'!H52*'Gübre oranlar'!K$3</f>
        <v>0</v>
      </c>
      <c r="I52">
        <f>'Kullanılan gübre'!I52*'Gübre oranlar'!L$3</f>
        <v>0</v>
      </c>
      <c r="J52">
        <f>'Kullanılan gübre'!J52*'Gübre oranlar'!M$3</f>
        <v>0</v>
      </c>
      <c r="K52">
        <f>'Kullanılan gübre'!K52*'Gübre oranlar'!N$3</f>
        <v>336.23</v>
      </c>
      <c r="L52">
        <f>'Kullanılan gübre'!L52*'Gübre oranlar'!O$3</f>
        <v>86.350000000000009</v>
      </c>
      <c r="M52">
        <f>'Kullanılan gübre'!M52*'Gübre oranlar'!P$3</f>
        <v>45.945</v>
      </c>
      <c r="N52">
        <f>'Kullanılan gübre'!N52*'Gübre oranlar'!Q$3</f>
        <v>53.542499999999997</v>
      </c>
      <c r="O52">
        <f>'Kullanılan gübre'!O52*'Gübre oranlar'!R$3</f>
        <v>0</v>
      </c>
      <c r="P52">
        <f>'Kullanılan gübre'!P52*'Gübre oranlar'!S$3</f>
        <v>0</v>
      </c>
      <c r="Q52">
        <f>'Kullanılan gübre'!Q52*'Gübre oranlar'!T$3</f>
        <v>0</v>
      </c>
      <c r="R52">
        <f>'Kullanılan gübre'!R52*'Gübre oranlar'!U$3</f>
        <v>0</v>
      </c>
      <c r="S52">
        <f>'Kullanılan gübre'!S52*'Gübre oranlar'!V$3</f>
        <v>0</v>
      </c>
      <c r="T52">
        <f>'Kullanılan gübre'!T52*'Gübre oranlar'!W$3</f>
        <v>6.4124999999999996</v>
      </c>
      <c r="U52">
        <f>'Kullanılan gübre'!U52*'Gübre oranlar'!X$3</f>
        <v>0</v>
      </c>
      <c r="V52">
        <f>'Kullanılan gübre'!V52*'Gübre oranlar'!Y$3</f>
        <v>10</v>
      </c>
      <c r="W52">
        <f>'Kullanılan gübre'!W52*'Gübre oranlar'!Z$3</f>
        <v>0</v>
      </c>
      <c r="X52">
        <f>'Kullanılan gübre'!X52*'Gübre oranlar'!AA$3</f>
        <v>0</v>
      </c>
      <c r="Y52">
        <f>'Kullanılan gübre'!Y52*'Gübre oranlar'!AB$3</f>
        <v>0</v>
      </c>
      <c r="Z52">
        <f>'Kullanılan gübre'!Z52*'Gübre oranlar'!AC$3</f>
        <v>0</v>
      </c>
      <c r="AA52">
        <f>'Kullanılan gübre'!AA52*'Gübre oranlar'!AD$3</f>
        <v>92.123999999999995</v>
      </c>
      <c r="AB52">
        <f>'Kullanılan gübre'!AB52*'Gübre oranlar'!AE$3</f>
        <v>0</v>
      </c>
      <c r="AC52">
        <f>'Kullanılan gübre'!AC52*'Gübre oranlar'!AF$3</f>
        <v>0</v>
      </c>
      <c r="AD52">
        <f>'Kullanılan gübre'!AD52*'Gübre oranlar'!AG$3</f>
        <v>0</v>
      </c>
      <c r="AE52">
        <f>'Kullanılan gübre'!AE52*'Gübre oranlar'!AH$3</f>
        <v>17.75</v>
      </c>
      <c r="AF52">
        <f>'Kullanılan gübre'!AF52*'Gübre oranlar'!AI$3</f>
        <v>0</v>
      </c>
      <c r="AG52">
        <f>'Kullanılan gübre'!AG52*'Gübre oranlar'!AJ$3</f>
        <v>0</v>
      </c>
      <c r="AH52">
        <f>'Kullanılan gübre'!AH52*'Gübre oranlar'!AK$3</f>
        <v>0</v>
      </c>
      <c r="AI52">
        <f>'Kullanılan gübre'!AI52*'Gübre oranlar'!AL$3</f>
        <v>0</v>
      </c>
      <c r="AJ52">
        <f>'Kullanılan gübre'!AJ52*'Gübre oranlar'!AM$3</f>
        <v>0</v>
      </c>
      <c r="AK52">
        <f>'Kullanılan gübre'!AK52*'Gübre oranlar'!AN$3</f>
        <v>0</v>
      </c>
      <c r="AL52">
        <f>'Kullanılan gübre'!AL52*'Gübre oranlar'!AO$3</f>
        <v>0</v>
      </c>
      <c r="AM52">
        <f>'Kullanılan gübre'!AM52*'Gübre oranlar'!AP$3</f>
        <v>0</v>
      </c>
      <c r="AN52">
        <f>'Kullanılan gübre'!AN52*'Gübre oranlar'!AQ$3</f>
        <v>0</v>
      </c>
      <c r="AO52">
        <f>'Kullanılan gübre'!AO52*'Gübre oranlar'!AR$3</f>
        <v>0</v>
      </c>
      <c r="AP52">
        <f>'Kullanılan gübre'!AP52*'Gübre oranlar'!AS$3</f>
        <v>0</v>
      </c>
      <c r="AQ52">
        <f>'Kullanılan gübre'!AQ52*'Gübre oranlar'!AT$3</f>
        <v>0</v>
      </c>
      <c r="AR52">
        <f>'Kullanılan gübre'!AR52*'Gübre oranlar'!AU$3</f>
        <v>0</v>
      </c>
      <c r="AS52">
        <f>'Kullanılan gübre'!AS52*'Gübre oranlar'!AV$3</f>
        <v>0</v>
      </c>
      <c r="AT52">
        <f>'Kullanılan gübre'!AT52*'Gübre oranlar'!AW$3</f>
        <v>0</v>
      </c>
      <c r="AU52">
        <f>'Kullanılan gübre'!AU52*'Gübre oranlar'!AX$3</f>
        <v>0</v>
      </c>
      <c r="AV52">
        <f>'Kullanılan gübre'!AV52*'Gübre oranlar'!AY$3</f>
        <v>0</v>
      </c>
      <c r="AW52">
        <f t="shared" si="0"/>
        <v>648.35400000000004</v>
      </c>
    </row>
    <row r="53" spans="1:49" x14ac:dyDescent="0.25">
      <c r="A53" t="str">
        <f>'Kullanılan gübre'!A53</f>
        <v>AK</v>
      </c>
      <c r="B53" t="str">
        <f>'Kullanılan gübre'!B53</f>
        <v>AFYONKARAHISAR</v>
      </c>
      <c r="C53" t="str">
        <f>'Kullanılan gübre'!C53</f>
        <v>BAYAT</v>
      </c>
      <c r="D53">
        <f>'Kullanılan gübre'!D53</f>
        <v>2011</v>
      </c>
      <c r="E53">
        <f>'Kullanılan gübre'!E53*'Gübre oranlar'!H$3</f>
        <v>0</v>
      </c>
      <c r="F53">
        <f>'Kullanılan gübre'!F53*'Gübre oranlar'!I$3</f>
        <v>0</v>
      </c>
      <c r="G53">
        <f>'Kullanılan gübre'!G53*'Gübre oranlar'!J$3</f>
        <v>0</v>
      </c>
      <c r="H53">
        <f>'Kullanılan gübre'!H53*'Gübre oranlar'!K$3</f>
        <v>0</v>
      </c>
      <c r="I53">
        <f>'Kullanılan gübre'!I53*'Gübre oranlar'!L$3</f>
        <v>0.19350000000000001</v>
      </c>
      <c r="J53">
        <f>'Kullanılan gübre'!J53*'Gübre oranlar'!M$3</f>
        <v>0</v>
      </c>
      <c r="K53">
        <f>'Kullanılan gübre'!K53*'Gübre oranlar'!N$3</f>
        <v>0</v>
      </c>
      <c r="L53">
        <f>'Kullanılan gübre'!L53*'Gübre oranlar'!O$3</f>
        <v>13.600000000000001</v>
      </c>
      <c r="M53">
        <f>'Kullanılan gübre'!M53*'Gübre oranlar'!P$3</f>
        <v>0</v>
      </c>
      <c r="N53">
        <f>'Kullanılan gübre'!N53*'Gübre oranlar'!Q$3</f>
        <v>0</v>
      </c>
      <c r="O53">
        <f>'Kullanılan gübre'!O53*'Gübre oranlar'!R$3</f>
        <v>0</v>
      </c>
      <c r="P53">
        <f>'Kullanılan gübre'!P53*'Gübre oranlar'!S$3</f>
        <v>0</v>
      </c>
      <c r="Q53">
        <f>'Kullanılan gübre'!Q53*'Gübre oranlar'!T$3</f>
        <v>0</v>
      </c>
      <c r="R53">
        <f>'Kullanılan gübre'!R53*'Gübre oranlar'!U$3</f>
        <v>0</v>
      </c>
      <c r="S53">
        <f>'Kullanılan gübre'!S53*'Gübre oranlar'!V$3</f>
        <v>0</v>
      </c>
      <c r="T53">
        <f>'Kullanılan gübre'!T53*'Gübre oranlar'!W$3</f>
        <v>0</v>
      </c>
      <c r="U53">
        <f>'Kullanılan gübre'!U53*'Gübre oranlar'!X$3</f>
        <v>0</v>
      </c>
      <c r="V53">
        <f>'Kullanılan gübre'!V53*'Gübre oranlar'!Y$3</f>
        <v>0.1875</v>
      </c>
      <c r="W53">
        <f>'Kullanılan gübre'!W53*'Gübre oranlar'!Z$3</f>
        <v>0</v>
      </c>
      <c r="X53">
        <f>'Kullanılan gübre'!X53*'Gübre oranlar'!AA$3</f>
        <v>0</v>
      </c>
      <c r="Y53">
        <f>'Kullanılan gübre'!Y53*'Gübre oranlar'!AB$3</f>
        <v>0</v>
      </c>
      <c r="Z53">
        <f>'Kullanılan gübre'!Z53*'Gübre oranlar'!AC$3</f>
        <v>0</v>
      </c>
      <c r="AA53">
        <f>'Kullanılan gübre'!AA53*'Gübre oranlar'!AD$3</f>
        <v>0</v>
      </c>
      <c r="AB53">
        <f>'Kullanılan gübre'!AB53*'Gübre oranlar'!AE$3</f>
        <v>0</v>
      </c>
      <c r="AC53">
        <f>'Kullanılan gübre'!AC53*'Gübre oranlar'!AF$3</f>
        <v>0</v>
      </c>
      <c r="AD53">
        <f>'Kullanılan gübre'!AD53*'Gübre oranlar'!AG$3</f>
        <v>0</v>
      </c>
      <c r="AE53">
        <f>'Kullanılan gübre'!AE53*'Gübre oranlar'!AH$3</f>
        <v>0</v>
      </c>
      <c r="AF53">
        <f>'Kullanılan gübre'!AF53*'Gübre oranlar'!AI$3</f>
        <v>0</v>
      </c>
      <c r="AG53">
        <f>'Kullanılan gübre'!AG53*'Gübre oranlar'!AJ$3</f>
        <v>0</v>
      </c>
      <c r="AH53">
        <f>'Kullanılan gübre'!AH53*'Gübre oranlar'!AK$3</f>
        <v>0</v>
      </c>
      <c r="AI53">
        <f>'Kullanılan gübre'!AI53*'Gübre oranlar'!AL$3</f>
        <v>0</v>
      </c>
      <c r="AJ53">
        <f>'Kullanılan gübre'!AJ53*'Gübre oranlar'!AM$3</f>
        <v>0</v>
      </c>
      <c r="AK53">
        <f>'Kullanılan gübre'!AK53*'Gübre oranlar'!AN$3</f>
        <v>0</v>
      </c>
      <c r="AL53">
        <f>'Kullanılan gübre'!AL53*'Gübre oranlar'!AO$3</f>
        <v>0</v>
      </c>
      <c r="AM53">
        <f>'Kullanılan gübre'!AM53*'Gübre oranlar'!AP$3</f>
        <v>0</v>
      </c>
      <c r="AN53">
        <f>'Kullanılan gübre'!AN53*'Gübre oranlar'!AQ$3</f>
        <v>0</v>
      </c>
      <c r="AO53">
        <f>'Kullanılan gübre'!AO53*'Gübre oranlar'!AR$3</f>
        <v>0</v>
      </c>
      <c r="AP53">
        <f>'Kullanılan gübre'!AP53*'Gübre oranlar'!AS$3</f>
        <v>0</v>
      </c>
      <c r="AQ53">
        <f>'Kullanılan gübre'!AQ53*'Gübre oranlar'!AT$3</f>
        <v>0</v>
      </c>
      <c r="AR53">
        <f>'Kullanılan gübre'!AR53*'Gübre oranlar'!AU$3</f>
        <v>0</v>
      </c>
      <c r="AS53">
        <f>'Kullanılan gübre'!AS53*'Gübre oranlar'!AV$3</f>
        <v>0</v>
      </c>
      <c r="AT53">
        <f>'Kullanılan gübre'!AT53*'Gübre oranlar'!AW$3</f>
        <v>0</v>
      </c>
      <c r="AU53">
        <f>'Kullanılan gübre'!AU53*'Gübre oranlar'!AX$3</f>
        <v>0</v>
      </c>
      <c r="AV53">
        <f>'Kullanılan gübre'!AV53*'Gübre oranlar'!AY$3</f>
        <v>0</v>
      </c>
      <c r="AW53">
        <f t="shared" si="0"/>
        <v>13.981000000000002</v>
      </c>
    </row>
    <row r="54" spans="1:49" x14ac:dyDescent="0.25">
      <c r="A54" t="str">
        <f>'Kullanılan gübre'!A54</f>
        <v>AK</v>
      </c>
      <c r="B54" t="str">
        <f>'Kullanılan gübre'!B54</f>
        <v>AFYONKARAHISAR</v>
      </c>
      <c r="C54" t="str">
        <f>'Kullanılan gübre'!C54</f>
        <v>BOLVADIN</v>
      </c>
      <c r="D54">
        <f>'Kullanılan gübre'!D54</f>
        <v>2011</v>
      </c>
      <c r="E54">
        <f>'Kullanılan gübre'!E54*'Gübre oranlar'!H$3</f>
        <v>0</v>
      </c>
      <c r="F54">
        <f>'Kullanılan gübre'!F54*'Gübre oranlar'!I$3</f>
        <v>0</v>
      </c>
      <c r="G54">
        <f>'Kullanılan gübre'!G54*'Gübre oranlar'!J$3</f>
        <v>0</v>
      </c>
      <c r="H54">
        <f>'Kullanılan gübre'!H54*'Gübre oranlar'!K$3</f>
        <v>0</v>
      </c>
      <c r="I54">
        <f>'Kullanılan gübre'!I54*'Gübre oranlar'!L$3</f>
        <v>16.082000000000001</v>
      </c>
      <c r="J54">
        <f>'Kullanılan gübre'!J54*'Gübre oranlar'!M$3</f>
        <v>0</v>
      </c>
      <c r="K54">
        <f>'Kullanılan gübre'!K54*'Gübre oranlar'!N$3</f>
        <v>5</v>
      </c>
      <c r="L54">
        <f>'Kullanılan gübre'!L54*'Gübre oranlar'!O$3</f>
        <v>56.24</v>
      </c>
      <c r="M54">
        <f>'Kullanılan gübre'!M54*'Gübre oranlar'!P$3</f>
        <v>0</v>
      </c>
      <c r="N54">
        <f>'Kullanılan gübre'!N54*'Gübre oranlar'!Q$3</f>
        <v>4.05</v>
      </c>
      <c r="O54">
        <f>'Kullanılan gübre'!O54*'Gübre oranlar'!R$3</f>
        <v>0</v>
      </c>
      <c r="P54">
        <f>'Kullanılan gübre'!P54*'Gübre oranlar'!S$3</f>
        <v>0</v>
      </c>
      <c r="Q54">
        <f>'Kullanılan gübre'!Q54*'Gübre oranlar'!T$3</f>
        <v>0</v>
      </c>
      <c r="R54">
        <f>'Kullanılan gübre'!R54*'Gübre oranlar'!U$3</f>
        <v>0</v>
      </c>
      <c r="S54">
        <f>'Kullanılan gübre'!S54*'Gübre oranlar'!V$3</f>
        <v>0</v>
      </c>
      <c r="T54">
        <f>'Kullanılan gübre'!T54*'Gübre oranlar'!W$3</f>
        <v>0</v>
      </c>
      <c r="U54">
        <f>'Kullanılan gübre'!U54*'Gübre oranlar'!X$3</f>
        <v>0</v>
      </c>
      <c r="V54">
        <f>'Kullanılan gübre'!V54*'Gübre oranlar'!Y$3</f>
        <v>0</v>
      </c>
      <c r="W54">
        <f>'Kullanılan gübre'!W54*'Gübre oranlar'!Z$3</f>
        <v>0</v>
      </c>
      <c r="X54">
        <f>'Kullanılan gübre'!X54*'Gübre oranlar'!AA$3</f>
        <v>0</v>
      </c>
      <c r="Y54">
        <f>'Kullanılan gübre'!Y54*'Gübre oranlar'!AB$3</f>
        <v>0</v>
      </c>
      <c r="Z54">
        <f>'Kullanılan gübre'!Z54*'Gübre oranlar'!AC$3</f>
        <v>0</v>
      </c>
      <c r="AA54">
        <f>'Kullanılan gübre'!AA54*'Gübre oranlar'!AD$3</f>
        <v>4.08</v>
      </c>
      <c r="AB54">
        <f>'Kullanılan gübre'!AB54*'Gübre oranlar'!AE$3</f>
        <v>0</v>
      </c>
      <c r="AC54">
        <f>'Kullanılan gübre'!AC54*'Gübre oranlar'!AF$3</f>
        <v>0</v>
      </c>
      <c r="AD54">
        <f>'Kullanılan gübre'!AD54*'Gübre oranlar'!AG$3</f>
        <v>0</v>
      </c>
      <c r="AE54">
        <f>'Kullanılan gübre'!AE54*'Gübre oranlar'!AH$3</f>
        <v>0</v>
      </c>
      <c r="AF54">
        <f>'Kullanılan gübre'!AF54*'Gübre oranlar'!AI$3</f>
        <v>0</v>
      </c>
      <c r="AG54">
        <f>'Kullanılan gübre'!AG54*'Gübre oranlar'!AJ$3</f>
        <v>0</v>
      </c>
      <c r="AH54">
        <f>'Kullanılan gübre'!AH54*'Gübre oranlar'!AK$3</f>
        <v>0</v>
      </c>
      <c r="AI54">
        <f>'Kullanılan gübre'!AI54*'Gübre oranlar'!AL$3</f>
        <v>0</v>
      </c>
      <c r="AJ54">
        <f>'Kullanılan gübre'!AJ54*'Gübre oranlar'!AM$3</f>
        <v>0</v>
      </c>
      <c r="AK54">
        <f>'Kullanılan gübre'!AK54*'Gübre oranlar'!AN$3</f>
        <v>0</v>
      </c>
      <c r="AL54">
        <f>'Kullanılan gübre'!AL54*'Gübre oranlar'!AO$3</f>
        <v>0</v>
      </c>
      <c r="AM54">
        <f>'Kullanılan gübre'!AM54*'Gübre oranlar'!AP$3</f>
        <v>0</v>
      </c>
      <c r="AN54">
        <f>'Kullanılan gübre'!AN54*'Gübre oranlar'!AQ$3</f>
        <v>0</v>
      </c>
      <c r="AO54">
        <f>'Kullanılan gübre'!AO54*'Gübre oranlar'!AR$3</f>
        <v>0</v>
      </c>
      <c r="AP54">
        <f>'Kullanılan gübre'!AP54*'Gübre oranlar'!AS$3</f>
        <v>0</v>
      </c>
      <c r="AQ54">
        <f>'Kullanılan gübre'!AQ54*'Gübre oranlar'!AT$3</f>
        <v>0</v>
      </c>
      <c r="AR54">
        <f>'Kullanılan gübre'!AR54*'Gübre oranlar'!AU$3</f>
        <v>0</v>
      </c>
      <c r="AS54">
        <f>'Kullanılan gübre'!AS54*'Gübre oranlar'!AV$3</f>
        <v>0</v>
      </c>
      <c r="AT54">
        <f>'Kullanılan gübre'!AT54*'Gübre oranlar'!AW$3</f>
        <v>0</v>
      </c>
      <c r="AU54">
        <f>'Kullanılan gübre'!AU54*'Gübre oranlar'!AX$3</f>
        <v>0</v>
      </c>
      <c r="AV54">
        <f>'Kullanılan gübre'!AV54*'Gübre oranlar'!AY$3</f>
        <v>0</v>
      </c>
      <c r="AW54">
        <f t="shared" si="0"/>
        <v>85.451999999999998</v>
      </c>
    </row>
    <row r="55" spans="1:49" x14ac:dyDescent="0.25">
      <c r="A55" t="str">
        <f>'Kullanılan gübre'!A55</f>
        <v>AK</v>
      </c>
      <c r="B55" t="str">
        <f>'Kullanılan gübre'!B55</f>
        <v>AFYONKARAHISAR</v>
      </c>
      <c r="C55" t="str">
        <f>'Kullanılan gübre'!C55</f>
        <v>CAY</v>
      </c>
      <c r="D55">
        <f>'Kullanılan gübre'!D55</f>
        <v>2011</v>
      </c>
      <c r="E55">
        <f>'Kullanılan gübre'!E55*'Gübre oranlar'!H$3</f>
        <v>0</v>
      </c>
      <c r="F55">
        <f>'Kullanılan gübre'!F55*'Gübre oranlar'!I$3</f>
        <v>0</v>
      </c>
      <c r="G55">
        <f>'Kullanılan gübre'!G55*'Gübre oranlar'!J$3</f>
        <v>0</v>
      </c>
      <c r="H55">
        <f>'Kullanılan gübre'!H55*'Gübre oranlar'!K$3</f>
        <v>0</v>
      </c>
      <c r="I55">
        <f>'Kullanılan gübre'!I55*'Gübre oranlar'!L$3</f>
        <v>56.200999999999993</v>
      </c>
      <c r="J55">
        <f>'Kullanılan gübre'!J55*'Gübre oranlar'!M$3</f>
        <v>0</v>
      </c>
      <c r="K55">
        <f>'Kullanılan gübre'!K55*'Gübre oranlar'!N$3</f>
        <v>11.05</v>
      </c>
      <c r="L55">
        <f>'Kullanılan gübre'!L55*'Gübre oranlar'!O$3</f>
        <v>137.66</v>
      </c>
      <c r="M55">
        <f>'Kullanılan gübre'!M55*'Gübre oranlar'!P$3</f>
        <v>15.067499999999999</v>
      </c>
      <c r="N55">
        <f>'Kullanılan gübre'!N55*'Gübre oranlar'!Q$3</f>
        <v>24.1875</v>
      </c>
      <c r="O55">
        <f>'Kullanılan gübre'!O55*'Gübre oranlar'!R$3</f>
        <v>0</v>
      </c>
      <c r="P55">
        <f>'Kullanılan gübre'!P55*'Gübre oranlar'!S$3</f>
        <v>0</v>
      </c>
      <c r="Q55">
        <f>'Kullanılan gübre'!Q55*'Gübre oranlar'!T$3</f>
        <v>0</v>
      </c>
      <c r="R55">
        <f>'Kullanılan gübre'!R55*'Gübre oranlar'!U$3</f>
        <v>0</v>
      </c>
      <c r="S55">
        <f>'Kullanılan gübre'!S55*'Gübre oranlar'!V$3</f>
        <v>0</v>
      </c>
      <c r="T55">
        <f>'Kullanılan gübre'!T55*'Gübre oranlar'!W$3</f>
        <v>0</v>
      </c>
      <c r="U55">
        <f>'Kullanılan gübre'!U55*'Gübre oranlar'!X$3</f>
        <v>0</v>
      </c>
      <c r="V55">
        <f>'Kullanılan gübre'!V55*'Gübre oranlar'!Y$3</f>
        <v>6.25E-2</v>
      </c>
      <c r="W55">
        <f>'Kullanılan gübre'!W55*'Gübre oranlar'!Z$3</f>
        <v>0</v>
      </c>
      <c r="X55">
        <f>'Kullanılan gübre'!X55*'Gübre oranlar'!AA$3</f>
        <v>0</v>
      </c>
      <c r="Y55">
        <f>'Kullanılan gübre'!Y55*'Gübre oranlar'!AB$3</f>
        <v>0</v>
      </c>
      <c r="Z55">
        <f>'Kullanılan gübre'!Z55*'Gübre oranlar'!AC$3</f>
        <v>0</v>
      </c>
      <c r="AA55">
        <f>'Kullanılan gübre'!AA55*'Gübre oranlar'!AD$3</f>
        <v>8.088000000000001</v>
      </c>
      <c r="AB55">
        <f>'Kullanılan gübre'!AB55*'Gübre oranlar'!AE$3</f>
        <v>0</v>
      </c>
      <c r="AC55">
        <f>'Kullanılan gübre'!AC55*'Gübre oranlar'!AF$3</f>
        <v>0</v>
      </c>
      <c r="AD55">
        <f>'Kullanılan gübre'!AD55*'Gübre oranlar'!AG$3</f>
        <v>0</v>
      </c>
      <c r="AE55">
        <f>'Kullanılan gübre'!AE55*'Gübre oranlar'!AH$3</f>
        <v>17.862500000000001</v>
      </c>
      <c r="AF55">
        <f>'Kullanılan gübre'!AF55*'Gübre oranlar'!AI$3</f>
        <v>0</v>
      </c>
      <c r="AG55">
        <f>'Kullanılan gübre'!AG55*'Gübre oranlar'!AJ$3</f>
        <v>0</v>
      </c>
      <c r="AH55">
        <f>'Kullanılan gübre'!AH55*'Gübre oranlar'!AK$3</f>
        <v>0</v>
      </c>
      <c r="AI55">
        <f>'Kullanılan gübre'!AI55*'Gübre oranlar'!AL$3</f>
        <v>0</v>
      </c>
      <c r="AJ55">
        <f>'Kullanılan gübre'!AJ55*'Gübre oranlar'!AM$3</f>
        <v>0</v>
      </c>
      <c r="AK55">
        <f>'Kullanılan gübre'!AK55*'Gübre oranlar'!AN$3</f>
        <v>0</v>
      </c>
      <c r="AL55">
        <f>'Kullanılan gübre'!AL55*'Gübre oranlar'!AO$3</f>
        <v>0</v>
      </c>
      <c r="AM55">
        <f>'Kullanılan gübre'!AM55*'Gübre oranlar'!AP$3</f>
        <v>0</v>
      </c>
      <c r="AN55">
        <f>'Kullanılan gübre'!AN55*'Gübre oranlar'!AQ$3</f>
        <v>0</v>
      </c>
      <c r="AO55">
        <f>'Kullanılan gübre'!AO55*'Gübre oranlar'!AR$3</f>
        <v>0</v>
      </c>
      <c r="AP55">
        <f>'Kullanılan gübre'!AP55*'Gübre oranlar'!AS$3</f>
        <v>0</v>
      </c>
      <c r="AQ55">
        <f>'Kullanılan gübre'!AQ55*'Gübre oranlar'!AT$3</f>
        <v>0</v>
      </c>
      <c r="AR55">
        <f>'Kullanılan gübre'!AR55*'Gübre oranlar'!AU$3</f>
        <v>0</v>
      </c>
      <c r="AS55">
        <f>'Kullanılan gübre'!AS55*'Gübre oranlar'!AV$3</f>
        <v>0</v>
      </c>
      <c r="AT55">
        <f>'Kullanılan gübre'!AT55*'Gübre oranlar'!AW$3</f>
        <v>0</v>
      </c>
      <c r="AU55">
        <f>'Kullanılan gübre'!AU55*'Gübre oranlar'!AX$3</f>
        <v>0</v>
      </c>
      <c r="AV55">
        <f>'Kullanılan gübre'!AV55*'Gübre oranlar'!AY$3</f>
        <v>0</v>
      </c>
      <c r="AW55">
        <f t="shared" si="0"/>
        <v>270.17899999999997</v>
      </c>
    </row>
    <row r="56" spans="1:49" x14ac:dyDescent="0.25">
      <c r="A56" t="str">
        <f>'Kullanılan gübre'!A56</f>
        <v>AK</v>
      </c>
      <c r="B56" t="str">
        <f>'Kullanılan gübre'!B56</f>
        <v>AFYONKARAHISAR</v>
      </c>
      <c r="C56" t="str">
        <f>'Kullanılan gübre'!C56</f>
        <v>COBANLAR</v>
      </c>
      <c r="D56">
        <f>'Kullanılan gübre'!D56</f>
        <v>2011</v>
      </c>
      <c r="E56">
        <f>'Kullanılan gübre'!E56*'Gübre oranlar'!H$3</f>
        <v>0</v>
      </c>
      <c r="F56">
        <f>'Kullanılan gübre'!F56*'Gübre oranlar'!I$3</f>
        <v>0</v>
      </c>
      <c r="G56">
        <f>'Kullanılan gübre'!G56*'Gübre oranlar'!J$3</f>
        <v>0</v>
      </c>
      <c r="H56">
        <f>'Kullanılan gübre'!H56*'Gübre oranlar'!K$3</f>
        <v>0</v>
      </c>
      <c r="I56">
        <f>'Kullanılan gübre'!I56*'Gübre oranlar'!L$3</f>
        <v>21.9085</v>
      </c>
      <c r="J56">
        <f>'Kullanılan gübre'!J56*'Gübre oranlar'!M$3</f>
        <v>0</v>
      </c>
      <c r="K56">
        <f>'Kullanılan gübre'!K56*'Gübre oranlar'!N$3</f>
        <v>0</v>
      </c>
      <c r="L56">
        <f>'Kullanılan gübre'!L56*'Gübre oranlar'!O$3</f>
        <v>72.040000000000006</v>
      </c>
      <c r="M56">
        <f>'Kullanılan gübre'!M56*'Gübre oranlar'!P$3</f>
        <v>3.51</v>
      </c>
      <c r="N56">
        <f>'Kullanılan gübre'!N56*'Gübre oranlar'!Q$3</f>
        <v>7.125</v>
      </c>
      <c r="O56">
        <f>'Kullanılan gübre'!O56*'Gübre oranlar'!R$3</f>
        <v>0</v>
      </c>
      <c r="P56">
        <f>'Kullanılan gübre'!P56*'Gübre oranlar'!S$3</f>
        <v>0</v>
      </c>
      <c r="Q56">
        <f>'Kullanılan gübre'!Q56*'Gübre oranlar'!T$3</f>
        <v>0</v>
      </c>
      <c r="R56">
        <f>'Kullanılan gübre'!R56*'Gübre oranlar'!U$3</f>
        <v>0</v>
      </c>
      <c r="S56">
        <f>'Kullanılan gübre'!S56*'Gübre oranlar'!V$3</f>
        <v>0</v>
      </c>
      <c r="T56">
        <f>'Kullanılan gübre'!T56*'Gübre oranlar'!W$3</f>
        <v>11.487500000000001</v>
      </c>
      <c r="U56">
        <f>'Kullanılan gübre'!U56*'Gübre oranlar'!X$3</f>
        <v>0</v>
      </c>
      <c r="V56">
        <f>'Kullanılan gübre'!V56*'Gübre oranlar'!Y$3</f>
        <v>5.6875</v>
      </c>
      <c r="W56">
        <f>'Kullanılan gübre'!W56*'Gübre oranlar'!Z$3</f>
        <v>0</v>
      </c>
      <c r="X56">
        <f>'Kullanılan gübre'!X56*'Gübre oranlar'!AA$3</f>
        <v>0</v>
      </c>
      <c r="Y56">
        <f>'Kullanılan gübre'!Y56*'Gübre oranlar'!AB$3</f>
        <v>0</v>
      </c>
      <c r="Z56">
        <f>'Kullanılan gübre'!Z56*'Gübre oranlar'!AC$3</f>
        <v>0</v>
      </c>
      <c r="AA56">
        <f>'Kullanılan gübre'!AA56*'Gübre oranlar'!AD$3</f>
        <v>0</v>
      </c>
      <c r="AB56">
        <f>'Kullanılan gübre'!AB56*'Gübre oranlar'!AE$3</f>
        <v>0</v>
      </c>
      <c r="AC56">
        <f>'Kullanılan gübre'!AC56*'Gübre oranlar'!AF$3</f>
        <v>0</v>
      </c>
      <c r="AD56">
        <f>'Kullanılan gübre'!AD56*'Gübre oranlar'!AG$3</f>
        <v>0</v>
      </c>
      <c r="AE56">
        <f>'Kullanılan gübre'!AE56*'Gübre oranlar'!AH$3</f>
        <v>0</v>
      </c>
      <c r="AF56">
        <f>'Kullanılan gübre'!AF56*'Gübre oranlar'!AI$3</f>
        <v>0</v>
      </c>
      <c r="AG56">
        <f>'Kullanılan gübre'!AG56*'Gübre oranlar'!AJ$3</f>
        <v>0</v>
      </c>
      <c r="AH56">
        <f>'Kullanılan gübre'!AH56*'Gübre oranlar'!AK$3</f>
        <v>0</v>
      </c>
      <c r="AI56">
        <f>'Kullanılan gübre'!AI56*'Gübre oranlar'!AL$3</f>
        <v>0</v>
      </c>
      <c r="AJ56">
        <f>'Kullanılan gübre'!AJ56*'Gübre oranlar'!AM$3</f>
        <v>0</v>
      </c>
      <c r="AK56">
        <f>'Kullanılan gübre'!AK56*'Gübre oranlar'!AN$3</f>
        <v>0</v>
      </c>
      <c r="AL56">
        <f>'Kullanılan gübre'!AL56*'Gübre oranlar'!AO$3</f>
        <v>0</v>
      </c>
      <c r="AM56">
        <f>'Kullanılan gübre'!AM56*'Gübre oranlar'!AP$3</f>
        <v>0</v>
      </c>
      <c r="AN56">
        <f>'Kullanılan gübre'!AN56*'Gübre oranlar'!AQ$3</f>
        <v>0</v>
      </c>
      <c r="AO56">
        <f>'Kullanılan gübre'!AO56*'Gübre oranlar'!AR$3</f>
        <v>0</v>
      </c>
      <c r="AP56">
        <f>'Kullanılan gübre'!AP56*'Gübre oranlar'!AS$3</f>
        <v>0</v>
      </c>
      <c r="AQ56">
        <f>'Kullanılan gübre'!AQ56*'Gübre oranlar'!AT$3</f>
        <v>0</v>
      </c>
      <c r="AR56">
        <f>'Kullanılan gübre'!AR56*'Gübre oranlar'!AU$3</f>
        <v>0</v>
      </c>
      <c r="AS56">
        <f>'Kullanılan gübre'!AS56*'Gübre oranlar'!AV$3</f>
        <v>0</v>
      </c>
      <c r="AT56">
        <f>'Kullanılan gübre'!AT56*'Gübre oranlar'!AW$3</f>
        <v>0</v>
      </c>
      <c r="AU56">
        <f>'Kullanılan gübre'!AU56*'Gübre oranlar'!AX$3</f>
        <v>0</v>
      </c>
      <c r="AV56">
        <f>'Kullanılan gübre'!AV56*'Gübre oranlar'!AY$3</f>
        <v>0</v>
      </c>
      <c r="AW56">
        <f t="shared" si="0"/>
        <v>121.75850000000001</v>
      </c>
    </row>
    <row r="57" spans="1:49" x14ac:dyDescent="0.25">
      <c r="A57" t="str">
        <f>'Kullanılan gübre'!A57</f>
        <v>AK</v>
      </c>
      <c r="B57" t="str">
        <f>'Kullanılan gübre'!B57</f>
        <v>AFYONKARAHISAR</v>
      </c>
      <c r="C57" t="str">
        <f>'Kullanılan gübre'!C57</f>
        <v>IHSANIYE</v>
      </c>
      <c r="D57">
        <f>'Kullanılan gübre'!D57</f>
        <v>2011</v>
      </c>
      <c r="E57">
        <f>'Kullanılan gübre'!E57*'Gübre oranlar'!H$3</f>
        <v>0</v>
      </c>
      <c r="F57">
        <f>'Kullanılan gübre'!F57*'Gübre oranlar'!I$3</f>
        <v>0</v>
      </c>
      <c r="G57">
        <f>'Kullanılan gübre'!G57*'Gübre oranlar'!J$3</f>
        <v>0</v>
      </c>
      <c r="H57">
        <f>'Kullanılan gübre'!H57*'Gübre oranlar'!K$3</f>
        <v>0</v>
      </c>
      <c r="I57">
        <f>'Kullanılan gübre'!I57*'Gübre oranlar'!L$3</f>
        <v>0</v>
      </c>
      <c r="J57">
        <f>'Kullanılan gübre'!J57*'Gübre oranlar'!M$3</f>
        <v>0</v>
      </c>
      <c r="K57">
        <f>'Kullanılan gübre'!K57*'Gübre oranlar'!N$3</f>
        <v>218.20000000000002</v>
      </c>
      <c r="L57">
        <f>'Kullanılan gübre'!L57*'Gübre oranlar'!O$3</f>
        <v>3.5200000000000005</v>
      </c>
      <c r="M57">
        <f>'Kullanılan gübre'!M57*'Gübre oranlar'!P$3</f>
        <v>0.24</v>
      </c>
      <c r="N57">
        <f>'Kullanılan gübre'!N57*'Gübre oranlar'!Q$3</f>
        <v>3</v>
      </c>
      <c r="O57">
        <f>'Kullanılan gübre'!O57*'Gübre oranlar'!R$3</f>
        <v>0</v>
      </c>
      <c r="P57">
        <f>'Kullanılan gübre'!P57*'Gübre oranlar'!S$3</f>
        <v>0</v>
      </c>
      <c r="Q57">
        <f>'Kullanılan gübre'!Q57*'Gübre oranlar'!T$3</f>
        <v>0</v>
      </c>
      <c r="R57">
        <f>'Kullanılan gübre'!R57*'Gübre oranlar'!U$3</f>
        <v>0</v>
      </c>
      <c r="S57">
        <f>'Kullanılan gübre'!S57*'Gübre oranlar'!V$3</f>
        <v>0</v>
      </c>
      <c r="T57">
        <f>'Kullanılan gübre'!T57*'Gübre oranlar'!W$3</f>
        <v>0</v>
      </c>
      <c r="U57">
        <f>'Kullanılan gübre'!U57*'Gübre oranlar'!X$3</f>
        <v>0</v>
      </c>
      <c r="V57">
        <f>'Kullanılan gübre'!V57*'Gübre oranlar'!Y$3</f>
        <v>5</v>
      </c>
      <c r="W57">
        <f>'Kullanılan gübre'!W57*'Gübre oranlar'!Z$3</f>
        <v>0</v>
      </c>
      <c r="X57">
        <f>'Kullanılan gübre'!X57*'Gübre oranlar'!AA$3</f>
        <v>0</v>
      </c>
      <c r="Y57">
        <f>'Kullanılan gübre'!Y57*'Gübre oranlar'!AB$3</f>
        <v>0</v>
      </c>
      <c r="Z57">
        <f>'Kullanılan gübre'!Z57*'Gübre oranlar'!AC$3</f>
        <v>0</v>
      </c>
      <c r="AA57">
        <f>'Kullanılan gübre'!AA57*'Gübre oranlar'!AD$3</f>
        <v>0</v>
      </c>
      <c r="AB57">
        <f>'Kullanılan gübre'!AB57*'Gübre oranlar'!AE$3</f>
        <v>0</v>
      </c>
      <c r="AC57">
        <f>'Kullanılan gübre'!AC57*'Gübre oranlar'!AF$3</f>
        <v>0</v>
      </c>
      <c r="AD57">
        <f>'Kullanılan gübre'!AD57*'Gübre oranlar'!AG$3</f>
        <v>0</v>
      </c>
      <c r="AE57">
        <f>'Kullanılan gübre'!AE57*'Gübre oranlar'!AH$3</f>
        <v>21.75</v>
      </c>
      <c r="AF57">
        <f>'Kullanılan gübre'!AF57*'Gübre oranlar'!AI$3</f>
        <v>0</v>
      </c>
      <c r="AG57">
        <f>'Kullanılan gübre'!AG57*'Gübre oranlar'!AJ$3</f>
        <v>0</v>
      </c>
      <c r="AH57">
        <f>'Kullanılan gübre'!AH57*'Gübre oranlar'!AK$3</f>
        <v>0</v>
      </c>
      <c r="AI57">
        <f>'Kullanılan gübre'!AI57*'Gübre oranlar'!AL$3</f>
        <v>0</v>
      </c>
      <c r="AJ57">
        <f>'Kullanılan gübre'!AJ57*'Gübre oranlar'!AM$3</f>
        <v>0</v>
      </c>
      <c r="AK57">
        <f>'Kullanılan gübre'!AK57*'Gübre oranlar'!AN$3</f>
        <v>0</v>
      </c>
      <c r="AL57">
        <f>'Kullanılan gübre'!AL57*'Gübre oranlar'!AO$3</f>
        <v>0</v>
      </c>
      <c r="AM57">
        <f>'Kullanılan gübre'!AM57*'Gübre oranlar'!AP$3</f>
        <v>0</v>
      </c>
      <c r="AN57">
        <f>'Kullanılan gübre'!AN57*'Gübre oranlar'!AQ$3</f>
        <v>0</v>
      </c>
      <c r="AO57">
        <f>'Kullanılan gübre'!AO57*'Gübre oranlar'!AR$3</f>
        <v>0</v>
      </c>
      <c r="AP57">
        <f>'Kullanılan gübre'!AP57*'Gübre oranlar'!AS$3</f>
        <v>0</v>
      </c>
      <c r="AQ57">
        <f>'Kullanılan gübre'!AQ57*'Gübre oranlar'!AT$3</f>
        <v>0</v>
      </c>
      <c r="AR57">
        <f>'Kullanılan gübre'!AR57*'Gübre oranlar'!AU$3</f>
        <v>0</v>
      </c>
      <c r="AS57">
        <f>'Kullanılan gübre'!AS57*'Gübre oranlar'!AV$3</f>
        <v>0</v>
      </c>
      <c r="AT57">
        <f>'Kullanılan gübre'!AT57*'Gübre oranlar'!AW$3</f>
        <v>0</v>
      </c>
      <c r="AU57">
        <f>'Kullanılan gübre'!AU57*'Gübre oranlar'!AX$3</f>
        <v>0</v>
      </c>
      <c r="AV57">
        <f>'Kullanılan gübre'!AV57*'Gübre oranlar'!AY$3</f>
        <v>0</v>
      </c>
      <c r="AW57">
        <f t="shared" si="0"/>
        <v>251.71000000000004</v>
      </c>
    </row>
    <row r="58" spans="1:49" x14ac:dyDescent="0.25">
      <c r="A58" t="str">
        <f>'Kullanılan gübre'!A58</f>
        <v>AK</v>
      </c>
      <c r="B58" t="str">
        <f>'Kullanılan gübre'!B58</f>
        <v>AFYONKARAHISAR</v>
      </c>
      <c r="C58" t="str">
        <f>'Kullanılan gübre'!C58</f>
        <v>ISCEHISAR</v>
      </c>
      <c r="D58">
        <f>'Kullanılan gübre'!D58</f>
        <v>2011</v>
      </c>
      <c r="E58">
        <f>'Kullanılan gübre'!E58*'Gübre oranlar'!H$3</f>
        <v>0</v>
      </c>
      <c r="F58">
        <f>'Kullanılan gübre'!F58*'Gübre oranlar'!I$3</f>
        <v>0</v>
      </c>
      <c r="G58">
        <f>'Kullanılan gübre'!G58*'Gübre oranlar'!J$3</f>
        <v>0</v>
      </c>
      <c r="H58">
        <f>'Kullanılan gübre'!H58*'Gübre oranlar'!K$3</f>
        <v>0</v>
      </c>
      <c r="I58">
        <f>'Kullanılan gübre'!I58*'Gübre oranlar'!L$3</f>
        <v>0</v>
      </c>
      <c r="J58">
        <f>'Kullanılan gübre'!J58*'Gübre oranlar'!M$3</f>
        <v>0</v>
      </c>
      <c r="K58">
        <f>'Kullanılan gübre'!K58*'Gübre oranlar'!N$3</f>
        <v>0</v>
      </c>
      <c r="L58">
        <f>'Kullanılan gübre'!L58*'Gübre oranlar'!O$3</f>
        <v>24.6</v>
      </c>
      <c r="M58">
        <f>'Kullanılan gübre'!M58*'Gübre oranlar'!P$3</f>
        <v>0</v>
      </c>
      <c r="N58">
        <f>'Kullanılan gübre'!N58*'Gübre oranlar'!Q$3</f>
        <v>0</v>
      </c>
      <c r="O58">
        <f>'Kullanılan gübre'!O58*'Gübre oranlar'!R$3</f>
        <v>0</v>
      </c>
      <c r="P58">
        <f>'Kullanılan gübre'!P58*'Gübre oranlar'!S$3</f>
        <v>0</v>
      </c>
      <c r="Q58">
        <f>'Kullanılan gübre'!Q58*'Gübre oranlar'!T$3</f>
        <v>0</v>
      </c>
      <c r="R58">
        <f>'Kullanılan gübre'!R58*'Gübre oranlar'!U$3</f>
        <v>0</v>
      </c>
      <c r="S58">
        <f>'Kullanılan gübre'!S58*'Gübre oranlar'!V$3</f>
        <v>0</v>
      </c>
      <c r="T58">
        <f>'Kullanılan gübre'!T58*'Gübre oranlar'!W$3</f>
        <v>0</v>
      </c>
      <c r="U58">
        <f>'Kullanılan gübre'!U58*'Gübre oranlar'!X$3</f>
        <v>0</v>
      </c>
      <c r="V58">
        <f>'Kullanılan gübre'!V58*'Gübre oranlar'!Y$3</f>
        <v>0</v>
      </c>
      <c r="W58">
        <f>'Kullanılan gübre'!W58*'Gübre oranlar'!Z$3</f>
        <v>0</v>
      </c>
      <c r="X58">
        <f>'Kullanılan gübre'!X58*'Gübre oranlar'!AA$3</f>
        <v>0</v>
      </c>
      <c r="Y58">
        <f>'Kullanılan gübre'!Y58*'Gübre oranlar'!AB$3</f>
        <v>0</v>
      </c>
      <c r="Z58">
        <f>'Kullanılan gübre'!Z58*'Gübre oranlar'!AC$3</f>
        <v>0</v>
      </c>
      <c r="AA58">
        <f>'Kullanılan gübre'!AA58*'Gübre oranlar'!AD$3</f>
        <v>0</v>
      </c>
      <c r="AB58">
        <f>'Kullanılan gübre'!AB58*'Gübre oranlar'!AE$3</f>
        <v>0</v>
      </c>
      <c r="AC58">
        <f>'Kullanılan gübre'!AC58*'Gübre oranlar'!AF$3</f>
        <v>0</v>
      </c>
      <c r="AD58">
        <f>'Kullanılan gübre'!AD58*'Gübre oranlar'!AG$3</f>
        <v>0</v>
      </c>
      <c r="AE58">
        <f>'Kullanılan gübre'!AE58*'Gübre oranlar'!AH$3</f>
        <v>0</v>
      </c>
      <c r="AF58">
        <f>'Kullanılan gübre'!AF58*'Gübre oranlar'!AI$3</f>
        <v>0</v>
      </c>
      <c r="AG58">
        <f>'Kullanılan gübre'!AG58*'Gübre oranlar'!AJ$3</f>
        <v>0</v>
      </c>
      <c r="AH58">
        <f>'Kullanılan gübre'!AH58*'Gübre oranlar'!AK$3</f>
        <v>0</v>
      </c>
      <c r="AI58">
        <f>'Kullanılan gübre'!AI58*'Gübre oranlar'!AL$3</f>
        <v>0</v>
      </c>
      <c r="AJ58">
        <f>'Kullanılan gübre'!AJ58*'Gübre oranlar'!AM$3</f>
        <v>0</v>
      </c>
      <c r="AK58">
        <f>'Kullanılan gübre'!AK58*'Gübre oranlar'!AN$3</f>
        <v>0</v>
      </c>
      <c r="AL58">
        <f>'Kullanılan gübre'!AL58*'Gübre oranlar'!AO$3</f>
        <v>0</v>
      </c>
      <c r="AM58">
        <f>'Kullanılan gübre'!AM58*'Gübre oranlar'!AP$3</f>
        <v>0</v>
      </c>
      <c r="AN58">
        <f>'Kullanılan gübre'!AN58*'Gübre oranlar'!AQ$3</f>
        <v>0</v>
      </c>
      <c r="AO58">
        <f>'Kullanılan gübre'!AO58*'Gübre oranlar'!AR$3</f>
        <v>0</v>
      </c>
      <c r="AP58">
        <f>'Kullanılan gübre'!AP58*'Gübre oranlar'!AS$3</f>
        <v>0</v>
      </c>
      <c r="AQ58">
        <f>'Kullanılan gübre'!AQ58*'Gübre oranlar'!AT$3</f>
        <v>0</v>
      </c>
      <c r="AR58">
        <f>'Kullanılan gübre'!AR58*'Gübre oranlar'!AU$3</f>
        <v>0</v>
      </c>
      <c r="AS58">
        <f>'Kullanılan gübre'!AS58*'Gübre oranlar'!AV$3</f>
        <v>0</v>
      </c>
      <c r="AT58">
        <f>'Kullanılan gübre'!AT58*'Gübre oranlar'!AW$3</f>
        <v>0</v>
      </c>
      <c r="AU58">
        <f>'Kullanılan gübre'!AU58*'Gübre oranlar'!AX$3</f>
        <v>0</v>
      </c>
      <c r="AV58">
        <f>'Kullanılan gübre'!AV58*'Gübre oranlar'!AY$3</f>
        <v>0</v>
      </c>
      <c r="AW58">
        <f t="shared" si="0"/>
        <v>24.6</v>
      </c>
    </row>
    <row r="59" spans="1:49" x14ac:dyDescent="0.25">
      <c r="A59" t="str">
        <f>'Kullanılan gübre'!A59</f>
        <v>AK</v>
      </c>
      <c r="B59" t="str">
        <f>'Kullanılan gübre'!B59</f>
        <v>AFYONKARAHISAR</v>
      </c>
      <c r="C59" t="str">
        <f>'Kullanılan gübre'!C59</f>
        <v>SINANPASA</v>
      </c>
      <c r="D59">
        <f>'Kullanılan gübre'!D59</f>
        <v>2011</v>
      </c>
      <c r="E59">
        <f>'Kullanılan gübre'!E59*'Gübre oranlar'!H$3</f>
        <v>0</v>
      </c>
      <c r="F59">
        <f>'Kullanılan gübre'!F59*'Gübre oranlar'!I$3</f>
        <v>0</v>
      </c>
      <c r="G59">
        <f>'Kullanılan gübre'!G59*'Gübre oranlar'!J$3</f>
        <v>0</v>
      </c>
      <c r="H59">
        <f>'Kullanılan gübre'!H59*'Gübre oranlar'!K$3</f>
        <v>0</v>
      </c>
      <c r="I59">
        <f>'Kullanılan gübre'!I59*'Gübre oranlar'!L$3</f>
        <v>0</v>
      </c>
      <c r="J59">
        <f>'Kullanılan gübre'!J59*'Gübre oranlar'!M$3</f>
        <v>0</v>
      </c>
      <c r="K59">
        <f>'Kullanılan gübre'!K59*'Gübre oranlar'!N$3</f>
        <v>87.53</v>
      </c>
      <c r="L59">
        <f>'Kullanılan gübre'!L59*'Gübre oranlar'!O$3</f>
        <v>146.82000000000002</v>
      </c>
      <c r="M59">
        <f>'Kullanılan gübre'!M59*'Gübre oranlar'!P$3</f>
        <v>2.6999999999999997</v>
      </c>
      <c r="N59">
        <f>'Kullanılan gübre'!N59*'Gübre oranlar'!Q$3</f>
        <v>6.5025000000000004</v>
      </c>
      <c r="O59">
        <f>'Kullanılan gübre'!O59*'Gübre oranlar'!R$3</f>
        <v>0</v>
      </c>
      <c r="P59">
        <f>'Kullanılan gübre'!P59*'Gübre oranlar'!S$3</f>
        <v>0</v>
      </c>
      <c r="Q59">
        <f>'Kullanılan gübre'!Q59*'Gübre oranlar'!T$3</f>
        <v>5.3999999999999995</v>
      </c>
      <c r="R59">
        <f>'Kullanılan gübre'!R59*'Gübre oranlar'!U$3</f>
        <v>0</v>
      </c>
      <c r="S59">
        <f>'Kullanılan gübre'!S59*'Gübre oranlar'!V$3</f>
        <v>0</v>
      </c>
      <c r="T59">
        <f>'Kullanılan gübre'!T59*'Gübre oranlar'!W$3</f>
        <v>0</v>
      </c>
      <c r="U59">
        <f>'Kullanılan gübre'!U59*'Gübre oranlar'!X$3</f>
        <v>0</v>
      </c>
      <c r="V59">
        <f>'Kullanılan gübre'!V59*'Gübre oranlar'!Y$3</f>
        <v>13.875</v>
      </c>
      <c r="W59">
        <f>'Kullanılan gübre'!W59*'Gübre oranlar'!Z$3</f>
        <v>0</v>
      </c>
      <c r="X59">
        <f>'Kullanılan gübre'!X59*'Gübre oranlar'!AA$3</f>
        <v>0</v>
      </c>
      <c r="Y59">
        <f>'Kullanılan gübre'!Y59*'Gübre oranlar'!AB$3</f>
        <v>0</v>
      </c>
      <c r="Z59">
        <f>'Kullanılan gübre'!Z59*'Gübre oranlar'!AC$3</f>
        <v>0</v>
      </c>
      <c r="AA59">
        <f>'Kullanılan gübre'!AA59*'Gübre oranlar'!AD$3</f>
        <v>0</v>
      </c>
      <c r="AB59">
        <f>'Kullanılan gübre'!AB59*'Gübre oranlar'!AE$3</f>
        <v>0</v>
      </c>
      <c r="AC59">
        <f>'Kullanılan gübre'!AC59*'Gübre oranlar'!AF$3</f>
        <v>0</v>
      </c>
      <c r="AD59">
        <f>'Kullanılan gübre'!AD59*'Gübre oranlar'!AG$3</f>
        <v>0</v>
      </c>
      <c r="AE59">
        <f>'Kullanılan gübre'!AE59*'Gübre oranlar'!AH$3</f>
        <v>13.875</v>
      </c>
      <c r="AF59">
        <f>'Kullanılan gübre'!AF59*'Gübre oranlar'!AI$3</f>
        <v>0</v>
      </c>
      <c r="AG59">
        <f>'Kullanılan gübre'!AG59*'Gübre oranlar'!AJ$3</f>
        <v>0</v>
      </c>
      <c r="AH59">
        <f>'Kullanılan gübre'!AH59*'Gübre oranlar'!AK$3</f>
        <v>0</v>
      </c>
      <c r="AI59">
        <f>'Kullanılan gübre'!AI59*'Gübre oranlar'!AL$3</f>
        <v>0</v>
      </c>
      <c r="AJ59">
        <f>'Kullanılan gübre'!AJ59*'Gübre oranlar'!AM$3</f>
        <v>0</v>
      </c>
      <c r="AK59">
        <f>'Kullanılan gübre'!AK59*'Gübre oranlar'!AN$3</f>
        <v>0</v>
      </c>
      <c r="AL59">
        <f>'Kullanılan gübre'!AL59*'Gübre oranlar'!AO$3</f>
        <v>0</v>
      </c>
      <c r="AM59">
        <f>'Kullanılan gübre'!AM59*'Gübre oranlar'!AP$3</f>
        <v>0</v>
      </c>
      <c r="AN59">
        <f>'Kullanılan gübre'!AN59*'Gübre oranlar'!AQ$3</f>
        <v>0</v>
      </c>
      <c r="AO59">
        <f>'Kullanılan gübre'!AO59*'Gübre oranlar'!AR$3</f>
        <v>0</v>
      </c>
      <c r="AP59">
        <f>'Kullanılan gübre'!AP59*'Gübre oranlar'!AS$3</f>
        <v>0</v>
      </c>
      <c r="AQ59">
        <f>'Kullanılan gübre'!AQ59*'Gübre oranlar'!AT$3</f>
        <v>0</v>
      </c>
      <c r="AR59">
        <f>'Kullanılan gübre'!AR59*'Gübre oranlar'!AU$3</f>
        <v>0</v>
      </c>
      <c r="AS59">
        <f>'Kullanılan gübre'!AS59*'Gübre oranlar'!AV$3</f>
        <v>0</v>
      </c>
      <c r="AT59">
        <f>'Kullanılan gübre'!AT59*'Gübre oranlar'!AW$3</f>
        <v>0</v>
      </c>
      <c r="AU59">
        <f>'Kullanılan gübre'!AU59*'Gübre oranlar'!AX$3</f>
        <v>0</v>
      </c>
      <c r="AV59">
        <f>'Kullanılan gübre'!AV59*'Gübre oranlar'!AY$3</f>
        <v>0</v>
      </c>
      <c r="AW59">
        <f t="shared" si="0"/>
        <v>276.70249999999999</v>
      </c>
    </row>
    <row r="60" spans="1:49" x14ac:dyDescent="0.25">
      <c r="A60" t="str">
        <f>'Kullanılan gübre'!A60</f>
        <v>AK</v>
      </c>
      <c r="B60" t="str">
        <f>'Kullanılan gübre'!B60</f>
        <v>AFYONKARAHISAR</v>
      </c>
      <c r="C60" t="str">
        <f>'Kullanılan gübre'!C60</f>
        <v>SULTANDAGI</v>
      </c>
      <c r="D60">
        <f>'Kullanılan gübre'!D60</f>
        <v>2011</v>
      </c>
      <c r="E60">
        <f>'Kullanılan gübre'!E60*'Gübre oranlar'!H$3</f>
        <v>0</v>
      </c>
      <c r="F60">
        <f>'Kullanılan gübre'!F60*'Gübre oranlar'!I$3</f>
        <v>0</v>
      </c>
      <c r="G60">
        <f>'Kullanılan gübre'!G60*'Gübre oranlar'!J$3</f>
        <v>0</v>
      </c>
      <c r="H60">
        <f>'Kullanılan gübre'!H60*'Gübre oranlar'!K$3</f>
        <v>0</v>
      </c>
      <c r="I60">
        <f>'Kullanılan gübre'!I60*'Gübre oranlar'!L$3</f>
        <v>20.768999999999998</v>
      </c>
      <c r="J60">
        <f>'Kullanılan gübre'!J60*'Gübre oranlar'!M$3</f>
        <v>0</v>
      </c>
      <c r="K60">
        <f>'Kullanılan gübre'!K60*'Gübre oranlar'!N$3</f>
        <v>3.8600000000000003</v>
      </c>
      <c r="L60">
        <f>'Kullanılan gübre'!L60*'Gübre oranlar'!O$3</f>
        <v>38.700000000000003</v>
      </c>
      <c r="M60">
        <f>'Kullanılan gübre'!M60*'Gübre oranlar'!P$3</f>
        <v>1.2</v>
      </c>
      <c r="N60">
        <f>'Kullanılan gübre'!N60*'Gübre oranlar'!Q$3</f>
        <v>16.619999999999997</v>
      </c>
      <c r="O60">
        <f>'Kullanılan gübre'!O60*'Gübre oranlar'!R$3</f>
        <v>0</v>
      </c>
      <c r="P60">
        <f>'Kullanılan gübre'!P60*'Gübre oranlar'!S$3</f>
        <v>0</v>
      </c>
      <c r="Q60">
        <f>'Kullanılan gübre'!Q60*'Gübre oranlar'!T$3</f>
        <v>0</v>
      </c>
      <c r="R60">
        <f>'Kullanılan gübre'!R60*'Gübre oranlar'!U$3</f>
        <v>0</v>
      </c>
      <c r="S60">
        <f>'Kullanılan gübre'!S60*'Gübre oranlar'!V$3</f>
        <v>0</v>
      </c>
      <c r="T60">
        <f>'Kullanılan gübre'!T60*'Gübre oranlar'!W$3</f>
        <v>0</v>
      </c>
      <c r="U60">
        <f>'Kullanılan gübre'!U60*'Gübre oranlar'!X$3</f>
        <v>0</v>
      </c>
      <c r="V60">
        <f>'Kullanılan gübre'!V60*'Gübre oranlar'!Y$3</f>
        <v>1.2124999999999999</v>
      </c>
      <c r="W60">
        <f>'Kullanılan gübre'!W60*'Gübre oranlar'!Z$3</f>
        <v>0</v>
      </c>
      <c r="X60">
        <f>'Kullanılan gübre'!X60*'Gübre oranlar'!AA$3</f>
        <v>0</v>
      </c>
      <c r="Y60">
        <f>'Kullanılan gübre'!Y60*'Gübre oranlar'!AB$3</f>
        <v>0</v>
      </c>
      <c r="Z60">
        <f>'Kullanılan gübre'!Z60*'Gübre oranlar'!AC$3</f>
        <v>0</v>
      </c>
      <c r="AA60">
        <f>'Kullanılan gübre'!AA60*'Gübre oranlar'!AD$3</f>
        <v>27.48</v>
      </c>
      <c r="AB60">
        <f>'Kullanılan gübre'!AB60*'Gübre oranlar'!AE$3</f>
        <v>0</v>
      </c>
      <c r="AC60">
        <f>'Kullanılan gübre'!AC60*'Gübre oranlar'!AF$3</f>
        <v>0</v>
      </c>
      <c r="AD60">
        <f>'Kullanılan gübre'!AD60*'Gübre oranlar'!AG$3</f>
        <v>0</v>
      </c>
      <c r="AE60">
        <f>'Kullanılan gübre'!AE60*'Gübre oranlar'!AH$3</f>
        <v>3.7124999999999999</v>
      </c>
      <c r="AF60">
        <f>'Kullanılan gübre'!AF60*'Gübre oranlar'!AI$3</f>
        <v>0</v>
      </c>
      <c r="AG60">
        <f>'Kullanılan gübre'!AG60*'Gübre oranlar'!AJ$3</f>
        <v>0</v>
      </c>
      <c r="AH60">
        <f>'Kullanılan gübre'!AH60*'Gübre oranlar'!AK$3</f>
        <v>0</v>
      </c>
      <c r="AI60">
        <f>'Kullanılan gübre'!AI60*'Gübre oranlar'!AL$3</f>
        <v>0</v>
      </c>
      <c r="AJ60">
        <f>'Kullanılan gübre'!AJ60*'Gübre oranlar'!AM$3</f>
        <v>0</v>
      </c>
      <c r="AK60">
        <f>'Kullanılan gübre'!AK60*'Gübre oranlar'!AN$3</f>
        <v>0</v>
      </c>
      <c r="AL60">
        <f>'Kullanılan gübre'!AL60*'Gübre oranlar'!AO$3</f>
        <v>0</v>
      </c>
      <c r="AM60">
        <f>'Kullanılan gübre'!AM60*'Gübre oranlar'!AP$3</f>
        <v>0</v>
      </c>
      <c r="AN60">
        <f>'Kullanılan gübre'!AN60*'Gübre oranlar'!AQ$3</f>
        <v>0</v>
      </c>
      <c r="AO60">
        <f>'Kullanılan gübre'!AO60*'Gübre oranlar'!AR$3</f>
        <v>0</v>
      </c>
      <c r="AP60">
        <f>'Kullanılan gübre'!AP60*'Gübre oranlar'!AS$3</f>
        <v>0</v>
      </c>
      <c r="AQ60">
        <f>'Kullanılan gübre'!AQ60*'Gübre oranlar'!AT$3</f>
        <v>0</v>
      </c>
      <c r="AR60">
        <f>'Kullanılan gübre'!AR60*'Gübre oranlar'!AU$3</f>
        <v>0</v>
      </c>
      <c r="AS60">
        <f>'Kullanılan gübre'!AS60*'Gübre oranlar'!AV$3</f>
        <v>0</v>
      </c>
      <c r="AT60">
        <f>'Kullanılan gübre'!AT60*'Gübre oranlar'!AW$3</f>
        <v>0</v>
      </c>
      <c r="AU60">
        <f>'Kullanılan gübre'!AU60*'Gübre oranlar'!AX$3</f>
        <v>0</v>
      </c>
      <c r="AV60">
        <f>'Kullanılan gübre'!AV60*'Gübre oranlar'!AY$3</f>
        <v>0</v>
      </c>
      <c r="AW60">
        <f t="shared" si="0"/>
        <v>113.55400000000002</v>
      </c>
    </row>
    <row r="61" spans="1:49" x14ac:dyDescent="0.25">
      <c r="A61" t="str">
        <f>'Kullanılan gübre'!A61</f>
        <v>AK</v>
      </c>
      <c r="B61" t="str">
        <f>'Kullanılan gübre'!B61</f>
        <v>AFYONKARAHISAR</v>
      </c>
      <c r="C61" t="str">
        <f>'Kullanılan gübre'!C61</f>
        <v>SUHUT</v>
      </c>
      <c r="D61">
        <f>'Kullanılan gübre'!D61</f>
        <v>2011</v>
      </c>
      <c r="E61">
        <f>'Kullanılan gübre'!E61*'Gübre oranlar'!H$3</f>
        <v>0</v>
      </c>
      <c r="F61">
        <f>'Kullanılan gübre'!F61*'Gübre oranlar'!I$3</f>
        <v>0</v>
      </c>
      <c r="G61">
        <f>'Kullanılan gübre'!G61*'Gübre oranlar'!J$3</f>
        <v>0</v>
      </c>
      <c r="H61">
        <f>'Kullanılan gübre'!H61*'Gübre oranlar'!K$3</f>
        <v>0</v>
      </c>
      <c r="I61">
        <f>'Kullanılan gübre'!I61*'Gübre oranlar'!L$3</f>
        <v>5.9081999999999999</v>
      </c>
      <c r="J61">
        <f>'Kullanılan gübre'!J61*'Gübre oranlar'!M$3</f>
        <v>0</v>
      </c>
      <c r="K61">
        <f>'Kullanılan gübre'!K61*'Gübre oranlar'!N$3</f>
        <v>26.430000000000003</v>
      </c>
      <c r="L61">
        <f>'Kullanılan gübre'!L61*'Gübre oranlar'!O$3</f>
        <v>59.710000000000008</v>
      </c>
      <c r="M61">
        <f>'Kullanılan gübre'!M61*'Gübre oranlar'!P$3</f>
        <v>52.709999999999994</v>
      </c>
      <c r="N61">
        <f>'Kullanılan gübre'!N61*'Gübre oranlar'!Q$3</f>
        <v>95.482499999999987</v>
      </c>
      <c r="O61">
        <f>'Kullanılan gübre'!O61*'Gübre oranlar'!R$3</f>
        <v>0</v>
      </c>
      <c r="P61">
        <f>'Kullanılan gübre'!P61*'Gübre oranlar'!S$3</f>
        <v>0</v>
      </c>
      <c r="Q61">
        <f>'Kullanılan gübre'!Q61*'Gübre oranlar'!T$3</f>
        <v>0</v>
      </c>
      <c r="R61">
        <f>'Kullanılan gübre'!R61*'Gübre oranlar'!U$3</f>
        <v>3.573</v>
      </c>
      <c r="S61">
        <f>'Kullanılan gübre'!S61*'Gübre oranlar'!V$3</f>
        <v>0</v>
      </c>
      <c r="T61">
        <f>'Kullanılan gübre'!T61*'Gübre oranlar'!W$3</f>
        <v>0</v>
      </c>
      <c r="U61">
        <f>'Kullanılan gübre'!U61*'Gübre oranlar'!X$3</f>
        <v>0</v>
      </c>
      <c r="V61">
        <f>'Kullanılan gübre'!V61*'Gübre oranlar'!Y$3</f>
        <v>0</v>
      </c>
      <c r="W61">
        <f>'Kullanılan gübre'!W61*'Gübre oranlar'!Z$3</f>
        <v>0</v>
      </c>
      <c r="X61">
        <f>'Kullanılan gübre'!X61*'Gübre oranlar'!AA$3</f>
        <v>15.11</v>
      </c>
      <c r="Y61">
        <f>'Kullanılan gübre'!Y61*'Gübre oranlar'!AB$3</f>
        <v>0</v>
      </c>
      <c r="Z61">
        <f>'Kullanılan gübre'!Z61*'Gübre oranlar'!AC$3</f>
        <v>0</v>
      </c>
      <c r="AA61">
        <f>'Kullanılan gübre'!AA61*'Gübre oranlar'!AD$3</f>
        <v>139.5</v>
      </c>
      <c r="AB61">
        <f>'Kullanılan gübre'!AB61*'Gübre oranlar'!AE$3</f>
        <v>0</v>
      </c>
      <c r="AC61">
        <f>'Kullanılan gübre'!AC61*'Gübre oranlar'!AF$3</f>
        <v>0</v>
      </c>
      <c r="AD61">
        <f>'Kullanılan gübre'!AD61*'Gübre oranlar'!AG$3</f>
        <v>0</v>
      </c>
      <c r="AE61">
        <f>'Kullanılan gübre'!AE61*'Gübre oranlar'!AH$3</f>
        <v>16</v>
      </c>
      <c r="AF61">
        <f>'Kullanılan gübre'!AF61*'Gübre oranlar'!AI$3</f>
        <v>0</v>
      </c>
      <c r="AG61">
        <f>'Kullanılan gübre'!AG61*'Gübre oranlar'!AJ$3</f>
        <v>0</v>
      </c>
      <c r="AH61">
        <f>'Kullanılan gübre'!AH61*'Gübre oranlar'!AK$3</f>
        <v>0</v>
      </c>
      <c r="AI61">
        <f>'Kullanılan gübre'!AI61*'Gübre oranlar'!AL$3</f>
        <v>0</v>
      </c>
      <c r="AJ61">
        <f>'Kullanılan gübre'!AJ61*'Gübre oranlar'!AM$3</f>
        <v>0</v>
      </c>
      <c r="AK61">
        <f>'Kullanılan gübre'!AK61*'Gübre oranlar'!AN$3</f>
        <v>0</v>
      </c>
      <c r="AL61">
        <f>'Kullanılan gübre'!AL61*'Gübre oranlar'!AO$3</f>
        <v>0</v>
      </c>
      <c r="AM61">
        <f>'Kullanılan gübre'!AM61*'Gübre oranlar'!AP$3</f>
        <v>0</v>
      </c>
      <c r="AN61">
        <f>'Kullanılan gübre'!AN61*'Gübre oranlar'!AQ$3</f>
        <v>0</v>
      </c>
      <c r="AO61">
        <f>'Kullanılan gübre'!AO61*'Gübre oranlar'!AR$3</f>
        <v>0</v>
      </c>
      <c r="AP61">
        <f>'Kullanılan gübre'!AP61*'Gübre oranlar'!AS$3</f>
        <v>0</v>
      </c>
      <c r="AQ61">
        <f>'Kullanılan gübre'!AQ61*'Gübre oranlar'!AT$3</f>
        <v>0</v>
      </c>
      <c r="AR61">
        <f>'Kullanılan gübre'!AR61*'Gübre oranlar'!AU$3</f>
        <v>0</v>
      </c>
      <c r="AS61">
        <f>'Kullanılan gübre'!AS61*'Gübre oranlar'!AV$3</f>
        <v>0</v>
      </c>
      <c r="AT61">
        <f>'Kullanılan gübre'!AT61*'Gübre oranlar'!AW$3</f>
        <v>0</v>
      </c>
      <c r="AU61">
        <f>'Kullanılan gübre'!AU61*'Gübre oranlar'!AX$3</f>
        <v>0</v>
      </c>
      <c r="AV61">
        <f>'Kullanılan gübre'!AV61*'Gübre oranlar'!AY$3</f>
        <v>0</v>
      </c>
      <c r="AW61">
        <f t="shared" si="0"/>
        <v>414.4237</v>
      </c>
    </row>
    <row r="62" spans="1:49" x14ac:dyDescent="0.25">
      <c r="A62" t="str">
        <f>'Kullanılan gübre'!A62</f>
        <v>AK</v>
      </c>
      <c r="B62" t="str">
        <f>'Kullanılan gübre'!B62</f>
        <v>AFYONKARAHISAR</v>
      </c>
      <c r="C62" t="str">
        <f>'Kullanılan gübre'!C62</f>
        <v>MERKEZ</v>
      </c>
      <c r="D62">
        <f>'Kullanılan gübre'!D62</f>
        <v>2012</v>
      </c>
      <c r="E62">
        <f>'Kullanılan gübre'!E62*'Gübre oranlar'!H$3</f>
        <v>0</v>
      </c>
      <c r="F62">
        <f>'Kullanılan gübre'!F62*'Gübre oranlar'!I$3</f>
        <v>0</v>
      </c>
      <c r="G62">
        <f>'Kullanılan gübre'!G62*'Gübre oranlar'!J$3</f>
        <v>0</v>
      </c>
      <c r="H62">
        <f>'Kullanılan gübre'!H62*'Gübre oranlar'!K$3</f>
        <v>0</v>
      </c>
      <c r="I62">
        <f>'Kullanılan gübre'!I62*'Gübre oranlar'!L$3</f>
        <v>0</v>
      </c>
      <c r="J62">
        <f>'Kullanılan gübre'!J62*'Gübre oranlar'!M$3</f>
        <v>0</v>
      </c>
      <c r="K62">
        <f>'Kullanılan gübre'!K62*'Gübre oranlar'!N$3</f>
        <v>289.36399999999998</v>
      </c>
      <c r="L62">
        <f>'Kullanılan gübre'!L62*'Gübre oranlar'!O$3</f>
        <v>101.15</v>
      </c>
      <c r="M62">
        <f>'Kullanılan gübre'!M62*'Gübre oranlar'!P$3</f>
        <v>20.8155</v>
      </c>
      <c r="N62">
        <f>'Kullanılan gübre'!N62*'Gübre oranlar'!Q$3</f>
        <v>72.127499999999998</v>
      </c>
      <c r="O62">
        <f>'Kullanılan gübre'!O62*'Gübre oranlar'!R$3</f>
        <v>0</v>
      </c>
      <c r="P62">
        <f>'Kullanılan gübre'!P62*'Gübre oranlar'!S$3</f>
        <v>0</v>
      </c>
      <c r="Q62">
        <f>'Kullanılan gübre'!Q62*'Gübre oranlar'!T$3</f>
        <v>156.16499999999999</v>
      </c>
      <c r="R62">
        <f>'Kullanılan gübre'!R62*'Gübre oranlar'!U$3</f>
        <v>0</v>
      </c>
      <c r="S62">
        <f>'Kullanılan gübre'!S62*'Gübre oranlar'!V$3</f>
        <v>0</v>
      </c>
      <c r="T62">
        <f>'Kullanılan gübre'!T62*'Gübre oranlar'!W$3</f>
        <v>0</v>
      </c>
      <c r="U62">
        <f>'Kullanılan gübre'!U62*'Gübre oranlar'!X$3</f>
        <v>0</v>
      </c>
      <c r="V62">
        <f>'Kullanılan gübre'!V62*'Gübre oranlar'!Y$3</f>
        <v>20.524999999999999</v>
      </c>
      <c r="W62">
        <f>'Kullanılan gübre'!W62*'Gübre oranlar'!Z$3</f>
        <v>0</v>
      </c>
      <c r="X62">
        <f>'Kullanılan gübre'!X62*'Gübre oranlar'!AA$3</f>
        <v>0.15000000000000002</v>
      </c>
      <c r="Y62">
        <f>'Kullanılan gübre'!Y62*'Gübre oranlar'!AB$3</f>
        <v>0</v>
      </c>
      <c r="Z62">
        <f>'Kullanılan gübre'!Z62*'Gübre oranlar'!AC$3</f>
        <v>0</v>
      </c>
      <c r="AA62">
        <f>'Kullanılan gübre'!AA62*'Gübre oranlar'!AD$3</f>
        <v>2.9039999999999999</v>
      </c>
      <c r="AB62">
        <f>'Kullanılan gübre'!AB62*'Gübre oranlar'!AE$3</f>
        <v>0</v>
      </c>
      <c r="AC62">
        <f>'Kullanılan gübre'!AC62*'Gübre oranlar'!AF$3</f>
        <v>0</v>
      </c>
      <c r="AD62">
        <f>'Kullanılan gübre'!AD62*'Gübre oranlar'!AG$3</f>
        <v>0</v>
      </c>
      <c r="AE62">
        <f>'Kullanılan gübre'!AE62*'Gübre oranlar'!AH$3</f>
        <v>20.524999999999999</v>
      </c>
      <c r="AF62">
        <f>'Kullanılan gübre'!AF62*'Gübre oranlar'!AI$3</f>
        <v>0</v>
      </c>
      <c r="AG62">
        <f>'Kullanılan gübre'!AG62*'Gübre oranlar'!AJ$3</f>
        <v>0</v>
      </c>
      <c r="AH62">
        <f>'Kullanılan gübre'!AH62*'Gübre oranlar'!AK$3</f>
        <v>0</v>
      </c>
      <c r="AI62">
        <f>'Kullanılan gübre'!AI62*'Gübre oranlar'!AL$3</f>
        <v>0</v>
      </c>
      <c r="AJ62">
        <f>'Kullanılan gübre'!AJ62*'Gübre oranlar'!AM$3</f>
        <v>0</v>
      </c>
      <c r="AK62">
        <f>'Kullanılan gübre'!AK62*'Gübre oranlar'!AN$3</f>
        <v>0</v>
      </c>
      <c r="AL62">
        <f>'Kullanılan gübre'!AL62*'Gübre oranlar'!AO$3</f>
        <v>0</v>
      </c>
      <c r="AM62">
        <f>'Kullanılan gübre'!AM62*'Gübre oranlar'!AP$3</f>
        <v>0</v>
      </c>
      <c r="AN62">
        <f>'Kullanılan gübre'!AN62*'Gübre oranlar'!AQ$3</f>
        <v>0</v>
      </c>
      <c r="AO62">
        <f>'Kullanılan gübre'!AO62*'Gübre oranlar'!AR$3</f>
        <v>0</v>
      </c>
      <c r="AP62">
        <f>'Kullanılan gübre'!AP62*'Gübre oranlar'!AS$3</f>
        <v>0</v>
      </c>
      <c r="AQ62">
        <f>'Kullanılan gübre'!AQ62*'Gübre oranlar'!AT$3</f>
        <v>0</v>
      </c>
      <c r="AR62">
        <f>'Kullanılan gübre'!AR62*'Gübre oranlar'!AU$3</f>
        <v>0</v>
      </c>
      <c r="AS62">
        <f>'Kullanılan gübre'!AS62*'Gübre oranlar'!AV$3</f>
        <v>0</v>
      </c>
      <c r="AT62">
        <f>'Kullanılan gübre'!AT62*'Gübre oranlar'!AW$3</f>
        <v>0</v>
      </c>
      <c r="AU62">
        <f>'Kullanılan gübre'!AU62*'Gübre oranlar'!AX$3</f>
        <v>0</v>
      </c>
      <c r="AV62">
        <f>'Kullanılan gübre'!AV62*'Gübre oranlar'!AY$3</f>
        <v>0</v>
      </c>
      <c r="AW62">
        <f t="shared" si="0"/>
        <v>683.72599999999989</v>
      </c>
    </row>
    <row r="63" spans="1:49" x14ac:dyDescent="0.25">
      <c r="A63" t="str">
        <f>'Kullanılan gübre'!A63</f>
        <v>AK</v>
      </c>
      <c r="B63" t="str">
        <f>'Kullanılan gübre'!B63</f>
        <v>AFYONKARAHISAR</v>
      </c>
      <c r="C63" t="str">
        <f>'Kullanılan gübre'!C63</f>
        <v>BAYAT</v>
      </c>
      <c r="D63">
        <f>'Kullanılan gübre'!D63</f>
        <v>2012</v>
      </c>
      <c r="E63">
        <f>'Kullanılan gübre'!E63*'Gübre oranlar'!H$3</f>
        <v>0</v>
      </c>
      <c r="F63">
        <f>'Kullanılan gübre'!F63*'Gübre oranlar'!I$3</f>
        <v>0</v>
      </c>
      <c r="G63">
        <f>'Kullanılan gübre'!G63*'Gübre oranlar'!J$3</f>
        <v>0</v>
      </c>
      <c r="H63">
        <f>'Kullanılan gübre'!H63*'Gübre oranlar'!K$3</f>
        <v>0</v>
      </c>
      <c r="I63">
        <f>'Kullanılan gübre'!I63*'Gübre oranlar'!L$3</f>
        <v>0</v>
      </c>
      <c r="J63">
        <f>'Kullanılan gübre'!J63*'Gübre oranlar'!M$3</f>
        <v>0</v>
      </c>
      <c r="K63">
        <f>'Kullanılan gübre'!K63*'Gübre oranlar'!N$3</f>
        <v>0</v>
      </c>
      <c r="L63">
        <f>'Kullanılan gübre'!L63*'Gübre oranlar'!O$3</f>
        <v>15.600000000000001</v>
      </c>
      <c r="M63">
        <f>'Kullanılan gübre'!M63*'Gübre oranlar'!P$3</f>
        <v>0</v>
      </c>
      <c r="N63">
        <f>'Kullanılan gübre'!N63*'Gübre oranlar'!Q$3</f>
        <v>3.7650000000000001</v>
      </c>
      <c r="O63">
        <f>'Kullanılan gübre'!O63*'Gübre oranlar'!R$3</f>
        <v>0</v>
      </c>
      <c r="P63">
        <f>'Kullanılan gübre'!P63*'Gübre oranlar'!S$3</f>
        <v>0</v>
      </c>
      <c r="Q63">
        <f>'Kullanılan gübre'!Q63*'Gübre oranlar'!T$3</f>
        <v>0</v>
      </c>
      <c r="R63">
        <f>'Kullanılan gübre'!R63*'Gübre oranlar'!U$3</f>
        <v>0</v>
      </c>
      <c r="S63">
        <f>'Kullanılan gübre'!S63*'Gübre oranlar'!V$3</f>
        <v>0</v>
      </c>
      <c r="T63">
        <f>'Kullanılan gübre'!T63*'Gübre oranlar'!W$3</f>
        <v>0</v>
      </c>
      <c r="U63">
        <f>'Kullanılan gübre'!U63*'Gübre oranlar'!X$3</f>
        <v>0</v>
      </c>
      <c r="V63">
        <f>'Kullanılan gübre'!V63*'Gübre oranlar'!Y$3</f>
        <v>0</v>
      </c>
      <c r="W63">
        <f>'Kullanılan gübre'!W63*'Gübre oranlar'!Z$3</f>
        <v>0</v>
      </c>
      <c r="X63">
        <f>'Kullanılan gübre'!X63*'Gübre oranlar'!AA$3</f>
        <v>0</v>
      </c>
      <c r="Y63">
        <f>'Kullanılan gübre'!Y63*'Gübre oranlar'!AB$3</f>
        <v>0</v>
      </c>
      <c r="Z63">
        <f>'Kullanılan gübre'!Z63*'Gübre oranlar'!AC$3</f>
        <v>0</v>
      </c>
      <c r="AA63">
        <f>'Kullanılan gübre'!AA63*'Gübre oranlar'!AD$3</f>
        <v>0</v>
      </c>
      <c r="AB63">
        <f>'Kullanılan gübre'!AB63*'Gübre oranlar'!AE$3</f>
        <v>0</v>
      </c>
      <c r="AC63">
        <f>'Kullanılan gübre'!AC63*'Gübre oranlar'!AF$3</f>
        <v>0</v>
      </c>
      <c r="AD63">
        <f>'Kullanılan gübre'!AD63*'Gübre oranlar'!AG$3</f>
        <v>0</v>
      </c>
      <c r="AE63">
        <f>'Kullanılan gübre'!AE63*'Gübre oranlar'!AH$3</f>
        <v>0</v>
      </c>
      <c r="AF63">
        <f>'Kullanılan gübre'!AF63*'Gübre oranlar'!AI$3</f>
        <v>0</v>
      </c>
      <c r="AG63">
        <f>'Kullanılan gübre'!AG63*'Gübre oranlar'!AJ$3</f>
        <v>0</v>
      </c>
      <c r="AH63">
        <f>'Kullanılan gübre'!AH63*'Gübre oranlar'!AK$3</f>
        <v>0</v>
      </c>
      <c r="AI63">
        <f>'Kullanılan gübre'!AI63*'Gübre oranlar'!AL$3</f>
        <v>0</v>
      </c>
      <c r="AJ63">
        <f>'Kullanılan gübre'!AJ63*'Gübre oranlar'!AM$3</f>
        <v>0</v>
      </c>
      <c r="AK63">
        <f>'Kullanılan gübre'!AK63*'Gübre oranlar'!AN$3</f>
        <v>0</v>
      </c>
      <c r="AL63">
        <f>'Kullanılan gübre'!AL63*'Gübre oranlar'!AO$3</f>
        <v>0</v>
      </c>
      <c r="AM63">
        <f>'Kullanılan gübre'!AM63*'Gübre oranlar'!AP$3</f>
        <v>0</v>
      </c>
      <c r="AN63">
        <f>'Kullanılan gübre'!AN63*'Gübre oranlar'!AQ$3</f>
        <v>0</v>
      </c>
      <c r="AO63">
        <f>'Kullanılan gübre'!AO63*'Gübre oranlar'!AR$3</f>
        <v>0</v>
      </c>
      <c r="AP63">
        <f>'Kullanılan gübre'!AP63*'Gübre oranlar'!AS$3</f>
        <v>0</v>
      </c>
      <c r="AQ63">
        <f>'Kullanılan gübre'!AQ63*'Gübre oranlar'!AT$3</f>
        <v>0</v>
      </c>
      <c r="AR63">
        <f>'Kullanılan gübre'!AR63*'Gübre oranlar'!AU$3</f>
        <v>0</v>
      </c>
      <c r="AS63">
        <f>'Kullanılan gübre'!AS63*'Gübre oranlar'!AV$3</f>
        <v>0</v>
      </c>
      <c r="AT63">
        <f>'Kullanılan gübre'!AT63*'Gübre oranlar'!AW$3</f>
        <v>0</v>
      </c>
      <c r="AU63">
        <f>'Kullanılan gübre'!AU63*'Gübre oranlar'!AX$3</f>
        <v>0</v>
      </c>
      <c r="AV63">
        <f>'Kullanılan gübre'!AV63*'Gübre oranlar'!AY$3</f>
        <v>0</v>
      </c>
      <c r="AW63">
        <f t="shared" si="0"/>
        <v>19.365000000000002</v>
      </c>
    </row>
    <row r="64" spans="1:49" x14ac:dyDescent="0.25">
      <c r="A64" t="str">
        <f>'Kullanılan gübre'!A64</f>
        <v>AK</v>
      </c>
      <c r="B64" t="str">
        <f>'Kullanılan gübre'!B64</f>
        <v>AFYONKARAHISAR</v>
      </c>
      <c r="C64" t="str">
        <f>'Kullanılan gübre'!C64</f>
        <v>BOLVADIN</v>
      </c>
      <c r="D64">
        <f>'Kullanılan gübre'!D64</f>
        <v>2012</v>
      </c>
      <c r="E64">
        <f>'Kullanılan gübre'!E64*'Gübre oranlar'!H$3</f>
        <v>0</v>
      </c>
      <c r="F64">
        <f>'Kullanılan gübre'!F64*'Gübre oranlar'!I$3</f>
        <v>0</v>
      </c>
      <c r="G64">
        <f>'Kullanılan gübre'!G64*'Gübre oranlar'!J$3</f>
        <v>0</v>
      </c>
      <c r="H64">
        <f>'Kullanılan gübre'!H64*'Gübre oranlar'!K$3</f>
        <v>0</v>
      </c>
      <c r="I64">
        <f>'Kullanılan gübre'!I64*'Gübre oranlar'!L$3</f>
        <v>8.6</v>
      </c>
      <c r="J64">
        <f>'Kullanılan gübre'!J64*'Gübre oranlar'!M$3</f>
        <v>0</v>
      </c>
      <c r="K64">
        <f>'Kullanılan gübre'!K64*'Gübre oranlar'!N$3</f>
        <v>0</v>
      </c>
      <c r="L64">
        <f>'Kullanılan gübre'!L64*'Gübre oranlar'!O$3</f>
        <v>51.7</v>
      </c>
      <c r="M64">
        <f>'Kullanılan gübre'!M64*'Gübre oranlar'!P$3</f>
        <v>0</v>
      </c>
      <c r="N64">
        <f>'Kullanılan gübre'!N64*'Gübre oranlar'!Q$3</f>
        <v>3.1274999999999999</v>
      </c>
      <c r="O64">
        <f>'Kullanılan gübre'!O64*'Gübre oranlar'!R$3</f>
        <v>0</v>
      </c>
      <c r="P64">
        <f>'Kullanılan gübre'!P64*'Gübre oranlar'!S$3</f>
        <v>0</v>
      </c>
      <c r="Q64">
        <f>'Kullanılan gübre'!Q64*'Gübre oranlar'!T$3</f>
        <v>0</v>
      </c>
      <c r="R64">
        <f>'Kullanılan gübre'!R64*'Gübre oranlar'!U$3</f>
        <v>0</v>
      </c>
      <c r="S64">
        <f>'Kullanılan gübre'!S64*'Gübre oranlar'!V$3</f>
        <v>0</v>
      </c>
      <c r="T64">
        <f>'Kullanılan gübre'!T64*'Gübre oranlar'!W$3</f>
        <v>31.25</v>
      </c>
      <c r="U64">
        <f>'Kullanılan gübre'!U64*'Gübre oranlar'!X$3</f>
        <v>0</v>
      </c>
      <c r="V64">
        <f>'Kullanılan gübre'!V64*'Gübre oranlar'!Y$3</f>
        <v>0</v>
      </c>
      <c r="W64">
        <f>'Kullanılan gübre'!W64*'Gübre oranlar'!Z$3</f>
        <v>0</v>
      </c>
      <c r="X64">
        <f>'Kullanılan gübre'!X64*'Gübre oranlar'!AA$3</f>
        <v>0</v>
      </c>
      <c r="Y64">
        <f>'Kullanılan gübre'!Y64*'Gübre oranlar'!AB$3</f>
        <v>0</v>
      </c>
      <c r="Z64">
        <f>'Kullanılan gübre'!Z64*'Gübre oranlar'!AC$3</f>
        <v>0</v>
      </c>
      <c r="AA64">
        <f>'Kullanılan gübre'!AA64*'Gübre oranlar'!AD$3</f>
        <v>0</v>
      </c>
      <c r="AB64">
        <f>'Kullanılan gübre'!AB64*'Gübre oranlar'!AE$3</f>
        <v>0</v>
      </c>
      <c r="AC64">
        <f>'Kullanılan gübre'!AC64*'Gübre oranlar'!AF$3</f>
        <v>0</v>
      </c>
      <c r="AD64">
        <f>'Kullanılan gübre'!AD64*'Gübre oranlar'!AG$3</f>
        <v>0</v>
      </c>
      <c r="AE64">
        <f>'Kullanılan gübre'!AE64*'Gübre oranlar'!AH$3</f>
        <v>0</v>
      </c>
      <c r="AF64">
        <f>'Kullanılan gübre'!AF64*'Gübre oranlar'!AI$3</f>
        <v>0</v>
      </c>
      <c r="AG64">
        <f>'Kullanılan gübre'!AG64*'Gübre oranlar'!AJ$3</f>
        <v>0</v>
      </c>
      <c r="AH64">
        <f>'Kullanılan gübre'!AH64*'Gübre oranlar'!AK$3</f>
        <v>0</v>
      </c>
      <c r="AI64">
        <f>'Kullanılan gübre'!AI64*'Gübre oranlar'!AL$3</f>
        <v>0</v>
      </c>
      <c r="AJ64">
        <f>'Kullanılan gübre'!AJ64*'Gübre oranlar'!AM$3</f>
        <v>0</v>
      </c>
      <c r="AK64">
        <f>'Kullanılan gübre'!AK64*'Gübre oranlar'!AN$3</f>
        <v>0</v>
      </c>
      <c r="AL64">
        <f>'Kullanılan gübre'!AL64*'Gübre oranlar'!AO$3</f>
        <v>0</v>
      </c>
      <c r="AM64">
        <f>'Kullanılan gübre'!AM64*'Gübre oranlar'!AP$3</f>
        <v>0</v>
      </c>
      <c r="AN64">
        <f>'Kullanılan gübre'!AN64*'Gübre oranlar'!AQ$3</f>
        <v>0</v>
      </c>
      <c r="AO64">
        <f>'Kullanılan gübre'!AO64*'Gübre oranlar'!AR$3</f>
        <v>0</v>
      </c>
      <c r="AP64">
        <f>'Kullanılan gübre'!AP64*'Gübre oranlar'!AS$3</f>
        <v>0</v>
      </c>
      <c r="AQ64">
        <f>'Kullanılan gübre'!AQ64*'Gübre oranlar'!AT$3</f>
        <v>0</v>
      </c>
      <c r="AR64">
        <f>'Kullanılan gübre'!AR64*'Gübre oranlar'!AU$3</f>
        <v>0</v>
      </c>
      <c r="AS64">
        <f>'Kullanılan gübre'!AS64*'Gübre oranlar'!AV$3</f>
        <v>0</v>
      </c>
      <c r="AT64">
        <f>'Kullanılan gübre'!AT64*'Gübre oranlar'!AW$3</f>
        <v>0</v>
      </c>
      <c r="AU64">
        <f>'Kullanılan gübre'!AU64*'Gübre oranlar'!AX$3</f>
        <v>0</v>
      </c>
      <c r="AV64">
        <f>'Kullanılan gübre'!AV64*'Gübre oranlar'!AY$3</f>
        <v>0</v>
      </c>
      <c r="AW64">
        <f t="shared" si="0"/>
        <v>94.677500000000009</v>
      </c>
    </row>
    <row r="65" spans="1:49" x14ac:dyDescent="0.25">
      <c r="A65" t="str">
        <f>'Kullanılan gübre'!A65</f>
        <v>AK</v>
      </c>
      <c r="B65" t="str">
        <f>'Kullanılan gübre'!B65</f>
        <v>AFYONKARAHISAR</v>
      </c>
      <c r="C65" t="str">
        <f>'Kullanılan gübre'!C65</f>
        <v>CAY</v>
      </c>
      <c r="D65">
        <f>'Kullanılan gübre'!D65</f>
        <v>2012</v>
      </c>
      <c r="E65">
        <f>'Kullanılan gübre'!E65*'Gübre oranlar'!H$3</f>
        <v>0</v>
      </c>
      <c r="F65">
        <f>'Kullanılan gübre'!F65*'Gübre oranlar'!I$3</f>
        <v>0</v>
      </c>
      <c r="G65">
        <f>'Kullanılan gübre'!G65*'Gübre oranlar'!J$3</f>
        <v>0</v>
      </c>
      <c r="H65">
        <f>'Kullanılan gübre'!H65*'Gübre oranlar'!K$3</f>
        <v>0</v>
      </c>
      <c r="I65">
        <f>'Kullanılan gübre'!I65*'Gübre oranlar'!L$3</f>
        <v>28.272500000000001</v>
      </c>
      <c r="J65">
        <f>'Kullanılan gübre'!J65*'Gübre oranlar'!M$3</f>
        <v>0</v>
      </c>
      <c r="K65">
        <f>'Kullanılan gübre'!K65*'Gübre oranlar'!N$3</f>
        <v>7.6000000000000005</v>
      </c>
      <c r="L65">
        <f>'Kullanılan gübre'!L65*'Gübre oranlar'!O$3</f>
        <v>145.97</v>
      </c>
      <c r="M65">
        <f>'Kullanılan gübre'!M65*'Gübre oranlar'!P$3</f>
        <v>19.8</v>
      </c>
      <c r="N65">
        <f>'Kullanılan gübre'!N65*'Gübre oranlar'!Q$3</f>
        <v>21.322500000000002</v>
      </c>
      <c r="O65">
        <f>'Kullanılan gübre'!O65*'Gübre oranlar'!R$3</f>
        <v>0</v>
      </c>
      <c r="P65">
        <f>'Kullanılan gübre'!P65*'Gübre oranlar'!S$3</f>
        <v>0</v>
      </c>
      <c r="Q65">
        <f>'Kullanılan gübre'!Q65*'Gübre oranlar'!T$3</f>
        <v>190.005</v>
      </c>
      <c r="R65">
        <f>'Kullanılan gübre'!R65*'Gübre oranlar'!U$3</f>
        <v>0</v>
      </c>
      <c r="S65">
        <f>'Kullanılan gübre'!S65*'Gübre oranlar'!V$3</f>
        <v>0</v>
      </c>
      <c r="T65">
        <f>'Kullanılan gübre'!T65*'Gübre oranlar'!W$3</f>
        <v>0</v>
      </c>
      <c r="U65">
        <f>'Kullanılan gübre'!U65*'Gübre oranlar'!X$3</f>
        <v>0</v>
      </c>
      <c r="V65">
        <f>'Kullanılan gübre'!V65*'Gübre oranlar'!Y$3</f>
        <v>6.25E-2</v>
      </c>
      <c r="W65">
        <f>'Kullanılan gübre'!W65*'Gübre oranlar'!Z$3</f>
        <v>0</v>
      </c>
      <c r="X65">
        <f>'Kullanılan gübre'!X65*'Gübre oranlar'!AA$3</f>
        <v>0</v>
      </c>
      <c r="Y65">
        <f>'Kullanılan gübre'!Y65*'Gübre oranlar'!AB$3</f>
        <v>0</v>
      </c>
      <c r="Z65">
        <f>'Kullanılan gübre'!Z65*'Gübre oranlar'!AC$3</f>
        <v>0</v>
      </c>
      <c r="AA65">
        <f>'Kullanılan gübre'!AA65*'Gübre oranlar'!AD$3</f>
        <v>28.763999999999999</v>
      </c>
      <c r="AB65">
        <f>'Kullanılan gübre'!AB65*'Gübre oranlar'!AE$3</f>
        <v>0</v>
      </c>
      <c r="AC65">
        <f>'Kullanılan gübre'!AC65*'Gübre oranlar'!AF$3</f>
        <v>0</v>
      </c>
      <c r="AD65">
        <f>'Kullanılan gübre'!AD65*'Gübre oranlar'!AG$3</f>
        <v>0</v>
      </c>
      <c r="AE65">
        <f>'Kullanılan gübre'!AE65*'Gübre oranlar'!AH$3</f>
        <v>10.512499999999999</v>
      </c>
      <c r="AF65">
        <f>'Kullanılan gübre'!AF65*'Gübre oranlar'!AI$3</f>
        <v>0</v>
      </c>
      <c r="AG65">
        <f>'Kullanılan gübre'!AG65*'Gübre oranlar'!AJ$3</f>
        <v>0</v>
      </c>
      <c r="AH65">
        <f>'Kullanılan gübre'!AH65*'Gübre oranlar'!AK$3</f>
        <v>0</v>
      </c>
      <c r="AI65">
        <f>'Kullanılan gübre'!AI65*'Gübre oranlar'!AL$3</f>
        <v>0</v>
      </c>
      <c r="AJ65">
        <f>'Kullanılan gübre'!AJ65*'Gübre oranlar'!AM$3</f>
        <v>0</v>
      </c>
      <c r="AK65">
        <f>'Kullanılan gübre'!AK65*'Gübre oranlar'!AN$3</f>
        <v>0</v>
      </c>
      <c r="AL65">
        <f>'Kullanılan gübre'!AL65*'Gübre oranlar'!AO$3</f>
        <v>0</v>
      </c>
      <c r="AM65">
        <f>'Kullanılan gübre'!AM65*'Gübre oranlar'!AP$3</f>
        <v>0</v>
      </c>
      <c r="AN65">
        <f>'Kullanılan gübre'!AN65*'Gübre oranlar'!AQ$3</f>
        <v>0</v>
      </c>
      <c r="AO65">
        <f>'Kullanılan gübre'!AO65*'Gübre oranlar'!AR$3</f>
        <v>0</v>
      </c>
      <c r="AP65">
        <f>'Kullanılan gübre'!AP65*'Gübre oranlar'!AS$3</f>
        <v>0</v>
      </c>
      <c r="AQ65">
        <f>'Kullanılan gübre'!AQ65*'Gübre oranlar'!AT$3</f>
        <v>0</v>
      </c>
      <c r="AR65">
        <f>'Kullanılan gübre'!AR65*'Gübre oranlar'!AU$3</f>
        <v>0</v>
      </c>
      <c r="AS65">
        <f>'Kullanılan gübre'!AS65*'Gübre oranlar'!AV$3</f>
        <v>0</v>
      </c>
      <c r="AT65">
        <f>'Kullanılan gübre'!AT65*'Gübre oranlar'!AW$3</f>
        <v>0</v>
      </c>
      <c r="AU65">
        <f>'Kullanılan gübre'!AU65*'Gübre oranlar'!AX$3</f>
        <v>0</v>
      </c>
      <c r="AV65">
        <f>'Kullanılan gübre'!AV65*'Gübre oranlar'!AY$3</f>
        <v>0</v>
      </c>
      <c r="AW65">
        <f t="shared" si="0"/>
        <v>452.30900000000003</v>
      </c>
    </row>
    <row r="66" spans="1:49" x14ac:dyDescent="0.25">
      <c r="A66" t="str">
        <f>'Kullanılan gübre'!A66</f>
        <v>AK</v>
      </c>
      <c r="B66" t="str">
        <f>'Kullanılan gübre'!B66</f>
        <v>AFYONKARAHISAR</v>
      </c>
      <c r="C66" t="str">
        <f>'Kullanılan gübre'!C66</f>
        <v>COBANLAR</v>
      </c>
      <c r="D66">
        <f>'Kullanılan gübre'!D66</f>
        <v>2012</v>
      </c>
      <c r="E66">
        <f>'Kullanılan gübre'!E66*'Gübre oranlar'!H$3</f>
        <v>0</v>
      </c>
      <c r="F66">
        <f>'Kullanılan gübre'!F66*'Gübre oranlar'!I$3</f>
        <v>0</v>
      </c>
      <c r="G66">
        <f>'Kullanılan gübre'!G66*'Gübre oranlar'!J$3</f>
        <v>0</v>
      </c>
      <c r="H66">
        <f>'Kullanılan gübre'!H66*'Gübre oranlar'!K$3</f>
        <v>0</v>
      </c>
      <c r="I66">
        <f>'Kullanılan gübre'!I66*'Gübre oranlar'!L$3</f>
        <v>13.781499999999999</v>
      </c>
      <c r="J66">
        <f>'Kullanılan gübre'!J66*'Gübre oranlar'!M$3</f>
        <v>0</v>
      </c>
      <c r="K66">
        <f>'Kullanılan gübre'!K66*'Gübre oranlar'!N$3</f>
        <v>0</v>
      </c>
      <c r="L66">
        <f>'Kullanılan gübre'!L66*'Gübre oranlar'!O$3</f>
        <v>63.670000000000009</v>
      </c>
      <c r="M66">
        <f>'Kullanılan gübre'!M66*'Gübre oranlar'!P$3</f>
        <v>2.5950000000000002</v>
      </c>
      <c r="N66">
        <f>'Kullanılan gübre'!N66*'Gübre oranlar'!Q$3</f>
        <v>12.074999999999999</v>
      </c>
      <c r="O66">
        <f>'Kullanılan gübre'!O66*'Gübre oranlar'!R$3</f>
        <v>0</v>
      </c>
      <c r="P66">
        <f>'Kullanılan gübre'!P66*'Gübre oranlar'!S$3</f>
        <v>0</v>
      </c>
      <c r="Q66">
        <f>'Kullanılan gübre'!Q66*'Gübre oranlar'!T$3</f>
        <v>0</v>
      </c>
      <c r="R66">
        <f>'Kullanılan gübre'!R66*'Gübre oranlar'!U$3</f>
        <v>0</v>
      </c>
      <c r="S66">
        <f>'Kullanılan gübre'!S66*'Gübre oranlar'!V$3</f>
        <v>0</v>
      </c>
      <c r="T66">
        <f>'Kullanılan gübre'!T66*'Gübre oranlar'!W$3</f>
        <v>22.587499999999999</v>
      </c>
      <c r="U66">
        <f>'Kullanılan gübre'!U66*'Gübre oranlar'!X$3</f>
        <v>0</v>
      </c>
      <c r="V66">
        <f>'Kullanılan gübre'!V66*'Gübre oranlar'!Y$3</f>
        <v>0</v>
      </c>
      <c r="W66">
        <f>'Kullanılan gübre'!W66*'Gübre oranlar'!Z$3</f>
        <v>0</v>
      </c>
      <c r="X66">
        <f>'Kullanılan gübre'!X66*'Gübre oranlar'!AA$3</f>
        <v>0</v>
      </c>
      <c r="Y66">
        <f>'Kullanılan gübre'!Y66*'Gübre oranlar'!AB$3</f>
        <v>0</v>
      </c>
      <c r="Z66">
        <f>'Kullanılan gübre'!Z66*'Gübre oranlar'!AC$3</f>
        <v>0</v>
      </c>
      <c r="AA66">
        <f>'Kullanılan gübre'!AA66*'Gübre oranlar'!AD$3</f>
        <v>0</v>
      </c>
      <c r="AB66">
        <f>'Kullanılan gübre'!AB66*'Gübre oranlar'!AE$3</f>
        <v>0</v>
      </c>
      <c r="AC66">
        <f>'Kullanılan gübre'!AC66*'Gübre oranlar'!AF$3</f>
        <v>0</v>
      </c>
      <c r="AD66">
        <f>'Kullanılan gübre'!AD66*'Gübre oranlar'!AG$3</f>
        <v>0</v>
      </c>
      <c r="AE66">
        <f>'Kullanılan gübre'!AE66*'Gübre oranlar'!AH$3</f>
        <v>11.25</v>
      </c>
      <c r="AF66">
        <f>'Kullanılan gübre'!AF66*'Gübre oranlar'!AI$3</f>
        <v>0</v>
      </c>
      <c r="AG66">
        <f>'Kullanılan gübre'!AG66*'Gübre oranlar'!AJ$3</f>
        <v>0</v>
      </c>
      <c r="AH66">
        <f>'Kullanılan gübre'!AH66*'Gübre oranlar'!AK$3</f>
        <v>0</v>
      </c>
      <c r="AI66">
        <f>'Kullanılan gübre'!AI66*'Gübre oranlar'!AL$3</f>
        <v>0</v>
      </c>
      <c r="AJ66">
        <f>'Kullanılan gübre'!AJ66*'Gübre oranlar'!AM$3</f>
        <v>0</v>
      </c>
      <c r="AK66">
        <f>'Kullanılan gübre'!AK66*'Gübre oranlar'!AN$3</f>
        <v>0</v>
      </c>
      <c r="AL66">
        <f>'Kullanılan gübre'!AL66*'Gübre oranlar'!AO$3</f>
        <v>0</v>
      </c>
      <c r="AM66">
        <f>'Kullanılan gübre'!AM66*'Gübre oranlar'!AP$3</f>
        <v>0</v>
      </c>
      <c r="AN66">
        <f>'Kullanılan gübre'!AN66*'Gübre oranlar'!AQ$3</f>
        <v>0</v>
      </c>
      <c r="AO66">
        <f>'Kullanılan gübre'!AO66*'Gübre oranlar'!AR$3</f>
        <v>0</v>
      </c>
      <c r="AP66">
        <f>'Kullanılan gübre'!AP66*'Gübre oranlar'!AS$3</f>
        <v>0</v>
      </c>
      <c r="AQ66">
        <f>'Kullanılan gübre'!AQ66*'Gübre oranlar'!AT$3</f>
        <v>0</v>
      </c>
      <c r="AR66">
        <f>'Kullanılan gübre'!AR66*'Gübre oranlar'!AU$3</f>
        <v>0</v>
      </c>
      <c r="AS66">
        <f>'Kullanılan gübre'!AS66*'Gübre oranlar'!AV$3</f>
        <v>0</v>
      </c>
      <c r="AT66">
        <f>'Kullanılan gübre'!AT66*'Gübre oranlar'!AW$3</f>
        <v>0</v>
      </c>
      <c r="AU66">
        <f>'Kullanılan gübre'!AU66*'Gübre oranlar'!AX$3</f>
        <v>0</v>
      </c>
      <c r="AV66">
        <f>'Kullanılan gübre'!AV66*'Gübre oranlar'!AY$3</f>
        <v>0</v>
      </c>
      <c r="AW66">
        <f t="shared" si="0"/>
        <v>125.959</v>
      </c>
    </row>
    <row r="67" spans="1:49" x14ac:dyDescent="0.25">
      <c r="A67" t="str">
        <f>'Kullanılan gübre'!A67</f>
        <v>AK</v>
      </c>
      <c r="B67" t="str">
        <f>'Kullanılan gübre'!B67</f>
        <v>AFYONKARAHISAR</v>
      </c>
      <c r="C67" t="str">
        <f>'Kullanılan gübre'!C67</f>
        <v>IHSANIYE</v>
      </c>
      <c r="D67">
        <f>'Kullanılan gübre'!D67</f>
        <v>2012</v>
      </c>
      <c r="E67">
        <f>'Kullanılan gübre'!E67*'Gübre oranlar'!H$3</f>
        <v>0</v>
      </c>
      <c r="F67">
        <f>'Kullanılan gübre'!F67*'Gübre oranlar'!I$3</f>
        <v>0</v>
      </c>
      <c r="G67">
        <f>'Kullanılan gübre'!G67*'Gübre oranlar'!J$3</f>
        <v>0</v>
      </c>
      <c r="H67">
        <f>'Kullanılan gübre'!H67*'Gübre oranlar'!K$3</f>
        <v>0</v>
      </c>
      <c r="I67">
        <f>'Kullanılan gübre'!I67*'Gübre oranlar'!L$3</f>
        <v>0</v>
      </c>
      <c r="J67">
        <f>'Kullanılan gübre'!J67*'Gübre oranlar'!M$3</f>
        <v>0</v>
      </c>
      <c r="K67">
        <f>'Kullanılan gübre'!K67*'Gübre oranlar'!N$3</f>
        <v>201.21</v>
      </c>
      <c r="L67">
        <f>'Kullanılan gübre'!L67*'Gübre oranlar'!O$3</f>
        <v>34.200000000000003</v>
      </c>
      <c r="M67">
        <f>'Kullanılan gübre'!M67*'Gübre oranlar'!P$3</f>
        <v>2.9849999999999999</v>
      </c>
      <c r="N67">
        <f>'Kullanılan gübre'!N67*'Gübre oranlar'!Q$3</f>
        <v>3</v>
      </c>
      <c r="O67">
        <f>'Kullanılan gübre'!O67*'Gübre oranlar'!R$3</f>
        <v>0</v>
      </c>
      <c r="P67">
        <f>'Kullanılan gübre'!P67*'Gübre oranlar'!S$3</f>
        <v>0</v>
      </c>
      <c r="Q67">
        <f>'Kullanılan gübre'!Q67*'Gübre oranlar'!T$3</f>
        <v>24.9</v>
      </c>
      <c r="R67">
        <f>'Kullanılan gübre'!R67*'Gübre oranlar'!U$3</f>
        <v>0</v>
      </c>
      <c r="S67">
        <f>'Kullanılan gübre'!S67*'Gübre oranlar'!V$3</f>
        <v>0</v>
      </c>
      <c r="T67">
        <f>'Kullanılan gübre'!T67*'Gübre oranlar'!W$3</f>
        <v>14</v>
      </c>
      <c r="U67">
        <f>'Kullanılan gübre'!U67*'Gübre oranlar'!X$3</f>
        <v>0</v>
      </c>
      <c r="V67">
        <f>'Kullanılan gübre'!V67*'Gübre oranlar'!Y$3</f>
        <v>7.1124999999999998</v>
      </c>
      <c r="W67">
        <f>'Kullanılan gübre'!W67*'Gübre oranlar'!Z$3</f>
        <v>0</v>
      </c>
      <c r="X67">
        <f>'Kullanılan gübre'!X67*'Gübre oranlar'!AA$3</f>
        <v>0.25</v>
      </c>
      <c r="Y67">
        <f>'Kullanılan gübre'!Y67*'Gübre oranlar'!AB$3</f>
        <v>0</v>
      </c>
      <c r="Z67">
        <f>'Kullanılan gübre'!Z67*'Gübre oranlar'!AC$3</f>
        <v>0</v>
      </c>
      <c r="AA67">
        <f>'Kullanılan gübre'!AA67*'Gübre oranlar'!AD$3</f>
        <v>0</v>
      </c>
      <c r="AB67">
        <f>'Kullanılan gübre'!AB67*'Gübre oranlar'!AE$3</f>
        <v>0</v>
      </c>
      <c r="AC67">
        <f>'Kullanılan gübre'!AC67*'Gübre oranlar'!AF$3</f>
        <v>0</v>
      </c>
      <c r="AD67">
        <f>'Kullanılan gübre'!AD67*'Gübre oranlar'!AG$3</f>
        <v>0</v>
      </c>
      <c r="AE67">
        <f>'Kullanılan gübre'!AE67*'Gübre oranlar'!AH$3</f>
        <v>0</v>
      </c>
      <c r="AF67">
        <f>'Kullanılan gübre'!AF67*'Gübre oranlar'!AI$3</f>
        <v>0</v>
      </c>
      <c r="AG67">
        <f>'Kullanılan gübre'!AG67*'Gübre oranlar'!AJ$3</f>
        <v>0</v>
      </c>
      <c r="AH67">
        <f>'Kullanılan gübre'!AH67*'Gübre oranlar'!AK$3</f>
        <v>0</v>
      </c>
      <c r="AI67">
        <f>'Kullanılan gübre'!AI67*'Gübre oranlar'!AL$3</f>
        <v>0</v>
      </c>
      <c r="AJ67">
        <f>'Kullanılan gübre'!AJ67*'Gübre oranlar'!AM$3</f>
        <v>0</v>
      </c>
      <c r="AK67">
        <f>'Kullanılan gübre'!AK67*'Gübre oranlar'!AN$3</f>
        <v>0</v>
      </c>
      <c r="AL67">
        <f>'Kullanılan gübre'!AL67*'Gübre oranlar'!AO$3</f>
        <v>0</v>
      </c>
      <c r="AM67">
        <f>'Kullanılan gübre'!AM67*'Gübre oranlar'!AP$3</f>
        <v>0</v>
      </c>
      <c r="AN67">
        <f>'Kullanılan gübre'!AN67*'Gübre oranlar'!AQ$3</f>
        <v>0</v>
      </c>
      <c r="AO67">
        <f>'Kullanılan gübre'!AO67*'Gübre oranlar'!AR$3</f>
        <v>0</v>
      </c>
      <c r="AP67">
        <f>'Kullanılan gübre'!AP67*'Gübre oranlar'!AS$3</f>
        <v>0</v>
      </c>
      <c r="AQ67">
        <f>'Kullanılan gübre'!AQ67*'Gübre oranlar'!AT$3</f>
        <v>0</v>
      </c>
      <c r="AR67">
        <f>'Kullanılan gübre'!AR67*'Gübre oranlar'!AU$3</f>
        <v>0</v>
      </c>
      <c r="AS67">
        <f>'Kullanılan gübre'!AS67*'Gübre oranlar'!AV$3</f>
        <v>0</v>
      </c>
      <c r="AT67">
        <f>'Kullanılan gübre'!AT67*'Gübre oranlar'!AW$3</f>
        <v>0</v>
      </c>
      <c r="AU67">
        <f>'Kullanılan gübre'!AU67*'Gübre oranlar'!AX$3</f>
        <v>0</v>
      </c>
      <c r="AV67">
        <f>'Kullanılan gübre'!AV67*'Gübre oranlar'!AY$3</f>
        <v>0</v>
      </c>
      <c r="AW67">
        <f t="shared" ref="AW67:AW130" si="1">SUM(E67:AV67)</f>
        <v>287.65750000000003</v>
      </c>
    </row>
    <row r="68" spans="1:49" x14ac:dyDescent="0.25">
      <c r="A68" t="str">
        <f>'Kullanılan gübre'!A68</f>
        <v>AK</v>
      </c>
      <c r="B68" t="str">
        <f>'Kullanılan gübre'!B68</f>
        <v>AFYONKARAHISAR</v>
      </c>
      <c r="C68" t="str">
        <f>'Kullanılan gübre'!C68</f>
        <v>ISCEHISAR</v>
      </c>
      <c r="D68">
        <f>'Kullanılan gübre'!D68</f>
        <v>2012</v>
      </c>
      <c r="E68">
        <f>'Kullanılan gübre'!E68*'Gübre oranlar'!H$3</f>
        <v>0</v>
      </c>
      <c r="F68">
        <f>'Kullanılan gübre'!F68*'Gübre oranlar'!I$3</f>
        <v>0</v>
      </c>
      <c r="G68">
        <f>'Kullanılan gübre'!G68*'Gübre oranlar'!J$3</f>
        <v>0</v>
      </c>
      <c r="H68">
        <f>'Kullanılan gübre'!H68*'Gübre oranlar'!K$3</f>
        <v>0</v>
      </c>
      <c r="I68">
        <f>'Kullanılan gübre'!I68*'Gübre oranlar'!L$3</f>
        <v>0</v>
      </c>
      <c r="J68">
        <f>'Kullanılan gübre'!J68*'Gübre oranlar'!M$3</f>
        <v>0</v>
      </c>
      <c r="K68">
        <f>'Kullanılan gübre'!K68*'Gübre oranlar'!N$3</f>
        <v>0</v>
      </c>
      <c r="L68">
        <f>'Kullanılan gübre'!L68*'Gübre oranlar'!O$3</f>
        <v>27.54</v>
      </c>
      <c r="M68">
        <f>'Kullanılan gübre'!M68*'Gübre oranlar'!P$3</f>
        <v>0</v>
      </c>
      <c r="N68">
        <f>'Kullanılan gübre'!N68*'Gübre oranlar'!Q$3</f>
        <v>0</v>
      </c>
      <c r="O68">
        <f>'Kullanılan gübre'!O68*'Gübre oranlar'!R$3</f>
        <v>0</v>
      </c>
      <c r="P68">
        <f>'Kullanılan gübre'!P68*'Gübre oranlar'!S$3</f>
        <v>0</v>
      </c>
      <c r="Q68">
        <f>'Kullanılan gübre'!Q68*'Gübre oranlar'!T$3</f>
        <v>0</v>
      </c>
      <c r="R68">
        <f>'Kullanılan gübre'!R68*'Gübre oranlar'!U$3</f>
        <v>0</v>
      </c>
      <c r="S68">
        <f>'Kullanılan gübre'!S68*'Gübre oranlar'!V$3</f>
        <v>0</v>
      </c>
      <c r="T68">
        <f>'Kullanılan gübre'!T68*'Gübre oranlar'!W$3</f>
        <v>6.7625000000000002</v>
      </c>
      <c r="U68">
        <f>'Kullanılan gübre'!U68*'Gübre oranlar'!X$3</f>
        <v>0</v>
      </c>
      <c r="V68">
        <f>'Kullanılan gübre'!V68*'Gübre oranlar'!Y$3</f>
        <v>0</v>
      </c>
      <c r="W68">
        <f>'Kullanılan gübre'!W68*'Gübre oranlar'!Z$3</f>
        <v>0</v>
      </c>
      <c r="X68">
        <f>'Kullanılan gübre'!X68*'Gübre oranlar'!AA$3</f>
        <v>0</v>
      </c>
      <c r="Y68">
        <f>'Kullanılan gübre'!Y68*'Gübre oranlar'!AB$3</f>
        <v>0</v>
      </c>
      <c r="Z68">
        <f>'Kullanılan gübre'!Z68*'Gübre oranlar'!AC$3</f>
        <v>0</v>
      </c>
      <c r="AA68">
        <f>'Kullanılan gübre'!AA68*'Gübre oranlar'!AD$3</f>
        <v>0</v>
      </c>
      <c r="AB68">
        <f>'Kullanılan gübre'!AB68*'Gübre oranlar'!AE$3</f>
        <v>0</v>
      </c>
      <c r="AC68">
        <f>'Kullanılan gübre'!AC68*'Gübre oranlar'!AF$3</f>
        <v>0</v>
      </c>
      <c r="AD68">
        <f>'Kullanılan gübre'!AD68*'Gübre oranlar'!AG$3</f>
        <v>0</v>
      </c>
      <c r="AE68">
        <f>'Kullanılan gübre'!AE68*'Gübre oranlar'!AH$3</f>
        <v>0</v>
      </c>
      <c r="AF68">
        <f>'Kullanılan gübre'!AF68*'Gübre oranlar'!AI$3</f>
        <v>0</v>
      </c>
      <c r="AG68">
        <f>'Kullanılan gübre'!AG68*'Gübre oranlar'!AJ$3</f>
        <v>0</v>
      </c>
      <c r="AH68">
        <f>'Kullanılan gübre'!AH68*'Gübre oranlar'!AK$3</f>
        <v>0</v>
      </c>
      <c r="AI68">
        <f>'Kullanılan gübre'!AI68*'Gübre oranlar'!AL$3</f>
        <v>0</v>
      </c>
      <c r="AJ68">
        <f>'Kullanılan gübre'!AJ68*'Gübre oranlar'!AM$3</f>
        <v>0</v>
      </c>
      <c r="AK68">
        <f>'Kullanılan gübre'!AK68*'Gübre oranlar'!AN$3</f>
        <v>0</v>
      </c>
      <c r="AL68">
        <f>'Kullanılan gübre'!AL68*'Gübre oranlar'!AO$3</f>
        <v>0</v>
      </c>
      <c r="AM68">
        <f>'Kullanılan gübre'!AM68*'Gübre oranlar'!AP$3</f>
        <v>0</v>
      </c>
      <c r="AN68">
        <f>'Kullanılan gübre'!AN68*'Gübre oranlar'!AQ$3</f>
        <v>0</v>
      </c>
      <c r="AO68">
        <f>'Kullanılan gübre'!AO68*'Gübre oranlar'!AR$3</f>
        <v>0</v>
      </c>
      <c r="AP68">
        <f>'Kullanılan gübre'!AP68*'Gübre oranlar'!AS$3</f>
        <v>0</v>
      </c>
      <c r="AQ68">
        <f>'Kullanılan gübre'!AQ68*'Gübre oranlar'!AT$3</f>
        <v>0</v>
      </c>
      <c r="AR68">
        <f>'Kullanılan gübre'!AR68*'Gübre oranlar'!AU$3</f>
        <v>0</v>
      </c>
      <c r="AS68">
        <f>'Kullanılan gübre'!AS68*'Gübre oranlar'!AV$3</f>
        <v>0</v>
      </c>
      <c r="AT68">
        <f>'Kullanılan gübre'!AT68*'Gübre oranlar'!AW$3</f>
        <v>0</v>
      </c>
      <c r="AU68">
        <f>'Kullanılan gübre'!AU68*'Gübre oranlar'!AX$3</f>
        <v>0</v>
      </c>
      <c r="AV68">
        <f>'Kullanılan gübre'!AV68*'Gübre oranlar'!AY$3</f>
        <v>0</v>
      </c>
      <c r="AW68">
        <f t="shared" si="1"/>
        <v>34.302500000000002</v>
      </c>
    </row>
    <row r="69" spans="1:49" x14ac:dyDescent="0.25">
      <c r="A69" t="str">
        <f>'Kullanılan gübre'!A69</f>
        <v>AK</v>
      </c>
      <c r="B69" t="str">
        <f>'Kullanılan gübre'!B69</f>
        <v>AFYONKARAHISAR</v>
      </c>
      <c r="C69" t="str">
        <f>'Kullanılan gübre'!C69</f>
        <v>SINANPASA</v>
      </c>
      <c r="D69">
        <f>'Kullanılan gübre'!D69</f>
        <v>2012</v>
      </c>
      <c r="E69">
        <f>'Kullanılan gübre'!E69*'Gübre oranlar'!H$3</f>
        <v>0</v>
      </c>
      <c r="F69">
        <f>'Kullanılan gübre'!F69*'Gübre oranlar'!I$3</f>
        <v>0</v>
      </c>
      <c r="G69">
        <f>'Kullanılan gübre'!G69*'Gübre oranlar'!J$3</f>
        <v>0</v>
      </c>
      <c r="H69">
        <f>'Kullanılan gübre'!H69*'Gübre oranlar'!K$3</f>
        <v>0</v>
      </c>
      <c r="I69">
        <f>'Kullanılan gübre'!I69*'Gübre oranlar'!L$3</f>
        <v>0</v>
      </c>
      <c r="J69">
        <f>'Kullanılan gübre'!J69*'Gübre oranlar'!M$3</f>
        <v>0</v>
      </c>
      <c r="K69">
        <f>'Kullanılan gübre'!K69*'Gübre oranlar'!N$3</f>
        <v>68.37</v>
      </c>
      <c r="L69">
        <f>'Kullanılan gübre'!L69*'Gübre oranlar'!O$3</f>
        <v>140.6</v>
      </c>
      <c r="M69">
        <f>'Kullanılan gübre'!M69*'Gübre oranlar'!P$3</f>
        <v>0</v>
      </c>
      <c r="N69">
        <f>'Kullanılan gübre'!N69*'Gübre oranlar'!Q$3</f>
        <v>3.9</v>
      </c>
      <c r="O69">
        <f>'Kullanılan gübre'!O69*'Gübre oranlar'!R$3</f>
        <v>0</v>
      </c>
      <c r="P69">
        <f>'Kullanılan gübre'!P69*'Gübre oranlar'!S$3</f>
        <v>0</v>
      </c>
      <c r="Q69">
        <f>'Kullanılan gübre'!Q69*'Gübre oranlar'!T$3</f>
        <v>0</v>
      </c>
      <c r="R69">
        <f>'Kullanılan gübre'!R69*'Gübre oranlar'!U$3</f>
        <v>0</v>
      </c>
      <c r="S69">
        <f>'Kullanılan gübre'!S69*'Gübre oranlar'!V$3</f>
        <v>0</v>
      </c>
      <c r="T69">
        <f>'Kullanılan gübre'!T69*'Gübre oranlar'!W$3</f>
        <v>0</v>
      </c>
      <c r="U69">
        <f>'Kullanılan gübre'!U69*'Gübre oranlar'!X$3</f>
        <v>0</v>
      </c>
      <c r="V69">
        <f>'Kullanılan gübre'!V69*'Gübre oranlar'!Y$3</f>
        <v>0</v>
      </c>
      <c r="W69">
        <f>'Kullanılan gübre'!W69*'Gübre oranlar'!Z$3</f>
        <v>0</v>
      </c>
      <c r="X69">
        <f>'Kullanılan gübre'!X69*'Gübre oranlar'!AA$3</f>
        <v>0</v>
      </c>
      <c r="Y69">
        <f>'Kullanılan gübre'!Y69*'Gübre oranlar'!AB$3</f>
        <v>0</v>
      </c>
      <c r="Z69">
        <f>'Kullanılan gübre'!Z69*'Gübre oranlar'!AC$3</f>
        <v>0</v>
      </c>
      <c r="AA69">
        <f>'Kullanılan gübre'!AA69*'Gübre oranlar'!AD$3</f>
        <v>106.27200000000001</v>
      </c>
      <c r="AB69">
        <f>'Kullanılan gübre'!AB69*'Gübre oranlar'!AE$3</f>
        <v>0</v>
      </c>
      <c r="AC69">
        <f>'Kullanılan gübre'!AC69*'Gübre oranlar'!AF$3</f>
        <v>0</v>
      </c>
      <c r="AD69">
        <f>'Kullanılan gübre'!AD69*'Gübre oranlar'!AG$3</f>
        <v>0</v>
      </c>
      <c r="AE69">
        <f>'Kullanılan gübre'!AE69*'Gübre oranlar'!AH$3</f>
        <v>3.5249999999999999</v>
      </c>
      <c r="AF69">
        <f>'Kullanılan gübre'!AF69*'Gübre oranlar'!AI$3</f>
        <v>0</v>
      </c>
      <c r="AG69">
        <f>'Kullanılan gübre'!AG69*'Gübre oranlar'!AJ$3</f>
        <v>0</v>
      </c>
      <c r="AH69">
        <f>'Kullanılan gübre'!AH69*'Gübre oranlar'!AK$3</f>
        <v>0</v>
      </c>
      <c r="AI69">
        <f>'Kullanılan gübre'!AI69*'Gübre oranlar'!AL$3</f>
        <v>0</v>
      </c>
      <c r="AJ69">
        <f>'Kullanılan gübre'!AJ69*'Gübre oranlar'!AM$3</f>
        <v>0</v>
      </c>
      <c r="AK69">
        <f>'Kullanılan gübre'!AK69*'Gübre oranlar'!AN$3</f>
        <v>0</v>
      </c>
      <c r="AL69">
        <f>'Kullanılan gübre'!AL69*'Gübre oranlar'!AO$3</f>
        <v>0</v>
      </c>
      <c r="AM69">
        <f>'Kullanılan gübre'!AM69*'Gübre oranlar'!AP$3</f>
        <v>0</v>
      </c>
      <c r="AN69">
        <f>'Kullanılan gübre'!AN69*'Gübre oranlar'!AQ$3</f>
        <v>0</v>
      </c>
      <c r="AO69">
        <f>'Kullanılan gübre'!AO69*'Gübre oranlar'!AR$3</f>
        <v>0</v>
      </c>
      <c r="AP69">
        <f>'Kullanılan gübre'!AP69*'Gübre oranlar'!AS$3</f>
        <v>0</v>
      </c>
      <c r="AQ69">
        <f>'Kullanılan gübre'!AQ69*'Gübre oranlar'!AT$3</f>
        <v>0</v>
      </c>
      <c r="AR69">
        <f>'Kullanılan gübre'!AR69*'Gübre oranlar'!AU$3</f>
        <v>0</v>
      </c>
      <c r="AS69">
        <f>'Kullanılan gübre'!AS69*'Gübre oranlar'!AV$3</f>
        <v>0</v>
      </c>
      <c r="AT69">
        <f>'Kullanılan gübre'!AT69*'Gübre oranlar'!AW$3</f>
        <v>0</v>
      </c>
      <c r="AU69">
        <f>'Kullanılan gübre'!AU69*'Gübre oranlar'!AX$3</f>
        <v>0</v>
      </c>
      <c r="AV69">
        <f>'Kullanılan gübre'!AV69*'Gübre oranlar'!AY$3</f>
        <v>0</v>
      </c>
      <c r="AW69">
        <f t="shared" si="1"/>
        <v>322.66699999999997</v>
      </c>
    </row>
    <row r="70" spans="1:49" x14ac:dyDescent="0.25">
      <c r="A70" t="str">
        <f>'Kullanılan gübre'!A70</f>
        <v>AK</v>
      </c>
      <c r="B70" t="str">
        <f>'Kullanılan gübre'!B70</f>
        <v>AFYONKARAHISAR</v>
      </c>
      <c r="C70" t="str">
        <f>'Kullanılan gübre'!C70</f>
        <v>SULTANDAGI</v>
      </c>
      <c r="D70">
        <f>'Kullanılan gübre'!D70</f>
        <v>2012</v>
      </c>
      <c r="E70">
        <f>'Kullanılan gübre'!E70*'Gübre oranlar'!H$3</f>
        <v>0</v>
      </c>
      <c r="F70">
        <f>'Kullanılan gübre'!F70*'Gübre oranlar'!I$3</f>
        <v>0</v>
      </c>
      <c r="G70">
        <f>'Kullanılan gübre'!G70*'Gübre oranlar'!J$3</f>
        <v>0</v>
      </c>
      <c r="H70">
        <f>'Kullanılan gübre'!H70*'Gübre oranlar'!K$3</f>
        <v>0</v>
      </c>
      <c r="I70">
        <f>'Kullanılan gübre'!I70*'Gübre oranlar'!L$3</f>
        <v>14.598500000000001</v>
      </c>
      <c r="J70">
        <f>'Kullanılan gübre'!J70*'Gübre oranlar'!M$3</f>
        <v>0</v>
      </c>
      <c r="K70">
        <f>'Kullanılan gübre'!K70*'Gübre oranlar'!N$3</f>
        <v>0</v>
      </c>
      <c r="L70">
        <f>'Kullanılan gübre'!L70*'Gübre oranlar'!O$3</f>
        <v>19.690000000000001</v>
      </c>
      <c r="M70">
        <f>'Kullanılan gübre'!M70*'Gübre oranlar'!P$3</f>
        <v>1.5299999999999998</v>
      </c>
      <c r="N70">
        <f>'Kullanılan gübre'!N70*'Gübre oranlar'!Q$3</f>
        <v>16.814999999999998</v>
      </c>
      <c r="O70">
        <f>'Kullanılan gübre'!O70*'Gübre oranlar'!R$3</f>
        <v>0</v>
      </c>
      <c r="P70">
        <f>'Kullanılan gübre'!P70*'Gübre oranlar'!S$3</f>
        <v>0</v>
      </c>
      <c r="Q70">
        <f>'Kullanılan gübre'!Q70*'Gübre oranlar'!T$3</f>
        <v>0</v>
      </c>
      <c r="R70">
        <f>'Kullanılan gübre'!R70*'Gübre oranlar'!U$3</f>
        <v>0</v>
      </c>
      <c r="S70">
        <f>'Kullanılan gübre'!S70*'Gübre oranlar'!V$3</f>
        <v>0</v>
      </c>
      <c r="T70">
        <f>'Kullanılan gübre'!T70*'Gübre oranlar'!W$3</f>
        <v>32.25</v>
      </c>
      <c r="U70">
        <f>'Kullanılan gübre'!U70*'Gübre oranlar'!X$3</f>
        <v>0</v>
      </c>
      <c r="V70">
        <f>'Kullanılan gübre'!V70*'Gübre oranlar'!Y$3</f>
        <v>0</v>
      </c>
      <c r="W70">
        <f>'Kullanılan gübre'!W70*'Gübre oranlar'!Z$3</f>
        <v>0</v>
      </c>
      <c r="X70">
        <f>'Kullanılan gübre'!X70*'Gübre oranlar'!AA$3</f>
        <v>0</v>
      </c>
      <c r="Y70">
        <f>'Kullanılan gübre'!Y70*'Gübre oranlar'!AB$3</f>
        <v>0</v>
      </c>
      <c r="Z70">
        <f>'Kullanılan gübre'!Z70*'Gübre oranlar'!AC$3</f>
        <v>0</v>
      </c>
      <c r="AA70">
        <f>'Kullanılan gübre'!AA70*'Gübre oranlar'!AD$3</f>
        <v>19.103999999999999</v>
      </c>
      <c r="AB70">
        <f>'Kullanılan gübre'!AB70*'Gübre oranlar'!AE$3</f>
        <v>0</v>
      </c>
      <c r="AC70">
        <f>'Kullanılan gübre'!AC70*'Gübre oranlar'!AF$3</f>
        <v>0</v>
      </c>
      <c r="AD70">
        <f>'Kullanılan gübre'!AD70*'Gübre oranlar'!AG$3</f>
        <v>0</v>
      </c>
      <c r="AE70">
        <f>'Kullanılan gübre'!AE70*'Gübre oranlar'!AH$3</f>
        <v>0</v>
      </c>
      <c r="AF70">
        <f>'Kullanılan gübre'!AF70*'Gübre oranlar'!AI$3</f>
        <v>0</v>
      </c>
      <c r="AG70">
        <f>'Kullanılan gübre'!AG70*'Gübre oranlar'!AJ$3</f>
        <v>0</v>
      </c>
      <c r="AH70">
        <f>'Kullanılan gübre'!AH70*'Gübre oranlar'!AK$3</f>
        <v>0</v>
      </c>
      <c r="AI70">
        <f>'Kullanılan gübre'!AI70*'Gübre oranlar'!AL$3</f>
        <v>0</v>
      </c>
      <c r="AJ70">
        <f>'Kullanılan gübre'!AJ70*'Gübre oranlar'!AM$3</f>
        <v>0</v>
      </c>
      <c r="AK70">
        <f>'Kullanılan gübre'!AK70*'Gübre oranlar'!AN$3</f>
        <v>0</v>
      </c>
      <c r="AL70">
        <f>'Kullanılan gübre'!AL70*'Gübre oranlar'!AO$3</f>
        <v>0</v>
      </c>
      <c r="AM70">
        <f>'Kullanılan gübre'!AM70*'Gübre oranlar'!AP$3</f>
        <v>0</v>
      </c>
      <c r="AN70">
        <f>'Kullanılan gübre'!AN70*'Gübre oranlar'!AQ$3</f>
        <v>0</v>
      </c>
      <c r="AO70">
        <f>'Kullanılan gübre'!AO70*'Gübre oranlar'!AR$3</f>
        <v>0</v>
      </c>
      <c r="AP70">
        <f>'Kullanılan gübre'!AP70*'Gübre oranlar'!AS$3</f>
        <v>0</v>
      </c>
      <c r="AQ70">
        <f>'Kullanılan gübre'!AQ70*'Gübre oranlar'!AT$3</f>
        <v>0</v>
      </c>
      <c r="AR70">
        <f>'Kullanılan gübre'!AR70*'Gübre oranlar'!AU$3</f>
        <v>0</v>
      </c>
      <c r="AS70">
        <f>'Kullanılan gübre'!AS70*'Gübre oranlar'!AV$3</f>
        <v>0</v>
      </c>
      <c r="AT70">
        <f>'Kullanılan gübre'!AT70*'Gübre oranlar'!AW$3</f>
        <v>0</v>
      </c>
      <c r="AU70">
        <f>'Kullanılan gübre'!AU70*'Gübre oranlar'!AX$3</f>
        <v>0</v>
      </c>
      <c r="AV70">
        <f>'Kullanılan gübre'!AV70*'Gübre oranlar'!AY$3</f>
        <v>0</v>
      </c>
      <c r="AW70">
        <f t="shared" si="1"/>
        <v>103.9875</v>
      </c>
    </row>
    <row r="71" spans="1:49" x14ac:dyDescent="0.25">
      <c r="A71" t="str">
        <f>'Kullanılan gübre'!A71</f>
        <v>AK</v>
      </c>
      <c r="B71" t="str">
        <f>'Kullanılan gübre'!B71</f>
        <v>AFYONKARAHISAR</v>
      </c>
      <c r="C71" t="str">
        <f>'Kullanılan gübre'!C71</f>
        <v>SUHUT</v>
      </c>
      <c r="D71">
        <f>'Kullanılan gübre'!D71</f>
        <v>2012</v>
      </c>
      <c r="E71">
        <f>'Kullanılan gübre'!E71*'Gübre oranlar'!H$3</f>
        <v>0</v>
      </c>
      <c r="F71">
        <f>'Kullanılan gübre'!F71*'Gübre oranlar'!I$3</f>
        <v>0</v>
      </c>
      <c r="G71">
        <f>'Kullanılan gübre'!G71*'Gübre oranlar'!J$3</f>
        <v>0</v>
      </c>
      <c r="H71">
        <f>'Kullanılan gübre'!H71*'Gübre oranlar'!K$3</f>
        <v>0</v>
      </c>
      <c r="I71">
        <f>'Kullanılan gübre'!I71*'Gübre oranlar'!L$3</f>
        <v>19.350000000000001</v>
      </c>
      <c r="J71">
        <f>'Kullanılan gübre'!J71*'Gübre oranlar'!M$3</f>
        <v>0</v>
      </c>
      <c r="K71">
        <f>'Kullanılan gübre'!K71*'Gübre oranlar'!N$3</f>
        <v>6.19</v>
      </c>
      <c r="L71">
        <f>'Kullanılan gübre'!L71*'Gübre oranlar'!O$3</f>
        <v>61.050000000000004</v>
      </c>
      <c r="M71">
        <f>'Kullanılan gübre'!M71*'Gübre oranlar'!P$3</f>
        <v>87</v>
      </c>
      <c r="N71">
        <f>'Kullanılan gübre'!N71*'Gübre oranlar'!Q$3</f>
        <v>79.627499999999998</v>
      </c>
      <c r="O71">
        <f>'Kullanılan gübre'!O71*'Gübre oranlar'!R$3</f>
        <v>0</v>
      </c>
      <c r="P71">
        <f>'Kullanılan gübre'!P71*'Gübre oranlar'!S$3</f>
        <v>0</v>
      </c>
      <c r="Q71">
        <f>'Kullanılan gübre'!Q71*'Gübre oranlar'!T$3</f>
        <v>301.8</v>
      </c>
      <c r="R71">
        <f>'Kullanılan gübre'!R71*'Gübre oranlar'!U$3</f>
        <v>1.0349999999999999</v>
      </c>
      <c r="S71">
        <f>'Kullanılan gübre'!S71*'Gübre oranlar'!V$3</f>
        <v>0</v>
      </c>
      <c r="T71">
        <f>'Kullanılan gübre'!T71*'Gübre oranlar'!W$3</f>
        <v>0</v>
      </c>
      <c r="U71">
        <f>'Kullanılan gübre'!U71*'Gübre oranlar'!X$3</f>
        <v>0</v>
      </c>
      <c r="V71">
        <f>'Kullanılan gübre'!V71*'Gübre oranlar'!Y$3</f>
        <v>0</v>
      </c>
      <c r="W71">
        <f>'Kullanılan gübre'!W71*'Gübre oranlar'!Z$3</f>
        <v>0</v>
      </c>
      <c r="X71">
        <f>'Kullanılan gübre'!X71*'Gübre oranlar'!AA$3</f>
        <v>81.87</v>
      </c>
      <c r="Y71">
        <f>'Kullanılan gübre'!Y71*'Gübre oranlar'!AB$3</f>
        <v>0</v>
      </c>
      <c r="Z71">
        <f>'Kullanılan gübre'!Z71*'Gübre oranlar'!AC$3</f>
        <v>0</v>
      </c>
      <c r="AA71">
        <f>'Kullanılan gübre'!AA71*'Gübre oranlar'!AD$3</f>
        <v>18.48</v>
      </c>
      <c r="AB71">
        <f>'Kullanılan gübre'!AB71*'Gübre oranlar'!AE$3</f>
        <v>0</v>
      </c>
      <c r="AC71">
        <f>'Kullanılan gübre'!AC71*'Gübre oranlar'!AF$3</f>
        <v>0</v>
      </c>
      <c r="AD71">
        <f>'Kullanılan gübre'!AD71*'Gübre oranlar'!AG$3</f>
        <v>0</v>
      </c>
      <c r="AE71">
        <f>'Kullanılan gübre'!AE71*'Gübre oranlar'!AH$3</f>
        <v>2.9375</v>
      </c>
      <c r="AF71">
        <f>'Kullanılan gübre'!AF71*'Gübre oranlar'!AI$3</f>
        <v>0</v>
      </c>
      <c r="AG71">
        <f>'Kullanılan gübre'!AG71*'Gübre oranlar'!AJ$3</f>
        <v>0</v>
      </c>
      <c r="AH71">
        <f>'Kullanılan gübre'!AH71*'Gübre oranlar'!AK$3</f>
        <v>0</v>
      </c>
      <c r="AI71">
        <f>'Kullanılan gübre'!AI71*'Gübre oranlar'!AL$3</f>
        <v>0</v>
      </c>
      <c r="AJ71">
        <f>'Kullanılan gübre'!AJ71*'Gübre oranlar'!AM$3</f>
        <v>0</v>
      </c>
      <c r="AK71">
        <f>'Kullanılan gübre'!AK71*'Gübre oranlar'!AN$3</f>
        <v>0</v>
      </c>
      <c r="AL71">
        <f>'Kullanılan gübre'!AL71*'Gübre oranlar'!AO$3</f>
        <v>0</v>
      </c>
      <c r="AM71">
        <f>'Kullanılan gübre'!AM71*'Gübre oranlar'!AP$3</f>
        <v>0</v>
      </c>
      <c r="AN71">
        <f>'Kullanılan gübre'!AN71*'Gübre oranlar'!AQ$3</f>
        <v>0</v>
      </c>
      <c r="AO71">
        <f>'Kullanılan gübre'!AO71*'Gübre oranlar'!AR$3</f>
        <v>0</v>
      </c>
      <c r="AP71">
        <f>'Kullanılan gübre'!AP71*'Gübre oranlar'!AS$3</f>
        <v>0</v>
      </c>
      <c r="AQ71">
        <f>'Kullanılan gübre'!AQ71*'Gübre oranlar'!AT$3</f>
        <v>0</v>
      </c>
      <c r="AR71">
        <f>'Kullanılan gübre'!AR71*'Gübre oranlar'!AU$3</f>
        <v>0</v>
      </c>
      <c r="AS71">
        <f>'Kullanılan gübre'!AS71*'Gübre oranlar'!AV$3</f>
        <v>0</v>
      </c>
      <c r="AT71">
        <f>'Kullanılan gübre'!AT71*'Gübre oranlar'!AW$3</f>
        <v>0</v>
      </c>
      <c r="AU71">
        <f>'Kullanılan gübre'!AU71*'Gübre oranlar'!AX$3</f>
        <v>0</v>
      </c>
      <c r="AV71">
        <f>'Kullanılan gübre'!AV71*'Gübre oranlar'!AY$3</f>
        <v>0</v>
      </c>
      <c r="AW71">
        <f t="shared" si="1"/>
        <v>659.34</v>
      </c>
    </row>
    <row r="72" spans="1:49" x14ac:dyDescent="0.25">
      <c r="A72" t="str">
        <f>'Kullanılan gübre'!A72</f>
        <v>AK</v>
      </c>
      <c r="B72" t="str">
        <f>'Kullanılan gübre'!B72</f>
        <v>AFYONKARAHISAR</v>
      </c>
      <c r="C72" t="str">
        <f>'Kullanılan gübre'!C72</f>
        <v>MERKEZ</v>
      </c>
      <c r="D72">
        <f>'Kullanılan gübre'!D72</f>
        <v>2013</v>
      </c>
      <c r="E72">
        <f>'Kullanılan gübre'!E72*'Gübre oranlar'!H$3</f>
        <v>0</v>
      </c>
      <c r="F72">
        <f>'Kullanılan gübre'!F72*'Gübre oranlar'!I$3</f>
        <v>0</v>
      </c>
      <c r="G72">
        <f>'Kullanılan gübre'!G72*'Gübre oranlar'!J$3</f>
        <v>0</v>
      </c>
      <c r="H72">
        <f>'Kullanılan gübre'!H72*'Gübre oranlar'!K$3</f>
        <v>0</v>
      </c>
      <c r="I72">
        <f>'Kullanılan gübre'!I72*'Gübre oranlar'!L$3</f>
        <v>0</v>
      </c>
      <c r="J72">
        <f>'Kullanılan gübre'!J72*'Gübre oranlar'!M$3</f>
        <v>0</v>
      </c>
      <c r="K72">
        <f>'Kullanılan gübre'!K72*'Gübre oranlar'!N$3</f>
        <v>229.56</v>
      </c>
      <c r="L72">
        <f>'Kullanılan gübre'!L72*'Gübre oranlar'!O$3</f>
        <v>98.910000000000011</v>
      </c>
      <c r="M72">
        <f>'Kullanılan gübre'!M72*'Gübre oranlar'!P$3</f>
        <v>31.395</v>
      </c>
      <c r="N72">
        <f>'Kullanılan gübre'!N72*'Gübre oranlar'!Q$3</f>
        <v>71.887500000000003</v>
      </c>
      <c r="O72">
        <f>'Kullanılan gübre'!O72*'Gübre oranlar'!R$3</f>
        <v>0</v>
      </c>
      <c r="P72">
        <f>'Kullanılan gübre'!P72*'Gübre oranlar'!S$3</f>
        <v>0</v>
      </c>
      <c r="Q72">
        <f>'Kullanılan gübre'!Q72*'Gübre oranlar'!T$3</f>
        <v>0</v>
      </c>
      <c r="R72">
        <f>'Kullanılan gübre'!R72*'Gübre oranlar'!U$3</f>
        <v>3.1013999999999999</v>
      </c>
      <c r="S72">
        <f>'Kullanılan gübre'!S72*'Gübre oranlar'!V$3</f>
        <v>0</v>
      </c>
      <c r="T72">
        <f>'Kullanılan gübre'!T72*'Gübre oranlar'!W$3</f>
        <v>86.512500000000003</v>
      </c>
      <c r="U72">
        <f>'Kullanılan gübre'!U72*'Gübre oranlar'!X$3</f>
        <v>0</v>
      </c>
      <c r="V72">
        <f>'Kullanılan gübre'!V72*'Gübre oranlar'!Y$3</f>
        <v>8.5</v>
      </c>
      <c r="W72">
        <f>'Kullanılan gübre'!W72*'Gübre oranlar'!Z$3</f>
        <v>0</v>
      </c>
      <c r="X72">
        <f>'Kullanılan gübre'!X72*'Gübre oranlar'!AA$3</f>
        <v>0</v>
      </c>
      <c r="Y72">
        <f>'Kullanılan gübre'!Y72*'Gübre oranlar'!AB$3</f>
        <v>0</v>
      </c>
      <c r="Z72">
        <f>'Kullanılan gübre'!Z72*'Gübre oranlar'!AC$3</f>
        <v>0</v>
      </c>
      <c r="AA72">
        <f>'Kullanılan gübre'!AA72*'Gübre oranlar'!AD$3</f>
        <v>5.7359999999999998</v>
      </c>
      <c r="AB72">
        <f>'Kullanılan gübre'!AB72*'Gübre oranlar'!AE$3</f>
        <v>0</v>
      </c>
      <c r="AC72">
        <f>'Kullanılan gübre'!AC72*'Gübre oranlar'!AF$3</f>
        <v>0</v>
      </c>
      <c r="AD72">
        <f>'Kullanılan gübre'!AD72*'Gübre oranlar'!AG$3</f>
        <v>0</v>
      </c>
      <c r="AE72">
        <f>'Kullanılan gübre'!AE72*'Gübre oranlar'!AH$3</f>
        <v>11.612500000000001</v>
      </c>
      <c r="AF72">
        <f>'Kullanılan gübre'!AF72*'Gübre oranlar'!AI$3</f>
        <v>0</v>
      </c>
      <c r="AG72">
        <f>'Kullanılan gübre'!AG72*'Gübre oranlar'!AJ$3</f>
        <v>0</v>
      </c>
      <c r="AH72">
        <f>'Kullanılan gübre'!AH72*'Gübre oranlar'!AK$3</f>
        <v>0</v>
      </c>
      <c r="AI72">
        <f>'Kullanılan gübre'!AI72*'Gübre oranlar'!AL$3</f>
        <v>0</v>
      </c>
      <c r="AJ72">
        <f>'Kullanılan gübre'!AJ72*'Gübre oranlar'!AM$3</f>
        <v>0</v>
      </c>
      <c r="AK72">
        <f>'Kullanılan gübre'!AK72*'Gübre oranlar'!AN$3</f>
        <v>0</v>
      </c>
      <c r="AL72">
        <f>'Kullanılan gübre'!AL72*'Gübre oranlar'!AO$3</f>
        <v>0</v>
      </c>
      <c r="AM72">
        <f>'Kullanılan gübre'!AM72*'Gübre oranlar'!AP$3</f>
        <v>0</v>
      </c>
      <c r="AN72">
        <f>'Kullanılan gübre'!AN72*'Gübre oranlar'!AQ$3</f>
        <v>0</v>
      </c>
      <c r="AO72">
        <f>'Kullanılan gübre'!AO72*'Gübre oranlar'!AR$3</f>
        <v>0</v>
      </c>
      <c r="AP72">
        <f>'Kullanılan gübre'!AP72*'Gübre oranlar'!AS$3</f>
        <v>0</v>
      </c>
      <c r="AQ72">
        <f>'Kullanılan gübre'!AQ72*'Gübre oranlar'!AT$3</f>
        <v>0</v>
      </c>
      <c r="AR72">
        <f>'Kullanılan gübre'!AR72*'Gübre oranlar'!AU$3</f>
        <v>0</v>
      </c>
      <c r="AS72">
        <f>'Kullanılan gübre'!AS72*'Gübre oranlar'!AV$3</f>
        <v>0</v>
      </c>
      <c r="AT72">
        <f>'Kullanılan gübre'!AT72*'Gübre oranlar'!AW$3</f>
        <v>0</v>
      </c>
      <c r="AU72">
        <f>'Kullanılan gübre'!AU72*'Gübre oranlar'!AX$3</f>
        <v>0</v>
      </c>
      <c r="AV72">
        <f>'Kullanılan gübre'!AV72*'Gübre oranlar'!AY$3</f>
        <v>0</v>
      </c>
      <c r="AW72">
        <f t="shared" si="1"/>
        <v>547.21489999999994</v>
      </c>
    </row>
    <row r="73" spans="1:49" x14ac:dyDescent="0.25">
      <c r="A73" t="str">
        <f>'Kullanılan gübre'!A73</f>
        <v>AK</v>
      </c>
      <c r="B73" t="str">
        <f>'Kullanılan gübre'!B73</f>
        <v>AFYONKARAHISAR</v>
      </c>
      <c r="C73" t="str">
        <f>'Kullanılan gübre'!C73</f>
        <v>BAYAT</v>
      </c>
      <c r="D73">
        <f>'Kullanılan gübre'!D73</f>
        <v>2013</v>
      </c>
      <c r="E73">
        <f>'Kullanılan gübre'!E73*'Gübre oranlar'!H$3</f>
        <v>0</v>
      </c>
      <c r="F73">
        <f>'Kullanılan gübre'!F73*'Gübre oranlar'!I$3</f>
        <v>0</v>
      </c>
      <c r="G73">
        <f>'Kullanılan gübre'!G73*'Gübre oranlar'!J$3</f>
        <v>0</v>
      </c>
      <c r="H73">
        <f>'Kullanılan gübre'!H73*'Gübre oranlar'!K$3</f>
        <v>0</v>
      </c>
      <c r="I73">
        <f>'Kullanılan gübre'!I73*'Gübre oranlar'!L$3</f>
        <v>0</v>
      </c>
      <c r="J73">
        <f>'Kullanılan gübre'!J73*'Gübre oranlar'!M$3</f>
        <v>0</v>
      </c>
      <c r="K73">
        <f>'Kullanılan gübre'!K73*'Gübre oranlar'!N$3</f>
        <v>0</v>
      </c>
      <c r="L73">
        <f>'Kullanılan gübre'!L73*'Gübre oranlar'!O$3</f>
        <v>14.940000000000001</v>
      </c>
      <c r="M73">
        <f>'Kullanılan gübre'!M73*'Gübre oranlar'!P$3</f>
        <v>0</v>
      </c>
      <c r="N73">
        <f>'Kullanılan gübre'!N73*'Gübre oranlar'!Q$3</f>
        <v>0.315</v>
      </c>
      <c r="O73">
        <f>'Kullanılan gübre'!O73*'Gübre oranlar'!R$3</f>
        <v>0</v>
      </c>
      <c r="P73">
        <f>'Kullanılan gübre'!P73*'Gübre oranlar'!S$3</f>
        <v>0</v>
      </c>
      <c r="Q73">
        <f>'Kullanılan gübre'!Q73*'Gübre oranlar'!T$3</f>
        <v>0</v>
      </c>
      <c r="R73">
        <f>'Kullanılan gübre'!R73*'Gübre oranlar'!U$3</f>
        <v>0</v>
      </c>
      <c r="S73">
        <f>'Kullanılan gübre'!S73*'Gübre oranlar'!V$3</f>
        <v>0</v>
      </c>
      <c r="T73">
        <f>'Kullanılan gübre'!T73*'Gübre oranlar'!W$3</f>
        <v>0</v>
      </c>
      <c r="U73">
        <f>'Kullanılan gübre'!U73*'Gübre oranlar'!X$3</f>
        <v>0</v>
      </c>
      <c r="V73">
        <f>'Kullanılan gübre'!V73*'Gübre oranlar'!Y$3</f>
        <v>0</v>
      </c>
      <c r="W73">
        <f>'Kullanılan gübre'!W73*'Gübre oranlar'!Z$3</f>
        <v>0</v>
      </c>
      <c r="X73">
        <f>'Kullanılan gübre'!X73*'Gübre oranlar'!AA$3</f>
        <v>0</v>
      </c>
      <c r="Y73">
        <f>'Kullanılan gübre'!Y73*'Gübre oranlar'!AB$3</f>
        <v>0</v>
      </c>
      <c r="Z73">
        <f>'Kullanılan gübre'!Z73*'Gübre oranlar'!AC$3</f>
        <v>0</v>
      </c>
      <c r="AA73">
        <f>'Kullanılan gübre'!AA73*'Gübre oranlar'!AD$3</f>
        <v>0</v>
      </c>
      <c r="AB73">
        <f>'Kullanılan gübre'!AB73*'Gübre oranlar'!AE$3</f>
        <v>0</v>
      </c>
      <c r="AC73">
        <f>'Kullanılan gübre'!AC73*'Gübre oranlar'!AF$3</f>
        <v>0</v>
      </c>
      <c r="AD73">
        <f>'Kullanılan gübre'!AD73*'Gübre oranlar'!AG$3</f>
        <v>0</v>
      </c>
      <c r="AE73">
        <f>'Kullanılan gübre'!AE73*'Gübre oranlar'!AH$3</f>
        <v>1.2250000000000001</v>
      </c>
      <c r="AF73">
        <f>'Kullanılan gübre'!AF73*'Gübre oranlar'!AI$3</f>
        <v>0</v>
      </c>
      <c r="AG73">
        <f>'Kullanılan gübre'!AG73*'Gübre oranlar'!AJ$3</f>
        <v>0</v>
      </c>
      <c r="AH73">
        <f>'Kullanılan gübre'!AH73*'Gübre oranlar'!AK$3</f>
        <v>0</v>
      </c>
      <c r="AI73">
        <f>'Kullanılan gübre'!AI73*'Gübre oranlar'!AL$3</f>
        <v>0</v>
      </c>
      <c r="AJ73">
        <f>'Kullanılan gübre'!AJ73*'Gübre oranlar'!AM$3</f>
        <v>0</v>
      </c>
      <c r="AK73">
        <f>'Kullanılan gübre'!AK73*'Gübre oranlar'!AN$3</f>
        <v>0</v>
      </c>
      <c r="AL73">
        <f>'Kullanılan gübre'!AL73*'Gübre oranlar'!AO$3</f>
        <v>0</v>
      </c>
      <c r="AM73">
        <f>'Kullanılan gübre'!AM73*'Gübre oranlar'!AP$3</f>
        <v>0</v>
      </c>
      <c r="AN73">
        <f>'Kullanılan gübre'!AN73*'Gübre oranlar'!AQ$3</f>
        <v>0</v>
      </c>
      <c r="AO73">
        <f>'Kullanılan gübre'!AO73*'Gübre oranlar'!AR$3</f>
        <v>0</v>
      </c>
      <c r="AP73">
        <f>'Kullanılan gübre'!AP73*'Gübre oranlar'!AS$3</f>
        <v>0</v>
      </c>
      <c r="AQ73">
        <f>'Kullanılan gübre'!AQ73*'Gübre oranlar'!AT$3</f>
        <v>0</v>
      </c>
      <c r="AR73">
        <f>'Kullanılan gübre'!AR73*'Gübre oranlar'!AU$3</f>
        <v>0</v>
      </c>
      <c r="AS73">
        <f>'Kullanılan gübre'!AS73*'Gübre oranlar'!AV$3</f>
        <v>0</v>
      </c>
      <c r="AT73">
        <f>'Kullanılan gübre'!AT73*'Gübre oranlar'!AW$3</f>
        <v>0</v>
      </c>
      <c r="AU73">
        <f>'Kullanılan gübre'!AU73*'Gübre oranlar'!AX$3</f>
        <v>0</v>
      </c>
      <c r="AV73">
        <f>'Kullanılan gübre'!AV73*'Gübre oranlar'!AY$3</f>
        <v>0</v>
      </c>
      <c r="AW73">
        <f t="shared" si="1"/>
        <v>16.48</v>
      </c>
    </row>
    <row r="74" spans="1:49" x14ac:dyDescent="0.25">
      <c r="A74" t="str">
        <f>'Kullanılan gübre'!A74</f>
        <v>AK</v>
      </c>
      <c r="B74" t="str">
        <f>'Kullanılan gübre'!B74</f>
        <v>AFYONKARAHISAR</v>
      </c>
      <c r="C74" t="str">
        <f>'Kullanılan gübre'!C74</f>
        <v>BOLVADIN</v>
      </c>
      <c r="D74">
        <f>'Kullanılan gübre'!D74</f>
        <v>2013</v>
      </c>
      <c r="E74">
        <f>'Kullanılan gübre'!E74*'Gübre oranlar'!H$3</f>
        <v>0</v>
      </c>
      <c r="F74">
        <f>'Kullanılan gübre'!F74*'Gübre oranlar'!I$3</f>
        <v>0</v>
      </c>
      <c r="G74">
        <f>'Kullanılan gübre'!G74*'Gübre oranlar'!J$3</f>
        <v>0</v>
      </c>
      <c r="H74">
        <f>'Kullanılan gübre'!H74*'Gübre oranlar'!K$3</f>
        <v>0</v>
      </c>
      <c r="I74">
        <f>'Kullanılan gübre'!I74*'Gübre oranlar'!L$3</f>
        <v>6.45</v>
      </c>
      <c r="J74">
        <f>'Kullanılan gübre'!J74*'Gübre oranlar'!M$3</f>
        <v>0</v>
      </c>
      <c r="K74">
        <f>'Kullanılan gübre'!K74*'Gübre oranlar'!N$3</f>
        <v>4.2</v>
      </c>
      <c r="L74">
        <f>'Kullanılan gübre'!L74*'Gübre oranlar'!O$3</f>
        <v>60.900000000000006</v>
      </c>
      <c r="M74">
        <f>'Kullanılan gübre'!M74*'Gübre oranlar'!P$3</f>
        <v>0</v>
      </c>
      <c r="N74">
        <f>'Kullanılan gübre'!N74*'Gübre oranlar'!Q$3</f>
        <v>2.2049999999999996</v>
      </c>
      <c r="O74">
        <f>'Kullanılan gübre'!O74*'Gübre oranlar'!R$3</f>
        <v>0</v>
      </c>
      <c r="P74">
        <f>'Kullanılan gübre'!P74*'Gübre oranlar'!S$3</f>
        <v>0</v>
      </c>
      <c r="Q74">
        <f>'Kullanılan gübre'!Q74*'Gübre oranlar'!T$3</f>
        <v>0</v>
      </c>
      <c r="R74">
        <f>'Kullanılan gübre'!R74*'Gübre oranlar'!U$3</f>
        <v>0</v>
      </c>
      <c r="S74">
        <f>'Kullanılan gübre'!S74*'Gübre oranlar'!V$3</f>
        <v>0</v>
      </c>
      <c r="T74">
        <f>'Kullanılan gübre'!T74*'Gübre oranlar'!W$3</f>
        <v>52.15</v>
      </c>
      <c r="U74">
        <f>'Kullanılan gübre'!U74*'Gübre oranlar'!X$3</f>
        <v>0</v>
      </c>
      <c r="V74">
        <f>'Kullanılan gübre'!V74*'Gübre oranlar'!Y$3</f>
        <v>4.7</v>
      </c>
      <c r="W74">
        <f>'Kullanılan gübre'!W74*'Gübre oranlar'!Z$3</f>
        <v>0</v>
      </c>
      <c r="X74">
        <f>'Kullanılan gübre'!X74*'Gübre oranlar'!AA$3</f>
        <v>0</v>
      </c>
      <c r="Y74">
        <f>'Kullanılan gübre'!Y74*'Gübre oranlar'!AB$3</f>
        <v>0</v>
      </c>
      <c r="Z74">
        <f>'Kullanılan gübre'!Z74*'Gübre oranlar'!AC$3</f>
        <v>0</v>
      </c>
      <c r="AA74">
        <f>'Kullanılan gübre'!AA74*'Gübre oranlar'!AD$3</f>
        <v>0</v>
      </c>
      <c r="AB74">
        <f>'Kullanılan gübre'!AB74*'Gübre oranlar'!AE$3</f>
        <v>0</v>
      </c>
      <c r="AC74">
        <f>'Kullanılan gübre'!AC74*'Gübre oranlar'!AF$3</f>
        <v>0</v>
      </c>
      <c r="AD74">
        <f>'Kullanılan gübre'!AD74*'Gübre oranlar'!AG$3</f>
        <v>0</v>
      </c>
      <c r="AE74">
        <f>'Kullanılan gübre'!AE74*'Gübre oranlar'!AH$3</f>
        <v>0</v>
      </c>
      <c r="AF74">
        <f>'Kullanılan gübre'!AF74*'Gübre oranlar'!AI$3</f>
        <v>0</v>
      </c>
      <c r="AG74">
        <f>'Kullanılan gübre'!AG74*'Gübre oranlar'!AJ$3</f>
        <v>0</v>
      </c>
      <c r="AH74">
        <f>'Kullanılan gübre'!AH74*'Gübre oranlar'!AK$3</f>
        <v>0</v>
      </c>
      <c r="AI74">
        <f>'Kullanılan gübre'!AI74*'Gübre oranlar'!AL$3</f>
        <v>0</v>
      </c>
      <c r="AJ74">
        <f>'Kullanılan gübre'!AJ74*'Gübre oranlar'!AM$3</f>
        <v>0</v>
      </c>
      <c r="AK74">
        <f>'Kullanılan gübre'!AK74*'Gübre oranlar'!AN$3</f>
        <v>0</v>
      </c>
      <c r="AL74">
        <f>'Kullanılan gübre'!AL74*'Gübre oranlar'!AO$3</f>
        <v>0</v>
      </c>
      <c r="AM74">
        <f>'Kullanılan gübre'!AM74*'Gübre oranlar'!AP$3</f>
        <v>0</v>
      </c>
      <c r="AN74">
        <f>'Kullanılan gübre'!AN74*'Gübre oranlar'!AQ$3</f>
        <v>0</v>
      </c>
      <c r="AO74">
        <f>'Kullanılan gübre'!AO74*'Gübre oranlar'!AR$3</f>
        <v>0</v>
      </c>
      <c r="AP74">
        <f>'Kullanılan gübre'!AP74*'Gübre oranlar'!AS$3</f>
        <v>0</v>
      </c>
      <c r="AQ74">
        <f>'Kullanılan gübre'!AQ74*'Gübre oranlar'!AT$3</f>
        <v>0</v>
      </c>
      <c r="AR74">
        <f>'Kullanılan gübre'!AR74*'Gübre oranlar'!AU$3</f>
        <v>0</v>
      </c>
      <c r="AS74">
        <f>'Kullanılan gübre'!AS74*'Gübre oranlar'!AV$3</f>
        <v>0</v>
      </c>
      <c r="AT74">
        <f>'Kullanılan gübre'!AT74*'Gübre oranlar'!AW$3</f>
        <v>0</v>
      </c>
      <c r="AU74">
        <f>'Kullanılan gübre'!AU74*'Gübre oranlar'!AX$3</f>
        <v>0</v>
      </c>
      <c r="AV74">
        <f>'Kullanılan gübre'!AV74*'Gübre oranlar'!AY$3</f>
        <v>0</v>
      </c>
      <c r="AW74">
        <f t="shared" si="1"/>
        <v>130.60499999999999</v>
      </c>
    </row>
    <row r="75" spans="1:49" x14ac:dyDescent="0.25">
      <c r="A75" t="str">
        <f>'Kullanılan gübre'!A75</f>
        <v>AK</v>
      </c>
      <c r="B75" t="str">
        <f>'Kullanılan gübre'!B75</f>
        <v>AFYONKARAHISAR</v>
      </c>
      <c r="C75" t="str">
        <f>'Kullanılan gübre'!C75</f>
        <v>CAY</v>
      </c>
      <c r="D75">
        <f>'Kullanılan gübre'!D75</f>
        <v>2013</v>
      </c>
      <c r="E75">
        <f>'Kullanılan gübre'!E75*'Gübre oranlar'!H$3</f>
        <v>0</v>
      </c>
      <c r="F75">
        <f>'Kullanılan gübre'!F75*'Gübre oranlar'!I$3</f>
        <v>0</v>
      </c>
      <c r="G75">
        <f>'Kullanılan gübre'!G75*'Gübre oranlar'!J$3</f>
        <v>0</v>
      </c>
      <c r="H75">
        <f>'Kullanılan gübre'!H75*'Gübre oranlar'!K$3</f>
        <v>0</v>
      </c>
      <c r="I75">
        <f>'Kullanılan gübre'!I75*'Gübre oranlar'!L$3</f>
        <v>81.42049999999999</v>
      </c>
      <c r="J75">
        <f>'Kullanılan gübre'!J75*'Gübre oranlar'!M$3</f>
        <v>0</v>
      </c>
      <c r="K75">
        <f>'Kullanılan gübre'!K75*'Gübre oranlar'!N$3</f>
        <v>17.990000000000002</v>
      </c>
      <c r="L75">
        <f>'Kullanılan gübre'!L75*'Gübre oranlar'!O$3</f>
        <v>117.12</v>
      </c>
      <c r="M75">
        <f>'Kullanılan gübre'!M75*'Gübre oranlar'!P$3</f>
        <v>5.0999999999999996</v>
      </c>
      <c r="N75">
        <f>'Kullanılan gübre'!N75*'Gübre oranlar'!Q$3</f>
        <v>19.664999999999999</v>
      </c>
      <c r="O75">
        <f>'Kullanılan gübre'!O75*'Gübre oranlar'!R$3</f>
        <v>0</v>
      </c>
      <c r="P75">
        <f>'Kullanılan gübre'!P75*'Gübre oranlar'!S$3</f>
        <v>0</v>
      </c>
      <c r="Q75">
        <f>'Kullanılan gübre'!Q75*'Gübre oranlar'!T$3</f>
        <v>225</v>
      </c>
      <c r="R75">
        <f>'Kullanılan gübre'!R75*'Gübre oranlar'!U$3</f>
        <v>0</v>
      </c>
      <c r="S75">
        <f>'Kullanılan gübre'!S75*'Gübre oranlar'!V$3</f>
        <v>0</v>
      </c>
      <c r="T75">
        <f>'Kullanılan gübre'!T75*'Gübre oranlar'!W$3</f>
        <v>31.1875</v>
      </c>
      <c r="U75">
        <f>'Kullanılan gübre'!U75*'Gübre oranlar'!X$3</f>
        <v>0</v>
      </c>
      <c r="V75">
        <f>'Kullanılan gübre'!V75*'Gübre oranlar'!Y$3</f>
        <v>0</v>
      </c>
      <c r="W75">
        <f>'Kullanılan gübre'!W75*'Gübre oranlar'!Z$3</f>
        <v>0</v>
      </c>
      <c r="X75">
        <f>'Kullanılan gübre'!X75*'Gübre oranlar'!AA$3</f>
        <v>1.4000000000000001</v>
      </c>
      <c r="Y75">
        <f>'Kullanılan gübre'!Y75*'Gübre oranlar'!AB$3</f>
        <v>0</v>
      </c>
      <c r="Z75">
        <f>'Kullanılan gübre'!Z75*'Gübre oranlar'!AC$3</f>
        <v>0</v>
      </c>
      <c r="AA75">
        <f>'Kullanılan gübre'!AA75*'Gübre oranlar'!AD$3</f>
        <v>27.096</v>
      </c>
      <c r="AB75">
        <f>'Kullanılan gübre'!AB75*'Gübre oranlar'!AE$3</f>
        <v>0</v>
      </c>
      <c r="AC75">
        <f>'Kullanılan gübre'!AC75*'Gübre oranlar'!AF$3</f>
        <v>0</v>
      </c>
      <c r="AD75">
        <f>'Kullanılan gübre'!AD75*'Gübre oranlar'!AG$3</f>
        <v>0</v>
      </c>
      <c r="AE75">
        <f>'Kullanılan gübre'!AE75*'Gübre oranlar'!AH$3</f>
        <v>30.15</v>
      </c>
      <c r="AF75">
        <f>'Kullanılan gübre'!AF75*'Gübre oranlar'!AI$3</f>
        <v>0</v>
      </c>
      <c r="AG75">
        <f>'Kullanılan gübre'!AG75*'Gübre oranlar'!AJ$3</f>
        <v>0</v>
      </c>
      <c r="AH75">
        <f>'Kullanılan gübre'!AH75*'Gübre oranlar'!AK$3</f>
        <v>0</v>
      </c>
      <c r="AI75">
        <f>'Kullanılan gübre'!AI75*'Gübre oranlar'!AL$3</f>
        <v>0</v>
      </c>
      <c r="AJ75">
        <f>'Kullanılan gübre'!AJ75*'Gübre oranlar'!AM$3</f>
        <v>0</v>
      </c>
      <c r="AK75">
        <f>'Kullanılan gübre'!AK75*'Gübre oranlar'!AN$3</f>
        <v>0</v>
      </c>
      <c r="AL75">
        <f>'Kullanılan gübre'!AL75*'Gübre oranlar'!AO$3</f>
        <v>0</v>
      </c>
      <c r="AM75">
        <f>'Kullanılan gübre'!AM75*'Gübre oranlar'!AP$3</f>
        <v>0</v>
      </c>
      <c r="AN75">
        <f>'Kullanılan gübre'!AN75*'Gübre oranlar'!AQ$3</f>
        <v>0</v>
      </c>
      <c r="AO75">
        <f>'Kullanılan gübre'!AO75*'Gübre oranlar'!AR$3</f>
        <v>0</v>
      </c>
      <c r="AP75">
        <f>'Kullanılan gübre'!AP75*'Gübre oranlar'!AS$3</f>
        <v>0</v>
      </c>
      <c r="AQ75">
        <f>'Kullanılan gübre'!AQ75*'Gübre oranlar'!AT$3</f>
        <v>0</v>
      </c>
      <c r="AR75">
        <f>'Kullanılan gübre'!AR75*'Gübre oranlar'!AU$3</f>
        <v>0</v>
      </c>
      <c r="AS75">
        <f>'Kullanılan gübre'!AS75*'Gübre oranlar'!AV$3</f>
        <v>0</v>
      </c>
      <c r="AT75">
        <f>'Kullanılan gübre'!AT75*'Gübre oranlar'!AW$3</f>
        <v>0</v>
      </c>
      <c r="AU75">
        <f>'Kullanılan gübre'!AU75*'Gübre oranlar'!AX$3</f>
        <v>0</v>
      </c>
      <c r="AV75">
        <f>'Kullanılan gübre'!AV75*'Gübre oranlar'!AY$3</f>
        <v>0</v>
      </c>
      <c r="AW75">
        <f t="shared" si="1"/>
        <v>556.12899999999991</v>
      </c>
    </row>
    <row r="76" spans="1:49" x14ac:dyDescent="0.25">
      <c r="A76" t="str">
        <f>'Kullanılan gübre'!A76</f>
        <v>AK</v>
      </c>
      <c r="B76" t="str">
        <f>'Kullanılan gübre'!B76</f>
        <v>AFYONKARAHISAR</v>
      </c>
      <c r="C76" t="str">
        <f>'Kullanılan gübre'!C76</f>
        <v>COBANLAR</v>
      </c>
      <c r="D76">
        <f>'Kullanılan gübre'!D76</f>
        <v>2013</v>
      </c>
      <c r="E76">
        <f>'Kullanılan gübre'!E76*'Gübre oranlar'!H$3</f>
        <v>0</v>
      </c>
      <c r="F76">
        <f>'Kullanılan gübre'!F76*'Gübre oranlar'!I$3</f>
        <v>0</v>
      </c>
      <c r="G76">
        <f>'Kullanılan gübre'!G76*'Gübre oranlar'!J$3</f>
        <v>0</v>
      </c>
      <c r="H76">
        <f>'Kullanılan gübre'!H76*'Gübre oranlar'!K$3</f>
        <v>0</v>
      </c>
      <c r="I76">
        <f>'Kullanılan gübre'!I76*'Gübre oranlar'!L$3</f>
        <v>0</v>
      </c>
      <c r="J76">
        <f>'Kullanılan gübre'!J76*'Gübre oranlar'!M$3</f>
        <v>0</v>
      </c>
      <c r="K76">
        <f>'Kullanılan gübre'!K76*'Gübre oranlar'!N$3</f>
        <v>0</v>
      </c>
      <c r="L76">
        <f>'Kullanılan gübre'!L76*'Gübre oranlar'!O$3</f>
        <v>49.580000000000005</v>
      </c>
      <c r="M76">
        <f>'Kullanılan gübre'!M76*'Gübre oranlar'!P$3</f>
        <v>1.845</v>
      </c>
      <c r="N76">
        <f>'Kullanılan gübre'!N76*'Gübre oranlar'!Q$3</f>
        <v>12.299999999999999</v>
      </c>
      <c r="O76">
        <f>'Kullanılan gübre'!O76*'Gübre oranlar'!R$3</f>
        <v>0</v>
      </c>
      <c r="P76">
        <f>'Kullanılan gübre'!P76*'Gübre oranlar'!S$3</f>
        <v>0</v>
      </c>
      <c r="Q76">
        <f>'Kullanılan gübre'!Q76*'Gübre oranlar'!T$3</f>
        <v>0</v>
      </c>
      <c r="R76">
        <f>'Kullanılan gübre'!R76*'Gübre oranlar'!U$3</f>
        <v>0</v>
      </c>
      <c r="S76">
        <f>'Kullanılan gübre'!S76*'Gübre oranlar'!V$3</f>
        <v>0</v>
      </c>
      <c r="T76">
        <f>'Kullanılan gübre'!T76*'Gübre oranlar'!W$3</f>
        <v>21.45</v>
      </c>
      <c r="U76">
        <f>'Kullanılan gübre'!U76*'Gübre oranlar'!X$3</f>
        <v>0</v>
      </c>
      <c r="V76">
        <f>'Kullanılan gübre'!V76*'Gübre oranlar'!Y$3</f>
        <v>0</v>
      </c>
      <c r="W76">
        <f>'Kullanılan gübre'!W76*'Gübre oranlar'!Z$3</f>
        <v>0</v>
      </c>
      <c r="X76">
        <f>'Kullanılan gübre'!X76*'Gübre oranlar'!AA$3</f>
        <v>0</v>
      </c>
      <c r="Y76">
        <f>'Kullanılan gübre'!Y76*'Gübre oranlar'!AB$3</f>
        <v>0</v>
      </c>
      <c r="Z76">
        <f>'Kullanılan gübre'!Z76*'Gübre oranlar'!AC$3</f>
        <v>0</v>
      </c>
      <c r="AA76">
        <f>'Kullanılan gübre'!AA76*'Gübre oranlar'!AD$3</f>
        <v>0</v>
      </c>
      <c r="AB76">
        <f>'Kullanılan gübre'!AB76*'Gübre oranlar'!AE$3</f>
        <v>0</v>
      </c>
      <c r="AC76">
        <f>'Kullanılan gübre'!AC76*'Gübre oranlar'!AF$3</f>
        <v>0</v>
      </c>
      <c r="AD76">
        <f>'Kullanılan gübre'!AD76*'Gübre oranlar'!AG$3</f>
        <v>0</v>
      </c>
      <c r="AE76">
        <f>'Kullanılan gübre'!AE76*'Gübre oranlar'!AH$3</f>
        <v>10.8</v>
      </c>
      <c r="AF76">
        <f>'Kullanılan gübre'!AF76*'Gübre oranlar'!AI$3</f>
        <v>0</v>
      </c>
      <c r="AG76">
        <f>'Kullanılan gübre'!AG76*'Gübre oranlar'!AJ$3</f>
        <v>0</v>
      </c>
      <c r="AH76">
        <f>'Kullanılan gübre'!AH76*'Gübre oranlar'!AK$3</f>
        <v>0</v>
      </c>
      <c r="AI76">
        <f>'Kullanılan gübre'!AI76*'Gübre oranlar'!AL$3</f>
        <v>0</v>
      </c>
      <c r="AJ76">
        <f>'Kullanılan gübre'!AJ76*'Gübre oranlar'!AM$3</f>
        <v>0</v>
      </c>
      <c r="AK76">
        <f>'Kullanılan gübre'!AK76*'Gübre oranlar'!AN$3</f>
        <v>0</v>
      </c>
      <c r="AL76">
        <f>'Kullanılan gübre'!AL76*'Gübre oranlar'!AO$3</f>
        <v>0</v>
      </c>
      <c r="AM76">
        <f>'Kullanılan gübre'!AM76*'Gübre oranlar'!AP$3</f>
        <v>0</v>
      </c>
      <c r="AN76">
        <f>'Kullanılan gübre'!AN76*'Gübre oranlar'!AQ$3</f>
        <v>0</v>
      </c>
      <c r="AO76">
        <f>'Kullanılan gübre'!AO76*'Gübre oranlar'!AR$3</f>
        <v>0</v>
      </c>
      <c r="AP76">
        <f>'Kullanılan gübre'!AP76*'Gübre oranlar'!AS$3</f>
        <v>0</v>
      </c>
      <c r="AQ76">
        <f>'Kullanılan gübre'!AQ76*'Gübre oranlar'!AT$3</f>
        <v>0</v>
      </c>
      <c r="AR76">
        <f>'Kullanılan gübre'!AR76*'Gübre oranlar'!AU$3</f>
        <v>0</v>
      </c>
      <c r="AS76">
        <f>'Kullanılan gübre'!AS76*'Gübre oranlar'!AV$3</f>
        <v>0</v>
      </c>
      <c r="AT76">
        <f>'Kullanılan gübre'!AT76*'Gübre oranlar'!AW$3</f>
        <v>0</v>
      </c>
      <c r="AU76">
        <f>'Kullanılan gübre'!AU76*'Gübre oranlar'!AX$3</f>
        <v>0</v>
      </c>
      <c r="AV76">
        <f>'Kullanılan gübre'!AV76*'Gübre oranlar'!AY$3</f>
        <v>0</v>
      </c>
      <c r="AW76">
        <f t="shared" si="1"/>
        <v>95.974999999999994</v>
      </c>
    </row>
    <row r="77" spans="1:49" x14ac:dyDescent="0.25">
      <c r="A77" t="str">
        <f>'Kullanılan gübre'!A77</f>
        <v>AK</v>
      </c>
      <c r="B77" t="str">
        <f>'Kullanılan gübre'!B77</f>
        <v>AFYONKARAHISAR</v>
      </c>
      <c r="C77" t="str">
        <f>'Kullanılan gübre'!C77</f>
        <v>IHSANIYE</v>
      </c>
      <c r="D77">
        <f>'Kullanılan gübre'!D77</f>
        <v>2013</v>
      </c>
      <c r="E77">
        <f>'Kullanılan gübre'!E77*'Gübre oranlar'!H$3</f>
        <v>0</v>
      </c>
      <c r="F77">
        <f>'Kullanılan gübre'!F77*'Gübre oranlar'!I$3</f>
        <v>0</v>
      </c>
      <c r="G77">
        <f>'Kullanılan gübre'!G77*'Gübre oranlar'!J$3</f>
        <v>0</v>
      </c>
      <c r="H77">
        <f>'Kullanılan gübre'!H77*'Gübre oranlar'!K$3</f>
        <v>0</v>
      </c>
      <c r="I77">
        <f>'Kullanılan gübre'!I77*'Gübre oranlar'!L$3</f>
        <v>0</v>
      </c>
      <c r="J77">
        <f>'Kullanılan gübre'!J77*'Gübre oranlar'!M$3</f>
        <v>0</v>
      </c>
      <c r="K77">
        <f>'Kullanılan gübre'!K77*'Gübre oranlar'!N$3</f>
        <v>161.16</v>
      </c>
      <c r="L77">
        <f>'Kullanılan gübre'!L77*'Gübre oranlar'!O$3</f>
        <v>54.09</v>
      </c>
      <c r="M77">
        <f>'Kullanılan gübre'!M77*'Gübre oranlar'!P$3</f>
        <v>0</v>
      </c>
      <c r="N77">
        <f>'Kullanılan gübre'!N77*'Gübre oranlar'!Q$3</f>
        <v>1.4624999999999999</v>
      </c>
      <c r="O77">
        <f>'Kullanılan gübre'!O77*'Gübre oranlar'!R$3</f>
        <v>0</v>
      </c>
      <c r="P77">
        <f>'Kullanılan gübre'!P77*'Gübre oranlar'!S$3</f>
        <v>0</v>
      </c>
      <c r="Q77">
        <f>'Kullanılan gübre'!Q77*'Gübre oranlar'!T$3</f>
        <v>23.52</v>
      </c>
      <c r="R77">
        <f>'Kullanılan gübre'!R77*'Gübre oranlar'!U$3</f>
        <v>0</v>
      </c>
      <c r="S77">
        <f>'Kullanılan gübre'!S77*'Gübre oranlar'!V$3</f>
        <v>0</v>
      </c>
      <c r="T77">
        <f>'Kullanılan gübre'!T77*'Gübre oranlar'!W$3</f>
        <v>30.7</v>
      </c>
      <c r="U77">
        <f>'Kullanılan gübre'!U77*'Gübre oranlar'!X$3</f>
        <v>0</v>
      </c>
      <c r="V77">
        <f>'Kullanılan gübre'!V77*'Gübre oranlar'!Y$3</f>
        <v>7.1</v>
      </c>
      <c r="W77">
        <f>'Kullanılan gübre'!W77*'Gübre oranlar'!Z$3</f>
        <v>0</v>
      </c>
      <c r="X77">
        <f>'Kullanılan gübre'!X77*'Gübre oranlar'!AA$3</f>
        <v>0</v>
      </c>
      <c r="Y77">
        <f>'Kullanılan gübre'!Y77*'Gübre oranlar'!AB$3</f>
        <v>0</v>
      </c>
      <c r="Z77">
        <f>'Kullanılan gübre'!Z77*'Gübre oranlar'!AC$3</f>
        <v>0</v>
      </c>
      <c r="AA77">
        <f>'Kullanılan gübre'!AA77*'Gübre oranlar'!AD$3</f>
        <v>0</v>
      </c>
      <c r="AB77">
        <f>'Kullanılan gübre'!AB77*'Gübre oranlar'!AE$3</f>
        <v>0</v>
      </c>
      <c r="AC77">
        <f>'Kullanılan gübre'!AC77*'Gübre oranlar'!AF$3</f>
        <v>0</v>
      </c>
      <c r="AD77">
        <f>'Kullanılan gübre'!AD77*'Gübre oranlar'!AG$3</f>
        <v>0</v>
      </c>
      <c r="AE77">
        <f>'Kullanılan gübre'!AE77*'Gübre oranlar'!AH$3</f>
        <v>0</v>
      </c>
      <c r="AF77">
        <f>'Kullanılan gübre'!AF77*'Gübre oranlar'!AI$3</f>
        <v>0</v>
      </c>
      <c r="AG77">
        <f>'Kullanılan gübre'!AG77*'Gübre oranlar'!AJ$3</f>
        <v>0</v>
      </c>
      <c r="AH77">
        <f>'Kullanılan gübre'!AH77*'Gübre oranlar'!AK$3</f>
        <v>0</v>
      </c>
      <c r="AI77">
        <f>'Kullanılan gübre'!AI77*'Gübre oranlar'!AL$3</f>
        <v>0</v>
      </c>
      <c r="AJ77">
        <f>'Kullanılan gübre'!AJ77*'Gübre oranlar'!AM$3</f>
        <v>0</v>
      </c>
      <c r="AK77">
        <f>'Kullanılan gübre'!AK77*'Gübre oranlar'!AN$3</f>
        <v>0</v>
      </c>
      <c r="AL77">
        <f>'Kullanılan gübre'!AL77*'Gübre oranlar'!AO$3</f>
        <v>0</v>
      </c>
      <c r="AM77">
        <f>'Kullanılan gübre'!AM77*'Gübre oranlar'!AP$3</f>
        <v>0</v>
      </c>
      <c r="AN77">
        <f>'Kullanılan gübre'!AN77*'Gübre oranlar'!AQ$3</f>
        <v>0</v>
      </c>
      <c r="AO77">
        <f>'Kullanılan gübre'!AO77*'Gübre oranlar'!AR$3</f>
        <v>0</v>
      </c>
      <c r="AP77">
        <f>'Kullanılan gübre'!AP77*'Gübre oranlar'!AS$3</f>
        <v>0</v>
      </c>
      <c r="AQ77">
        <f>'Kullanılan gübre'!AQ77*'Gübre oranlar'!AT$3</f>
        <v>0</v>
      </c>
      <c r="AR77">
        <f>'Kullanılan gübre'!AR77*'Gübre oranlar'!AU$3</f>
        <v>0</v>
      </c>
      <c r="AS77">
        <f>'Kullanılan gübre'!AS77*'Gübre oranlar'!AV$3</f>
        <v>0</v>
      </c>
      <c r="AT77">
        <f>'Kullanılan gübre'!AT77*'Gübre oranlar'!AW$3</f>
        <v>0</v>
      </c>
      <c r="AU77">
        <f>'Kullanılan gübre'!AU77*'Gübre oranlar'!AX$3</f>
        <v>0</v>
      </c>
      <c r="AV77">
        <f>'Kullanılan gübre'!AV77*'Gübre oranlar'!AY$3</f>
        <v>0</v>
      </c>
      <c r="AW77">
        <f t="shared" si="1"/>
        <v>278.03250000000003</v>
      </c>
    </row>
    <row r="78" spans="1:49" x14ac:dyDescent="0.25">
      <c r="A78" t="str">
        <f>'Kullanılan gübre'!A78</f>
        <v>AK</v>
      </c>
      <c r="B78" t="str">
        <f>'Kullanılan gübre'!B78</f>
        <v>AFYONKARAHISAR</v>
      </c>
      <c r="C78" t="str">
        <f>'Kullanılan gübre'!C78</f>
        <v>ISCEHISAR</v>
      </c>
      <c r="D78">
        <f>'Kullanılan gübre'!D78</f>
        <v>2013</v>
      </c>
      <c r="E78">
        <f>'Kullanılan gübre'!E78*'Gübre oranlar'!H$3</f>
        <v>0</v>
      </c>
      <c r="F78">
        <f>'Kullanılan gübre'!F78*'Gübre oranlar'!I$3</f>
        <v>0</v>
      </c>
      <c r="G78">
        <f>'Kullanılan gübre'!G78*'Gübre oranlar'!J$3</f>
        <v>0</v>
      </c>
      <c r="H78">
        <f>'Kullanılan gübre'!H78*'Gübre oranlar'!K$3</f>
        <v>0</v>
      </c>
      <c r="I78">
        <f>'Kullanılan gübre'!I78*'Gübre oranlar'!L$3</f>
        <v>0</v>
      </c>
      <c r="J78">
        <f>'Kullanılan gübre'!J78*'Gübre oranlar'!M$3</f>
        <v>0</v>
      </c>
      <c r="K78">
        <f>'Kullanılan gübre'!K78*'Gübre oranlar'!N$3</f>
        <v>0</v>
      </c>
      <c r="L78">
        <f>'Kullanılan gübre'!L78*'Gübre oranlar'!O$3</f>
        <v>28.14</v>
      </c>
      <c r="M78">
        <f>'Kullanılan gübre'!M78*'Gübre oranlar'!P$3</f>
        <v>0</v>
      </c>
      <c r="N78">
        <f>'Kullanılan gübre'!N78*'Gübre oranlar'!Q$3</f>
        <v>0</v>
      </c>
      <c r="O78">
        <f>'Kullanılan gübre'!O78*'Gübre oranlar'!R$3</f>
        <v>0</v>
      </c>
      <c r="P78">
        <f>'Kullanılan gübre'!P78*'Gübre oranlar'!S$3</f>
        <v>0</v>
      </c>
      <c r="Q78">
        <f>'Kullanılan gübre'!Q78*'Gübre oranlar'!T$3</f>
        <v>0</v>
      </c>
      <c r="R78">
        <f>'Kullanılan gübre'!R78*'Gübre oranlar'!U$3</f>
        <v>0</v>
      </c>
      <c r="S78">
        <f>'Kullanılan gübre'!S78*'Gübre oranlar'!V$3</f>
        <v>0</v>
      </c>
      <c r="T78">
        <f>'Kullanılan gübre'!T78*'Gübre oranlar'!W$3</f>
        <v>7.8</v>
      </c>
      <c r="U78">
        <f>'Kullanılan gübre'!U78*'Gübre oranlar'!X$3</f>
        <v>0</v>
      </c>
      <c r="V78">
        <f>'Kullanılan gübre'!V78*'Gübre oranlar'!Y$3</f>
        <v>0</v>
      </c>
      <c r="W78">
        <f>'Kullanılan gübre'!W78*'Gübre oranlar'!Z$3</f>
        <v>0</v>
      </c>
      <c r="X78">
        <f>'Kullanılan gübre'!X78*'Gübre oranlar'!AA$3</f>
        <v>0</v>
      </c>
      <c r="Y78">
        <f>'Kullanılan gübre'!Y78*'Gübre oranlar'!AB$3</f>
        <v>0</v>
      </c>
      <c r="Z78">
        <f>'Kullanılan gübre'!Z78*'Gübre oranlar'!AC$3</f>
        <v>0</v>
      </c>
      <c r="AA78">
        <f>'Kullanılan gübre'!AA78*'Gübre oranlar'!AD$3</f>
        <v>0</v>
      </c>
      <c r="AB78">
        <f>'Kullanılan gübre'!AB78*'Gübre oranlar'!AE$3</f>
        <v>0</v>
      </c>
      <c r="AC78">
        <f>'Kullanılan gübre'!AC78*'Gübre oranlar'!AF$3</f>
        <v>0</v>
      </c>
      <c r="AD78">
        <f>'Kullanılan gübre'!AD78*'Gübre oranlar'!AG$3</f>
        <v>0</v>
      </c>
      <c r="AE78">
        <f>'Kullanılan gübre'!AE78*'Gübre oranlar'!AH$3</f>
        <v>0</v>
      </c>
      <c r="AF78">
        <f>'Kullanılan gübre'!AF78*'Gübre oranlar'!AI$3</f>
        <v>0</v>
      </c>
      <c r="AG78">
        <f>'Kullanılan gübre'!AG78*'Gübre oranlar'!AJ$3</f>
        <v>0</v>
      </c>
      <c r="AH78">
        <f>'Kullanılan gübre'!AH78*'Gübre oranlar'!AK$3</f>
        <v>0</v>
      </c>
      <c r="AI78">
        <f>'Kullanılan gübre'!AI78*'Gübre oranlar'!AL$3</f>
        <v>0</v>
      </c>
      <c r="AJ78">
        <f>'Kullanılan gübre'!AJ78*'Gübre oranlar'!AM$3</f>
        <v>0</v>
      </c>
      <c r="AK78">
        <f>'Kullanılan gübre'!AK78*'Gübre oranlar'!AN$3</f>
        <v>0</v>
      </c>
      <c r="AL78">
        <f>'Kullanılan gübre'!AL78*'Gübre oranlar'!AO$3</f>
        <v>0</v>
      </c>
      <c r="AM78">
        <f>'Kullanılan gübre'!AM78*'Gübre oranlar'!AP$3</f>
        <v>0</v>
      </c>
      <c r="AN78">
        <f>'Kullanılan gübre'!AN78*'Gübre oranlar'!AQ$3</f>
        <v>0</v>
      </c>
      <c r="AO78">
        <f>'Kullanılan gübre'!AO78*'Gübre oranlar'!AR$3</f>
        <v>0</v>
      </c>
      <c r="AP78">
        <f>'Kullanılan gübre'!AP78*'Gübre oranlar'!AS$3</f>
        <v>0</v>
      </c>
      <c r="AQ78">
        <f>'Kullanılan gübre'!AQ78*'Gübre oranlar'!AT$3</f>
        <v>0</v>
      </c>
      <c r="AR78">
        <f>'Kullanılan gübre'!AR78*'Gübre oranlar'!AU$3</f>
        <v>0</v>
      </c>
      <c r="AS78">
        <f>'Kullanılan gübre'!AS78*'Gübre oranlar'!AV$3</f>
        <v>0</v>
      </c>
      <c r="AT78">
        <f>'Kullanılan gübre'!AT78*'Gübre oranlar'!AW$3</f>
        <v>0</v>
      </c>
      <c r="AU78">
        <f>'Kullanılan gübre'!AU78*'Gübre oranlar'!AX$3</f>
        <v>0</v>
      </c>
      <c r="AV78">
        <f>'Kullanılan gübre'!AV78*'Gübre oranlar'!AY$3</f>
        <v>0</v>
      </c>
      <c r="AW78">
        <f t="shared" si="1"/>
        <v>35.94</v>
      </c>
    </row>
    <row r="79" spans="1:49" x14ac:dyDescent="0.25">
      <c r="A79" t="str">
        <f>'Kullanılan gübre'!A79</f>
        <v>AK</v>
      </c>
      <c r="B79" t="str">
        <f>'Kullanılan gübre'!B79</f>
        <v>AFYONKARAHISAR</v>
      </c>
      <c r="C79" t="str">
        <f>'Kullanılan gübre'!C79</f>
        <v>SINANPASA</v>
      </c>
      <c r="D79">
        <f>'Kullanılan gübre'!D79</f>
        <v>2013</v>
      </c>
      <c r="E79">
        <f>'Kullanılan gübre'!E79*'Gübre oranlar'!H$3</f>
        <v>0</v>
      </c>
      <c r="F79">
        <f>'Kullanılan gübre'!F79*'Gübre oranlar'!I$3</f>
        <v>0</v>
      </c>
      <c r="G79">
        <f>'Kullanılan gübre'!G79*'Gübre oranlar'!J$3</f>
        <v>0</v>
      </c>
      <c r="H79">
        <f>'Kullanılan gübre'!H79*'Gübre oranlar'!K$3</f>
        <v>0</v>
      </c>
      <c r="I79">
        <f>'Kullanılan gübre'!I79*'Gübre oranlar'!L$3</f>
        <v>0</v>
      </c>
      <c r="J79">
        <f>'Kullanılan gübre'!J79*'Gübre oranlar'!M$3</f>
        <v>0</v>
      </c>
      <c r="K79">
        <f>'Kullanılan gübre'!K79*'Gübre oranlar'!N$3</f>
        <v>27.77</v>
      </c>
      <c r="L79">
        <f>'Kullanılan gübre'!L79*'Gübre oranlar'!O$3</f>
        <v>180.65</v>
      </c>
      <c r="M79">
        <f>'Kullanılan gübre'!M79*'Gübre oranlar'!P$3</f>
        <v>4.6499999999999995</v>
      </c>
      <c r="N79">
        <f>'Kullanılan gübre'!N79*'Gübre oranlar'!Q$3</f>
        <v>3.8474999999999997</v>
      </c>
      <c r="O79">
        <f>'Kullanılan gübre'!O79*'Gübre oranlar'!R$3</f>
        <v>0</v>
      </c>
      <c r="P79">
        <f>'Kullanılan gübre'!P79*'Gübre oranlar'!S$3</f>
        <v>0</v>
      </c>
      <c r="Q79">
        <f>'Kullanılan gübre'!Q79*'Gübre oranlar'!T$3</f>
        <v>0</v>
      </c>
      <c r="R79">
        <f>'Kullanılan gübre'!R79*'Gübre oranlar'!U$3</f>
        <v>0</v>
      </c>
      <c r="S79">
        <f>'Kullanılan gübre'!S79*'Gübre oranlar'!V$3</f>
        <v>0</v>
      </c>
      <c r="T79">
        <f>'Kullanılan gübre'!T79*'Gübre oranlar'!W$3</f>
        <v>0</v>
      </c>
      <c r="U79">
        <f>'Kullanılan gübre'!U79*'Gübre oranlar'!X$3</f>
        <v>0</v>
      </c>
      <c r="V79">
        <f>'Kullanılan gübre'!V79*'Gübre oranlar'!Y$3</f>
        <v>0</v>
      </c>
      <c r="W79">
        <f>'Kullanılan gübre'!W79*'Gübre oranlar'!Z$3</f>
        <v>0</v>
      </c>
      <c r="X79">
        <f>'Kullanılan gübre'!X79*'Gübre oranlar'!AA$3</f>
        <v>0</v>
      </c>
      <c r="Y79">
        <f>'Kullanılan gübre'!Y79*'Gübre oranlar'!AB$3</f>
        <v>0</v>
      </c>
      <c r="Z79">
        <f>'Kullanılan gübre'!Z79*'Gübre oranlar'!AC$3</f>
        <v>0</v>
      </c>
      <c r="AA79">
        <f>'Kullanılan gübre'!AA79*'Gübre oranlar'!AD$3</f>
        <v>146.06399999999999</v>
      </c>
      <c r="AB79">
        <f>'Kullanılan gübre'!AB79*'Gübre oranlar'!AE$3</f>
        <v>0</v>
      </c>
      <c r="AC79">
        <f>'Kullanılan gübre'!AC79*'Gübre oranlar'!AF$3</f>
        <v>0</v>
      </c>
      <c r="AD79">
        <f>'Kullanılan gübre'!AD79*'Gübre oranlar'!AG$3</f>
        <v>0</v>
      </c>
      <c r="AE79">
        <f>'Kullanılan gübre'!AE79*'Gübre oranlar'!AH$3</f>
        <v>3.2250000000000001</v>
      </c>
      <c r="AF79">
        <f>'Kullanılan gübre'!AF79*'Gübre oranlar'!AI$3</f>
        <v>0</v>
      </c>
      <c r="AG79">
        <f>'Kullanılan gübre'!AG79*'Gübre oranlar'!AJ$3</f>
        <v>0</v>
      </c>
      <c r="AH79">
        <f>'Kullanılan gübre'!AH79*'Gübre oranlar'!AK$3</f>
        <v>0</v>
      </c>
      <c r="AI79">
        <f>'Kullanılan gübre'!AI79*'Gübre oranlar'!AL$3</f>
        <v>0</v>
      </c>
      <c r="AJ79">
        <f>'Kullanılan gübre'!AJ79*'Gübre oranlar'!AM$3</f>
        <v>0</v>
      </c>
      <c r="AK79">
        <f>'Kullanılan gübre'!AK79*'Gübre oranlar'!AN$3</f>
        <v>0</v>
      </c>
      <c r="AL79">
        <f>'Kullanılan gübre'!AL79*'Gübre oranlar'!AO$3</f>
        <v>0</v>
      </c>
      <c r="AM79">
        <f>'Kullanılan gübre'!AM79*'Gübre oranlar'!AP$3</f>
        <v>0</v>
      </c>
      <c r="AN79">
        <f>'Kullanılan gübre'!AN79*'Gübre oranlar'!AQ$3</f>
        <v>0</v>
      </c>
      <c r="AO79">
        <f>'Kullanılan gübre'!AO79*'Gübre oranlar'!AR$3</f>
        <v>0</v>
      </c>
      <c r="AP79">
        <f>'Kullanılan gübre'!AP79*'Gübre oranlar'!AS$3</f>
        <v>0</v>
      </c>
      <c r="AQ79">
        <f>'Kullanılan gübre'!AQ79*'Gübre oranlar'!AT$3</f>
        <v>0</v>
      </c>
      <c r="AR79">
        <f>'Kullanılan gübre'!AR79*'Gübre oranlar'!AU$3</f>
        <v>0</v>
      </c>
      <c r="AS79">
        <f>'Kullanılan gübre'!AS79*'Gübre oranlar'!AV$3</f>
        <v>0</v>
      </c>
      <c r="AT79">
        <f>'Kullanılan gübre'!AT79*'Gübre oranlar'!AW$3</f>
        <v>0</v>
      </c>
      <c r="AU79">
        <f>'Kullanılan gübre'!AU79*'Gübre oranlar'!AX$3</f>
        <v>0</v>
      </c>
      <c r="AV79">
        <f>'Kullanılan gübre'!AV79*'Gübre oranlar'!AY$3</f>
        <v>0</v>
      </c>
      <c r="AW79">
        <f t="shared" si="1"/>
        <v>366.20650000000001</v>
      </c>
    </row>
    <row r="80" spans="1:49" x14ac:dyDescent="0.25">
      <c r="A80" t="str">
        <f>'Kullanılan gübre'!A80</f>
        <v>AK</v>
      </c>
      <c r="B80" t="str">
        <f>'Kullanılan gübre'!B80</f>
        <v>AFYONKARAHISAR</v>
      </c>
      <c r="C80" t="str">
        <f>'Kullanılan gübre'!C80</f>
        <v>SULTANDAGI</v>
      </c>
      <c r="D80">
        <f>'Kullanılan gübre'!D80</f>
        <v>2013</v>
      </c>
      <c r="E80">
        <f>'Kullanılan gübre'!E80*'Gübre oranlar'!H$3</f>
        <v>0</v>
      </c>
      <c r="F80">
        <f>'Kullanılan gübre'!F80*'Gübre oranlar'!I$3</f>
        <v>0</v>
      </c>
      <c r="G80">
        <f>'Kullanılan gübre'!G80*'Gübre oranlar'!J$3</f>
        <v>0</v>
      </c>
      <c r="H80">
        <f>'Kullanılan gübre'!H80*'Gübre oranlar'!K$3</f>
        <v>0</v>
      </c>
      <c r="I80">
        <f>'Kullanılan gübre'!I80*'Gübre oranlar'!L$3</f>
        <v>21.07</v>
      </c>
      <c r="J80">
        <f>'Kullanılan gübre'!J80*'Gübre oranlar'!M$3</f>
        <v>0</v>
      </c>
      <c r="K80">
        <f>'Kullanılan gübre'!K80*'Gübre oranlar'!N$3</f>
        <v>0</v>
      </c>
      <c r="L80">
        <f>'Kullanılan gübre'!L80*'Gübre oranlar'!O$3</f>
        <v>56.420000000000009</v>
      </c>
      <c r="M80">
        <f>'Kullanılan gübre'!M80*'Gübre oranlar'!P$3</f>
        <v>2.2200000000000002</v>
      </c>
      <c r="N80">
        <f>'Kullanılan gübre'!N80*'Gübre oranlar'!Q$3</f>
        <v>17.010000000000002</v>
      </c>
      <c r="O80">
        <f>'Kullanılan gübre'!O80*'Gübre oranlar'!R$3</f>
        <v>0</v>
      </c>
      <c r="P80">
        <f>'Kullanılan gübre'!P80*'Gübre oranlar'!S$3</f>
        <v>0</v>
      </c>
      <c r="Q80">
        <f>'Kullanılan gübre'!Q80*'Gübre oranlar'!T$3</f>
        <v>0</v>
      </c>
      <c r="R80">
        <f>'Kullanılan gübre'!R80*'Gübre oranlar'!U$3</f>
        <v>0</v>
      </c>
      <c r="S80">
        <f>'Kullanılan gübre'!S80*'Gübre oranlar'!V$3</f>
        <v>0</v>
      </c>
      <c r="T80">
        <f>'Kullanılan gübre'!T80*'Gübre oranlar'!W$3</f>
        <v>27.4375</v>
      </c>
      <c r="U80">
        <f>'Kullanılan gübre'!U80*'Gübre oranlar'!X$3</f>
        <v>0</v>
      </c>
      <c r="V80">
        <f>'Kullanılan gübre'!V80*'Gübre oranlar'!Y$3</f>
        <v>0</v>
      </c>
      <c r="W80">
        <f>'Kullanılan gübre'!W80*'Gübre oranlar'!Z$3</f>
        <v>0</v>
      </c>
      <c r="X80">
        <f>'Kullanılan gübre'!X80*'Gübre oranlar'!AA$3</f>
        <v>0</v>
      </c>
      <c r="Y80">
        <f>'Kullanılan gübre'!Y80*'Gübre oranlar'!AB$3</f>
        <v>0</v>
      </c>
      <c r="Z80">
        <f>'Kullanılan gübre'!Z80*'Gübre oranlar'!AC$3</f>
        <v>0</v>
      </c>
      <c r="AA80">
        <f>'Kullanılan gübre'!AA80*'Gübre oranlar'!AD$3</f>
        <v>48.239999999999995</v>
      </c>
      <c r="AB80">
        <f>'Kullanılan gübre'!AB80*'Gübre oranlar'!AE$3</f>
        <v>0</v>
      </c>
      <c r="AC80">
        <f>'Kullanılan gübre'!AC80*'Gübre oranlar'!AF$3</f>
        <v>0</v>
      </c>
      <c r="AD80">
        <f>'Kullanılan gübre'!AD80*'Gübre oranlar'!AG$3</f>
        <v>0</v>
      </c>
      <c r="AE80">
        <f>'Kullanılan gübre'!AE80*'Gübre oranlar'!AH$3</f>
        <v>0</v>
      </c>
      <c r="AF80">
        <f>'Kullanılan gübre'!AF80*'Gübre oranlar'!AI$3</f>
        <v>0</v>
      </c>
      <c r="AG80">
        <f>'Kullanılan gübre'!AG80*'Gübre oranlar'!AJ$3</f>
        <v>0</v>
      </c>
      <c r="AH80">
        <f>'Kullanılan gübre'!AH80*'Gübre oranlar'!AK$3</f>
        <v>0</v>
      </c>
      <c r="AI80">
        <f>'Kullanılan gübre'!AI80*'Gübre oranlar'!AL$3</f>
        <v>0</v>
      </c>
      <c r="AJ80">
        <f>'Kullanılan gübre'!AJ80*'Gübre oranlar'!AM$3</f>
        <v>0</v>
      </c>
      <c r="AK80">
        <f>'Kullanılan gübre'!AK80*'Gübre oranlar'!AN$3</f>
        <v>0</v>
      </c>
      <c r="AL80">
        <f>'Kullanılan gübre'!AL80*'Gübre oranlar'!AO$3</f>
        <v>0</v>
      </c>
      <c r="AM80">
        <f>'Kullanılan gübre'!AM80*'Gübre oranlar'!AP$3</f>
        <v>0</v>
      </c>
      <c r="AN80">
        <f>'Kullanılan gübre'!AN80*'Gübre oranlar'!AQ$3</f>
        <v>0</v>
      </c>
      <c r="AO80">
        <f>'Kullanılan gübre'!AO80*'Gübre oranlar'!AR$3</f>
        <v>0</v>
      </c>
      <c r="AP80">
        <f>'Kullanılan gübre'!AP80*'Gübre oranlar'!AS$3</f>
        <v>0</v>
      </c>
      <c r="AQ80">
        <f>'Kullanılan gübre'!AQ80*'Gübre oranlar'!AT$3</f>
        <v>0</v>
      </c>
      <c r="AR80">
        <f>'Kullanılan gübre'!AR80*'Gübre oranlar'!AU$3</f>
        <v>0</v>
      </c>
      <c r="AS80">
        <f>'Kullanılan gübre'!AS80*'Gübre oranlar'!AV$3</f>
        <v>0</v>
      </c>
      <c r="AT80">
        <f>'Kullanılan gübre'!AT80*'Gübre oranlar'!AW$3</f>
        <v>0</v>
      </c>
      <c r="AU80">
        <f>'Kullanılan gübre'!AU80*'Gübre oranlar'!AX$3</f>
        <v>0</v>
      </c>
      <c r="AV80">
        <f>'Kullanılan gübre'!AV80*'Gübre oranlar'!AY$3</f>
        <v>0</v>
      </c>
      <c r="AW80">
        <f t="shared" si="1"/>
        <v>172.39750000000001</v>
      </c>
    </row>
    <row r="81" spans="1:49" x14ac:dyDescent="0.25">
      <c r="A81" t="str">
        <f>'Kullanılan gübre'!A81</f>
        <v>AK</v>
      </c>
      <c r="B81" t="str">
        <f>'Kullanılan gübre'!B81</f>
        <v>AFYONKARAHISAR</v>
      </c>
      <c r="C81" t="str">
        <f>'Kullanılan gübre'!C81</f>
        <v>SUHUT</v>
      </c>
      <c r="D81">
        <f>'Kullanılan gübre'!D81</f>
        <v>2013</v>
      </c>
      <c r="E81">
        <f>'Kullanılan gübre'!E81*'Gübre oranlar'!H$3</f>
        <v>0</v>
      </c>
      <c r="F81">
        <f>'Kullanılan gübre'!F81*'Gübre oranlar'!I$3</f>
        <v>0</v>
      </c>
      <c r="G81">
        <f>'Kullanılan gübre'!G81*'Gübre oranlar'!J$3</f>
        <v>0</v>
      </c>
      <c r="H81">
        <f>'Kullanılan gübre'!H81*'Gübre oranlar'!K$3</f>
        <v>0</v>
      </c>
      <c r="I81">
        <f>'Kullanılan gübre'!I81*'Gübre oranlar'!L$3</f>
        <v>10.491999999999999</v>
      </c>
      <c r="J81">
        <f>'Kullanılan gübre'!J81*'Gübre oranlar'!M$3</f>
        <v>0</v>
      </c>
      <c r="K81">
        <f>'Kullanılan gübre'!K81*'Gübre oranlar'!N$3</f>
        <v>14.830000000000002</v>
      </c>
      <c r="L81">
        <f>'Kullanılan gübre'!L81*'Gübre oranlar'!O$3</f>
        <v>18</v>
      </c>
      <c r="M81">
        <f>'Kullanılan gübre'!M81*'Gübre oranlar'!P$3</f>
        <v>52.942499999999995</v>
      </c>
      <c r="N81">
        <f>'Kullanılan gübre'!N81*'Gübre oranlar'!Q$3</f>
        <v>33.022500000000001</v>
      </c>
      <c r="O81">
        <f>'Kullanılan gübre'!O81*'Gübre oranlar'!R$3</f>
        <v>0</v>
      </c>
      <c r="P81">
        <f>'Kullanılan gübre'!P81*'Gübre oranlar'!S$3</f>
        <v>0</v>
      </c>
      <c r="Q81">
        <f>'Kullanılan gübre'!Q81*'Gübre oranlar'!T$3</f>
        <v>189</v>
      </c>
      <c r="R81">
        <f>'Kullanılan gübre'!R81*'Gübre oranlar'!U$3</f>
        <v>0.89999999999999991</v>
      </c>
      <c r="S81">
        <f>'Kullanılan gübre'!S81*'Gübre oranlar'!V$3</f>
        <v>0</v>
      </c>
      <c r="T81">
        <f>'Kullanılan gübre'!T81*'Gübre oranlar'!W$3</f>
        <v>43.6</v>
      </c>
      <c r="U81">
        <f>'Kullanılan gübre'!U81*'Gübre oranlar'!X$3</f>
        <v>0</v>
      </c>
      <c r="V81">
        <f>'Kullanılan gübre'!V81*'Gübre oranlar'!Y$3</f>
        <v>0</v>
      </c>
      <c r="W81">
        <f>'Kullanılan gübre'!W81*'Gübre oranlar'!Z$3</f>
        <v>0</v>
      </c>
      <c r="X81">
        <f>'Kullanılan gübre'!X81*'Gübre oranlar'!AA$3</f>
        <v>72.58</v>
      </c>
      <c r="Y81">
        <f>'Kullanılan gübre'!Y81*'Gübre oranlar'!AB$3</f>
        <v>0</v>
      </c>
      <c r="Z81">
        <f>'Kullanılan gübre'!Z81*'Gübre oranlar'!AC$3</f>
        <v>0</v>
      </c>
      <c r="AA81">
        <f>'Kullanılan gübre'!AA81*'Gübre oranlar'!AD$3</f>
        <v>17.867999999999999</v>
      </c>
      <c r="AB81">
        <f>'Kullanılan gübre'!AB81*'Gübre oranlar'!AE$3</f>
        <v>0</v>
      </c>
      <c r="AC81">
        <f>'Kullanılan gübre'!AC81*'Gübre oranlar'!AF$3</f>
        <v>0</v>
      </c>
      <c r="AD81">
        <f>'Kullanılan gübre'!AD81*'Gübre oranlar'!AG$3</f>
        <v>0</v>
      </c>
      <c r="AE81">
        <f>'Kullanılan gübre'!AE81*'Gübre oranlar'!AH$3</f>
        <v>68.712500000000006</v>
      </c>
      <c r="AF81">
        <f>'Kullanılan gübre'!AF81*'Gübre oranlar'!AI$3</f>
        <v>0</v>
      </c>
      <c r="AG81">
        <f>'Kullanılan gübre'!AG81*'Gübre oranlar'!AJ$3</f>
        <v>0</v>
      </c>
      <c r="AH81">
        <f>'Kullanılan gübre'!AH81*'Gübre oranlar'!AK$3</f>
        <v>0</v>
      </c>
      <c r="AI81">
        <f>'Kullanılan gübre'!AI81*'Gübre oranlar'!AL$3</f>
        <v>0</v>
      </c>
      <c r="AJ81">
        <f>'Kullanılan gübre'!AJ81*'Gübre oranlar'!AM$3</f>
        <v>0</v>
      </c>
      <c r="AK81">
        <f>'Kullanılan gübre'!AK81*'Gübre oranlar'!AN$3</f>
        <v>0</v>
      </c>
      <c r="AL81">
        <f>'Kullanılan gübre'!AL81*'Gübre oranlar'!AO$3</f>
        <v>0</v>
      </c>
      <c r="AM81">
        <f>'Kullanılan gübre'!AM81*'Gübre oranlar'!AP$3</f>
        <v>0</v>
      </c>
      <c r="AN81">
        <f>'Kullanılan gübre'!AN81*'Gübre oranlar'!AQ$3</f>
        <v>0</v>
      </c>
      <c r="AO81">
        <f>'Kullanılan gübre'!AO81*'Gübre oranlar'!AR$3</f>
        <v>0</v>
      </c>
      <c r="AP81">
        <f>'Kullanılan gübre'!AP81*'Gübre oranlar'!AS$3</f>
        <v>0</v>
      </c>
      <c r="AQ81">
        <f>'Kullanılan gübre'!AQ81*'Gübre oranlar'!AT$3</f>
        <v>0</v>
      </c>
      <c r="AR81">
        <f>'Kullanılan gübre'!AR81*'Gübre oranlar'!AU$3</f>
        <v>0</v>
      </c>
      <c r="AS81">
        <f>'Kullanılan gübre'!AS81*'Gübre oranlar'!AV$3</f>
        <v>0</v>
      </c>
      <c r="AT81">
        <f>'Kullanılan gübre'!AT81*'Gübre oranlar'!AW$3</f>
        <v>0</v>
      </c>
      <c r="AU81">
        <f>'Kullanılan gübre'!AU81*'Gübre oranlar'!AX$3</f>
        <v>0</v>
      </c>
      <c r="AV81">
        <f>'Kullanılan gübre'!AV81*'Gübre oranlar'!AY$3</f>
        <v>0</v>
      </c>
      <c r="AW81">
        <f t="shared" si="1"/>
        <v>521.94749999999999</v>
      </c>
    </row>
    <row r="82" spans="1:49" x14ac:dyDescent="0.25">
      <c r="A82" t="str">
        <f>'Kullanılan gübre'!A82</f>
        <v>AK</v>
      </c>
      <c r="B82" t="str">
        <f>'Kullanılan gübre'!B82</f>
        <v>AFYONKARAHISAR</v>
      </c>
      <c r="C82" t="str">
        <f>'Kullanılan gübre'!C82</f>
        <v>MERKEZ</v>
      </c>
      <c r="D82">
        <f>'Kullanılan gübre'!D82</f>
        <v>2014</v>
      </c>
      <c r="E82">
        <f>'Kullanılan gübre'!E82*'Gübre oranlar'!H$3</f>
        <v>0</v>
      </c>
      <c r="F82">
        <f>'Kullanılan gübre'!F82*'Gübre oranlar'!I$3</f>
        <v>0</v>
      </c>
      <c r="G82">
        <f>'Kullanılan gübre'!G82*'Gübre oranlar'!J$3</f>
        <v>0</v>
      </c>
      <c r="H82">
        <f>'Kullanılan gübre'!H82*'Gübre oranlar'!K$3</f>
        <v>0</v>
      </c>
      <c r="I82">
        <f>'Kullanılan gübre'!I82*'Gübre oranlar'!L$3</f>
        <v>2.15</v>
      </c>
      <c r="J82">
        <f>'Kullanılan gübre'!J82*'Gübre oranlar'!M$3</f>
        <v>0</v>
      </c>
      <c r="K82">
        <f>'Kullanılan gübre'!K82*'Gübre oranlar'!N$3</f>
        <v>331.07</v>
      </c>
      <c r="L82">
        <f>'Kullanılan gübre'!L82*'Gübre oranlar'!O$3</f>
        <v>97.15</v>
      </c>
      <c r="M82">
        <f>'Kullanılan gübre'!M82*'Gübre oranlar'!P$3</f>
        <v>18.555</v>
      </c>
      <c r="N82">
        <f>'Kullanılan gübre'!N82*'Gübre oranlar'!Q$3</f>
        <v>85.087499999999991</v>
      </c>
      <c r="O82">
        <f>'Kullanılan gübre'!O82*'Gübre oranlar'!R$3</f>
        <v>0</v>
      </c>
      <c r="P82">
        <f>'Kullanılan gübre'!P82*'Gübre oranlar'!S$3</f>
        <v>0</v>
      </c>
      <c r="Q82">
        <f>'Kullanılan gübre'!Q82*'Gübre oranlar'!T$3</f>
        <v>150.6</v>
      </c>
      <c r="R82">
        <f>'Kullanılan gübre'!R82*'Gübre oranlar'!U$3</f>
        <v>0</v>
      </c>
      <c r="S82">
        <f>'Kullanılan gübre'!S82*'Gübre oranlar'!V$3</f>
        <v>0</v>
      </c>
      <c r="T82">
        <f>'Kullanılan gübre'!T82*'Gübre oranlar'!W$3</f>
        <v>128.76249999999999</v>
      </c>
      <c r="U82">
        <f>'Kullanılan gübre'!U82*'Gübre oranlar'!X$3</f>
        <v>0</v>
      </c>
      <c r="V82">
        <f>'Kullanılan gübre'!V82*'Gübre oranlar'!Y$3</f>
        <v>9.8125</v>
      </c>
      <c r="W82">
        <f>'Kullanılan gübre'!W82*'Gübre oranlar'!Z$3</f>
        <v>0</v>
      </c>
      <c r="X82">
        <f>'Kullanılan gübre'!X82*'Gübre oranlar'!AA$3</f>
        <v>0</v>
      </c>
      <c r="Y82">
        <f>'Kullanılan gübre'!Y82*'Gübre oranlar'!AB$3</f>
        <v>0</v>
      </c>
      <c r="Z82">
        <f>'Kullanılan gübre'!Z82*'Gübre oranlar'!AC$3</f>
        <v>0</v>
      </c>
      <c r="AA82">
        <f>'Kullanılan gübre'!AA82*'Gübre oranlar'!AD$3</f>
        <v>0</v>
      </c>
      <c r="AB82">
        <f>'Kullanılan gübre'!AB82*'Gübre oranlar'!AE$3</f>
        <v>1.3725000000000001</v>
      </c>
      <c r="AC82">
        <f>'Kullanılan gübre'!AC82*'Gübre oranlar'!AF$3</f>
        <v>0</v>
      </c>
      <c r="AD82">
        <f>'Kullanılan gübre'!AD82*'Gübre oranlar'!AG$3</f>
        <v>0</v>
      </c>
      <c r="AE82">
        <f>'Kullanılan gübre'!AE82*'Gübre oranlar'!AH$3</f>
        <v>8.6374999999999993</v>
      </c>
      <c r="AF82">
        <f>'Kullanılan gübre'!AF82*'Gübre oranlar'!AI$3</f>
        <v>0</v>
      </c>
      <c r="AG82">
        <f>'Kullanılan gübre'!AG82*'Gübre oranlar'!AJ$3</f>
        <v>0</v>
      </c>
      <c r="AH82">
        <f>'Kullanılan gübre'!AH82*'Gübre oranlar'!AK$3</f>
        <v>0</v>
      </c>
      <c r="AI82">
        <f>'Kullanılan gübre'!AI82*'Gübre oranlar'!AL$3</f>
        <v>0</v>
      </c>
      <c r="AJ82">
        <f>'Kullanılan gübre'!AJ82*'Gübre oranlar'!AM$3</f>
        <v>0</v>
      </c>
      <c r="AK82">
        <f>'Kullanılan gübre'!AK82*'Gübre oranlar'!AN$3</f>
        <v>0</v>
      </c>
      <c r="AL82">
        <f>'Kullanılan gübre'!AL82*'Gübre oranlar'!AO$3</f>
        <v>0</v>
      </c>
      <c r="AM82">
        <f>'Kullanılan gübre'!AM82*'Gübre oranlar'!AP$3</f>
        <v>0</v>
      </c>
      <c r="AN82">
        <f>'Kullanılan gübre'!AN82*'Gübre oranlar'!AQ$3</f>
        <v>0</v>
      </c>
      <c r="AO82">
        <f>'Kullanılan gübre'!AO82*'Gübre oranlar'!AR$3</f>
        <v>0</v>
      </c>
      <c r="AP82">
        <f>'Kullanılan gübre'!AP82*'Gübre oranlar'!AS$3</f>
        <v>0</v>
      </c>
      <c r="AQ82">
        <f>'Kullanılan gübre'!AQ82*'Gübre oranlar'!AT$3</f>
        <v>0</v>
      </c>
      <c r="AR82">
        <f>'Kullanılan gübre'!AR82*'Gübre oranlar'!AU$3</f>
        <v>0</v>
      </c>
      <c r="AS82">
        <f>'Kullanılan gübre'!AS82*'Gübre oranlar'!AV$3</f>
        <v>0</v>
      </c>
      <c r="AT82">
        <f>'Kullanılan gübre'!AT82*'Gübre oranlar'!AW$3</f>
        <v>0</v>
      </c>
      <c r="AU82">
        <f>'Kullanılan gübre'!AU82*'Gübre oranlar'!AX$3</f>
        <v>0</v>
      </c>
      <c r="AV82">
        <f>'Kullanılan gübre'!AV82*'Gübre oranlar'!AY$3</f>
        <v>0</v>
      </c>
      <c r="AW82">
        <f t="shared" si="1"/>
        <v>833.19749999999999</v>
      </c>
    </row>
    <row r="83" spans="1:49" x14ac:dyDescent="0.25">
      <c r="A83" t="str">
        <f>'Kullanılan gübre'!A83</f>
        <v>AK</v>
      </c>
      <c r="B83" t="str">
        <f>'Kullanılan gübre'!B83</f>
        <v>AFYONKARAHISAR</v>
      </c>
      <c r="C83" t="str">
        <f>'Kullanılan gübre'!C83</f>
        <v>BAYAT</v>
      </c>
      <c r="D83">
        <f>'Kullanılan gübre'!D83</f>
        <v>2014</v>
      </c>
      <c r="E83">
        <f>'Kullanılan gübre'!E83*'Gübre oranlar'!H$3</f>
        <v>0</v>
      </c>
      <c r="F83">
        <f>'Kullanılan gübre'!F83*'Gübre oranlar'!I$3</f>
        <v>0</v>
      </c>
      <c r="G83">
        <f>'Kullanılan gübre'!G83*'Gübre oranlar'!J$3</f>
        <v>0</v>
      </c>
      <c r="H83">
        <f>'Kullanılan gübre'!H83*'Gübre oranlar'!K$3</f>
        <v>0</v>
      </c>
      <c r="I83">
        <f>'Kullanılan gübre'!I83*'Gübre oranlar'!L$3</f>
        <v>0</v>
      </c>
      <c r="J83">
        <f>'Kullanılan gübre'!J83*'Gübre oranlar'!M$3</f>
        <v>0</v>
      </c>
      <c r="K83">
        <f>'Kullanılan gübre'!K83*'Gübre oranlar'!N$3</f>
        <v>0</v>
      </c>
      <c r="L83">
        <f>'Kullanılan gübre'!L83*'Gübre oranlar'!O$3</f>
        <v>16.150000000000002</v>
      </c>
      <c r="M83">
        <f>'Kullanılan gübre'!M83*'Gübre oranlar'!P$3</f>
        <v>0</v>
      </c>
      <c r="N83">
        <f>'Kullanılan gübre'!N83*'Gübre oranlar'!Q$3</f>
        <v>0</v>
      </c>
      <c r="O83">
        <f>'Kullanılan gübre'!O83*'Gübre oranlar'!R$3</f>
        <v>0</v>
      </c>
      <c r="P83">
        <f>'Kullanılan gübre'!P83*'Gübre oranlar'!S$3</f>
        <v>0</v>
      </c>
      <c r="Q83">
        <f>'Kullanılan gübre'!Q83*'Gübre oranlar'!T$3</f>
        <v>0</v>
      </c>
      <c r="R83">
        <f>'Kullanılan gübre'!R83*'Gübre oranlar'!U$3</f>
        <v>0</v>
      </c>
      <c r="S83">
        <f>'Kullanılan gübre'!S83*'Gübre oranlar'!V$3</f>
        <v>0</v>
      </c>
      <c r="T83">
        <f>'Kullanılan gübre'!T83*'Gübre oranlar'!W$3</f>
        <v>13.5</v>
      </c>
      <c r="U83">
        <f>'Kullanılan gübre'!U83*'Gübre oranlar'!X$3</f>
        <v>0</v>
      </c>
      <c r="V83">
        <f>'Kullanılan gübre'!V83*'Gübre oranlar'!Y$3</f>
        <v>0</v>
      </c>
      <c r="W83">
        <f>'Kullanılan gübre'!W83*'Gübre oranlar'!Z$3</f>
        <v>0</v>
      </c>
      <c r="X83">
        <f>'Kullanılan gübre'!X83*'Gübre oranlar'!AA$3</f>
        <v>0</v>
      </c>
      <c r="Y83">
        <f>'Kullanılan gübre'!Y83*'Gübre oranlar'!AB$3</f>
        <v>0</v>
      </c>
      <c r="Z83">
        <f>'Kullanılan gübre'!Z83*'Gübre oranlar'!AC$3</f>
        <v>0</v>
      </c>
      <c r="AA83">
        <f>'Kullanılan gübre'!AA83*'Gübre oranlar'!AD$3</f>
        <v>0</v>
      </c>
      <c r="AB83">
        <f>'Kullanılan gübre'!AB83*'Gübre oranlar'!AE$3</f>
        <v>0</v>
      </c>
      <c r="AC83">
        <f>'Kullanılan gübre'!AC83*'Gübre oranlar'!AF$3</f>
        <v>0</v>
      </c>
      <c r="AD83">
        <f>'Kullanılan gübre'!AD83*'Gübre oranlar'!AG$3</f>
        <v>0</v>
      </c>
      <c r="AE83">
        <f>'Kullanılan gübre'!AE83*'Gübre oranlar'!AH$3</f>
        <v>0</v>
      </c>
      <c r="AF83">
        <f>'Kullanılan gübre'!AF83*'Gübre oranlar'!AI$3</f>
        <v>0</v>
      </c>
      <c r="AG83">
        <f>'Kullanılan gübre'!AG83*'Gübre oranlar'!AJ$3</f>
        <v>0</v>
      </c>
      <c r="AH83">
        <f>'Kullanılan gübre'!AH83*'Gübre oranlar'!AK$3</f>
        <v>0</v>
      </c>
      <c r="AI83">
        <f>'Kullanılan gübre'!AI83*'Gübre oranlar'!AL$3</f>
        <v>0</v>
      </c>
      <c r="AJ83">
        <f>'Kullanılan gübre'!AJ83*'Gübre oranlar'!AM$3</f>
        <v>0</v>
      </c>
      <c r="AK83">
        <f>'Kullanılan gübre'!AK83*'Gübre oranlar'!AN$3</f>
        <v>0</v>
      </c>
      <c r="AL83">
        <f>'Kullanılan gübre'!AL83*'Gübre oranlar'!AO$3</f>
        <v>0</v>
      </c>
      <c r="AM83">
        <f>'Kullanılan gübre'!AM83*'Gübre oranlar'!AP$3</f>
        <v>0</v>
      </c>
      <c r="AN83">
        <f>'Kullanılan gübre'!AN83*'Gübre oranlar'!AQ$3</f>
        <v>0</v>
      </c>
      <c r="AO83">
        <f>'Kullanılan gübre'!AO83*'Gübre oranlar'!AR$3</f>
        <v>0</v>
      </c>
      <c r="AP83">
        <f>'Kullanılan gübre'!AP83*'Gübre oranlar'!AS$3</f>
        <v>0</v>
      </c>
      <c r="AQ83">
        <f>'Kullanılan gübre'!AQ83*'Gübre oranlar'!AT$3</f>
        <v>0</v>
      </c>
      <c r="AR83">
        <f>'Kullanılan gübre'!AR83*'Gübre oranlar'!AU$3</f>
        <v>0</v>
      </c>
      <c r="AS83">
        <f>'Kullanılan gübre'!AS83*'Gübre oranlar'!AV$3</f>
        <v>0</v>
      </c>
      <c r="AT83">
        <f>'Kullanılan gübre'!AT83*'Gübre oranlar'!AW$3</f>
        <v>0</v>
      </c>
      <c r="AU83">
        <f>'Kullanılan gübre'!AU83*'Gübre oranlar'!AX$3</f>
        <v>0</v>
      </c>
      <c r="AV83">
        <f>'Kullanılan gübre'!AV83*'Gübre oranlar'!AY$3</f>
        <v>0</v>
      </c>
      <c r="AW83">
        <f t="shared" si="1"/>
        <v>29.650000000000002</v>
      </c>
    </row>
    <row r="84" spans="1:49" x14ac:dyDescent="0.25">
      <c r="A84" t="str">
        <f>'Kullanılan gübre'!A84</f>
        <v>AK</v>
      </c>
      <c r="B84" t="str">
        <f>'Kullanılan gübre'!B84</f>
        <v>AFYONKARAHISAR</v>
      </c>
      <c r="C84" t="str">
        <f>'Kullanılan gübre'!C84</f>
        <v>BOLVADIN</v>
      </c>
      <c r="D84">
        <f>'Kullanılan gübre'!D84</f>
        <v>2014</v>
      </c>
      <c r="E84">
        <f>'Kullanılan gübre'!E84*'Gübre oranlar'!H$3</f>
        <v>0</v>
      </c>
      <c r="F84">
        <f>'Kullanılan gübre'!F84*'Gübre oranlar'!I$3</f>
        <v>0</v>
      </c>
      <c r="G84">
        <f>'Kullanılan gübre'!G84*'Gübre oranlar'!J$3</f>
        <v>0</v>
      </c>
      <c r="H84">
        <f>'Kullanılan gübre'!H84*'Gübre oranlar'!K$3</f>
        <v>0</v>
      </c>
      <c r="I84">
        <f>'Kullanılan gübre'!I84*'Gübre oranlar'!L$3</f>
        <v>0</v>
      </c>
      <c r="J84">
        <f>'Kullanılan gübre'!J84*'Gübre oranlar'!M$3</f>
        <v>0</v>
      </c>
      <c r="K84">
        <f>'Kullanılan gübre'!K84*'Gübre oranlar'!N$3</f>
        <v>0</v>
      </c>
      <c r="L84">
        <f>'Kullanılan gübre'!L84*'Gübre oranlar'!O$3</f>
        <v>55.53</v>
      </c>
      <c r="M84">
        <f>'Kullanılan gübre'!M84*'Gübre oranlar'!P$3</f>
        <v>0</v>
      </c>
      <c r="N84">
        <f>'Kullanılan gübre'!N84*'Gübre oranlar'!Q$3</f>
        <v>0</v>
      </c>
      <c r="O84">
        <f>'Kullanılan gübre'!O84*'Gübre oranlar'!R$3</f>
        <v>0</v>
      </c>
      <c r="P84">
        <f>'Kullanılan gübre'!P84*'Gübre oranlar'!S$3</f>
        <v>0</v>
      </c>
      <c r="Q84">
        <f>'Kullanılan gübre'!Q84*'Gübre oranlar'!T$3</f>
        <v>0</v>
      </c>
      <c r="R84">
        <f>'Kullanılan gübre'!R84*'Gübre oranlar'!U$3</f>
        <v>0</v>
      </c>
      <c r="S84">
        <f>'Kullanılan gübre'!S84*'Gübre oranlar'!V$3</f>
        <v>0</v>
      </c>
      <c r="T84">
        <f>'Kullanılan gübre'!T84*'Gübre oranlar'!W$3</f>
        <v>98.737499999999997</v>
      </c>
      <c r="U84">
        <f>'Kullanılan gübre'!U84*'Gübre oranlar'!X$3</f>
        <v>0</v>
      </c>
      <c r="V84">
        <f>'Kullanılan gübre'!V84*'Gübre oranlar'!Y$3</f>
        <v>9.3000000000000007</v>
      </c>
      <c r="W84">
        <f>'Kullanılan gübre'!W84*'Gübre oranlar'!Z$3</f>
        <v>0</v>
      </c>
      <c r="X84">
        <f>'Kullanılan gübre'!X84*'Gübre oranlar'!AA$3</f>
        <v>0</v>
      </c>
      <c r="Y84">
        <f>'Kullanılan gübre'!Y84*'Gübre oranlar'!AB$3</f>
        <v>0</v>
      </c>
      <c r="Z84">
        <f>'Kullanılan gübre'!Z84*'Gübre oranlar'!AC$3</f>
        <v>0</v>
      </c>
      <c r="AA84">
        <f>'Kullanılan gübre'!AA84*'Gübre oranlar'!AD$3</f>
        <v>0</v>
      </c>
      <c r="AB84">
        <f>'Kullanılan gübre'!AB84*'Gübre oranlar'!AE$3</f>
        <v>0</v>
      </c>
      <c r="AC84">
        <f>'Kullanılan gübre'!AC84*'Gübre oranlar'!AF$3</f>
        <v>0</v>
      </c>
      <c r="AD84">
        <f>'Kullanılan gübre'!AD84*'Gübre oranlar'!AG$3</f>
        <v>0</v>
      </c>
      <c r="AE84">
        <f>'Kullanılan gübre'!AE84*'Gübre oranlar'!AH$3</f>
        <v>0</v>
      </c>
      <c r="AF84">
        <f>'Kullanılan gübre'!AF84*'Gübre oranlar'!AI$3</f>
        <v>0</v>
      </c>
      <c r="AG84">
        <f>'Kullanılan gübre'!AG84*'Gübre oranlar'!AJ$3</f>
        <v>0</v>
      </c>
      <c r="AH84">
        <f>'Kullanılan gübre'!AH84*'Gübre oranlar'!AK$3</f>
        <v>0</v>
      </c>
      <c r="AI84">
        <f>'Kullanılan gübre'!AI84*'Gübre oranlar'!AL$3</f>
        <v>0</v>
      </c>
      <c r="AJ84">
        <f>'Kullanılan gübre'!AJ84*'Gübre oranlar'!AM$3</f>
        <v>0</v>
      </c>
      <c r="AK84">
        <f>'Kullanılan gübre'!AK84*'Gübre oranlar'!AN$3</f>
        <v>0</v>
      </c>
      <c r="AL84">
        <f>'Kullanılan gübre'!AL84*'Gübre oranlar'!AO$3</f>
        <v>0</v>
      </c>
      <c r="AM84">
        <f>'Kullanılan gübre'!AM84*'Gübre oranlar'!AP$3</f>
        <v>0</v>
      </c>
      <c r="AN84">
        <f>'Kullanılan gübre'!AN84*'Gübre oranlar'!AQ$3</f>
        <v>0</v>
      </c>
      <c r="AO84">
        <f>'Kullanılan gübre'!AO84*'Gübre oranlar'!AR$3</f>
        <v>0</v>
      </c>
      <c r="AP84">
        <f>'Kullanılan gübre'!AP84*'Gübre oranlar'!AS$3</f>
        <v>0</v>
      </c>
      <c r="AQ84">
        <f>'Kullanılan gübre'!AQ84*'Gübre oranlar'!AT$3</f>
        <v>0</v>
      </c>
      <c r="AR84">
        <f>'Kullanılan gübre'!AR84*'Gübre oranlar'!AU$3</f>
        <v>0</v>
      </c>
      <c r="AS84">
        <f>'Kullanılan gübre'!AS84*'Gübre oranlar'!AV$3</f>
        <v>0</v>
      </c>
      <c r="AT84">
        <f>'Kullanılan gübre'!AT84*'Gübre oranlar'!AW$3</f>
        <v>0</v>
      </c>
      <c r="AU84">
        <f>'Kullanılan gübre'!AU84*'Gübre oranlar'!AX$3</f>
        <v>0</v>
      </c>
      <c r="AV84">
        <f>'Kullanılan gübre'!AV84*'Gübre oranlar'!AY$3</f>
        <v>0</v>
      </c>
      <c r="AW84">
        <f t="shared" si="1"/>
        <v>163.5675</v>
      </c>
    </row>
    <row r="85" spans="1:49" x14ac:dyDescent="0.25">
      <c r="A85" t="str">
        <f>'Kullanılan gübre'!A85</f>
        <v>AK</v>
      </c>
      <c r="B85" t="str">
        <f>'Kullanılan gübre'!B85</f>
        <v>AFYONKARAHISAR</v>
      </c>
      <c r="C85" t="str">
        <f>'Kullanılan gübre'!C85</f>
        <v>CAY</v>
      </c>
      <c r="D85">
        <f>'Kullanılan gübre'!D85</f>
        <v>2014</v>
      </c>
      <c r="E85">
        <f>'Kullanılan gübre'!E85*'Gübre oranlar'!H$3</f>
        <v>0</v>
      </c>
      <c r="F85">
        <f>'Kullanılan gübre'!F85*'Gübre oranlar'!I$3</f>
        <v>0</v>
      </c>
      <c r="G85">
        <f>'Kullanılan gübre'!G85*'Gübre oranlar'!J$3</f>
        <v>0</v>
      </c>
      <c r="H85">
        <f>'Kullanılan gübre'!H85*'Gübre oranlar'!K$3</f>
        <v>0</v>
      </c>
      <c r="I85">
        <f>'Kullanılan gübre'!I85*'Gübre oranlar'!L$3</f>
        <v>55.9</v>
      </c>
      <c r="J85">
        <f>'Kullanılan gübre'!J85*'Gübre oranlar'!M$3</f>
        <v>0</v>
      </c>
      <c r="K85">
        <f>'Kullanılan gübre'!K85*'Gübre oranlar'!N$3</f>
        <v>0.38</v>
      </c>
      <c r="L85">
        <f>'Kullanılan gübre'!L85*'Gübre oranlar'!O$3</f>
        <v>148.77000000000001</v>
      </c>
      <c r="M85">
        <f>'Kullanılan gübre'!M85*'Gübre oranlar'!P$3</f>
        <v>5.3250000000000002</v>
      </c>
      <c r="N85">
        <f>'Kullanılan gübre'!N85*'Gübre oranlar'!Q$3</f>
        <v>22.154999999999998</v>
      </c>
      <c r="O85">
        <f>'Kullanılan gübre'!O85*'Gübre oranlar'!R$3</f>
        <v>0</v>
      </c>
      <c r="P85">
        <f>'Kullanılan gübre'!P85*'Gübre oranlar'!S$3</f>
        <v>0</v>
      </c>
      <c r="Q85">
        <f>'Kullanılan gübre'!Q85*'Gübre oranlar'!T$3</f>
        <v>0.19500000000000001</v>
      </c>
      <c r="R85">
        <f>'Kullanılan gübre'!R85*'Gübre oranlar'!U$3</f>
        <v>0</v>
      </c>
      <c r="S85">
        <f>'Kullanılan gübre'!S85*'Gübre oranlar'!V$3</f>
        <v>0</v>
      </c>
      <c r="T85">
        <f>'Kullanılan gübre'!T85*'Gübre oranlar'!W$3</f>
        <v>60.337499999999999</v>
      </c>
      <c r="U85">
        <f>'Kullanılan gübre'!U85*'Gübre oranlar'!X$3</f>
        <v>0</v>
      </c>
      <c r="V85">
        <f>'Kullanılan gübre'!V85*'Gübre oranlar'!Y$3</f>
        <v>0</v>
      </c>
      <c r="W85">
        <f>'Kullanılan gübre'!W85*'Gübre oranlar'!Z$3</f>
        <v>0</v>
      </c>
      <c r="X85">
        <f>'Kullanılan gübre'!X85*'Gübre oranlar'!AA$3</f>
        <v>0.60000000000000009</v>
      </c>
      <c r="Y85">
        <f>'Kullanılan gübre'!Y85*'Gübre oranlar'!AB$3</f>
        <v>0</v>
      </c>
      <c r="Z85">
        <f>'Kullanılan gübre'!Z85*'Gübre oranlar'!AC$3</f>
        <v>0</v>
      </c>
      <c r="AA85">
        <f>'Kullanılan gübre'!AA85*'Gübre oranlar'!AD$3</f>
        <v>0</v>
      </c>
      <c r="AB85">
        <f>'Kullanılan gübre'!AB85*'Gübre oranlar'!AE$3</f>
        <v>0.35379999999999995</v>
      </c>
      <c r="AC85">
        <f>'Kullanılan gübre'!AC85*'Gübre oranlar'!AF$3</f>
        <v>0</v>
      </c>
      <c r="AD85">
        <f>'Kullanılan gübre'!AD85*'Gübre oranlar'!AG$3</f>
        <v>0</v>
      </c>
      <c r="AE85">
        <f>'Kullanılan gübre'!AE85*'Gübre oranlar'!AH$3</f>
        <v>11.975</v>
      </c>
      <c r="AF85">
        <f>'Kullanılan gübre'!AF85*'Gübre oranlar'!AI$3</f>
        <v>0</v>
      </c>
      <c r="AG85">
        <f>'Kullanılan gübre'!AG85*'Gübre oranlar'!AJ$3</f>
        <v>0</v>
      </c>
      <c r="AH85">
        <f>'Kullanılan gübre'!AH85*'Gübre oranlar'!AK$3</f>
        <v>0</v>
      </c>
      <c r="AI85">
        <f>'Kullanılan gübre'!AI85*'Gübre oranlar'!AL$3</f>
        <v>0</v>
      </c>
      <c r="AJ85">
        <f>'Kullanılan gübre'!AJ85*'Gübre oranlar'!AM$3</f>
        <v>0</v>
      </c>
      <c r="AK85">
        <f>'Kullanılan gübre'!AK85*'Gübre oranlar'!AN$3</f>
        <v>0</v>
      </c>
      <c r="AL85">
        <f>'Kullanılan gübre'!AL85*'Gübre oranlar'!AO$3</f>
        <v>0</v>
      </c>
      <c r="AM85">
        <f>'Kullanılan gübre'!AM85*'Gübre oranlar'!AP$3</f>
        <v>0</v>
      </c>
      <c r="AN85">
        <f>'Kullanılan gübre'!AN85*'Gübre oranlar'!AQ$3</f>
        <v>0</v>
      </c>
      <c r="AO85">
        <f>'Kullanılan gübre'!AO85*'Gübre oranlar'!AR$3</f>
        <v>0</v>
      </c>
      <c r="AP85">
        <f>'Kullanılan gübre'!AP85*'Gübre oranlar'!AS$3</f>
        <v>0</v>
      </c>
      <c r="AQ85">
        <f>'Kullanılan gübre'!AQ85*'Gübre oranlar'!AT$3</f>
        <v>0</v>
      </c>
      <c r="AR85">
        <f>'Kullanılan gübre'!AR85*'Gübre oranlar'!AU$3</f>
        <v>0</v>
      </c>
      <c r="AS85">
        <f>'Kullanılan gübre'!AS85*'Gübre oranlar'!AV$3</f>
        <v>0</v>
      </c>
      <c r="AT85">
        <f>'Kullanılan gübre'!AT85*'Gübre oranlar'!AW$3</f>
        <v>0</v>
      </c>
      <c r="AU85">
        <f>'Kullanılan gübre'!AU85*'Gübre oranlar'!AX$3</f>
        <v>0</v>
      </c>
      <c r="AV85">
        <f>'Kullanılan gübre'!AV85*'Gübre oranlar'!AY$3</f>
        <v>0</v>
      </c>
      <c r="AW85">
        <f t="shared" si="1"/>
        <v>305.99130000000002</v>
      </c>
    </row>
    <row r="86" spans="1:49" x14ac:dyDescent="0.25">
      <c r="A86" t="str">
        <f>'Kullanılan gübre'!A86</f>
        <v>AK</v>
      </c>
      <c r="B86" t="str">
        <f>'Kullanılan gübre'!B86</f>
        <v>AFYONKARAHISAR</v>
      </c>
      <c r="C86" t="str">
        <f>'Kullanılan gübre'!C86</f>
        <v>COBANLAR</v>
      </c>
      <c r="D86">
        <f>'Kullanılan gübre'!D86</f>
        <v>2014</v>
      </c>
      <c r="E86">
        <f>'Kullanılan gübre'!E86*'Gübre oranlar'!H$3</f>
        <v>0</v>
      </c>
      <c r="F86">
        <f>'Kullanılan gübre'!F86*'Gübre oranlar'!I$3</f>
        <v>0</v>
      </c>
      <c r="G86">
        <f>'Kullanılan gübre'!G86*'Gübre oranlar'!J$3</f>
        <v>0</v>
      </c>
      <c r="H86">
        <f>'Kullanılan gübre'!H86*'Gübre oranlar'!K$3</f>
        <v>0</v>
      </c>
      <c r="I86">
        <f>'Kullanılan gübre'!I86*'Gübre oranlar'!L$3</f>
        <v>0</v>
      </c>
      <c r="J86">
        <f>'Kullanılan gübre'!J86*'Gübre oranlar'!M$3</f>
        <v>0</v>
      </c>
      <c r="K86">
        <f>'Kullanılan gübre'!K86*'Gübre oranlar'!N$3</f>
        <v>4.4000000000000004</v>
      </c>
      <c r="L86">
        <f>'Kullanılan gübre'!L86*'Gübre oranlar'!O$3</f>
        <v>42.410000000000004</v>
      </c>
      <c r="M86">
        <f>'Kullanılan gübre'!M86*'Gübre oranlar'!P$3</f>
        <v>0</v>
      </c>
      <c r="N86">
        <f>'Kullanılan gübre'!N86*'Gübre oranlar'!Q$3</f>
        <v>21.599999999999998</v>
      </c>
      <c r="O86">
        <f>'Kullanılan gübre'!O86*'Gübre oranlar'!R$3</f>
        <v>0</v>
      </c>
      <c r="P86">
        <f>'Kullanılan gübre'!P86*'Gübre oranlar'!S$3</f>
        <v>0</v>
      </c>
      <c r="Q86">
        <f>'Kullanılan gübre'!Q86*'Gübre oranlar'!T$3</f>
        <v>0</v>
      </c>
      <c r="R86">
        <f>'Kullanılan gübre'!R86*'Gübre oranlar'!U$3</f>
        <v>0</v>
      </c>
      <c r="S86">
        <f>'Kullanılan gübre'!S86*'Gübre oranlar'!V$3</f>
        <v>0</v>
      </c>
      <c r="T86">
        <f>'Kullanılan gübre'!T86*'Gübre oranlar'!W$3</f>
        <v>33.200000000000003</v>
      </c>
      <c r="U86">
        <f>'Kullanılan gübre'!U86*'Gübre oranlar'!X$3</f>
        <v>0</v>
      </c>
      <c r="V86">
        <f>'Kullanılan gübre'!V86*'Gübre oranlar'!Y$3</f>
        <v>0</v>
      </c>
      <c r="W86">
        <f>'Kullanılan gübre'!W86*'Gübre oranlar'!Z$3</f>
        <v>0</v>
      </c>
      <c r="X86">
        <f>'Kullanılan gübre'!X86*'Gübre oranlar'!AA$3</f>
        <v>0</v>
      </c>
      <c r="Y86">
        <f>'Kullanılan gübre'!Y86*'Gübre oranlar'!AB$3</f>
        <v>0</v>
      </c>
      <c r="Z86">
        <f>'Kullanılan gübre'!Z86*'Gübre oranlar'!AC$3</f>
        <v>0</v>
      </c>
      <c r="AA86">
        <f>'Kullanılan gübre'!AA86*'Gübre oranlar'!AD$3</f>
        <v>0</v>
      </c>
      <c r="AB86">
        <f>'Kullanılan gübre'!AB86*'Gübre oranlar'!AE$3</f>
        <v>0</v>
      </c>
      <c r="AC86">
        <f>'Kullanılan gübre'!AC86*'Gübre oranlar'!AF$3</f>
        <v>0</v>
      </c>
      <c r="AD86">
        <f>'Kullanılan gübre'!AD86*'Gübre oranlar'!AG$3</f>
        <v>0</v>
      </c>
      <c r="AE86">
        <f>'Kullanılan gübre'!AE86*'Gübre oranlar'!AH$3</f>
        <v>7.95</v>
      </c>
      <c r="AF86">
        <f>'Kullanılan gübre'!AF86*'Gübre oranlar'!AI$3</f>
        <v>0</v>
      </c>
      <c r="AG86">
        <f>'Kullanılan gübre'!AG86*'Gübre oranlar'!AJ$3</f>
        <v>0</v>
      </c>
      <c r="AH86">
        <f>'Kullanılan gübre'!AH86*'Gübre oranlar'!AK$3</f>
        <v>0</v>
      </c>
      <c r="AI86">
        <f>'Kullanılan gübre'!AI86*'Gübre oranlar'!AL$3</f>
        <v>0</v>
      </c>
      <c r="AJ86">
        <f>'Kullanılan gübre'!AJ86*'Gübre oranlar'!AM$3</f>
        <v>0</v>
      </c>
      <c r="AK86">
        <f>'Kullanılan gübre'!AK86*'Gübre oranlar'!AN$3</f>
        <v>0</v>
      </c>
      <c r="AL86">
        <f>'Kullanılan gübre'!AL86*'Gübre oranlar'!AO$3</f>
        <v>0</v>
      </c>
      <c r="AM86">
        <f>'Kullanılan gübre'!AM86*'Gübre oranlar'!AP$3</f>
        <v>0</v>
      </c>
      <c r="AN86">
        <f>'Kullanılan gübre'!AN86*'Gübre oranlar'!AQ$3</f>
        <v>0</v>
      </c>
      <c r="AO86">
        <f>'Kullanılan gübre'!AO86*'Gübre oranlar'!AR$3</f>
        <v>0</v>
      </c>
      <c r="AP86">
        <f>'Kullanılan gübre'!AP86*'Gübre oranlar'!AS$3</f>
        <v>0</v>
      </c>
      <c r="AQ86">
        <f>'Kullanılan gübre'!AQ86*'Gübre oranlar'!AT$3</f>
        <v>0</v>
      </c>
      <c r="AR86">
        <f>'Kullanılan gübre'!AR86*'Gübre oranlar'!AU$3</f>
        <v>0</v>
      </c>
      <c r="AS86">
        <f>'Kullanılan gübre'!AS86*'Gübre oranlar'!AV$3</f>
        <v>0</v>
      </c>
      <c r="AT86">
        <f>'Kullanılan gübre'!AT86*'Gübre oranlar'!AW$3</f>
        <v>0</v>
      </c>
      <c r="AU86">
        <f>'Kullanılan gübre'!AU86*'Gübre oranlar'!AX$3</f>
        <v>0</v>
      </c>
      <c r="AV86">
        <f>'Kullanılan gübre'!AV86*'Gübre oranlar'!AY$3</f>
        <v>0</v>
      </c>
      <c r="AW86">
        <f t="shared" si="1"/>
        <v>109.56</v>
      </c>
    </row>
    <row r="87" spans="1:49" x14ac:dyDescent="0.25">
      <c r="A87" t="str">
        <f>'Kullanılan gübre'!A87</f>
        <v>AK</v>
      </c>
      <c r="B87" t="str">
        <f>'Kullanılan gübre'!B87</f>
        <v>AFYONKARAHISAR</v>
      </c>
      <c r="C87" t="str">
        <f>'Kullanılan gübre'!C87</f>
        <v>IHSANIYE</v>
      </c>
      <c r="D87">
        <f>'Kullanılan gübre'!D87</f>
        <v>2014</v>
      </c>
      <c r="E87">
        <f>'Kullanılan gübre'!E87*'Gübre oranlar'!H$3</f>
        <v>0</v>
      </c>
      <c r="F87">
        <f>'Kullanılan gübre'!F87*'Gübre oranlar'!I$3</f>
        <v>0</v>
      </c>
      <c r="G87">
        <f>'Kullanılan gübre'!G87*'Gübre oranlar'!J$3</f>
        <v>0</v>
      </c>
      <c r="H87">
        <f>'Kullanılan gübre'!H87*'Gübre oranlar'!K$3</f>
        <v>0</v>
      </c>
      <c r="I87">
        <f>'Kullanılan gübre'!I87*'Gübre oranlar'!L$3</f>
        <v>0</v>
      </c>
      <c r="J87">
        <f>'Kullanılan gübre'!J87*'Gübre oranlar'!M$3</f>
        <v>0</v>
      </c>
      <c r="K87">
        <f>'Kullanılan gübre'!K87*'Gübre oranlar'!N$3</f>
        <v>116.74000000000001</v>
      </c>
      <c r="L87">
        <f>'Kullanılan gübre'!L87*'Gübre oranlar'!O$3</f>
        <v>83.800000000000011</v>
      </c>
      <c r="M87">
        <f>'Kullanılan gübre'!M87*'Gübre oranlar'!P$3</f>
        <v>1.5</v>
      </c>
      <c r="N87">
        <f>'Kullanılan gübre'!N87*'Gübre oranlar'!Q$3</f>
        <v>2.085</v>
      </c>
      <c r="O87">
        <f>'Kullanılan gübre'!O87*'Gübre oranlar'!R$3</f>
        <v>0</v>
      </c>
      <c r="P87">
        <f>'Kullanılan gübre'!P87*'Gübre oranlar'!S$3</f>
        <v>0</v>
      </c>
      <c r="Q87">
        <f>'Kullanılan gübre'!Q87*'Gübre oranlar'!T$3</f>
        <v>24</v>
      </c>
      <c r="R87">
        <f>'Kullanılan gübre'!R87*'Gübre oranlar'!U$3</f>
        <v>0</v>
      </c>
      <c r="S87">
        <f>'Kullanılan gübre'!S87*'Gübre oranlar'!V$3</f>
        <v>0</v>
      </c>
      <c r="T87">
        <f>'Kullanılan gübre'!T87*'Gübre oranlar'!W$3</f>
        <v>85.587500000000006</v>
      </c>
      <c r="U87">
        <f>'Kullanılan gübre'!U87*'Gübre oranlar'!X$3</f>
        <v>0</v>
      </c>
      <c r="V87">
        <f>'Kullanılan gübre'!V87*'Gübre oranlar'!Y$3</f>
        <v>20.037500000000001</v>
      </c>
      <c r="W87">
        <f>'Kullanılan gübre'!W87*'Gübre oranlar'!Z$3</f>
        <v>0</v>
      </c>
      <c r="X87">
        <f>'Kullanılan gübre'!X87*'Gübre oranlar'!AA$3</f>
        <v>0</v>
      </c>
      <c r="Y87">
        <f>'Kullanılan gübre'!Y87*'Gübre oranlar'!AB$3</f>
        <v>0</v>
      </c>
      <c r="Z87">
        <f>'Kullanılan gübre'!Z87*'Gübre oranlar'!AC$3</f>
        <v>0</v>
      </c>
      <c r="AA87">
        <f>'Kullanılan gübre'!AA87*'Gübre oranlar'!AD$3</f>
        <v>0</v>
      </c>
      <c r="AB87">
        <f>'Kullanılan gübre'!AB87*'Gübre oranlar'!AE$3</f>
        <v>0</v>
      </c>
      <c r="AC87">
        <f>'Kullanılan gübre'!AC87*'Gübre oranlar'!AF$3</f>
        <v>0</v>
      </c>
      <c r="AD87">
        <f>'Kullanılan gübre'!AD87*'Gübre oranlar'!AG$3</f>
        <v>0</v>
      </c>
      <c r="AE87">
        <f>'Kullanılan gübre'!AE87*'Gübre oranlar'!AH$3</f>
        <v>0</v>
      </c>
      <c r="AF87">
        <f>'Kullanılan gübre'!AF87*'Gübre oranlar'!AI$3</f>
        <v>0</v>
      </c>
      <c r="AG87">
        <f>'Kullanılan gübre'!AG87*'Gübre oranlar'!AJ$3</f>
        <v>0</v>
      </c>
      <c r="AH87">
        <f>'Kullanılan gübre'!AH87*'Gübre oranlar'!AK$3</f>
        <v>0</v>
      </c>
      <c r="AI87">
        <f>'Kullanılan gübre'!AI87*'Gübre oranlar'!AL$3</f>
        <v>0</v>
      </c>
      <c r="AJ87">
        <f>'Kullanılan gübre'!AJ87*'Gübre oranlar'!AM$3</f>
        <v>0</v>
      </c>
      <c r="AK87">
        <f>'Kullanılan gübre'!AK87*'Gübre oranlar'!AN$3</f>
        <v>0</v>
      </c>
      <c r="AL87">
        <f>'Kullanılan gübre'!AL87*'Gübre oranlar'!AO$3</f>
        <v>0</v>
      </c>
      <c r="AM87">
        <f>'Kullanılan gübre'!AM87*'Gübre oranlar'!AP$3</f>
        <v>0</v>
      </c>
      <c r="AN87">
        <f>'Kullanılan gübre'!AN87*'Gübre oranlar'!AQ$3</f>
        <v>0</v>
      </c>
      <c r="AO87">
        <f>'Kullanılan gübre'!AO87*'Gübre oranlar'!AR$3</f>
        <v>0</v>
      </c>
      <c r="AP87">
        <f>'Kullanılan gübre'!AP87*'Gübre oranlar'!AS$3</f>
        <v>0</v>
      </c>
      <c r="AQ87">
        <f>'Kullanılan gübre'!AQ87*'Gübre oranlar'!AT$3</f>
        <v>0</v>
      </c>
      <c r="AR87">
        <f>'Kullanılan gübre'!AR87*'Gübre oranlar'!AU$3</f>
        <v>0</v>
      </c>
      <c r="AS87">
        <f>'Kullanılan gübre'!AS87*'Gübre oranlar'!AV$3</f>
        <v>0</v>
      </c>
      <c r="AT87">
        <f>'Kullanılan gübre'!AT87*'Gübre oranlar'!AW$3</f>
        <v>0</v>
      </c>
      <c r="AU87">
        <f>'Kullanılan gübre'!AU87*'Gübre oranlar'!AX$3</f>
        <v>0</v>
      </c>
      <c r="AV87">
        <f>'Kullanılan gübre'!AV87*'Gübre oranlar'!AY$3</f>
        <v>0</v>
      </c>
      <c r="AW87">
        <f t="shared" si="1"/>
        <v>333.75000000000006</v>
      </c>
    </row>
    <row r="88" spans="1:49" x14ac:dyDescent="0.25">
      <c r="A88" t="str">
        <f>'Kullanılan gübre'!A88</f>
        <v>AK</v>
      </c>
      <c r="B88" t="str">
        <f>'Kullanılan gübre'!B88</f>
        <v>AFYONKARAHISAR</v>
      </c>
      <c r="C88" t="str">
        <f>'Kullanılan gübre'!C88</f>
        <v>ISCEHISAR</v>
      </c>
      <c r="D88">
        <f>'Kullanılan gübre'!D88</f>
        <v>2014</v>
      </c>
      <c r="E88">
        <f>'Kullanılan gübre'!E88*'Gübre oranlar'!H$3</f>
        <v>0</v>
      </c>
      <c r="F88">
        <f>'Kullanılan gübre'!F88*'Gübre oranlar'!I$3</f>
        <v>0</v>
      </c>
      <c r="G88">
        <f>'Kullanılan gübre'!G88*'Gübre oranlar'!J$3</f>
        <v>0</v>
      </c>
      <c r="H88">
        <f>'Kullanılan gübre'!H88*'Gübre oranlar'!K$3</f>
        <v>0</v>
      </c>
      <c r="I88">
        <f>'Kullanılan gübre'!I88*'Gübre oranlar'!L$3</f>
        <v>0</v>
      </c>
      <c r="J88">
        <f>'Kullanılan gübre'!J88*'Gübre oranlar'!M$3</f>
        <v>0</v>
      </c>
      <c r="K88">
        <f>'Kullanılan gübre'!K88*'Gübre oranlar'!N$3</f>
        <v>0</v>
      </c>
      <c r="L88">
        <f>'Kullanılan gübre'!L88*'Gübre oranlar'!O$3</f>
        <v>16.830000000000002</v>
      </c>
      <c r="M88">
        <f>'Kullanılan gübre'!M88*'Gübre oranlar'!P$3</f>
        <v>0</v>
      </c>
      <c r="N88">
        <f>'Kullanılan gübre'!N88*'Gübre oranlar'!Q$3</f>
        <v>0</v>
      </c>
      <c r="O88">
        <f>'Kullanılan gübre'!O88*'Gübre oranlar'!R$3</f>
        <v>0</v>
      </c>
      <c r="P88">
        <f>'Kullanılan gübre'!P88*'Gübre oranlar'!S$3</f>
        <v>0</v>
      </c>
      <c r="Q88">
        <f>'Kullanılan gübre'!Q88*'Gübre oranlar'!T$3</f>
        <v>0</v>
      </c>
      <c r="R88">
        <f>'Kullanılan gübre'!R88*'Gübre oranlar'!U$3</f>
        <v>0</v>
      </c>
      <c r="S88">
        <f>'Kullanılan gübre'!S88*'Gübre oranlar'!V$3</f>
        <v>0</v>
      </c>
      <c r="T88">
        <f>'Kullanılan gübre'!T88*'Gübre oranlar'!W$3</f>
        <v>40.512500000000003</v>
      </c>
      <c r="U88">
        <f>'Kullanılan gübre'!U88*'Gübre oranlar'!X$3</f>
        <v>0</v>
      </c>
      <c r="V88">
        <f>'Kullanılan gübre'!V88*'Gübre oranlar'!Y$3</f>
        <v>0</v>
      </c>
      <c r="W88">
        <f>'Kullanılan gübre'!W88*'Gübre oranlar'!Z$3</f>
        <v>0</v>
      </c>
      <c r="X88">
        <f>'Kullanılan gübre'!X88*'Gübre oranlar'!AA$3</f>
        <v>0</v>
      </c>
      <c r="Y88">
        <f>'Kullanılan gübre'!Y88*'Gübre oranlar'!AB$3</f>
        <v>0</v>
      </c>
      <c r="Z88">
        <f>'Kullanılan gübre'!Z88*'Gübre oranlar'!AC$3</f>
        <v>0</v>
      </c>
      <c r="AA88">
        <f>'Kullanılan gübre'!AA88*'Gübre oranlar'!AD$3</f>
        <v>0</v>
      </c>
      <c r="AB88">
        <f>'Kullanılan gübre'!AB88*'Gübre oranlar'!AE$3</f>
        <v>0</v>
      </c>
      <c r="AC88">
        <f>'Kullanılan gübre'!AC88*'Gübre oranlar'!AF$3</f>
        <v>0</v>
      </c>
      <c r="AD88">
        <f>'Kullanılan gübre'!AD88*'Gübre oranlar'!AG$3</f>
        <v>0</v>
      </c>
      <c r="AE88">
        <f>'Kullanılan gübre'!AE88*'Gübre oranlar'!AH$3</f>
        <v>0</v>
      </c>
      <c r="AF88">
        <f>'Kullanılan gübre'!AF88*'Gübre oranlar'!AI$3</f>
        <v>0</v>
      </c>
      <c r="AG88">
        <f>'Kullanılan gübre'!AG88*'Gübre oranlar'!AJ$3</f>
        <v>0</v>
      </c>
      <c r="AH88">
        <f>'Kullanılan gübre'!AH88*'Gübre oranlar'!AK$3</f>
        <v>0</v>
      </c>
      <c r="AI88">
        <f>'Kullanılan gübre'!AI88*'Gübre oranlar'!AL$3</f>
        <v>0</v>
      </c>
      <c r="AJ88">
        <f>'Kullanılan gübre'!AJ88*'Gübre oranlar'!AM$3</f>
        <v>0</v>
      </c>
      <c r="AK88">
        <f>'Kullanılan gübre'!AK88*'Gübre oranlar'!AN$3</f>
        <v>0</v>
      </c>
      <c r="AL88">
        <f>'Kullanılan gübre'!AL88*'Gübre oranlar'!AO$3</f>
        <v>0</v>
      </c>
      <c r="AM88">
        <f>'Kullanılan gübre'!AM88*'Gübre oranlar'!AP$3</f>
        <v>0</v>
      </c>
      <c r="AN88">
        <f>'Kullanılan gübre'!AN88*'Gübre oranlar'!AQ$3</f>
        <v>0</v>
      </c>
      <c r="AO88">
        <f>'Kullanılan gübre'!AO88*'Gübre oranlar'!AR$3</f>
        <v>0</v>
      </c>
      <c r="AP88">
        <f>'Kullanılan gübre'!AP88*'Gübre oranlar'!AS$3</f>
        <v>0</v>
      </c>
      <c r="AQ88">
        <f>'Kullanılan gübre'!AQ88*'Gübre oranlar'!AT$3</f>
        <v>0</v>
      </c>
      <c r="AR88">
        <f>'Kullanılan gübre'!AR88*'Gübre oranlar'!AU$3</f>
        <v>0</v>
      </c>
      <c r="AS88">
        <f>'Kullanılan gübre'!AS88*'Gübre oranlar'!AV$3</f>
        <v>0</v>
      </c>
      <c r="AT88">
        <f>'Kullanılan gübre'!AT88*'Gübre oranlar'!AW$3</f>
        <v>0</v>
      </c>
      <c r="AU88">
        <f>'Kullanılan gübre'!AU88*'Gübre oranlar'!AX$3</f>
        <v>0</v>
      </c>
      <c r="AV88">
        <f>'Kullanılan gübre'!AV88*'Gübre oranlar'!AY$3</f>
        <v>0</v>
      </c>
      <c r="AW88">
        <f t="shared" si="1"/>
        <v>57.342500000000001</v>
      </c>
    </row>
    <row r="89" spans="1:49" x14ac:dyDescent="0.25">
      <c r="A89" t="str">
        <f>'Kullanılan gübre'!A89</f>
        <v>AK</v>
      </c>
      <c r="B89" t="str">
        <f>'Kullanılan gübre'!B89</f>
        <v>AFYONKARAHISAR</v>
      </c>
      <c r="C89" t="str">
        <f>'Kullanılan gübre'!C89</f>
        <v>SINANPASA</v>
      </c>
      <c r="D89">
        <f>'Kullanılan gübre'!D89</f>
        <v>2014</v>
      </c>
      <c r="E89">
        <f>'Kullanılan gübre'!E89*'Gübre oranlar'!H$3</f>
        <v>0</v>
      </c>
      <c r="F89">
        <f>'Kullanılan gübre'!F89*'Gübre oranlar'!I$3</f>
        <v>0</v>
      </c>
      <c r="G89">
        <f>'Kullanılan gübre'!G89*'Gübre oranlar'!J$3</f>
        <v>0</v>
      </c>
      <c r="H89">
        <f>'Kullanılan gübre'!H89*'Gübre oranlar'!K$3</f>
        <v>0</v>
      </c>
      <c r="I89">
        <f>'Kullanılan gübre'!I89*'Gübre oranlar'!L$3</f>
        <v>0</v>
      </c>
      <c r="J89">
        <f>'Kullanılan gübre'!J89*'Gübre oranlar'!M$3</f>
        <v>0</v>
      </c>
      <c r="K89">
        <f>'Kullanılan gübre'!K89*'Gübre oranlar'!N$3</f>
        <v>50.04</v>
      </c>
      <c r="L89">
        <f>'Kullanılan gübre'!L89*'Gübre oranlar'!O$3</f>
        <v>123.17000000000002</v>
      </c>
      <c r="M89">
        <f>'Kullanılan gübre'!M89*'Gübre oranlar'!P$3</f>
        <v>1.5</v>
      </c>
      <c r="N89">
        <f>'Kullanılan gübre'!N89*'Gübre oranlar'!Q$3</f>
        <v>8.2799999999999994</v>
      </c>
      <c r="O89">
        <f>'Kullanılan gübre'!O89*'Gübre oranlar'!R$3</f>
        <v>0</v>
      </c>
      <c r="P89">
        <f>'Kullanılan gübre'!P89*'Gübre oranlar'!S$3</f>
        <v>0</v>
      </c>
      <c r="Q89">
        <f>'Kullanılan gübre'!Q89*'Gübre oranlar'!T$3</f>
        <v>0</v>
      </c>
      <c r="R89">
        <f>'Kullanılan gübre'!R89*'Gübre oranlar'!U$3</f>
        <v>0</v>
      </c>
      <c r="S89">
        <f>'Kullanılan gübre'!S89*'Gübre oranlar'!V$3</f>
        <v>0</v>
      </c>
      <c r="T89">
        <f>'Kullanılan gübre'!T89*'Gübre oranlar'!W$3</f>
        <v>101.85</v>
      </c>
      <c r="U89">
        <f>'Kullanılan gübre'!U89*'Gübre oranlar'!X$3</f>
        <v>0</v>
      </c>
      <c r="V89">
        <f>'Kullanılan gübre'!V89*'Gübre oranlar'!Y$3</f>
        <v>0</v>
      </c>
      <c r="W89">
        <f>'Kullanılan gübre'!W89*'Gübre oranlar'!Z$3</f>
        <v>0</v>
      </c>
      <c r="X89">
        <f>'Kullanılan gübre'!X89*'Gübre oranlar'!AA$3</f>
        <v>0</v>
      </c>
      <c r="Y89">
        <f>'Kullanılan gübre'!Y89*'Gübre oranlar'!AB$3</f>
        <v>0</v>
      </c>
      <c r="Z89">
        <f>'Kullanılan gübre'!Z89*'Gübre oranlar'!AC$3</f>
        <v>0</v>
      </c>
      <c r="AA89">
        <f>'Kullanılan gübre'!AA89*'Gübre oranlar'!AD$3</f>
        <v>0</v>
      </c>
      <c r="AB89">
        <f>'Kullanılan gübre'!AB89*'Gübre oranlar'!AE$3</f>
        <v>0.34160000000000001</v>
      </c>
      <c r="AC89">
        <f>'Kullanılan gübre'!AC89*'Gübre oranlar'!AF$3</f>
        <v>0</v>
      </c>
      <c r="AD89">
        <f>'Kullanılan gübre'!AD89*'Gübre oranlar'!AG$3</f>
        <v>0</v>
      </c>
      <c r="AE89">
        <f>'Kullanılan gübre'!AE89*'Gübre oranlar'!AH$3</f>
        <v>0</v>
      </c>
      <c r="AF89">
        <f>'Kullanılan gübre'!AF89*'Gübre oranlar'!AI$3</f>
        <v>0</v>
      </c>
      <c r="AG89">
        <f>'Kullanılan gübre'!AG89*'Gübre oranlar'!AJ$3</f>
        <v>0</v>
      </c>
      <c r="AH89">
        <f>'Kullanılan gübre'!AH89*'Gübre oranlar'!AK$3</f>
        <v>0</v>
      </c>
      <c r="AI89">
        <f>'Kullanılan gübre'!AI89*'Gübre oranlar'!AL$3</f>
        <v>0</v>
      </c>
      <c r="AJ89">
        <f>'Kullanılan gübre'!AJ89*'Gübre oranlar'!AM$3</f>
        <v>0</v>
      </c>
      <c r="AK89">
        <f>'Kullanılan gübre'!AK89*'Gübre oranlar'!AN$3</f>
        <v>0</v>
      </c>
      <c r="AL89">
        <f>'Kullanılan gübre'!AL89*'Gübre oranlar'!AO$3</f>
        <v>0</v>
      </c>
      <c r="AM89">
        <f>'Kullanılan gübre'!AM89*'Gübre oranlar'!AP$3</f>
        <v>0</v>
      </c>
      <c r="AN89">
        <f>'Kullanılan gübre'!AN89*'Gübre oranlar'!AQ$3</f>
        <v>0</v>
      </c>
      <c r="AO89">
        <f>'Kullanılan gübre'!AO89*'Gübre oranlar'!AR$3</f>
        <v>0</v>
      </c>
      <c r="AP89">
        <f>'Kullanılan gübre'!AP89*'Gübre oranlar'!AS$3</f>
        <v>0</v>
      </c>
      <c r="AQ89">
        <f>'Kullanılan gübre'!AQ89*'Gübre oranlar'!AT$3</f>
        <v>0</v>
      </c>
      <c r="AR89">
        <f>'Kullanılan gübre'!AR89*'Gübre oranlar'!AU$3</f>
        <v>0</v>
      </c>
      <c r="AS89">
        <f>'Kullanılan gübre'!AS89*'Gübre oranlar'!AV$3</f>
        <v>0</v>
      </c>
      <c r="AT89">
        <f>'Kullanılan gübre'!AT89*'Gübre oranlar'!AW$3</f>
        <v>0</v>
      </c>
      <c r="AU89">
        <f>'Kullanılan gübre'!AU89*'Gübre oranlar'!AX$3</f>
        <v>0</v>
      </c>
      <c r="AV89">
        <f>'Kullanılan gübre'!AV89*'Gübre oranlar'!AY$3</f>
        <v>0</v>
      </c>
      <c r="AW89">
        <f t="shared" si="1"/>
        <v>285.18160000000006</v>
      </c>
    </row>
    <row r="90" spans="1:49" x14ac:dyDescent="0.25">
      <c r="A90" t="str">
        <f>'Kullanılan gübre'!A90</f>
        <v>AK</v>
      </c>
      <c r="B90" t="str">
        <f>'Kullanılan gübre'!B90</f>
        <v>AFYONKARAHISAR</v>
      </c>
      <c r="C90" t="str">
        <f>'Kullanılan gübre'!C90</f>
        <v>SULTANDAGI</v>
      </c>
      <c r="D90">
        <f>'Kullanılan gübre'!D90</f>
        <v>2014</v>
      </c>
      <c r="E90">
        <f>'Kullanılan gübre'!E90*'Gübre oranlar'!H$3</f>
        <v>0</v>
      </c>
      <c r="F90">
        <f>'Kullanılan gübre'!F90*'Gübre oranlar'!I$3</f>
        <v>0</v>
      </c>
      <c r="G90">
        <f>'Kullanılan gübre'!G90*'Gübre oranlar'!J$3</f>
        <v>0</v>
      </c>
      <c r="H90">
        <f>'Kullanılan gübre'!H90*'Gübre oranlar'!K$3</f>
        <v>0</v>
      </c>
      <c r="I90">
        <f>'Kullanılan gübre'!I90*'Gübre oranlar'!L$3</f>
        <v>14.061000000000002</v>
      </c>
      <c r="J90">
        <f>'Kullanılan gübre'!J90*'Gübre oranlar'!M$3</f>
        <v>0</v>
      </c>
      <c r="K90">
        <f>'Kullanılan gübre'!K90*'Gübre oranlar'!N$3</f>
        <v>0</v>
      </c>
      <c r="L90">
        <f>'Kullanılan gübre'!L90*'Gübre oranlar'!O$3</f>
        <v>30.85</v>
      </c>
      <c r="M90">
        <f>'Kullanılan gübre'!M90*'Gübre oranlar'!P$3</f>
        <v>0</v>
      </c>
      <c r="N90">
        <f>'Kullanılan gübre'!N90*'Gübre oranlar'!Q$3</f>
        <v>7.8224999999999998</v>
      </c>
      <c r="O90">
        <f>'Kullanılan gübre'!O90*'Gübre oranlar'!R$3</f>
        <v>0</v>
      </c>
      <c r="P90">
        <f>'Kullanılan gübre'!P90*'Gübre oranlar'!S$3</f>
        <v>0</v>
      </c>
      <c r="Q90">
        <f>'Kullanılan gübre'!Q90*'Gübre oranlar'!T$3</f>
        <v>0</v>
      </c>
      <c r="R90">
        <f>'Kullanılan gübre'!R90*'Gübre oranlar'!U$3</f>
        <v>0</v>
      </c>
      <c r="S90">
        <f>'Kullanılan gübre'!S90*'Gübre oranlar'!V$3</f>
        <v>0</v>
      </c>
      <c r="T90">
        <f>'Kullanılan gübre'!T90*'Gübre oranlar'!W$3</f>
        <v>8.75</v>
      </c>
      <c r="U90">
        <f>'Kullanılan gübre'!U90*'Gübre oranlar'!X$3</f>
        <v>0</v>
      </c>
      <c r="V90">
        <f>'Kullanılan gübre'!V90*'Gübre oranlar'!Y$3</f>
        <v>0</v>
      </c>
      <c r="W90">
        <f>'Kullanılan gübre'!W90*'Gübre oranlar'!Z$3</f>
        <v>0</v>
      </c>
      <c r="X90">
        <f>'Kullanılan gübre'!X90*'Gübre oranlar'!AA$3</f>
        <v>0</v>
      </c>
      <c r="Y90">
        <f>'Kullanılan gübre'!Y90*'Gübre oranlar'!AB$3</f>
        <v>0</v>
      </c>
      <c r="Z90">
        <f>'Kullanılan gübre'!Z90*'Gübre oranlar'!AC$3</f>
        <v>0</v>
      </c>
      <c r="AA90">
        <f>'Kullanılan gübre'!AA90*'Gübre oranlar'!AD$3</f>
        <v>0</v>
      </c>
      <c r="AB90">
        <f>'Kullanılan gübre'!AB90*'Gübre oranlar'!AE$3</f>
        <v>7.32</v>
      </c>
      <c r="AC90">
        <f>'Kullanılan gübre'!AC90*'Gübre oranlar'!AF$3</f>
        <v>0</v>
      </c>
      <c r="AD90">
        <f>'Kullanılan gübre'!AD90*'Gübre oranlar'!AG$3</f>
        <v>0</v>
      </c>
      <c r="AE90">
        <f>'Kullanılan gübre'!AE90*'Gübre oranlar'!AH$3</f>
        <v>0</v>
      </c>
      <c r="AF90">
        <f>'Kullanılan gübre'!AF90*'Gübre oranlar'!AI$3</f>
        <v>0</v>
      </c>
      <c r="AG90">
        <f>'Kullanılan gübre'!AG90*'Gübre oranlar'!AJ$3</f>
        <v>0</v>
      </c>
      <c r="AH90">
        <f>'Kullanılan gübre'!AH90*'Gübre oranlar'!AK$3</f>
        <v>0</v>
      </c>
      <c r="AI90">
        <f>'Kullanılan gübre'!AI90*'Gübre oranlar'!AL$3</f>
        <v>0</v>
      </c>
      <c r="AJ90">
        <f>'Kullanılan gübre'!AJ90*'Gübre oranlar'!AM$3</f>
        <v>0</v>
      </c>
      <c r="AK90">
        <f>'Kullanılan gübre'!AK90*'Gübre oranlar'!AN$3</f>
        <v>0</v>
      </c>
      <c r="AL90">
        <f>'Kullanılan gübre'!AL90*'Gübre oranlar'!AO$3</f>
        <v>0</v>
      </c>
      <c r="AM90">
        <f>'Kullanılan gübre'!AM90*'Gübre oranlar'!AP$3</f>
        <v>0</v>
      </c>
      <c r="AN90">
        <f>'Kullanılan gübre'!AN90*'Gübre oranlar'!AQ$3</f>
        <v>0</v>
      </c>
      <c r="AO90">
        <f>'Kullanılan gübre'!AO90*'Gübre oranlar'!AR$3</f>
        <v>0</v>
      </c>
      <c r="AP90">
        <f>'Kullanılan gübre'!AP90*'Gübre oranlar'!AS$3</f>
        <v>0</v>
      </c>
      <c r="AQ90">
        <f>'Kullanılan gübre'!AQ90*'Gübre oranlar'!AT$3</f>
        <v>0</v>
      </c>
      <c r="AR90">
        <f>'Kullanılan gübre'!AR90*'Gübre oranlar'!AU$3</f>
        <v>0</v>
      </c>
      <c r="AS90">
        <f>'Kullanılan gübre'!AS90*'Gübre oranlar'!AV$3</f>
        <v>0</v>
      </c>
      <c r="AT90">
        <f>'Kullanılan gübre'!AT90*'Gübre oranlar'!AW$3</f>
        <v>0</v>
      </c>
      <c r="AU90">
        <f>'Kullanılan gübre'!AU90*'Gübre oranlar'!AX$3</f>
        <v>0</v>
      </c>
      <c r="AV90">
        <f>'Kullanılan gübre'!AV90*'Gübre oranlar'!AY$3</f>
        <v>0</v>
      </c>
      <c r="AW90">
        <f t="shared" si="1"/>
        <v>68.8035</v>
      </c>
    </row>
    <row r="91" spans="1:49" x14ac:dyDescent="0.25">
      <c r="A91" t="str">
        <f>'Kullanılan gübre'!A91</f>
        <v>AK</v>
      </c>
      <c r="B91" t="str">
        <f>'Kullanılan gübre'!B91</f>
        <v>AFYONKARAHISAR</v>
      </c>
      <c r="C91" t="str">
        <f>'Kullanılan gübre'!C91</f>
        <v>SUHUT</v>
      </c>
      <c r="D91">
        <f>'Kullanılan gübre'!D91</f>
        <v>2014</v>
      </c>
      <c r="E91">
        <f>'Kullanılan gübre'!E91*'Gübre oranlar'!H$3</f>
        <v>0</v>
      </c>
      <c r="F91">
        <f>'Kullanılan gübre'!F91*'Gübre oranlar'!I$3</f>
        <v>0</v>
      </c>
      <c r="G91">
        <f>'Kullanılan gübre'!G91*'Gübre oranlar'!J$3</f>
        <v>0</v>
      </c>
      <c r="H91">
        <f>'Kullanılan gübre'!H91*'Gübre oranlar'!K$3</f>
        <v>0</v>
      </c>
      <c r="I91">
        <f>'Kullanılan gübre'!I91*'Gübre oranlar'!L$3</f>
        <v>20.64</v>
      </c>
      <c r="J91">
        <f>'Kullanılan gübre'!J91*'Gübre oranlar'!M$3</f>
        <v>0</v>
      </c>
      <c r="K91">
        <f>'Kullanılan gübre'!K91*'Gübre oranlar'!N$3</f>
        <v>39.180000000000007</v>
      </c>
      <c r="L91">
        <f>'Kullanılan gübre'!L91*'Gübre oranlar'!O$3</f>
        <v>73.27000000000001</v>
      </c>
      <c r="M91">
        <f>'Kullanılan gübre'!M91*'Gübre oranlar'!P$3</f>
        <v>108.465</v>
      </c>
      <c r="N91">
        <f>'Kullanılan gübre'!N91*'Gübre oranlar'!Q$3</f>
        <v>61.965000000000003</v>
      </c>
      <c r="O91">
        <f>'Kullanılan gübre'!O91*'Gübre oranlar'!R$3</f>
        <v>0</v>
      </c>
      <c r="P91">
        <f>'Kullanılan gübre'!P91*'Gübre oranlar'!S$3</f>
        <v>0</v>
      </c>
      <c r="Q91">
        <f>'Kullanılan gübre'!Q91*'Gübre oranlar'!T$3</f>
        <v>181.79999999999998</v>
      </c>
      <c r="R91">
        <f>'Kullanılan gübre'!R91*'Gübre oranlar'!U$3</f>
        <v>0</v>
      </c>
      <c r="S91">
        <f>'Kullanılan gübre'!S91*'Gübre oranlar'!V$3</f>
        <v>0</v>
      </c>
      <c r="T91">
        <f>'Kullanılan gübre'!T91*'Gübre oranlar'!W$3</f>
        <v>61.5</v>
      </c>
      <c r="U91">
        <f>'Kullanılan gübre'!U91*'Gübre oranlar'!X$3</f>
        <v>0</v>
      </c>
      <c r="V91">
        <f>'Kullanılan gübre'!V91*'Gübre oranlar'!Y$3</f>
        <v>0</v>
      </c>
      <c r="W91">
        <f>'Kullanılan gübre'!W91*'Gübre oranlar'!Z$3</f>
        <v>0</v>
      </c>
      <c r="X91">
        <f>'Kullanılan gübre'!X91*'Gübre oranlar'!AA$3</f>
        <v>65.92</v>
      </c>
      <c r="Y91">
        <f>'Kullanılan gübre'!Y91*'Gübre oranlar'!AB$3</f>
        <v>0</v>
      </c>
      <c r="Z91">
        <f>'Kullanılan gübre'!Z91*'Gübre oranlar'!AC$3</f>
        <v>0</v>
      </c>
      <c r="AA91">
        <f>'Kullanılan gübre'!AA91*'Gübre oranlar'!AD$3</f>
        <v>0</v>
      </c>
      <c r="AB91">
        <f>'Kullanılan gübre'!AB91*'Gübre oranlar'!AE$3</f>
        <v>0.36599999999999999</v>
      </c>
      <c r="AC91">
        <f>'Kullanılan gübre'!AC91*'Gübre oranlar'!AF$3</f>
        <v>0</v>
      </c>
      <c r="AD91">
        <f>'Kullanılan gübre'!AD91*'Gübre oranlar'!AG$3</f>
        <v>0</v>
      </c>
      <c r="AE91">
        <f>'Kullanılan gübre'!AE91*'Gübre oranlar'!AH$3</f>
        <v>92.275000000000006</v>
      </c>
      <c r="AF91">
        <f>'Kullanılan gübre'!AF91*'Gübre oranlar'!AI$3</f>
        <v>0</v>
      </c>
      <c r="AG91">
        <f>'Kullanılan gübre'!AG91*'Gübre oranlar'!AJ$3</f>
        <v>0</v>
      </c>
      <c r="AH91">
        <f>'Kullanılan gübre'!AH91*'Gübre oranlar'!AK$3</f>
        <v>0</v>
      </c>
      <c r="AI91">
        <f>'Kullanılan gübre'!AI91*'Gübre oranlar'!AL$3</f>
        <v>0</v>
      </c>
      <c r="AJ91">
        <f>'Kullanılan gübre'!AJ91*'Gübre oranlar'!AM$3</f>
        <v>0</v>
      </c>
      <c r="AK91">
        <f>'Kullanılan gübre'!AK91*'Gübre oranlar'!AN$3</f>
        <v>0</v>
      </c>
      <c r="AL91">
        <f>'Kullanılan gübre'!AL91*'Gübre oranlar'!AO$3</f>
        <v>0</v>
      </c>
      <c r="AM91">
        <f>'Kullanılan gübre'!AM91*'Gübre oranlar'!AP$3</f>
        <v>0</v>
      </c>
      <c r="AN91">
        <f>'Kullanılan gübre'!AN91*'Gübre oranlar'!AQ$3</f>
        <v>0</v>
      </c>
      <c r="AO91">
        <f>'Kullanılan gübre'!AO91*'Gübre oranlar'!AR$3</f>
        <v>0</v>
      </c>
      <c r="AP91">
        <f>'Kullanılan gübre'!AP91*'Gübre oranlar'!AS$3</f>
        <v>0</v>
      </c>
      <c r="AQ91">
        <f>'Kullanılan gübre'!AQ91*'Gübre oranlar'!AT$3</f>
        <v>0</v>
      </c>
      <c r="AR91">
        <f>'Kullanılan gübre'!AR91*'Gübre oranlar'!AU$3</f>
        <v>0</v>
      </c>
      <c r="AS91">
        <f>'Kullanılan gübre'!AS91*'Gübre oranlar'!AV$3</f>
        <v>0</v>
      </c>
      <c r="AT91">
        <f>'Kullanılan gübre'!AT91*'Gübre oranlar'!AW$3</f>
        <v>0</v>
      </c>
      <c r="AU91">
        <f>'Kullanılan gübre'!AU91*'Gübre oranlar'!AX$3</f>
        <v>0</v>
      </c>
      <c r="AV91">
        <f>'Kullanılan gübre'!AV91*'Gübre oranlar'!AY$3</f>
        <v>0</v>
      </c>
      <c r="AW91">
        <f t="shared" si="1"/>
        <v>705.38099999999997</v>
      </c>
    </row>
    <row r="92" spans="1:49" x14ac:dyDescent="0.25">
      <c r="A92" t="str">
        <f>'Kullanılan gübre'!A92</f>
        <v>AK</v>
      </c>
      <c r="B92" t="str">
        <f>'Kullanılan gübre'!B92</f>
        <v>AFYONKARAHISAR</v>
      </c>
      <c r="C92" t="str">
        <f>'Kullanılan gübre'!C92</f>
        <v>MERKEZ</v>
      </c>
      <c r="D92">
        <f>'Kullanılan gübre'!D92</f>
        <v>2015</v>
      </c>
      <c r="E92">
        <f>'Kullanılan gübre'!E92*'Gübre oranlar'!H$3</f>
        <v>0</v>
      </c>
      <c r="F92">
        <f>'Kullanılan gübre'!F92*'Gübre oranlar'!I$3</f>
        <v>0</v>
      </c>
      <c r="G92">
        <f>'Kullanılan gübre'!G92*'Gübre oranlar'!J$3</f>
        <v>0</v>
      </c>
      <c r="H92">
        <f>'Kullanılan gübre'!H92*'Gübre oranlar'!K$3</f>
        <v>0</v>
      </c>
      <c r="I92">
        <f>'Kullanılan gübre'!I92*'Gübre oranlar'!L$3</f>
        <v>167.27</v>
      </c>
      <c r="J92">
        <f>'Kullanılan gübre'!J92*'Gübre oranlar'!M$3</f>
        <v>0</v>
      </c>
      <c r="K92">
        <f>'Kullanılan gübre'!K92*'Gübre oranlar'!N$3</f>
        <v>248.4</v>
      </c>
      <c r="L92">
        <f>'Kullanılan gübre'!L92*'Gübre oranlar'!O$3</f>
        <v>75</v>
      </c>
      <c r="M92">
        <f>'Kullanılan gübre'!M92*'Gübre oranlar'!P$3</f>
        <v>22.65</v>
      </c>
      <c r="N92">
        <f>'Kullanılan gübre'!N92*'Gübre oranlar'!Q$3</f>
        <v>133.35</v>
      </c>
      <c r="O92">
        <f>'Kullanılan gübre'!O92*'Gübre oranlar'!R$3</f>
        <v>0</v>
      </c>
      <c r="P92">
        <f>'Kullanılan gübre'!P92*'Gübre oranlar'!S$3</f>
        <v>0</v>
      </c>
      <c r="Q92">
        <f>'Kullanılan gübre'!Q92*'Gübre oranlar'!T$3</f>
        <v>0</v>
      </c>
      <c r="R92">
        <f>'Kullanılan gübre'!R92*'Gübre oranlar'!U$3</f>
        <v>0</v>
      </c>
      <c r="S92">
        <f>'Kullanılan gübre'!S92*'Gübre oranlar'!V$3</f>
        <v>0</v>
      </c>
      <c r="T92">
        <f>'Kullanılan gübre'!T92*'Gübre oranlar'!W$3</f>
        <v>161.75</v>
      </c>
      <c r="U92">
        <f>'Kullanılan gübre'!U92*'Gübre oranlar'!X$3</f>
        <v>0</v>
      </c>
      <c r="V92">
        <f>'Kullanılan gübre'!V92*'Gübre oranlar'!Y$3</f>
        <v>2.75</v>
      </c>
      <c r="W92">
        <f>'Kullanılan gübre'!W92*'Gübre oranlar'!Z$3</f>
        <v>0</v>
      </c>
      <c r="X92">
        <f>'Kullanılan gübre'!X92*'Gübre oranlar'!AA$3</f>
        <v>0</v>
      </c>
      <c r="Y92">
        <f>'Kullanılan gübre'!Y92*'Gübre oranlar'!AB$3</f>
        <v>0</v>
      </c>
      <c r="Z92">
        <f>'Kullanılan gübre'!Z92*'Gübre oranlar'!AC$3</f>
        <v>0</v>
      </c>
      <c r="AA92">
        <f>'Kullanılan gübre'!AA92*'Gübre oranlar'!AD$3</f>
        <v>0</v>
      </c>
      <c r="AB92">
        <f>'Kullanılan gübre'!AB92*'Gübre oranlar'!AE$3</f>
        <v>0</v>
      </c>
      <c r="AC92">
        <f>'Kullanılan gübre'!AC92*'Gübre oranlar'!AF$3</f>
        <v>0</v>
      </c>
      <c r="AD92">
        <f>'Kullanılan gübre'!AD92*'Gübre oranlar'!AG$3</f>
        <v>0</v>
      </c>
      <c r="AE92">
        <f>'Kullanılan gübre'!AE92*'Gübre oranlar'!AH$3</f>
        <v>5.25</v>
      </c>
      <c r="AF92">
        <f>'Kullanılan gübre'!AF92*'Gübre oranlar'!AI$3</f>
        <v>0</v>
      </c>
      <c r="AG92">
        <f>'Kullanılan gübre'!AG92*'Gübre oranlar'!AJ$3</f>
        <v>0</v>
      </c>
      <c r="AH92">
        <f>'Kullanılan gübre'!AH92*'Gübre oranlar'!AK$3</f>
        <v>0</v>
      </c>
      <c r="AI92">
        <f>'Kullanılan gübre'!AI92*'Gübre oranlar'!AL$3</f>
        <v>0</v>
      </c>
      <c r="AJ92">
        <f>'Kullanılan gübre'!AJ92*'Gübre oranlar'!AM$3</f>
        <v>0</v>
      </c>
      <c r="AK92">
        <f>'Kullanılan gübre'!AK92*'Gübre oranlar'!AN$3</f>
        <v>0</v>
      </c>
      <c r="AL92">
        <f>'Kullanılan gübre'!AL92*'Gübre oranlar'!AO$3</f>
        <v>0</v>
      </c>
      <c r="AM92">
        <f>'Kullanılan gübre'!AM92*'Gübre oranlar'!AP$3</f>
        <v>0</v>
      </c>
      <c r="AN92">
        <f>'Kullanılan gübre'!AN92*'Gübre oranlar'!AQ$3</f>
        <v>0</v>
      </c>
      <c r="AO92">
        <f>'Kullanılan gübre'!AO92*'Gübre oranlar'!AR$3</f>
        <v>0</v>
      </c>
      <c r="AP92">
        <f>'Kullanılan gübre'!AP92*'Gübre oranlar'!AS$3</f>
        <v>0</v>
      </c>
      <c r="AQ92">
        <f>'Kullanılan gübre'!AQ92*'Gübre oranlar'!AT$3</f>
        <v>0</v>
      </c>
      <c r="AR92">
        <f>'Kullanılan gübre'!AR92*'Gübre oranlar'!AU$3</f>
        <v>0</v>
      </c>
      <c r="AS92">
        <f>'Kullanılan gübre'!AS92*'Gübre oranlar'!AV$3</f>
        <v>0</v>
      </c>
      <c r="AT92">
        <f>'Kullanılan gübre'!AT92*'Gübre oranlar'!AW$3</f>
        <v>0</v>
      </c>
      <c r="AU92">
        <f>'Kullanılan gübre'!AU92*'Gübre oranlar'!AX$3</f>
        <v>0</v>
      </c>
      <c r="AV92">
        <f>'Kullanılan gübre'!AV92*'Gübre oranlar'!AY$3</f>
        <v>0</v>
      </c>
      <c r="AW92">
        <f t="shared" si="1"/>
        <v>816.42000000000007</v>
      </c>
    </row>
    <row r="93" spans="1:49" x14ac:dyDescent="0.25">
      <c r="A93" t="str">
        <f>'Kullanılan gübre'!A93</f>
        <v>AK</v>
      </c>
      <c r="B93" t="str">
        <f>'Kullanılan gübre'!B93</f>
        <v>AFYONKARAHISAR</v>
      </c>
      <c r="C93" t="str">
        <f>'Kullanılan gübre'!C93</f>
        <v>BAYAT</v>
      </c>
      <c r="D93">
        <f>'Kullanılan gübre'!D93</f>
        <v>2015</v>
      </c>
      <c r="E93">
        <f>'Kullanılan gübre'!E93*'Gübre oranlar'!H$3</f>
        <v>0</v>
      </c>
      <c r="F93">
        <f>'Kullanılan gübre'!F93*'Gübre oranlar'!I$3</f>
        <v>0</v>
      </c>
      <c r="G93">
        <f>'Kullanılan gübre'!G93*'Gübre oranlar'!J$3</f>
        <v>0</v>
      </c>
      <c r="H93">
        <f>'Kullanılan gübre'!H93*'Gübre oranlar'!K$3</f>
        <v>0</v>
      </c>
      <c r="I93">
        <f>'Kullanılan gübre'!I93*'Gübre oranlar'!L$3</f>
        <v>0</v>
      </c>
      <c r="J93">
        <f>'Kullanılan gübre'!J93*'Gübre oranlar'!M$3</f>
        <v>0</v>
      </c>
      <c r="K93">
        <f>'Kullanılan gübre'!K93*'Gübre oranlar'!N$3</f>
        <v>0</v>
      </c>
      <c r="L93">
        <f>'Kullanılan gübre'!L93*'Gübre oranlar'!O$3</f>
        <v>21</v>
      </c>
      <c r="M93">
        <f>'Kullanılan gübre'!M93*'Gübre oranlar'!P$3</f>
        <v>0</v>
      </c>
      <c r="N93">
        <f>'Kullanılan gübre'!N93*'Gübre oranlar'!Q$3</f>
        <v>0.22499999999999998</v>
      </c>
      <c r="O93">
        <f>'Kullanılan gübre'!O93*'Gübre oranlar'!R$3</f>
        <v>0</v>
      </c>
      <c r="P93">
        <f>'Kullanılan gübre'!P93*'Gübre oranlar'!S$3</f>
        <v>0</v>
      </c>
      <c r="Q93">
        <f>'Kullanılan gübre'!Q93*'Gübre oranlar'!T$3</f>
        <v>0</v>
      </c>
      <c r="R93">
        <f>'Kullanılan gübre'!R93*'Gübre oranlar'!U$3</f>
        <v>0</v>
      </c>
      <c r="S93">
        <f>'Kullanılan gübre'!S93*'Gübre oranlar'!V$3</f>
        <v>0</v>
      </c>
      <c r="T93">
        <f>'Kullanılan gübre'!T93*'Gübre oranlar'!W$3</f>
        <v>6.75</v>
      </c>
      <c r="U93">
        <f>'Kullanılan gübre'!U93*'Gübre oranlar'!X$3</f>
        <v>0</v>
      </c>
      <c r="V93">
        <f>'Kullanılan gübre'!V93*'Gübre oranlar'!Y$3</f>
        <v>0</v>
      </c>
      <c r="W93">
        <f>'Kullanılan gübre'!W93*'Gübre oranlar'!Z$3</f>
        <v>0</v>
      </c>
      <c r="X93">
        <f>'Kullanılan gübre'!X93*'Gübre oranlar'!AA$3</f>
        <v>0</v>
      </c>
      <c r="Y93">
        <f>'Kullanılan gübre'!Y93*'Gübre oranlar'!AB$3</f>
        <v>0</v>
      </c>
      <c r="Z93">
        <f>'Kullanılan gübre'!Z93*'Gübre oranlar'!AC$3</f>
        <v>0</v>
      </c>
      <c r="AA93">
        <f>'Kullanılan gübre'!AA93*'Gübre oranlar'!AD$3</f>
        <v>0</v>
      </c>
      <c r="AB93">
        <f>'Kullanılan gübre'!AB93*'Gübre oranlar'!AE$3</f>
        <v>0</v>
      </c>
      <c r="AC93">
        <f>'Kullanılan gübre'!AC93*'Gübre oranlar'!AF$3</f>
        <v>0</v>
      </c>
      <c r="AD93">
        <f>'Kullanılan gübre'!AD93*'Gübre oranlar'!AG$3</f>
        <v>0</v>
      </c>
      <c r="AE93">
        <f>'Kullanılan gübre'!AE93*'Gübre oranlar'!AH$3</f>
        <v>0</v>
      </c>
      <c r="AF93">
        <f>'Kullanılan gübre'!AF93*'Gübre oranlar'!AI$3</f>
        <v>0</v>
      </c>
      <c r="AG93">
        <f>'Kullanılan gübre'!AG93*'Gübre oranlar'!AJ$3</f>
        <v>0</v>
      </c>
      <c r="AH93">
        <f>'Kullanılan gübre'!AH93*'Gübre oranlar'!AK$3</f>
        <v>0</v>
      </c>
      <c r="AI93">
        <f>'Kullanılan gübre'!AI93*'Gübre oranlar'!AL$3</f>
        <v>0</v>
      </c>
      <c r="AJ93">
        <f>'Kullanılan gübre'!AJ93*'Gübre oranlar'!AM$3</f>
        <v>0</v>
      </c>
      <c r="AK93">
        <f>'Kullanılan gübre'!AK93*'Gübre oranlar'!AN$3</f>
        <v>0</v>
      </c>
      <c r="AL93">
        <f>'Kullanılan gübre'!AL93*'Gübre oranlar'!AO$3</f>
        <v>0</v>
      </c>
      <c r="AM93">
        <f>'Kullanılan gübre'!AM93*'Gübre oranlar'!AP$3</f>
        <v>0</v>
      </c>
      <c r="AN93">
        <f>'Kullanılan gübre'!AN93*'Gübre oranlar'!AQ$3</f>
        <v>0</v>
      </c>
      <c r="AO93">
        <f>'Kullanılan gübre'!AO93*'Gübre oranlar'!AR$3</f>
        <v>0</v>
      </c>
      <c r="AP93">
        <f>'Kullanılan gübre'!AP93*'Gübre oranlar'!AS$3</f>
        <v>0</v>
      </c>
      <c r="AQ93">
        <f>'Kullanılan gübre'!AQ93*'Gübre oranlar'!AT$3</f>
        <v>0</v>
      </c>
      <c r="AR93">
        <f>'Kullanılan gübre'!AR93*'Gübre oranlar'!AU$3</f>
        <v>0</v>
      </c>
      <c r="AS93">
        <f>'Kullanılan gübre'!AS93*'Gübre oranlar'!AV$3</f>
        <v>0</v>
      </c>
      <c r="AT93">
        <f>'Kullanılan gübre'!AT93*'Gübre oranlar'!AW$3</f>
        <v>0</v>
      </c>
      <c r="AU93">
        <f>'Kullanılan gübre'!AU93*'Gübre oranlar'!AX$3</f>
        <v>0</v>
      </c>
      <c r="AV93">
        <f>'Kullanılan gübre'!AV93*'Gübre oranlar'!AY$3</f>
        <v>0</v>
      </c>
      <c r="AW93">
        <f t="shared" si="1"/>
        <v>27.975000000000001</v>
      </c>
    </row>
    <row r="94" spans="1:49" x14ac:dyDescent="0.25">
      <c r="A94" t="str">
        <f>'Kullanılan gübre'!A94</f>
        <v>AK</v>
      </c>
      <c r="B94" t="str">
        <f>'Kullanılan gübre'!B94</f>
        <v>AFYONKARAHISAR</v>
      </c>
      <c r="C94" t="str">
        <f>'Kullanılan gübre'!C94</f>
        <v>BOLVADIN</v>
      </c>
      <c r="D94">
        <f>'Kullanılan gübre'!D94</f>
        <v>2015</v>
      </c>
      <c r="E94">
        <f>'Kullanılan gübre'!E94*'Gübre oranlar'!H$3</f>
        <v>0</v>
      </c>
      <c r="F94">
        <f>'Kullanılan gübre'!F94*'Gübre oranlar'!I$3</f>
        <v>0</v>
      </c>
      <c r="G94">
        <f>'Kullanılan gübre'!G94*'Gübre oranlar'!J$3</f>
        <v>0</v>
      </c>
      <c r="H94">
        <f>'Kullanılan gübre'!H94*'Gübre oranlar'!K$3</f>
        <v>0</v>
      </c>
      <c r="I94">
        <f>'Kullanılan gübre'!I94*'Gübre oranlar'!L$3</f>
        <v>0</v>
      </c>
      <c r="J94">
        <f>'Kullanılan gübre'!J94*'Gübre oranlar'!M$3</f>
        <v>0</v>
      </c>
      <c r="K94">
        <f>'Kullanılan gübre'!K94*'Gübre oranlar'!N$3</f>
        <v>0</v>
      </c>
      <c r="L94">
        <f>'Kullanılan gübre'!L94*'Gübre oranlar'!O$3</f>
        <v>42.870000000000005</v>
      </c>
      <c r="M94">
        <f>'Kullanılan gübre'!M94*'Gübre oranlar'!P$3</f>
        <v>0</v>
      </c>
      <c r="N94">
        <f>'Kullanılan gübre'!N94*'Gübre oranlar'!Q$3</f>
        <v>1.71</v>
      </c>
      <c r="O94">
        <f>'Kullanılan gübre'!O94*'Gübre oranlar'!R$3</f>
        <v>0</v>
      </c>
      <c r="P94">
        <f>'Kullanılan gübre'!P94*'Gübre oranlar'!S$3</f>
        <v>0</v>
      </c>
      <c r="Q94">
        <f>'Kullanılan gübre'!Q94*'Gübre oranlar'!T$3</f>
        <v>0</v>
      </c>
      <c r="R94">
        <f>'Kullanılan gübre'!R94*'Gübre oranlar'!U$3</f>
        <v>0</v>
      </c>
      <c r="S94">
        <f>'Kullanılan gübre'!S94*'Gübre oranlar'!V$3</f>
        <v>0</v>
      </c>
      <c r="T94">
        <f>'Kullanılan gübre'!T94*'Gübre oranlar'!W$3</f>
        <v>116.6375</v>
      </c>
      <c r="U94">
        <f>'Kullanılan gübre'!U94*'Gübre oranlar'!X$3</f>
        <v>0</v>
      </c>
      <c r="V94">
        <f>'Kullanılan gübre'!V94*'Gübre oranlar'!Y$3</f>
        <v>0</v>
      </c>
      <c r="W94">
        <f>'Kullanılan gübre'!W94*'Gübre oranlar'!Z$3</f>
        <v>0</v>
      </c>
      <c r="X94">
        <f>'Kullanılan gübre'!X94*'Gübre oranlar'!AA$3</f>
        <v>0</v>
      </c>
      <c r="Y94">
        <f>'Kullanılan gübre'!Y94*'Gübre oranlar'!AB$3</f>
        <v>0</v>
      </c>
      <c r="Z94">
        <f>'Kullanılan gübre'!Z94*'Gübre oranlar'!AC$3</f>
        <v>0</v>
      </c>
      <c r="AA94">
        <f>'Kullanılan gübre'!AA94*'Gübre oranlar'!AD$3</f>
        <v>0</v>
      </c>
      <c r="AB94">
        <f>'Kullanılan gübre'!AB94*'Gübre oranlar'!AE$3</f>
        <v>0</v>
      </c>
      <c r="AC94">
        <f>'Kullanılan gübre'!AC94*'Gübre oranlar'!AF$3</f>
        <v>0</v>
      </c>
      <c r="AD94">
        <f>'Kullanılan gübre'!AD94*'Gübre oranlar'!AG$3</f>
        <v>0</v>
      </c>
      <c r="AE94">
        <f>'Kullanılan gübre'!AE94*'Gübre oranlar'!AH$3</f>
        <v>20</v>
      </c>
      <c r="AF94">
        <f>'Kullanılan gübre'!AF94*'Gübre oranlar'!AI$3</f>
        <v>0</v>
      </c>
      <c r="AG94">
        <f>'Kullanılan gübre'!AG94*'Gübre oranlar'!AJ$3</f>
        <v>0</v>
      </c>
      <c r="AH94">
        <f>'Kullanılan gübre'!AH94*'Gübre oranlar'!AK$3</f>
        <v>0</v>
      </c>
      <c r="AI94">
        <f>'Kullanılan gübre'!AI94*'Gübre oranlar'!AL$3</f>
        <v>0</v>
      </c>
      <c r="AJ94">
        <f>'Kullanılan gübre'!AJ94*'Gübre oranlar'!AM$3</f>
        <v>0</v>
      </c>
      <c r="AK94">
        <f>'Kullanılan gübre'!AK94*'Gübre oranlar'!AN$3</f>
        <v>0</v>
      </c>
      <c r="AL94">
        <f>'Kullanılan gübre'!AL94*'Gübre oranlar'!AO$3</f>
        <v>0</v>
      </c>
      <c r="AM94">
        <f>'Kullanılan gübre'!AM94*'Gübre oranlar'!AP$3</f>
        <v>0</v>
      </c>
      <c r="AN94">
        <f>'Kullanılan gübre'!AN94*'Gübre oranlar'!AQ$3</f>
        <v>0</v>
      </c>
      <c r="AO94">
        <f>'Kullanılan gübre'!AO94*'Gübre oranlar'!AR$3</f>
        <v>0</v>
      </c>
      <c r="AP94">
        <f>'Kullanılan gübre'!AP94*'Gübre oranlar'!AS$3</f>
        <v>0</v>
      </c>
      <c r="AQ94">
        <f>'Kullanılan gübre'!AQ94*'Gübre oranlar'!AT$3</f>
        <v>0</v>
      </c>
      <c r="AR94">
        <f>'Kullanılan gübre'!AR94*'Gübre oranlar'!AU$3</f>
        <v>0</v>
      </c>
      <c r="AS94">
        <f>'Kullanılan gübre'!AS94*'Gübre oranlar'!AV$3</f>
        <v>0</v>
      </c>
      <c r="AT94">
        <f>'Kullanılan gübre'!AT94*'Gübre oranlar'!AW$3</f>
        <v>0</v>
      </c>
      <c r="AU94">
        <f>'Kullanılan gübre'!AU94*'Gübre oranlar'!AX$3</f>
        <v>0</v>
      </c>
      <c r="AV94">
        <f>'Kullanılan gübre'!AV94*'Gübre oranlar'!AY$3</f>
        <v>0</v>
      </c>
      <c r="AW94">
        <f t="shared" si="1"/>
        <v>181.2175</v>
      </c>
    </row>
    <row r="95" spans="1:49" x14ac:dyDescent="0.25">
      <c r="A95" t="str">
        <f>'Kullanılan gübre'!A95</f>
        <v>AK</v>
      </c>
      <c r="B95" t="str">
        <f>'Kullanılan gübre'!B95</f>
        <v>AFYONKARAHISAR</v>
      </c>
      <c r="C95" t="str">
        <f>'Kullanılan gübre'!C95</f>
        <v>CAY</v>
      </c>
      <c r="D95">
        <f>'Kullanılan gübre'!D95</f>
        <v>2015</v>
      </c>
      <c r="E95">
        <f>'Kullanılan gübre'!E95*'Gübre oranlar'!H$3</f>
        <v>0</v>
      </c>
      <c r="F95">
        <f>'Kullanılan gübre'!F95*'Gübre oranlar'!I$3</f>
        <v>0</v>
      </c>
      <c r="G95">
        <f>'Kullanılan gübre'!G95*'Gübre oranlar'!J$3</f>
        <v>0</v>
      </c>
      <c r="H95">
        <f>'Kullanılan gübre'!H95*'Gübre oranlar'!K$3</f>
        <v>0</v>
      </c>
      <c r="I95">
        <f>'Kullanılan gübre'!I95*'Gübre oranlar'!L$3</f>
        <v>35.990999999999993</v>
      </c>
      <c r="J95">
        <f>'Kullanılan gübre'!J95*'Gübre oranlar'!M$3</f>
        <v>0</v>
      </c>
      <c r="K95">
        <f>'Kullanılan gübre'!K95*'Gübre oranlar'!N$3</f>
        <v>16.290000000000003</v>
      </c>
      <c r="L95">
        <f>'Kullanılan gübre'!L95*'Gübre oranlar'!O$3</f>
        <v>149.32000000000002</v>
      </c>
      <c r="M95">
        <f>'Kullanılan gübre'!M95*'Gübre oranlar'!P$3</f>
        <v>0.94499999999999995</v>
      </c>
      <c r="N95">
        <f>'Kullanılan gübre'!N95*'Gübre oranlar'!Q$3</f>
        <v>30.982500000000005</v>
      </c>
      <c r="O95">
        <f>'Kullanılan gübre'!O95*'Gübre oranlar'!R$3</f>
        <v>0</v>
      </c>
      <c r="P95">
        <f>'Kullanılan gübre'!P95*'Gübre oranlar'!S$3</f>
        <v>0</v>
      </c>
      <c r="Q95">
        <f>'Kullanılan gübre'!Q95*'Gübre oranlar'!T$3</f>
        <v>226.79999999999998</v>
      </c>
      <c r="R95">
        <f>'Kullanılan gübre'!R95*'Gübre oranlar'!U$3</f>
        <v>0</v>
      </c>
      <c r="S95">
        <f>'Kullanılan gübre'!S95*'Gübre oranlar'!V$3</f>
        <v>0</v>
      </c>
      <c r="T95">
        <f>'Kullanılan gübre'!T95*'Gübre oranlar'!W$3</f>
        <v>91.649999999999991</v>
      </c>
      <c r="U95">
        <f>'Kullanılan gübre'!U95*'Gübre oranlar'!X$3</f>
        <v>0</v>
      </c>
      <c r="V95">
        <f>'Kullanılan gübre'!V95*'Gübre oranlar'!Y$3</f>
        <v>0</v>
      </c>
      <c r="W95">
        <f>'Kullanılan gübre'!W95*'Gübre oranlar'!Z$3</f>
        <v>0</v>
      </c>
      <c r="X95">
        <f>'Kullanılan gübre'!X95*'Gübre oranlar'!AA$3</f>
        <v>0</v>
      </c>
      <c r="Y95">
        <f>'Kullanılan gübre'!Y95*'Gübre oranlar'!AB$3</f>
        <v>0</v>
      </c>
      <c r="Z95">
        <f>'Kullanılan gübre'!Z95*'Gübre oranlar'!AC$3</f>
        <v>0</v>
      </c>
      <c r="AA95">
        <f>'Kullanılan gübre'!AA95*'Gübre oranlar'!AD$3</f>
        <v>0</v>
      </c>
      <c r="AB95">
        <f>'Kullanılan gübre'!AB95*'Gübre oranlar'!AE$3</f>
        <v>0.74725000000000008</v>
      </c>
      <c r="AC95">
        <f>'Kullanılan gübre'!AC95*'Gübre oranlar'!AF$3</f>
        <v>0</v>
      </c>
      <c r="AD95">
        <f>'Kullanılan gübre'!AD95*'Gübre oranlar'!AG$3</f>
        <v>0</v>
      </c>
      <c r="AE95">
        <f>'Kullanılan gübre'!AE95*'Gübre oranlar'!AH$3</f>
        <v>0</v>
      </c>
      <c r="AF95">
        <f>'Kullanılan gübre'!AF95*'Gübre oranlar'!AI$3</f>
        <v>0</v>
      </c>
      <c r="AG95">
        <f>'Kullanılan gübre'!AG95*'Gübre oranlar'!AJ$3</f>
        <v>0</v>
      </c>
      <c r="AH95">
        <f>'Kullanılan gübre'!AH95*'Gübre oranlar'!AK$3</f>
        <v>0</v>
      </c>
      <c r="AI95">
        <f>'Kullanılan gübre'!AI95*'Gübre oranlar'!AL$3</f>
        <v>0</v>
      </c>
      <c r="AJ95">
        <f>'Kullanılan gübre'!AJ95*'Gübre oranlar'!AM$3</f>
        <v>0</v>
      </c>
      <c r="AK95">
        <f>'Kullanılan gübre'!AK95*'Gübre oranlar'!AN$3</f>
        <v>0</v>
      </c>
      <c r="AL95">
        <f>'Kullanılan gübre'!AL95*'Gübre oranlar'!AO$3</f>
        <v>0</v>
      </c>
      <c r="AM95">
        <f>'Kullanılan gübre'!AM95*'Gübre oranlar'!AP$3</f>
        <v>0</v>
      </c>
      <c r="AN95">
        <f>'Kullanılan gübre'!AN95*'Gübre oranlar'!AQ$3</f>
        <v>0</v>
      </c>
      <c r="AO95">
        <f>'Kullanılan gübre'!AO95*'Gübre oranlar'!AR$3</f>
        <v>0</v>
      </c>
      <c r="AP95">
        <f>'Kullanılan gübre'!AP95*'Gübre oranlar'!AS$3</f>
        <v>0</v>
      </c>
      <c r="AQ95">
        <f>'Kullanılan gübre'!AQ95*'Gübre oranlar'!AT$3</f>
        <v>0</v>
      </c>
      <c r="AR95">
        <f>'Kullanılan gübre'!AR95*'Gübre oranlar'!AU$3</f>
        <v>0</v>
      </c>
      <c r="AS95">
        <f>'Kullanılan gübre'!AS95*'Gübre oranlar'!AV$3</f>
        <v>0</v>
      </c>
      <c r="AT95">
        <f>'Kullanılan gübre'!AT95*'Gübre oranlar'!AW$3</f>
        <v>0</v>
      </c>
      <c r="AU95">
        <f>'Kullanılan gübre'!AU95*'Gübre oranlar'!AX$3</f>
        <v>0</v>
      </c>
      <c r="AV95">
        <f>'Kullanılan gübre'!AV95*'Gübre oranlar'!AY$3</f>
        <v>0</v>
      </c>
      <c r="AW95">
        <f t="shared" si="1"/>
        <v>552.72574999999995</v>
      </c>
    </row>
    <row r="96" spans="1:49" x14ac:dyDescent="0.25">
      <c r="A96" t="str">
        <f>'Kullanılan gübre'!A96</f>
        <v>AK</v>
      </c>
      <c r="B96" t="str">
        <f>'Kullanılan gübre'!B96</f>
        <v>AFYONKARAHISAR</v>
      </c>
      <c r="C96" t="str">
        <f>'Kullanılan gübre'!C96</f>
        <v>COBANLAR</v>
      </c>
      <c r="D96">
        <f>'Kullanılan gübre'!D96</f>
        <v>2015</v>
      </c>
      <c r="E96">
        <f>'Kullanılan gübre'!E96*'Gübre oranlar'!H$3</f>
        <v>0</v>
      </c>
      <c r="F96">
        <f>'Kullanılan gübre'!F96*'Gübre oranlar'!I$3</f>
        <v>0</v>
      </c>
      <c r="G96">
        <f>'Kullanılan gübre'!G96*'Gübre oranlar'!J$3</f>
        <v>0</v>
      </c>
      <c r="H96">
        <f>'Kullanılan gübre'!H96*'Gübre oranlar'!K$3</f>
        <v>0</v>
      </c>
      <c r="I96">
        <f>'Kullanılan gübre'!I96*'Gübre oranlar'!L$3</f>
        <v>0</v>
      </c>
      <c r="J96">
        <f>'Kullanılan gübre'!J96*'Gübre oranlar'!M$3</f>
        <v>0</v>
      </c>
      <c r="K96">
        <f>'Kullanılan gübre'!K96*'Gübre oranlar'!N$3</f>
        <v>0</v>
      </c>
      <c r="L96">
        <f>'Kullanılan gübre'!L96*'Gübre oranlar'!O$3</f>
        <v>69.83</v>
      </c>
      <c r="M96">
        <f>'Kullanılan gübre'!M96*'Gübre oranlar'!P$3</f>
        <v>18.914999999999996</v>
      </c>
      <c r="N96">
        <f>'Kullanılan gübre'!N96*'Gübre oranlar'!Q$3</f>
        <v>0</v>
      </c>
      <c r="O96">
        <f>'Kullanılan gübre'!O96*'Gübre oranlar'!R$3</f>
        <v>0</v>
      </c>
      <c r="P96">
        <f>'Kullanılan gübre'!P96*'Gübre oranlar'!S$3</f>
        <v>0</v>
      </c>
      <c r="Q96">
        <f>'Kullanılan gübre'!Q96*'Gübre oranlar'!T$3</f>
        <v>0</v>
      </c>
      <c r="R96">
        <f>'Kullanılan gübre'!R96*'Gübre oranlar'!U$3</f>
        <v>0</v>
      </c>
      <c r="S96">
        <f>'Kullanılan gübre'!S96*'Gübre oranlar'!V$3</f>
        <v>0</v>
      </c>
      <c r="T96">
        <f>'Kullanılan gübre'!T96*'Gübre oranlar'!W$3</f>
        <v>44.524999999999999</v>
      </c>
      <c r="U96">
        <f>'Kullanılan gübre'!U96*'Gübre oranlar'!X$3</f>
        <v>0</v>
      </c>
      <c r="V96">
        <f>'Kullanılan gübre'!V96*'Gübre oranlar'!Y$3</f>
        <v>0</v>
      </c>
      <c r="W96">
        <f>'Kullanılan gübre'!W96*'Gübre oranlar'!Z$3</f>
        <v>0</v>
      </c>
      <c r="X96">
        <f>'Kullanılan gübre'!X96*'Gübre oranlar'!AA$3</f>
        <v>0</v>
      </c>
      <c r="Y96">
        <f>'Kullanılan gübre'!Y96*'Gübre oranlar'!AB$3</f>
        <v>0</v>
      </c>
      <c r="Z96">
        <f>'Kullanılan gübre'!Z96*'Gübre oranlar'!AC$3</f>
        <v>0</v>
      </c>
      <c r="AA96">
        <f>'Kullanılan gübre'!AA96*'Gübre oranlar'!AD$3</f>
        <v>0</v>
      </c>
      <c r="AB96">
        <f>'Kullanılan gübre'!AB96*'Gübre oranlar'!AE$3</f>
        <v>0</v>
      </c>
      <c r="AC96">
        <f>'Kullanılan gübre'!AC96*'Gübre oranlar'!AF$3</f>
        <v>0</v>
      </c>
      <c r="AD96">
        <f>'Kullanılan gübre'!AD96*'Gübre oranlar'!AG$3</f>
        <v>0</v>
      </c>
      <c r="AE96">
        <f>'Kullanılan gübre'!AE96*'Gübre oranlar'!AH$3</f>
        <v>0</v>
      </c>
      <c r="AF96">
        <f>'Kullanılan gübre'!AF96*'Gübre oranlar'!AI$3</f>
        <v>0</v>
      </c>
      <c r="AG96">
        <f>'Kullanılan gübre'!AG96*'Gübre oranlar'!AJ$3</f>
        <v>0</v>
      </c>
      <c r="AH96">
        <f>'Kullanılan gübre'!AH96*'Gübre oranlar'!AK$3</f>
        <v>0</v>
      </c>
      <c r="AI96">
        <f>'Kullanılan gübre'!AI96*'Gübre oranlar'!AL$3</f>
        <v>0</v>
      </c>
      <c r="AJ96">
        <f>'Kullanılan gübre'!AJ96*'Gübre oranlar'!AM$3</f>
        <v>0</v>
      </c>
      <c r="AK96">
        <f>'Kullanılan gübre'!AK96*'Gübre oranlar'!AN$3</f>
        <v>0</v>
      </c>
      <c r="AL96">
        <f>'Kullanılan gübre'!AL96*'Gübre oranlar'!AO$3</f>
        <v>0</v>
      </c>
      <c r="AM96">
        <f>'Kullanılan gübre'!AM96*'Gübre oranlar'!AP$3</f>
        <v>0</v>
      </c>
      <c r="AN96">
        <f>'Kullanılan gübre'!AN96*'Gübre oranlar'!AQ$3</f>
        <v>0</v>
      </c>
      <c r="AO96">
        <f>'Kullanılan gübre'!AO96*'Gübre oranlar'!AR$3</f>
        <v>0</v>
      </c>
      <c r="AP96">
        <f>'Kullanılan gübre'!AP96*'Gübre oranlar'!AS$3</f>
        <v>0</v>
      </c>
      <c r="AQ96">
        <f>'Kullanılan gübre'!AQ96*'Gübre oranlar'!AT$3</f>
        <v>0</v>
      </c>
      <c r="AR96">
        <f>'Kullanılan gübre'!AR96*'Gübre oranlar'!AU$3</f>
        <v>0</v>
      </c>
      <c r="AS96">
        <f>'Kullanılan gübre'!AS96*'Gübre oranlar'!AV$3</f>
        <v>0</v>
      </c>
      <c r="AT96">
        <f>'Kullanılan gübre'!AT96*'Gübre oranlar'!AW$3</f>
        <v>0</v>
      </c>
      <c r="AU96">
        <f>'Kullanılan gübre'!AU96*'Gübre oranlar'!AX$3</f>
        <v>0</v>
      </c>
      <c r="AV96">
        <f>'Kullanılan gübre'!AV96*'Gübre oranlar'!AY$3</f>
        <v>0</v>
      </c>
      <c r="AW96">
        <f t="shared" si="1"/>
        <v>133.26999999999998</v>
      </c>
    </row>
    <row r="97" spans="1:49" x14ac:dyDescent="0.25">
      <c r="A97" t="str">
        <f>'Kullanılan gübre'!A97</f>
        <v>AK</v>
      </c>
      <c r="B97" t="str">
        <f>'Kullanılan gübre'!B97</f>
        <v>AFYONKARAHISAR</v>
      </c>
      <c r="C97" t="str">
        <f>'Kullanılan gübre'!C97</f>
        <v>IHSANIYE</v>
      </c>
      <c r="D97">
        <f>'Kullanılan gübre'!D97</f>
        <v>2015</v>
      </c>
      <c r="E97">
        <f>'Kullanılan gübre'!E97*'Gübre oranlar'!H$3</f>
        <v>0</v>
      </c>
      <c r="F97">
        <f>'Kullanılan gübre'!F97*'Gübre oranlar'!I$3</f>
        <v>0</v>
      </c>
      <c r="G97">
        <f>'Kullanılan gübre'!G97*'Gübre oranlar'!J$3</f>
        <v>0</v>
      </c>
      <c r="H97">
        <f>'Kullanılan gübre'!H97*'Gübre oranlar'!K$3</f>
        <v>0</v>
      </c>
      <c r="I97">
        <f>'Kullanılan gübre'!I97*'Gübre oranlar'!L$3</f>
        <v>0</v>
      </c>
      <c r="J97">
        <f>'Kullanılan gübre'!J97*'Gübre oranlar'!M$3</f>
        <v>0</v>
      </c>
      <c r="K97">
        <f>'Kullanılan gübre'!K97*'Gübre oranlar'!N$3</f>
        <v>91.28</v>
      </c>
      <c r="L97">
        <f>'Kullanılan gübre'!L97*'Gübre oranlar'!O$3</f>
        <v>103.05000000000001</v>
      </c>
      <c r="M97">
        <f>'Kullanılan gübre'!M97*'Gübre oranlar'!P$3</f>
        <v>0</v>
      </c>
      <c r="N97">
        <f>'Kullanılan gübre'!N97*'Gübre oranlar'!Q$3</f>
        <v>11.550000000000002</v>
      </c>
      <c r="O97">
        <f>'Kullanılan gübre'!O97*'Gübre oranlar'!R$3</f>
        <v>0</v>
      </c>
      <c r="P97">
        <f>'Kullanılan gübre'!P97*'Gübre oranlar'!S$3</f>
        <v>0</v>
      </c>
      <c r="Q97">
        <f>'Kullanılan gübre'!Q97*'Gübre oranlar'!T$3</f>
        <v>0</v>
      </c>
      <c r="R97">
        <f>'Kullanılan gübre'!R97*'Gübre oranlar'!U$3</f>
        <v>0</v>
      </c>
      <c r="S97">
        <f>'Kullanılan gübre'!S97*'Gübre oranlar'!V$3</f>
        <v>0</v>
      </c>
      <c r="T97">
        <f>'Kullanılan gübre'!T97*'Gübre oranlar'!W$3</f>
        <v>115.75</v>
      </c>
      <c r="U97">
        <f>'Kullanılan gübre'!U97*'Gübre oranlar'!X$3</f>
        <v>0</v>
      </c>
      <c r="V97">
        <f>'Kullanılan gübre'!V97*'Gübre oranlar'!Y$3</f>
        <v>24.9375</v>
      </c>
      <c r="W97">
        <f>'Kullanılan gübre'!W97*'Gübre oranlar'!Z$3</f>
        <v>0</v>
      </c>
      <c r="X97">
        <f>'Kullanılan gübre'!X97*'Gübre oranlar'!AA$3</f>
        <v>0</v>
      </c>
      <c r="Y97">
        <f>'Kullanılan gübre'!Y97*'Gübre oranlar'!AB$3</f>
        <v>0</v>
      </c>
      <c r="Z97">
        <f>'Kullanılan gübre'!Z97*'Gübre oranlar'!AC$3</f>
        <v>0</v>
      </c>
      <c r="AA97">
        <f>'Kullanılan gübre'!AA97*'Gübre oranlar'!AD$3</f>
        <v>0</v>
      </c>
      <c r="AB97">
        <f>'Kullanılan gübre'!AB97*'Gübre oranlar'!AE$3</f>
        <v>0</v>
      </c>
      <c r="AC97">
        <f>'Kullanılan gübre'!AC97*'Gübre oranlar'!AF$3</f>
        <v>0</v>
      </c>
      <c r="AD97">
        <f>'Kullanılan gübre'!AD97*'Gübre oranlar'!AG$3</f>
        <v>0</v>
      </c>
      <c r="AE97">
        <f>'Kullanılan gübre'!AE97*'Gübre oranlar'!AH$3</f>
        <v>0</v>
      </c>
      <c r="AF97">
        <f>'Kullanılan gübre'!AF97*'Gübre oranlar'!AI$3</f>
        <v>0</v>
      </c>
      <c r="AG97">
        <f>'Kullanılan gübre'!AG97*'Gübre oranlar'!AJ$3</f>
        <v>0</v>
      </c>
      <c r="AH97">
        <f>'Kullanılan gübre'!AH97*'Gübre oranlar'!AK$3</f>
        <v>0</v>
      </c>
      <c r="AI97">
        <f>'Kullanılan gübre'!AI97*'Gübre oranlar'!AL$3</f>
        <v>0</v>
      </c>
      <c r="AJ97">
        <f>'Kullanılan gübre'!AJ97*'Gübre oranlar'!AM$3</f>
        <v>0</v>
      </c>
      <c r="AK97">
        <f>'Kullanılan gübre'!AK97*'Gübre oranlar'!AN$3</f>
        <v>0</v>
      </c>
      <c r="AL97">
        <f>'Kullanılan gübre'!AL97*'Gübre oranlar'!AO$3</f>
        <v>0</v>
      </c>
      <c r="AM97">
        <f>'Kullanılan gübre'!AM97*'Gübre oranlar'!AP$3</f>
        <v>0</v>
      </c>
      <c r="AN97">
        <f>'Kullanılan gübre'!AN97*'Gübre oranlar'!AQ$3</f>
        <v>0</v>
      </c>
      <c r="AO97">
        <f>'Kullanılan gübre'!AO97*'Gübre oranlar'!AR$3</f>
        <v>0</v>
      </c>
      <c r="AP97">
        <f>'Kullanılan gübre'!AP97*'Gübre oranlar'!AS$3</f>
        <v>0</v>
      </c>
      <c r="AQ97">
        <f>'Kullanılan gübre'!AQ97*'Gübre oranlar'!AT$3</f>
        <v>0</v>
      </c>
      <c r="AR97">
        <f>'Kullanılan gübre'!AR97*'Gübre oranlar'!AU$3</f>
        <v>0</v>
      </c>
      <c r="AS97">
        <f>'Kullanılan gübre'!AS97*'Gübre oranlar'!AV$3</f>
        <v>0</v>
      </c>
      <c r="AT97">
        <f>'Kullanılan gübre'!AT97*'Gübre oranlar'!AW$3</f>
        <v>0</v>
      </c>
      <c r="AU97">
        <f>'Kullanılan gübre'!AU97*'Gübre oranlar'!AX$3</f>
        <v>0</v>
      </c>
      <c r="AV97">
        <f>'Kullanılan gübre'!AV97*'Gübre oranlar'!AY$3</f>
        <v>0</v>
      </c>
      <c r="AW97">
        <f t="shared" si="1"/>
        <v>346.5675</v>
      </c>
    </row>
    <row r="98" spans="1:49" x14ac:dyDescent="0.25">
      <c r="A98" t="str">
        <f>'Kullanılan gübre'!A98</f>
        <v>AK</v>
      </c>
      <c r="B98" t="str">
        <f>'Kullanılan gübre'!B98</f>
        <v>AFYONKARAHISAR</v>
      </c>
      <c r="C98" t="str">
        <f>'Kullanılan gübre'!C98</f>
        <v>ISCEHISAR</v>
      </c>
      <c r="D98">
        <f>'Kullanılan gübre'!D98</f>
        <v>2015</v>
      </c>
      <c r="E98">
        <f>'Kullanılan gübre'!E98*'Gübre oranlar'!H$3</f>
        <v>0</v>
      </c>
      <c r="F98">
        <f>'Kullanılan gübre'!F98*'Gübre oranlar'!I$3</f>
        <v>0</v>
      </c>
      <c r="G98">
        <f>'Kullanılan gübre'!G98*'Gübre oranlar'!J$3</f>
        <v>0</v>
      </c>
      <c r="H98">
        <f>'Kullanılan gübre'!H98*'Gübre oranlar'!K$3</f>
        <v>0</v>
      </c>
      <c r="I98">
        <f>'Kullanılan gübre'!I98*'Gübre oranlar'!L$3</f>
        <v>0</v>
      </c>
      <c r="J98">
        <f>'Kullanılan gübre'!J98*'Gübre oranlar'!M$3</f>
        <v>0</v>
      </c>
      <c r="K98">
        <f>'Kullanılan gübre'!K98*'Gübre oranlar'!N$3</f>
        <v>0</v>
      </c>
      <c r="L98">
        <f>'Kullanılan gübre'!L98*'Gübre oranlar'!O$3</f>
        <v>5.4</v>
      </c>
      <c r="M98">
        <f>'Kullanılan gübre'!M98*'Gübre oranlar'!P$3</f>
        <v>0</v>
      </c>
      <c r="N98">
        <f>'Kullanılan gübre'!N98*'Gübre oranlar'!Q$3</f>
        <v>0</v>
      </c>
      <c r="O98">
        <f>'Kullanılan gübre'!O98*'Gübre oranlar'!R$3</f>
        <v>0</v>
      </c>
      <c r="P98">
        <f>'Kullanılan gübre'!P98*'Gübre oranlar'!S$3</f>
        <v>0</v>
      </c>
      <c r="Q98">
        <f>'Kullanılan gübre'!Q98*'Gübre oranlar'!T$3</f>
        <v>0</v>
      </c>
      <c r="R98">
        <f>'Kullanılan gübre'!R98*'Gübre oranlar'!U$3</f>
        <v>0</v>
      </c>
      <c r="S98">
        <f>'Kullanılan gübre'!S98*'Gübre oranlar'!V$3</f>
        <v>0</v>
      </c>
      <c r="T98">
        <f>'Kullanılan gübre'!T98*'Gübre oranlar'!W$3</f>
        <v>55.412499999999994</v>
      </c>
      <c r="U98">
        <f>'Kullanılan gübre'!U98*'Gübre oranlar'!X$3</f>
        <v>0</v>
      </c>
      <c r="V98">
        <f>'Kullanılan gübre'!V98*'Gübre oranlar'!Y$3</f>
        <v>0</v>
      </c>
      <c r="W98">
        <f>'Kullanılan gübre'!W98*'Gübre oranlar'!Z$3</f>
        <v>0</v>
      </c>
      <c r="X98">
        <f>'Kullanılan gübre'!X98*'Gübre oranlar'!AA$3</f>
        <v>0</v>
      </c>
      <c r="Y98">
        <f>'Kullanılan gübre'!Y98*'Gübre oranlar'!AB$3</f>
        <v>0</v>
      </c>
      <c r="Z98">
        <f>'Kullanılan gübre'!Z98*'Gübre oranlar'!AC$3</f>
        <v>0</v>
      </c>
      <c r="AA98">
        <f>'Kullanılan gübre'!AA98*'Gübre oranlar'!AD$3</f>
        <v>0</v>
      </c>
      <c r="AB98">
        <f>'Kullanılan gübre'!AB98*'Gübre oranlar'!AE$3</f>
        <v>0</v>
      </c>
      <c r="AC98">
        <f>'Kullanılan gübre'!AC98*'Gübre oranlar'!AF$3</f>
        <v>0</v>
      </c>
      <c r="AD98">
        <f>'Kullanılan gübre'!AD98*'Gübre oranlar'!AG$3</f>
        <v>0</v>
      </c>
      <c r="AE98">
        <f>'Kullanılan gübre'!AE98*'Gübre oranlar'!AH$3</f>
        <v>0</v>
      </c>
      <c r="AF98">
        <f>'Kullanılan gübre'!AF98*'Gübre oranlar'!AI$3</f>
        <v>0</v>
      </c>
      <c r="AG98">
        <f>'Kullanılan gübre'!AG98*'Gübre oranlar'!AJ$3</f>
        <v>0</v>
      </c>
      <c r="AH98">
        <f>'Kullanılan gübre'!AH98*'Gübre oranlar'!AK$3</f>
        <v>0</v>
      </c>
      <c r="AI98">
        <f>'Kullanılan gübre'!AI98*'Gübre oranlar'!AL$3</f>
        <v>0</v>
      </c>
      <c r="AJ98">
        <f>'Kullanılan gübre'!AJ98*'Gübre oranlar'!AM$3</f>
        <v>0</v>
      </c>
      <c r="AK98">
        <f>'Kullanılan gübre'!AK98*'Gübre oranlar'!AN$3</f>
        <v>0</v>
      </c>
      <c r="AL98">
        <f>'Kullanılan gübre'!AL98*'Gübre oranlar'!AO$3</f>
        <v>0</v>
      </c>
      <c r="AM98">
        <f>'Kullanılan gübre'!AM98*'Gübre oranlar'!AP$3</f>
        <v>0</v>
      </c>
      <c r="AN98">
        <f>'Kullanılan gübre'!AN98*'Gübre oranlar'!AQ$3</f>
        <v>0</v>
      </c>
      <c r="AO98">
        <f>'Kullanılan gübre'!AO98*'Gübre oranlar'!AR$3</f>
        <v>0</v>
      </c>
      <c r="AP98">
        <f>'Kullanılan gübre'!AP98*'Gübre oranlar'!AS$3</f>
        <v>0</v>
      </c>
      <c r="AQ98">
        <f>'Kullanılan gübre'!AQ98*'Gübre oranlar'!AT$3</f>
        <v>0</v>
      </c>
      <c r="AR98">
        <f>'Kullanılan gübre'!AR98*'Gübre oranlar'!AU$3</f>
        <v>0</v>
      </c>
      <c r="AS98">
        <f>'Kullanılan gübre'!AS98*'Gübre oranlar'!AV$3</f>
        <v>0</v>
      </c>
      <c r="AT98">
        <f>'Kullanılan gübre'!AT98*'Gübre oranlar'!AW$3</f>
        <v>0</v>
      </c>
      <c r="AU98">
        <f>'Kullanılan gübre'!AU98*'Gübre oranlar'!AX$3</f>
        <v>0</v>
      </c>
      <c r="AV98">
        <f>'Kullanılan gübre'!AV98*'Gübre oranlar'!AY$3</f>
        <v>0</v>
      </c>
      <c r="AW98">
        <f t="shared" si="1"/>
        <v>60.812499999999993</v>
      </c>
    </row>
    <row r="99" spans="1:49" x14ac:dyDescent="0.25">
      <c r="A99" t="str">
        <f>'Kullanılan gübre'!A99</f>
        <v>AK</v>
      </c>
      <c r="B99" t="str">
        <f>'Kullanılan gübre'!B99</f>
        <v>AFYONKARAHISAR</v>
      </c>
      <c r="C99" t="str">
        <f>'Kullanılan gübre'!C99</f>
        <v>SINANPASA</v>
      </c>
      <c r="D99">
        <f>'Kullanılan gübre'!D99</f>
        <v>2015</v>
      </c>
      <c r="E99">
        <f>'Kullanılan gübre'!E99*'Gübre oranlar'!H$3</f>
        <v>0</v>
      </c>
      <c r="F99">
        <f>'Kullanılan gübre'!F99*'Gübre oranlar'!I$3</f>
        <v>0</v>
      </c>
      <c r="G99">
        <f>'Kullanılan gübre'!G99*'Gübre oranlar'!J$3</f>
        <v>0</v>
      </c>
      <c r="H99">
        <f>'Kullanılan gübre'!H99*'Gübre oranlar'!K$3</f>
        <v>0</v>
      </c>
      <c r="I99">
        <f>'Kullanılan gübre'!I99*'Gübre oranlar'!L$3</f>
        <v>0</v>
      </c>
      <c r="J99">
        <f>'Kullanılan gübre'!J99*'Gübre oranlar'!M$3</f>
        <v>0</v>
      </c>
      <c r="K99">
        <f>'Kullanılan gübre'!K99*'Gübre oranlar'!N$3</f>
        <v>43.92</v>
      </c>
      <c r="L99">
        <f>'Kullanılan gübre'!L99*'Gübre oranlar'!O$3</f>
        <v>162.41</v>
      </c>
      <c r="M99">
        <f>'Kullanılan gübre'!M99*'Gübre oranlar'!P$3</f>
        <v>3</v>
      </c>
      <c r="N99">
        <f>'Kullanılan gübre'!N99*'Gübre oranlar'!Q$3</f>
        <v>7.8074999999999992</v>
      </c>
      <c r="O99">
        <f>'Kullanılan gübre'!O99*'Gübre oranlar'!R$3</f>
        <v>0</v>
      </c>
      <c r="P99">
        <f>'Kullanılan gübre'!P99*'Gübre oranlar'!S$3</f>
        <v>0</v>
      </c>
      <c r="Q99">
        <f>'Kullanılan gübre'!Q99*'Gübre oranlar'!T$3</f>
        <v>0</v>
      </c>
      <c r="R99">
        <f>'Kullanılan gübre'!R99*'Gübre oranlar'!U$3</f>
        <v>0</v>
      </c>
      <c r="S99">
        <f>'Kullanılan gübre'!S99*'Gübre oranlar'!V$3</f>
        <v>0</v>
      </c>
      <c r="T99">
        <f>'Kullanılan gübre'!T99*'Gübre oranlar'!W$3</f>
        <v>195.35000000000002</v>
      </c>
      <c r="U99">
        <f>'Kullanılan gübre'!U99*'Gübre oranlar'!X$3</f>
        <v>0</v>
      </c>
      <c r="V99">
        <f>'Kullanılan gübre'!V99*'Gübre oranlar'!Y$3</f>
        <v>17.774999999999999</v>
      </c>
      <c r="W99">
        <f>'Kullanılan gübre'!W99*'Gübre oranlar'!Z$3</f>
        <v>0</v>
      </c>
      <c r="X99">
        <f>'Kullanılan gübre'!X99*'Gübre oranlar'!AA$3</f>
        <v>0</v>
      </c>
      <c r="Y99">
        <f>'Kullanılan gübre'!Y99*'Gübre oranlar'!AB$3</f>
        <v>0</v>
      </c>
      <c r="Z99">
        <f>'Kullanılan gübre'!Z99*'Gübre oranlar'!AC$3</f>
        <v>0</v>
      </c>
      <c r="AA99">
        <f>'Kullanılan gübre'!AA99*'Gübre oranlar'!AD$3</f>
        <v>0</v>
      </c>
      <c r="AB99">
        <f>'Kullanılan gübre'!AB99*'Gübre oranlar'!AE$3</f>
        <v>0.56425000000000003</v>
      </c>
      <c r="AC99">
        <f>'Kullanılan gübre'!AC99*'Gübre oranlar'!AF$3</f>
        <v>0</v>
      </c>
      <c r="AD99">
        <f>'Kullanılan gübre'!AD99*'Gübre oranlar'!AG$3</f>
        <v>0</v>
      </c>
      <c r="AE99">
        <f>'Kullanılan gübre'!AE99*'Gübre oranlar'!AH$3</f>
        <v>0</v>
      </c>
      <c r="AF99">
        <f>'Kullanılan gübre'!AF99*'Gübre oranlar'!AI$3</f>
        <v>0</v>
      </c>
      <c r="AG99">
        <f>'Kullanılan gübre'!AG99*'Gübre oranlar'!AJ$3</f>
        <v>0</v>
      </c>
      <c r="AH99">
        <f>'Kullanılan gübre'!AH99*'Gübre oranlar'!AK$3</f>
        <v>0</v>
      </c>
      <c r="AI99">
        <f>'Kullanılan gübre'!AI99*'Gübre oranlar'!AL$3</f>
        <v>0</v>
      </c>
      <c r="AJ99">
        <f>'Kullanılan gübre'!AJ99*'Gübre oranlar'!AM$3</f>
        <v>0</v>
      </c>
      <c r="AK99">
        <f>'Kullanılan gübre'!AK99*'Gübre oranlar'!AN$3</f>
        <v>0</v>
      </c>
      <c r="AL99">
        <f>'Kullanılan gübre'!AL99*'Gübre oranlar'!AO$3</f>
        <v>0</v>
      </c>
      <c r="AM99">
        <f>'Kullanılan gübre'!AM99*'Gübre oranlar'!AP$3</f>
        <v>0</v>
      </c>
      <c r="AN99">
        <f>'Kullanılan gübre'!AN99*'Gübre oranlar'!AQ$3</f>
        <v>0</v>
      </c>
      <c r="AO99">
        <f>'Kullanılan gübre'!AO99*'Gübre oranlar'!AR$3</f>
        <v>0</v>
      </c>
      <c r="AP99">
        <f>'Kullanılan gübre'!AP99*'Gübre oranlar'!AS$3</f>
        <v>0</v>
      </c>
      <c r="AQ99">
        <f>'Kullanılan gübre'!AQ99*'Gübre oranlar'!AT$3</f>
        <v>0</v>
      </c>
      <c r="AR99">
        <f>'Kullanılan gübre'!AR99*'Gübre oranlar'!AU$3</f>
        <v>0</v>
      </c>
      <c r="AS99">
        <f>'Kullanılan gübre'!AS99*'Gübre oranlar'!AV$3</f>
        <v>0</v>
      </c>
      <c r="AT99">
        <f>'Kullanılan gübre'!AT99*'Gübre oranlar'!AW$3</f>
        <v>0</v>
      </c>
      <c r="AU99">
        <f>'Kullanılan gübre'!AU99*'Gübre oranlar'!AX$3</f>
        <v>0</v>
      </c>
      <c r="AV99">
        <f>'Kullanılan gübre'!AV99*'Gübre oranlar'!AY$3</f>
        <v>0</v>
      </c>
      <c r="AW99">
        <f t="shared" si="1"/>
        <v>430.82675</v>
      </c>
    </row>
    <row r="100" spans="1:49" x14ac:dyDescent="0.25">
      <c r="A100" t="str">
        <f>'Kullanılan gübre'!A100</f>
        <v>AK</v>
      </c>
      <c r="B100" t="str">
        <f>'Kullanılan gübre'!B100</f>
        <v>AFYONKARAHISAR</v>
      </c>
      <c r="C100" t="str">
        <f>'Kullanılan gübre'!C100</f>
        <v>SULTANDAGI</v>
      </c>
      <c r="D100">
        <f>'Kullanılan gübre'!D100</f>
        <v>2015</v>
      </c>
      <c r="E100">
        <f>'Kullanılan gübre'!E100*'Gübre oranlar'!H$3</f>
        <v>0</v>
      </c>
      <c r="F100">
        <f>'Kullanılan gübre'!F100*'Gübre oranlar'!I$3</f>
        <v>0</v>
      </c>
      <c r="G100">
        <f>'Kullanılan gübre'!G100*'Gübre oranlar'!J$3</f>
        <v>0</v>
      </c>
      <c r="H100">
        <f>'Kullanılan gübre'!H100*'Gübre oranlar'!K$3</f>
        <v>0</v>
      </c>
      <c r="I100">
        <f>'Kullanılan gübre'!I100*'Gübre oranlar'!L$3</f>
        <v>11.824999999999999</v>
      </c>
      <c r="J100">
        <f>'Kullanılan gübre'!J100*'Gübre oranlar'!M$3</f>
        <v>0</v>
      </c>
      <c r="K100">
        <f>'Kullanılan gübre'!K100*'Gübre oranlar'!N$3</f>
        <v>0</v>
      </c>
      <c r="L100">
        <f>'Kullanılan gübre'!L100*'Gübre oranlar'!O$3</f>
        <v>0.83000000000000007</v>
      </c>
      <c r="M100">
        <f>'Kullanılan gübre'!M100*'Gübre oranlar'!P$3</f>
        <v>0</v>
      </c>
      <c r="N100">
        <f>'Kullanılan gübre'!N100*'Gübre oranlar'!Q$3</f>
        <v>9.6225000000000005</v>
      </c>
      <c r="O100">
        <f>'Kullanılan gübre'!O100*'Gübre oranlar'!R$3</f>
        <v>0</v>
      </c>
      <c r="P100">
        <f>'Kullanılan gübre'!P100*'Gübre oranlar'!S$3</f>
        <v>0</v>
      </c>
      <c r="Q100">
        <f>'Kullanılan gübre'!Q100*'Gübre oranlar'!T$3</f>
        <v>0</v>
      </c>
      <c r="R100">
        <f>'Kullanılan gübre'!R100*'Gübre oranlar'!U$3</f>
        <v>0</v>
      </c>
      <c r="S100">
        <f>'Kullanılan gübre'!S100*'Gübre oranlar'!V$3</f>
        <v>0</v>
      </c>
      <c r="T100">
        <f>'Kullanılan gübre'!T100*'Gübre oranlar'!W$3</f>
        <v>7.5</v>
      </c>
      <c r="U100">
        <f>'Kullanılan gübre'!U100*'Gübre oranlar'!X$3</f>
        <v>0</v>
      </c>
      <c r="V100">
        <f>'Kullanılan gübre'!V100*'Gübre oranlar'!Y$3</f>
        <v>0</v>
      </c>
      <c r="W100">
        <f>'Kullanılan gübre'!W100*'Gübre oranlar'!Z$3</f>
        <v>0</v>
      </c>
      <c r="X100">
        <f>'Kullanılan gübre'!X100*'Gübre oranlar'!AA$3</f>
        <v>0</v>
      </c>
      <c r="Y100">
        <f>'Kullanılan gübre'!Y100*'Gübre oranlar'!AB$3</f>
        <v>0</v>
      </c>
      <c r="Z100">
        <f>'Kullanılan gübre'!Z100*'Gübre oranlar'!AC$3</f>
        <v>0</v>
      </c>
      <c r="AA100">
        <f>'Kullanılan gübre'!AA100*'Gübre oranlar'!AD$3</f>
        <v>0</v>
      </c>
      <c r="AB100">
        <f>'Kullanılan gübre'!AB100*'Gübre oranlar'!AE$3</f>
        <v>1.83</v>
      </c>
      <c r="AC100">
        <f>'Kullanılan gübre'!AC100*'Gübre oranlar'!AF$3</f>
        <v>0</v>
      </c>
      <c r="AD100">
        <f>'Kullanılan gübre'!AD100*'Gübre oranlar'!AG$3</f>
        <v>0</v>
      </c>
      <c r="AE100">
        <f>'Kullanılan gübre'!AE100*'Gübre oranlar'!AH$3</f>
        <v>0</v>
      </c>
      <c r="AF100">
        <f>'Kullanılan gübre'!AF100*'Gübre oranlar'!AI$3</f>
        <v>0</v>
      </c>
      <c r="AG100">
        <f>'Kullanılan gübre'!AG100*'Gübre oranlar'!AJ$3</f>
        <v>0</v>
      </c>
      <c r="AH100">
        <f>'Kullanılan gübre'!AH100*'Gübre oranlar'!AK$3</f>
        <v>0</v>
      </c>
      <c r="AI100">
        <f>'Kullanılan gübre'!AI100*'Gübre oranlar'!AL$3</f>
        <v>0</v>
      </c>
      <c r="AJ100">
        <f>'Kullanılan gübre'!AJ100*'Gübre oranlar'!AM$3</f>
        <v>0</v>
      </c>
      <c r="AK100">
        <f>'Kullanılan gübre'!AK100*'Gübre oranlar'!AN$3</f>
        <v>0</v>
      </c>
      <c r="AL100">
        <f>'Kullanılan gübre'!AL100*'Gübre oranlar'!AO$3</f>
        <v>0</v>
      </c>
      <c r="AM100">
        <f>'Kullanılan gübre'!AM100*'Gübre oranlar'!AP$3</f>
        <v>0</v>
      </c>
      <c r="AN100">
        <f>'Kullanılan gübre'!AN100*'Gübre oranlar'!AQ$3</f>
        <v>0</v>
      </c>
      <c r="AO100">
        <f>'Kullanılan gübre'!AO100*'Gübre oranlar'!AR$3</f>
        <v>0</v>
      </c>
      <c r="AP100">
        <f>'Kullanılan gübre'!AP100*'Gübre oranlar'!AS$3</f>
        <v>0</v>
      </c>
      <c r="AQ100">
        <f>'Kullanılan gübre'!AQ100*'Gübre oranlar'!AT$3</f>
        <v>0</v>
      </c>
      <c r="AR100">
        <f>'Kullanılan gübre'!AR100*'Gübre oranlar'!AU$3</f>
        <v>0</v>
      </c>
      <c r="AS100">
        <f>'Kullanılan gübre'!AS100*'Gübre oranlar'!AV$3</f>
        <v>0</v>
      </c>
      <c r="AT100">
        <f>'Kullanılan gübre'!AT100*'Gübre oranlar'!AW$3</f>
        <v>0</v>
      </c>
      <c r="AU100">
        <f>'Kullanılan gübre'!AU100*'Gübre oranlar'!AX$3</f>
        <v>0</v>
      </c>
      <c r="AV100">
        <f>'Kullanılan gübre'!AV100*'Gübre oranlar'!AY$3</f>
        <v>0</v>
      </c>
      <c r="AW100">
        <f t="shared" si="1"/>
        <v>31.607500000000002</v>
      </c>
    </row>
    <row r="101" spans="1:49" x14ac:dyDescent="0.25">
      <c r="A101" t="str">
        <f>'Kullanılan gübre'!A101</f>
        <v>AK</v>
      </c>
      <c r="B101" t="str">
        <f>'Kullanılan gübre'!B101</f>
        <v>AFYONKARAHISAR</v>
      </c>
      <c r="C101" t="str">
        <f>'Kullanılan gübre'!C101</f>
        <v>SUHUT</v>
      </c>
      <c r="D101">
        <f>'Kullanılan gübre'!D101</f>
        <v>2015</v>
      </c>
      <c r="E101">
        <f>'Kullanılan gübre'!E101*'Gübre oranlar'!H$3</f>
        <v>0</v>
      </c>
      <c r="F101">
        <f>'Kullanılan gübre'!F101*'Gübre oranlar'!I$3</f>
        <v>0</v>
      </c>
      <c r="G101">
        <f>'Kullanılan gübre'!G101*'Gübre oranlar'!J$3</f>
        <v>0</v>
      </c>
      <c r="H101">
        <f>'Kullanılan gübre'!H101*'Gübre oranlar'!K$3</f>
        <v>0</v>
      </c>
      <c r="I101">
        <f>'Kullanılan gübre'!I101*'Gübre oranlar'!L$3</f>
        <v>9.4384999999999994</v>
      </c>
      <c r="J101">
        <f>'Kullanılan gübre'!J101*'Gübre oranlar'!M$3</f>
        <v>0</v>
      </c>
      <c r="K101">
        <f>'Kullanılan gübre'!K101*'Gübre oranlar'!N$3</f>
        <v>38.449999999999996</v>
      </c>
      <c r="L101">
        <f>'Kullanılan gübre'!L101*'Gübre oranlar'!O$3</f>
        <v>75.956000000000003</v>
      </c>
      <c r="M101">
        <f>'Kullanılan gübre'!M101*'Gübre oranlar'!P$3</f>
        <v>171.53249999999994</v>
      </c>
      <c r="N101">
        <f>'Kullanılan gübre'!N101*'Gübre oranlar'!Q$3</f>
        <v>75.105000000000004</v>
      </c>
      <c r="O101">
        <f>'Kullanılan gübre'!O101*'Gübre oranlar'!R$3</f>
        <v>0</v>
      </c>
      <c r="P101">
        <f>'Kullanılan gübre'!P101*'Gübre oranlar'!S$3</f>
        <v>0</v>
      </c>
      <c r="Q101">
        <f>'Kullanılan gübre'!Q101*'Gübre oranlar'!T$3</f>
        <v>0</v>
      </c>
      <c r="R101">
        <f>'Kullanılan gübre'!R101*'Gübre oranlar'!U$3</f>
        <v>0</v>
      </c>
      <c r="S101">
        <f>'Kullanılan gübre'!S101*'Gübre oranlar'!V$3</f>
        <v>0</v>
      </c>
      <c r="T101">
        <f>'Kullanılan gübre'!T101*'Gübre oranlar'!W$3</f>
        <v>53.125</v>
      </c>
      <c r="U101">
        <f>'Kullanılan gübre'!U101*'Gübre oranlar'!X$3</f>
        <v>0</v>
      </c>
      <c r="V101">
        <f>'Kullanılan gübre'!V101*'Gübre oranlar'!Y$3</f>
        <v>0</v>
      </c>
      <c r="W101">
        <f>'Kullanılan gübre'!W101*'Gübre oranlar'!Z$3</f>
        <v>0</v>
      </c>
      <c r="X101">
        <f>'Kullanılan gübre'!X101*'Gübre oranlar'!AA$3</f>
        <v>13.620000000000003</v>
      </c>
      <c r="Y101">
        <f>'Kullanılan gübre'!Y101*'Gübre oranlar'!AB$3</f>
        <v>0</v>
      </c>
      <c r="Z101">
        <f>'Kullanılan gübre'!Z101*'Gübre oranlar'!AC$3</f>
        <v>0</v>
      </c>
      <c r="AA101">
        <f>'Kullanılan gübre'!AA101*'Gübre oranlar'!AD$3</f>
        <v>0</v>
      </c>
      <c r="AB101">
        <f>'Kullanılan gübre'!AB101*'Gübre oranlar'!AE$3</f>
        <v>0.42395000000000005</v>
      </c>
      <c r="AC101">
        <f>'Kullanılan gübre'!AC101*'Gübre oranlar'!AF$3</f>
        <v>0</v>
      </c>
      <c r="AD101">
        <f>'Kullanılan gübre'!AD101*'Gübre oranlar'!AG$3</f>
        <v>0</v>
      </c>
      <c r="AE101">
        <f>'Kullanılan gübre'!AE101*'Gübre oranlar'!AH$3</f>
        <v>97.024999999999991</v>
      </c>
      <c r="AF101">
        <f>'Kullanılan gübre'!AF101*'Gübre oranlar'!AI$3</f>
        <v>0</v>
      </c>
      <c r="AG101">
        <f>'Kullanılan gübre'!AG101*'Gübre oranlar'!AJ$3</f>
        <v>0</v>
      </c>
      <c r="AH101">
        <f>'Kullanılan gübre'!AH101*'Gübre oranlar'!AK$3</f>
        <v>0</v>
      </c>
      <c r="AI101">
        <f>'Kullanılan gübre'!AI101*'Gübre oranlar'!AL$3</f>
        <v>0</v>
      </c>
      <c r="AJ101">
        <f>'Kullanılan gübre'!AJ101*'Gübre oranlar'!AM$3</f>
        <v>0</v>
      </c>
      <c r="AK101">
        <f>'Kullanılan gübre'!AK101*'Gübre oranlar'!AN$3</f>
        <v>0</v>
      </c>
      <c r="AL101">
        <f>'Kullanılan gübre'!AL101*'Gübre oranlar'!AO$3</f>
        <v>0</v>
      </c>
      <c r="AM101">
        <f>'Kullanılan gübre'!AM101*'Gübre oranlar'!AP$3</f>
        <v>0</v>
      </c>
      <c r="AN101">
        <f>'Kullanılan gübre'!AN101*'Gübre oranlar'!AQ$3</f>
        <v>0</v>
      </c>
      <c r="AO101">
        <f>'Kullanılan gübre'!AO101*'Gübre oranlar'!AR$3</f>
        <v>0</v>
      </c>
      <c r="AP101">
        <f>'Kullanılan gübre'!AP101*'Gübre oranlar'!AS$3</f>
        <v>0</v>
      </c>
      <c r="AQ101">
        <f>'Kullanılan gübre'!AQ101*'Gübre oranlar'!AT$3</f>
        <v>0</v>
      </c>
      <c r="AR101">
        <f>'Kullanılan gübre'!AR101*'Gübre oranlar'!AU$3</f>
        <v>0</v>
      </c>
      <c r="AS101">
        <f>'Kullanılan gübre'!AS101*'Gübre oranlar'!AV$3</f>
        <v>0</v>
      </c>
      <c r="AT101">
        <f>'Kullanılan gübre'!AT101*'Gübre oranlar'!AW$3</f>
        <v>0</v>
      </c>
      <c r="AU101">
        <f>'Kullanılan gübre'!AU101*'Gübre oranlar'!AX$3</f>
        <v>0</v>
      </c>
      <c r="AV101">
        <f>'Kullanılan gübre'!AV101*'Gübre oranlar'!AY$3</f>
        <v>0</v>
      </c>
      <c r="AW101">
        <f t="shared" si="1"/>
        <v>534.67594999999994</v>
      </c>
    </row>
    <row r="102" spans="1:49" x14ac:dyDescent="0.25">
      <c r="A102" t="str">
        <f>'Kullanılan gübre'!A102</f>
        <v>AK</v>
      </c>
      <c r="B102" t="str">
        <f>'Kullanılan gübre'!B102</f>
        <v>AFYONKARAHISAR</v>
      </c>
      <c r="C102" t="str">
        <f>'Kullanılan gübre'!C102</f>
        <v>MERKEZ</v>
      </c>
      <c r="D102">
        <f>'Kullanılan gübre'!D102</f>
        <v>2016</v>
      </c>
      <c r="E102">
        <f>'Kullanılan gübre'!E102*'Gübre oranlar'!H$3</f>
        <v>0</v>
      </c>
      <c r="F102">
        <f>'Kullanılan gübre'!F102*'Gübre oranlar'!I$3</f>
        <v>0</v>
      </c>
      <c r="G102">
        <f>'Kullanılan gübre'!G102*'Gübre oranlar'!J$3</f>
        <v>0</v>
      </c>
      <c r="H102">
        <f>'Kullanılan gübre'!H102*'Gübre oranlar'!K$3</f>
        <v>0</v>
      </c>
      <c r="I102">
        <f>'Kullanılan gübre'!I102*'Gübre oranlar'!L$3</f>
        <v>0</v>
      </c>
      <c r="J102">
        <f>'Kullanılan gübre'!J102*'Gübre oranlar'!M$3</f>
        <v>0</v>
      </c>
      <c r="K102">
        <f>'Kullanılan gübre'!K102*'Gübre oranlar'!N$3</f>
        <v>291.76</v>
      </c>
      <c r="L102">
        <f>'Kullanılan gübre'!L102*'Gübre oranlar'!O$3</f>
        <v>143.14000000000001</v>
      </c>
      <c r="M102">
        <f>'Kullanılan gübre'!M102*'Gübre oranlar'!P$3</f>
        <v>40.769999999999989</v>
      </c>
      <c r="N102">
        <f>'Kullanılan gübre'!N102*'Gübre oranlar'!Q$3</f>
        <v>201.31499999999997</v>
      </c>
      <c r="O102">
        <f>'Kullanılan gübre'!O102*'Gübre oranlar'!R$3</f>
        <v>0</v>
      </c>
      <c r="P102">
        <f>'Kullanılan gübre'!P102*'Gübre oranlar'!S$3</f>
        <v>0</v>
      </c>
      <c r="Q102">
        <f>'Kullanılan gübre'!Q102*'Gübre oranlar'!T$3</f>
        <v>68.399999999999991</v>
      </c>
      <c r="R102">
        <f>'Kullanılan gübre'!R102*'Gübre oranlar'!U$3</f>
        <v>0</v>
      </c>
      <c r="S102">
        <f>'Kullanılan gübre'!S102*'Gübre oranlar'!V$3</f>
        <v>0</v>
      </c>
      <c r="T102">
        <f>'Kullanılan gübre'!T102*'Gübre oranlar'!W$3</f>
        <v>68.849999999999994</v>
      </c>
      <c r="U102">
        <f>'Kullanılan gübre'!U102*'Gübre oranlar'!X$3</f>
        <v>0</v>
      </c>
      <c r="V102">
        <f>'Kullanılan gübre'!V102*'Gübre oranlar'!Y$3</f>
        <v>66.762499999999989</v>
      </c>
      <c r="W102">
        <f>'Kullanılan gübre'!W102*'Gübre oranlar'!Z$3</f>
        <v>0</v>
      </c>
      <c r="X102">
        <f>'Kullanılan gübre'!X102*'Gübre oranlar'!AA$3</f>
        <v>0</v>
      </c>
      <c r="Y102">
        <f>'Kullanılan gübre'!Y102*'Gübre oranlar'!AB$3</f>
        <v>0</v>
      </c>
      <c r="Z102">
        <f>'Kullanılan gübre'!Z102*'Gübre oranlar'!AC$3</f>
        <v>0</v>
      </c>
      <c r="AA102">
        <f>'Kullanılan gübre'!AA102*'Gübre oranlar'!AD$3</f>
        <v>0</v>
      </c>
      <c r="AB102">
        <f>'Kullanılan gübre'!AB102*'Gübre oranlar'!AE$3</f>
        <v>0.57950000000000002</v>
      </c>
      <c r="AC102">
        <f>'Kullanılan gübre'!AC102*'Gübre oranlar'!AF$3</f>
        <v>0</v>
      </c>
      <c r="AD102">
        <f>'Kullanılan gübre'!AD102*'Gübre oranlar'!AG$3</f>
        <v>0</v>
      </c>
      <c r="AE102">
        <f>'Kullanılan gübre'!AE102*'Gübre oranlar'!AH$3</f>
        <v>0</v>
      </c>
      <c r="AF102">
        <f>'Kullanılan gübre'!AF102*'Gübre oranlar'!AI$3</f>
        <v>0</v>
      </c>
      <c r="AG102">
        <f>'Kullanılan gübre'!AG102*'Gübre oranlar'!AJ$3</f>
        <v>0</v>
      </c>
      <c r="AH102">
        <f>'Kullanılan gübre'!AH102*'Gübre oranlar'!AK$3</f>
        <v>0</v>
      </c>
      <c r="AI102">
        <f>'Kullanılan gübre'!AI102*'Gübre oranlar'!AL$3</f>
        <v>0</v>
      </c>
      <c r="AJ102">
        <f>'Kullanılan gübre'!AJ102*'Gübre oranlar'!AM$3</f>
        <v>0</v>
      </c>
      <c r="AK102">
        <f>'Kullanılan gübre'!AK102*'Gübre oranlar'!AN$3</f>
        <v>0</v>
      </c>
      <c r="AL102">
        <f>'Kullanılan gübre'!AL102*'Gübre oranlar'!AO$3</f>
        <v>0</v>
      </c>
      <c r="AM102">
        <f>'Kullanılan gübre'!AM102*'Gübre oranlar'!AP$3</f>
        <v>0</v>
      </c>
      <c r="AN102">
        <f>'Kullanılan gübre'!AN102*'Gübre oranlar'!AQ$3</f>
        <v>0</v>
      </c>
      <c r="AO102">
        <f>'Kullanılan gübre'!AO102*'Gübre oranlar'!AR$3</f>
        <v>0</v>
      </c>
      <c r="AP102">
        <f>'Kullanılan gübre'!AP102*'Gübre oranlar'!AS$3</f>
        <v>0</v>
      </c>
      <c r="AQ102">
        <f>'Kullanılan gübre'!AQ102*'Gübre oranlar'!AT$3</f>
        <v>0</v>
      </c>
      <c r="AR102">
        <f>'Kullanılan gübre'!AR102*'Gübre oranlar'!AU$3</f>
        <v>0</v>
      </c>
      <c r="AS102">
        <f>'Kullanılan gübre'!AS102*'Gübre oranlar'!AV$3</f>
        <v>0</v>
      </c>
      <c r="AT102">
        <f>'Kullanılan gübre'!AT102*'Gübre oranlar'!AW$3</f>
        <v>0</v>
      </c>
      <c r="AU102">
        <f>'Kullanılan gübre'!AU102*'Gübre oranlar'!AX$3</f>
        <v>0</v>
      </c>
      <c r="AV102">
        <f>'Kullanılan gübre'!AV102*'Gübre oranlar'!AY$3</f>
        <v>0</v>
      </c>
      <c r="AW102">
        <f t="shared" si="1"/>
        <v>881.577</v>
      </c>
    </row>
    <row r="103" spans="1:49" x14ac:dyDescent="0.25">
      <c r="A103" t="str">
        <f>'Kullanılan gübre'!A103</f>
        <v>AK</v>
      </c>
      <c r="B103" t="str">
        <f>'Kullanılan gübre'!B103</f>
        <v>AFYONKARAHISAR</v>
      </c>
      <c r="C103" t="str">
        <f>'Kullanılan gübre'!C103</f>
        <v>BAYAT</v>
      </c>
      <c r="D103">
        <f>'Kullanılan gübre'!D103</f>
        <v>2016</v>
      </c>
      <c r="E103">
        <f>'Kullanılan gübre'!E103*'Gübre oranlar'!H$3</f>
        <v>0</v>
      </c>
      <c r="F103">
        <f>'Kullanılan gübre'!F103*'Gübre oranlar'!I$3</f>
        <v>0</v>
      </c>
      <c r="G103">
        <f>'Kullanılan gübre'!G103*'Gübre oranlar'!J$3</f>
        <v>0</v>
      </c>
      <c r="H103">
        <f>'Kullanılan gübre'!H103*'Gübre oranlar'!K$3</f>
        <v>0</v>
      </c>
      <c r="I103">
        <f>'Kullanılan gübre'!I103*'Gübre oranlar'!L$3</f>
        <v>0</v>
      </c>
      <c r="J103">
        <f>'Kullanılan gübre'!J103*'Gübre oranlar'!M$3</f>
        <v>0</v>
      </c>
      <c r="K103">
        <f>'Kullanılan gübre'!K103*'Gübre oranlar'!N$3</f>
        <v>0</v>
      </c>
      <c r="L103">
        <f>'Kullanılan gübre'!L103*'Gübre oranlar'!O$3</f>
        <v>19.950000000000003</v>
      </c>
      <c r="M103">
        <f>'Kullanılan gübre'!M103*'Gübre oranlar'!P$3</f>
        <v>0</v>
      </c>
      <c r="N103">
        <f>'Kullanılan gübre'!N103*'Gübre oranlar'!Q$3</f>
        <v>0.41249999999999998</v>
      </c>
      <c r="O103">
        <f>'Kullanılan gübre'!O103*'Gübre oranlar'!R$3</f>
        <v>0</v>
      </c>
      <c r="P103">
        <f>'Kullanılan gübre'!P103*'Gübre oranlar'!S$3</f>
        <v>0</v>
      </c>
      <c r="Q103">
        <f>'Kullanılan gübre'!Q103*'Gübre oranlar'!T$3</f>
        <v>0</v>
      </c>
      <c r="R103">
        <f>'Kullanılan gübre'!R103*'Gübre oranlar'!U$3</f>
        <v>0</v>
      </c>
      <c r="S103">
        <f>'Kullanılan gübre'!S103*'Gübre oranlar'!V$3</f>
        <v>0</v>
      </c>
      <c r="T103">
        <f>'Kullanılan gübre'!T103*'Gübre oranlar'!W$3</f>
        <v>10.125</v>
      </c>
      <c r="U103">
        <f>'Kullanılan gübre'!U103*'Gübre oranlar'!X$3</f>
        <v>0</v>
      </c>
      <c r="V103">
        <f>'Kullanılan gübre'!V103*'Gübre oranlar'!Y$3</f>
        <v>0</v>
      </c>
      <c r="W103">
        <f>'Kullanılan gübre'!W103*'Gübre oranlar'!Z$3</f>
        <v>0</v>
      </c>
      <c r="X103">
        <f>'Kullanılan gübre'!X103*'Gübre oranlar'!AA$3</f>
        <v>0</v>
      </c>
      <c r="Y103">
        <f>'Kullanılan gübre'!Y103*'Gübre oranlar'!AB$3</f>
        <v>0</v>
      </c>
      <c r="Z103">
        <f>'Kullanılan gübre'!Z103*'Gübre oranlar'!AC$3</f>
        <v>0</v>
      </c>
      <c r="AA103">
        <f>'Kullanılan gübre'!AA103*'Gübre oranlar'!AD$3</f>
        <v>0</v>
      </c>
      <c r="AB103">
        <f>'Kullanılan gübre'!AB103*'Gübre oranlar'!AE$3</f>
        <v>0</v>
      </c>
      <c r="AC103">
        <f>'Kullanılan gübre'!AC103*'Gübre oranlar'!AF$3</f>
        <v>0</v>
      </c>
      <c r="AD103">
        <f>'Kullanılan gübre'!AD103*'Gübre oranlar'!AG$3</f>
        <v>0</v>
      </c>
      <c r="AE103">
        <f>'Kullanılan gübre'!AE103*'Gübre oranlar'!AH$3</f>
        <v>0</v>
      </c>
      <c r="AF103">
        <f>'Kullanılan gübre'!AF103*'Gübre oranlar'!AI$3</f>
        <v>0</v>
      </c>
      <c r="AG103">
        <f>'Kullanılan gübre'!AG103*'Gübre oranlar'!AJ$3</f>
        <v>0</v>
      </c>
      <c r="AH103">
        <f>'Kullanılan gübre'!AH103*'Gübre oranlar'!AK$3</f>
        <v>0</v>
      </c>
      <c r="AI103">
        <f>'Kullanılan gübre'!AI103*'Gübre oranlar'!AL$3</f>
        <v>0</v>
      </c>
      <c r="AJ103">
        <f>'Kullanılan gübre'!AJ103*'Gübre oranlar'!AM$3</f>
        <v>0</v>
      </c>
      <c r="AK103">
        <f>'Kullanılan gübre'!AK103*'Gübre oranlar'!AN$3</f>
        <v>0</v>
      </c>
      <c r="AL103">
        <f>'Kullanılan gübre'!AL103*'Gübre oranlar'!AO$3</f>
        <v>0</v>
      </c>
      <c r="AM103">
        <f>'Kullanılan gübre'!AM103*'Gübre oranlar'!AP$3</f>
        <v>0</v>
      </c>
      <c r="AN103">
        <f>'Kullanılan gübre'!AN103*'Gübre oranlar'!AQ$3</f>
        <v>0</v>
      </c>
      <c r="AO103">
        <f>'Kullanılan gübre'!AO103*'Gübre oranlar'!AR$3</f>
        <v>0</v>
      </c>
      <c r="AP103">
        <f>'Kullanılan gübre'!AP103*'Gübre oranlar'!AS$3</f>
        <v>0</v>
      </c>
      <c r="AQ103">
        <f>'Kullanılan gübre'!AQ103*'Gübre oranlar'!AT$3</f>
        <v>0</v>
      </c>
      <c r="AR103">
        <f>'Kullanılan gübre'!AR103*'Gübre oranlar'!AU$3</f>
        <v>0</v>
      </c>
      <c r="AS103">
        <f>'Kullanılan gübre'!AS103*'Gübre oranlar'!AV$3</f>
        <v>0</v>
      </c>
      <c r="AT103">
        <f>'Kullanılan gübre'!AT103*'Gübre oranlar'!AW$3</f>
        <v>0</v>
      </c>
      <c r="AU103">
        <f>'Kullanılan gübre'!AU103*'Gübre oranlar'!AX$3</f>
        <v>0</v>
      </c>
      <c r="AV103">
        <f>'Kullanılan gübre'!AV103*'Gübre oranlar'!AY$3</f>
        <v>0</v>
      </c>
      <c r="AW103">
        <f t="shared" si="1"/>
        <v>30.487500000000004</v>
      </c>
    </row>
    <row r="104" spans="1:49" x14ac:dyDescent="0.25">
      <c r="A104" t="str">
        <f>'Kullanılan gübre'!A104</f>
        <v>AK</v>
      </c>
      <c r="B104" t="str">
        <f>'Kullanılan gübre'!B104</f>
        <v>AFYONKARAHISAR</v>
      </c>
      <c r="C104" t="str">
        <f>'Kullanılan gübre'!C104</f>
        <v>BOLVADIN</v>
      </c>
      <c r="D104">
        <f>'Kullanılan gübre'!D104</f>
        <v>2016</v>
      </c>
      <c r="E104">
        <f>'Kullanılan gübre'!E104*'Gübre oranlar'!H$3</f>
        <v>0</v>
      </c>
      <c r="F104">
        <f>'Kullanılan gübre'!F104*'Gübre oranlar'!I$3</f>
        <v>0</v>
      </c>
      <c r="G104">
        <f>'Kullanılan gübre'!G104*'Gübre oranlar'!J$3</f>
        <v>0</v>
      </c>
      <c r="H104">
        <f>'Kullanılan gübre'!H104*'Gübre oranlar'!K$3</f>
        <v>0</v>
      </c>
      <c r="I104">
        <f>'Kullanılan gübre'!I104*'Gübre oranlar'!L$3</f>
        <v>0</v>
      </c>
      <c r="J104">
        <f>'Kullanılan gübre'!J104*'Gübre oranlar'!M$3</f>
        <v>0</v>
      </c>
      <c r="K104">
        <f>'Kullanılan gübre'!K104*'Gübre oranlar'!N$3</f>
        <v>0</v>
      </c>
      <c r="L104">
        <f>'Kullanılan gübre'!L104*'Gübre oranlar'!O$3</f>
        <v>48.34</v>
      </c>
      <c r="M104">
        <f>'Kullanılan gübre'!M104*'Gübre oranlar'!P$3</f>
        <v>0</v>
      </c>
      <c r="N104">
        <f>'Kullanılan gübre'!N104*'Gübre oranlar'!Q$3</f>
        <v>11.070000000000002</v>
      </c>
      <c r="O104">
        <f>'Kullanılan gübre'!O104*'Gübre oranlar'!R$3</f>
        <v>0</v>
      </c>
      <c r="P104">
        <f>'Kullanılan gübre'!P104*'Gübre oranlar'!S$3</f>
        <v>0</v>
      </c>
      <c r="Q104">
        <f>'Kullanılan gübre'!Q104*'Gübre oranlar'!T$3</f>
        <v>0</v>
      </c>
      <c r="R104">
        <f>'Kullanılan gübre'!R104*'Gübre oranlar'!U$3</f>
        <v>0</v>
      </c>
      <c r="S104">
        <f>'Kullanılan gübre'!S104*'Gübre oranlar'!V$3</f>
        <v>0</v>
      </c>
      <c r="T104">
        <f>'Kullanılan gübre'!T104*'Gübre oranlar'!W$3</f>
        <v>38.112500000000004</v>
      </c>
      <c r="U104">
        <f>'Kullanılan gübre'!U104*'Gübre oranlar'!X$3</f>
        <v>0</v>
      </c>
      <c r="V104">
        <f>'Kullanılan gübre'!V104*'Gübre oranlar'!Y$3</f>
        <v>0</v>
      </c>
      <c r="W104">
        <f>'Kullanılan gübre'!W104*'Gübre oranlar'!Z$3</f>
        <v>0</v>
      </c>
      <c r="X104">
        <f>'Kullanılan gübre'!X104*'Gübre oranlar'!AA$3</f>
        <v>0</v>
      </c>
      <c r="Y104">
        <f>'Kullanılan gübre'!Y104*'Gübre oranlar'!AB$3</f>
        <v>0</v>
      </c>
      <c r="Z104">
        <f>'Kullanılan gübre'!Z104*'Gübre oranlar'!AC$3</f>
        <v>0</v>
      </c>
      <c r="AA104">
        <f>'Kullanılan gübre'!AA104*'Gübre oranlar'!AD$3</f>
        <v>0</v>
      </c>
      <c r="AB104">
        <f>'Kullanılan gübre'!AB104*'Gübre oranlar'!AE$3</f>
        <v>0</v>
      </c>
      <c r="AC104">
        <f>'Kullanılan gübre'!AC104*'Gübre oranlar'!AF$3</f>
        <v>0</v>
      </c>
      <c r="AD104">
        <f>'Kullanılan gübre'!AD104*'Gübre oranlar'!AG$3</f>
        <v>0</v>
      </c>
      <c r="AE104">
        <f>'Kullanılan gübre'!AE104*'Gübre oranlar'!AH$3</f>
        <v>19</v>
      </c>
      <c r="AF104">
        <f>'Kullanılan gübre'!AF104*'Gübre oranlar'!AI$3</f>
        <v>0</v>
      </c>
      <c r="AG104">
        <f>'Kullanılan gübre'!AG104*'Gübre oranlar'!AJ$3</f>
        <v>0</v>
      </c>
      <c r="AH104">
        <f>'Kullanılan gübre'!AH104*'Gübre oranlar'!AK$3</f>
        <v>0</v>
      </c>
      <c r="AI104">
        <f>'Kullanılan gübre'!AI104*'Gübre oranlar'!AL$3</f>
        <v>0</v>
      </c>
      <c r="AJ104">
        <f>'Kullanılan gübre'!AJ104*'Gübre oranlar'!AM$3</f>
        <v>0</v>
      </c>
      <c r="AK104">
        <f>'Kullanılan gübre'!AK104*'Gübre oranlar'!AN$3</f>
        <v>0</v>
      </c>
      <c r="AL104">
        <f>'Kullanılan gübre'!AL104*'Gübre oranlar'!AO$3</f>
        <v>0</v>
      </c>
      <c r="AM104">
        <f>'Kullanılan gübre'!AM104*'Gübre oranlar'!AP$3</f>
        <v>0</v>
      </c>
      <c r="AN104">
        <f>'Kullanılan gübre'!AN104*'Gübre oranlar'!AQ$3</f>
        <v>0</v>
      </c>
      <c r="AO104">
        <f>'Kullanılan gübre'!AO104*'Gübre oranlar'!AR$3</f>
        <v>0</v>
      </c>
      <c r="AP104">
        <f>'Kullanılan gübre'!AP104*'Gübre oranlar'!AS$3</f>
        <v>0</v>
      </c>
      <c r="AQ104">
        <f>'Kullanılan gübre'!AQ104*'Gübre oranlar'!AT$3</f>
        <v>0</v>
      </c>
      <c r="AR104">
        <f>'Kullanılan gübre'!AR104*'Gübre oranlar'!AU$3</f>
        <v>0</v>
      </c>
      <c r="AS104">
        <f>'Kullanılan gübre'!AS104*'Gübre oranlar'!AV$3</f>
        <v>0</v>
      </c>
      <c r="AT104">
        <f>'Kullanılan gübre'!AT104*'Gübre oranlar'!AW$3</f>
        <v>0</v>
      </c>
      <c r="AU104">
        <f>'Kullanılan gübre'!AU104*'Gübre oranlar'!AX$3</f>
        <v>0</v>
      </c>
      <c r="AV104">
        <f>'Kullanılan gübre'!AV104*'Gübre oranlar'!AY$3</f>
        <v>0</v>
      </c>
      <c r="AW104">
        <f t="shared" si="1"/>
        <v>116.52250000000001</v>
      </c>
    </row>
    <row r="105" spans="1:49" x14ac:dyDescent="0.25">
      <c r="A105" t="str">
        <f>'Kullanılan gübre'!A105</f>
        <v>AK</v>
      </c>
      <c r="B105" t="str">
        <f>'Kullanılan gübre'!B105</f>
        <v>AFYONKARAHISAR</v>
      </c>
      <c r="C105" t="str">
        <f>'Kullanılan gübre'!C105</f>
        <v>CAY</v>
      </c>
      <c r="D105">
        <f>'Kullanılan gübre'!D105</f>
        <v>2016</v>
      </c>
      <c r="E105">
        <f>'Kullanılan gübre'!E105*'Gübre oranlar'!H$3</f>
        <v>0</v>
      </c>
      <c r="F105">
        <f>'Kullanılan gübre'!F105*'Gübre oranlar'!I$3</f>
        <v>0</v>
      </c>
      <c r="G105">
        <f>'Kullanılan gübre'!G105*'Gübre oranlar'!J$3</f>
        <v>0</v>
      </c>
      <c r="H105">
        <f>'Kullanılan gübre'!H105*'Gübre oranlar'!K$3</f>
        <v>0</v>
      </c>
      <c r="I105">
        <f>'Kullanılan gübre'!I105*'Gübre oranlar'!L$3</f>
        <v>16.834499999999998</v>
      </c>
      <c r="J105">
        <f>'Kullanılan gübre'!J105*'Gübre oranlar'!M$3</f>
        <v>0</v>
      </c>
      <c r="K105">
        <f>'Kullanılan gübre'!K105*'Gübre oranlar'!N$3</f>
        <v>16.110000000000003</v>
      </c>
      <c r="L105">
        <f>'Kullanılan gübre'!L105*'Gübre oranlar'!O$3</f>
        <v>122.47999999999998</v>
      </c>
      <c r="M105">
        <f>'Kullanılan gübre'!M105*'Gübre oranlar'!P$3</f>
        <v>35.722499999999997</v>
      </c>
      <c r="N105">
        <f>'Kullanılan gübre'!N105*'Gübre oranlar'!Q$3</f>
        <v>63.375</v>
      </c>
      <c r="O105">
        <f>'Kullanılan gübre'!O105*'Gübre oranlar'!R$3</f>
        <v>0</v>
      </c>
      <c r="P105">
        <f>'Kullanılan gübre'!P105*'Gübre oranlar'!S$3</f>
        <v>0</v>
      </c>
      <c r="Q105">
        <f>'Kullanılan gübre'!Q105*'Gübre oranlar'!T$3</f>
        <v>0</v>
      </c>
      <c r="R105">
        <f>'Kullanılan gübre'!R105*'Gübre oranlar'!U$3</f>
        <v>0</v>
      </c>
      <c r="S105">
        <f>'Kullanılan gübre'!S105*'Gübre oranlar'!V$3</f>
        <v>0</v>
      </c>
      <c r="T105">
        <f>'Kullanılan gübre'!T105*'Gübre oranlar'!W$3</f>
        <v>93.387500000000003</v>
      </c>
      <c r="U105">
        <f>'Kullanılan gübre'!U105*'Gübre oranlar'!X$3</f>
        <v>0</v>
      </c>
      <c r="V105">
        <f>'Kullanılan gübre'!V105*'Gübre oranlar'!Y$3</f>
        <v>0</v>
      </c>
      <c r="W105">
        <f>'Kullanılan gübre'!W105*'Gübre oranlar'!Z$3</f>
        <v>0</v>
      </c>
      <c r="X105">
        <f>'Kullanılan gübre'!X105*'Gübre oranlar'!AA$3</f>
        <v>0</v>
      </c>
      <c r="Y105">
        <f>'Kullanılan gübre'!Y105*'Gübre oranlar'!AB$3</f>
        <v>0</v>
      </c>
      <c r="Z105">
        <f>'Kullanılan gübre'!Z105*'Gübre oranlar'!AC$3</f>
        <v>0</v>
      </c>
      <c r="AA105">
        <f>'Kullanılan gübre'!AA105*'Gübre oranlar'!AD$3</f>
        <v>0</v>
      </c>
      <c r="AB105">
        <f>'Kullanılan gübre'!AB105*'Gübre oranlar'!AE$3</f>
        <v>3.2177500000000001</v>
      </c>
      <c r="AC105">
        <f>'Kullanılan gübre'!AC105*'Gübre oranlar'!AF$3</f>
        <v>0</v>
      </c>
      <c r="AD105">
        <f>'Kullanılan gübre'!AD105*'Gübre oranlar'!AG$3</f>
        <v>0</v>
      </c>
      <c r="AE105">
        <f>'Kullanılan gübre'!AE105*'Gübre oranlar'!AH$3</f>
        <v>0</v>
      </c>
      <c r="AF105">
        <f>'Kullanılan gübre'!AF105*'Gübre oranlar'!AI$3</f>
        <v>0</v>
      </c>
      <c r="AG105">
        <f>'Kullanılan gübre'!AG105*'Gübre oranlar'!AJ$3</f>
        <v>0</v>
      </c>
      <c r="AH105">
        <f>'Kullanılan gübre'!AH105*'Gübre oranlar'!AK$3</f>
        <v>0</v>
      </c>
      <c r="AI105">
        <f>'Kullanılan gübre'!AI105*'Gübre oranlar'!AL$3</f>
        <v>0</v>
      </c>
      <c r="AJ105">
        <f>'Kullanılan gübre'!AJ105*'Gübre oranlar'!AM$3</f>
        <v>0</v>
      </c>
      <c r="AK105">
        <f>'Kullanılan gübre'!AK105*'Gübre oranlar'!AN$3</f>
        <v>0</v>
      </c>
      <c r="AL105">
        <f>'Kullanılan gübre'!AL105*'Gübre oranlar'!AO$3</f>
        <v>0</v>
      </c>
      <c r="AM105">
        <f>'Kullanılan gübre'!AM105*'Gübre oranlar'!AP$3</f>
        <v>0</v>
      </c>
      <c r="AN105">
        <f>'Kullanılan gübre'!AN105*'Gübre oranlar'!AQ$3</f>
        <v>0</v>
      </c>
      <c r="AO105">
        <f>'Kullanılan gübre'!AO105*'Gübre oranlar'!AR$3</f>
        <v>0</v>
      </c>
      <c r="AP105">
        <f>'Kullanılan gübre'!AP105*'Gübre oranlar'!AS$3</f>
        <v>0</v>
      </c>
      <c r="AQ105">
        <f>'Kullanılan gübre'!AQ105*'Gübre oranlar'!AT$3</f>
        <v>0</v>
      </c>
      <c r="AR105">
        <f>'Kullanılan gübre'!AR105*'Gübre oranlar'!AU$3</f>
        <v>0</v>
      </c>
      <c r="AS105">
        <f>'Kullanılan gübre'!AS105*'Gübre oranlar'!AV$3</f>
        <v>0</v>
      </c>
      <c r="AT105">
        <f>'Kullanılan gübre'!AT105*'Gübre oranlar'!AW$3</f>
        <v>0</v>
      </c>
      <c r="AU105">
        <f>'Kullanılan gübre'!AU105*'Gübre oranlar'!AX$3</f>
        <v>0</v>
      </c>
      <c r="AV105">
        <f>'Kullanılan gübre'!AV105*'Gübre oranlar'!AY$3</f>
        <v>0</v>
      </c>
      <c r="AW105">
        <f t="shared" si="1"/>
        <v>351.12725</v>
      </c>
    </row>
    <row r="106" spans="1:49" x14ac:dyDescent="0.25">
      <c r="A106" t="str">
        <f>'Kullanılan gübre'!A106</f>
        <v>AK</v>
      </c>
      <c r="B106" t="str">
        <f>'Kullanılan gübre'!B106</f>
        <v>AFYONKARAHISAR</v>
      </c>
      <c r="C106" t="str">
        <f>'Kullanılan gübre'!C106</f>
        <v>COBANLAR</v>
      </c>
      <c r="D106">
        <f>'Kullanılan gübre'!D106</f>
        <v>2016</v>
      </c>
      <c r="E106">
        <f>'Kullanılan gübre'!E106*'Gübre oranlar'!H$3</f>
        <v>0</v>
      </c>
      <c r="F106">
        <f>'Kullanılan gübre'!F106*'Gübre oranlar'!I$3</f>
        <v>0</v>
      </c>
      <c r="G106">
        <f>'Kullanılan gübre'!G106*'Gübre oranlar'!J$3</f>
        <v>0</v>
      </c>
      <c r="H106">
        <f>'Kullanılan gübre'!H106*'Gübre oranlar'!K$3</f>
        <v>0</v>
      </c>
      <c r="I106">
        <f>'Kullanılan gübre'!I106*'Gübre oranlar'!L$3</f>
        <v>0</v>
      </c>
      <c r="J106">
        <f>'Kullanılan gübre'!J106*'Gübre oranlar'!M$3</f>
        <v>0</v>
      </c>
      <c r="K106">
        <f>'Kullanılan gübre'!K106*'Gübre oranlar'!N$3</f>
        <v>13.8</v>
      </c>
      <c r="L106">
        <f>'Kullanılan gübre'!L106*'Gübre oranlar'!O$3</f>
        <v>56.69</v>
      </c>
      <c r="M106">
        <f>'Kullanılan gübre'!M106*'Gübre oranlar'!P$3</f>
        <v>0</v>
      </c>
      <c r="N106">
        <f>'Kullanılan gübre'!N106*'Gübre oranlar'!Q$3</f>
        <v>26.932500000000005</v>
      </c>
      <c r="O106">
        <f>'Kullanılan gübre'!O106*'Gübre oranlar'!R$3</f>
        <v>0</v>
      </c>
      <c r="P106">
        <f>'Kullanılan gübre'!P106*'Gübre oranlar'!S$3</f>
        <v>0</v>
      </c>
      <c r="Q106">
        <f>'Kullanılan gübre'!Q106*'Gübre oranlar'!T$3</f>
        <v>0</v>
      </c>
      <c r="R106">
        <f>'Kullanılan gübre'!R106*'Gübre oranlar'!U$3</f>
        <v>0</v>
      </c>
      <c r="S106">
        <f>'Kullanılan gübre'!S106*'Gübre oranlar'!V$3</f>
        <v>0</v>
      </c>
      <c r="T106">
        <f>'Kullanılan gübre'!T106*'Gübre oranlar'!W$3</f>
        <v>35.1</v>
      </c>
      <c r="U106">
        <f>'Kullanılan gübre'!U106*'Gübre oranlar'!X$3</f>
        <v>0</v>
      </c>
      <c r="V106">
        <f>'Kullanılan gübre'!V106*'Gübre oranlar'!Y$3</f>
        <v>0</v>
      </c>
      <c r="W106">
        <f>'Kullanılan gübre'!W106*'Gübre oranlar'!Z$3</f>
        <v>0</v>
      </c>
      <c r="X106">
        <f>'Kullanılan gübre'!X106*'Gübre oranlar'!AA$3</f>
        <v>0</v>
      </c>
      <c r="Y106">
        <f>'Kullanılan gübre'!Y106*'Gübre oranlar'!AB$3</f>
        <v>0</v>
      </c>
      <c r="Z106">
        <f>'Kullanılan gübre'!Z106*'Gübre oranlar'!AC$3</f>
        <v>0</v>
      </c>
      <c r="AA106">
        <f>'Kullanılan gübre'!AA106*'Gübre oranlar'!AD$3</f>
        <v>0</v>
      </c>
      <c r="AB106">
        <f>'Kullanılan gübre'!AB106*'Gübre oranlar'!AE$3</f>
        <v>0</v>
      </c>
      <c r="AC106">
        <f>'Kullanılan gübre'!AC106*'Gübre oranlar'!AF$3</f>
        <v>0</v>
      </c>
      <c r="AD106">
        <f>'Kullanılan gübre'!AD106*'Gübre oranlar'!AG$3</f>
        <v>0</v>
      </c>
      <c r="AE106">
        <f>'Kullanılan gübre'!AE106*'Gübre oranlar'!AH$3</f>
        <v>0</v>
      </c>
      <c r="AF106">
        <f>'Kullanılan gübre'!AF106*'Gübre oranlar'!AI$3</f>
        <v>0</v>
      </c>
      <c r="AG106">
        <f>'Kullanılan gübre'!AG106*'Gübre oranlar'!AJ$3</f>
        <v>0</v>
      </c>
      <c r="AH106">
        <f>'Kullanılan gübre'!AH106*'Gübre oranlar'!AK$3</f>
        <v>0</v>
      </c>
      <c r="AI106">
        <f>'Kullanılan gübre'!AI106*'Gübre oranlar'!AL$3</f>
        <v>0</v>
      </c>
      <c r="AJ106">
        <f>'Kullanılan gübre'!AJ106*'Gübre oranlar'!AM$3</f>
        <v>0</v>
      </c>
      <c r="AK106">
        <f>'Kullanılan gübre'!AK106*'Gübre oranlar'!AN$3</f>
        <v>0</v>
      </c>
      <c r="AL106">
        <f>'Kullanılan gübre'!AL106*'Gübre oranlar'!AO$3</f>
        <v>0</v>
      </c>
      <c r="AM106">
        <f>'Kullanılan gübre'!AM106*'Gübre oranlar'!AP$3</f>
        <v>0</v>
      </c>
      <c r="AN106">
        <f>'Kullanılan gübre'!AN106*'Gübre oranlar'!AQ$3</f>
        <v>0</v>
      </c>
      <c r="AO106">
        <f>'Kullanılan gübre'!AO106*'Gübre oranlar'!AR$3</f>
        <v>0</v>
      </c>
      <c r="AP106">
        <f>'Kullanılan gübre'!AP106*'Gübre oranlar'!AS$3</f>
        <v>0</v>
      </c>
      <c r="AQ106">
        <f>'Kullanılan gübre'!AQ106*'Gübre oranlar'!AT$3</f>
        <v>0</v>
      </c>
      <c r="AR106">
        <f>'Kullanılan gübre'!AR106*'Gübre oranlar'!AU$3</f>
        <v>0</v>
      </c>
      <c r="AS106">
        <f>'Kullanılan gübre'!AS106*'Gübre oranlar'!AV$3</f>
        <v>0</v>
      </c>
      <c r="AT106">
        <f>'Kullanılan gübre'!AT106*'Gübre oranlar'!AW$3</f>
        <v>0</v>
      </c>
      <c r="AU106">
        <f>'Kullanılan gübre'!AU106*'Gübre oranlar'!AX$3</f>
        <v>0</v>
      </c>
      <c r="AV106">
        <f>'Kullanılan gübre'!AV106*'Gübre oranlar'!AY$3</f>
        <v>0</v>
      </c>
      <c r="AW106">
        <f t="shared" si="1"/>
        <v>132.52250000000001</v>
      </c>
    </row>
    <row r="107" spans="1:49" x14ac:dyDescent="0.25">
      <c r="A107" t="str">
        <f>'Kullanılan gübre'!A107</f>
        <v>AK</v>
      </c>
      <c r="B107" t="str">
        <f>'Kullanılan gübre'!B107</f>
        <v>AFYONKARAHISAR</v>
      </c>
      <c r="C107" t="str">
        <f>'Kullanılan gübre'!C107</f>
        <v>IHSANIYE</v>
      </c>
      <c r="D107">
        <f>'Kullanılan gübre'!D107</f>
        <v>2016</v>
      </c>
      <c r="E107">
        <f>'Kullanılan gübre'!E107*'Gübre oranlar'!H$3</f>
        <v>0</v>
      </c>
      <c r="F107">
        <f>'Kullanılan gübre'!F107*'Gübre oranlar'!I$3</f>
        <v>0</v>
      </c>
      <c r="G107">
        <f>'Kullanılan gübre'!G107*'Gübre oranlar'!J$3</f>
        <v>0</v>
      </c>
      <c r="H107">
        <f>'Kullanılan gübre'!H107*'Gübre oranlar'!K$3</f>
        <v>0</v>
      </c>
      <c r="I107">
        <f>'Kullanılan gübre'!I107*'Gübre oranlar'!L$3</f>
        <v>0</v>
      </c>
      <c r="J107">
        <f>'Kullanılan gübre'!J107*'Gübre oranlar'!M$3</f>
        <v>0</v>
      </c>
      <c r="K107">
        <f>'Kullanılan gübre'!K107*'Gübre oranlar'!N$3</f>
        <v>86.2</v>
      </c>
      <c r="L107">
        <f>'Kullanılan gübre'!L107*'Gübre oranlar'!O$3</f>
        <v>80.430000000000007</v>
      </c>
      <c r="M107">
        <f>'Kullanılan gübre'!M107*'Gübre oranlar'!P$3</f>
        <v>0</v>
      </c>
      <c r="N107">
        <f>'Kullanılan gübre'!N107*'Gübre oranlar'!Q$3</f>
        <v>19.5</v>
      </c>
      <c r="O107">
        <f>'Kullanılan gübre'!O107*'Gübre oranlar'!R$3</f>
        <v>0</v>
      </c>
      <c r="P107">
        <f>'Kullanılan gübre'!P107*'Gübre oranlar'!S$3</f>
        <v>0</v>
      </c>
      <c r="Q107">
        <f>'Kullanılan gübre'!Q107*'Gübre oranlar'!T$3</f>
        <v>22.274999999999999</v>
      </c>
      <c r="R107">
        <f>'Kullanılan gübre'!R107*'Gübre oranlar'!U$3</f>
        <v>0</v>
      </c>
      <c r="S107">
        <f>'Kullanılan gübre'!S107*'Gübre oranlar'!V$3</f>
        <v>0</v>
      </c>
      <c r="T107">
        <f>'Kullanılan gübre'!T107*'Gübre oranlar'!W$3</f>
        <v>100.58750000000001</v>
      </c>
      <c r="U107">
        <f>'Kullanılan gübre'!U107*'Gübre oranlar'!X$3</f>
        <v>0</v>
      </c>
      <c r="V107">
        <f>'Kullanılan gübre'!V107*'Gübre oranlar'!Y$3</f>
        <v>0.35</v>
      </c>
      <c r="W107">
        <f>'Kullanılan gübre'!W107*'Gübre oranlar'!Z$3</f>
        <v>0</v>
      </c>
      <c r="X107">
        <f>'Kullanılan gübre'!X107*'Gübre oranlar'!AA$3</f>
        <v>0</v>
      </c>
      <c r="Y107">
        <f>'Kullanılan gübre'!Y107*'Gübre oranlar'!AB$3</f>
        <v>0</v>
      </c>
      <c r="Z107">
        <f>'Kullanılan gübre'!Z107*'Gübre oranlar'!AC$3</f>
        <v>0</v>
      </c>
      <c r="AA107">
        <f>'Kullanılan gübre'!AA107*'Gübre oranlar'!AD$3</f>
        <v>0</v>
      </c>
      <c r="AB107">
        <f>'Kullanılan gübre'!AB107*'Gübre oranlar'!AE$3</f>
        <v>0</v>
      </c>
      <c r="AC107">
        <f>'Kullanılan gübre'!AC107*'Gübre oranlar'!AF$3</f>
        <v>0</v>
      </c>
      <c r="AD107">
        <f>'Kullanılan gübre'!AD107*'Gübre oranlar'!AG$3</f>
        <v>0</v>
      </c>
      <c r="AE107">
        <f>'Kullanılan gübre'!AE107*'Gübre oranlar'!AH$3</f>
        <v>0</v>
      </c>
      <c r="AF107">
        <f>'Kullanılan gübre'!AF107*'Gübre oranlar'!AI$3</f>
        <v>0</v>
      </c>
      <c r="AG107">
        <f>'Kullanılan gübre'!AG107*'Gübre oranlar'!AJ$3</f>
        <v>0</v>
      </c>
      <c r="AH107">
        <f>'Kullanılan gübre'!AH107*'Gübre oranlar'!AK$3</f>
        <v>0</v>
      </c>
      <c r="AI107">
        <f>'Kullanılan gübre'!AI107*'Gübre oranlar'!AL$3</f>
        <v>0</v>
      </c>
      <c r="AJ107">
        <f>'Kullanılan gübre'!AJ107*'Gübre oranlar'!AM$3</f>
        <v>0</v>
      </c>
      <c r="AK107">
        <f>'Kullanılan gübre'!AK107*'Gübre oranlar'!AN$3</f>
        <v>0</v>
      </c>
      <c r="AL107">
        <f>'Kullanılan gübre'!AL107*'Gübre oranlar'!AO$3</f>
        <v>0</v>
      </c>
      <c r="AM107">
        <f>'Kullanılan gübre'!AM107*'Gübre oranlar'!AP$3</f>
        <v>0</v>
      </c>
      <c r="AN107">
        <f>'Kullanılan gübre'!AN107*'Gübre oranlar'!AQ$3</f>
        <v>0</v>
      </c>
      <c r="AO107">
        <f>'Kullanılan gübre'!AO107*'Gübre oranlar'!AR$3</f>
        <v>0</v>
      </c>
      <c r="AP107">
        <f>'Kullanılan gübre'!AP107*'Gübre oranlar'!AS$3</f>
        <v>0</v>
      </c>
      <c r="AQ107">
        <f>'Kullanılan gübre'!AQ107*'Gübre oranlar'!AT$3</f>
        <v>0</v>
      </c>
      <c r="AR107">
        <f>'Kullanılan gübre'!AR107*'Gübre oranlar'!AU$3</f>
        <v>0</v>
      </c>
      <c r="AS107">
        <f>'Kullanılan gübre'!AS107*'Gübre oranlar'!AV$3</f>
        <v>0</v>
      </c>
      <c r="AT107">
        <f>'Kullanılan gübre'!AT107*'Gübre oranlar'!AW$3</f>
        <v>0</v>
      </c>
      <c r="AU107">
        <f>'Kullanılan gübre'!AU107*'Gübre oranlar'!AX$3</f>
        <v>0</v>
      </c>
      <c r="AV107">
        <f>'Kullanılan gübre'!AV107*'Gübre oranlar'!AY$3</f>
        <v>0</v>
      </c>
      <c r="AW107">
        <f t="shared" si="1"/>
        <v>309.34250000000003</v>
      </c>
    </row>
    <row r="108" spans="1:49" x14ac:dyDescent="0.25">
      <c r="A108" t="str">
        <f>'Kullanılan gübre'!A108</f>
        <v>AK</v>
      </c>
      <c r="B108" t="str">
        <f>'Kullanılan gübre'!B108</f>
        <v>AFYONKARAHISAR</v>
      </c>
      <c r="C108" t="str">
        <f>'Kullanılan gübre'!C108</f>
        <v>ISCEHISAR</v>
      </c>
      <c r="D108">
        <f>'Kullanılan gübre'!D108</f>
        <v>2016</v>
      </c>
      <c r="E108">
        <f>'Kullanılan gübre'!E108*'Gübre oranlar'!H$3</f>
        <v>0</v>
      </c>
      <c r="F108">
        <f>'Kullanılan gübre'!F108*'Gübre oranlar'!I$3</f>
        <v>0</v>
      </c>
      <c r="G108">
        <f>'Kullanılan gübre'!G108*'Gübre oranlar'!J$3</f>
        <v>0</v>
      </c>
      <c r="H108">
        <f>'Kullanılan gübre'!H108*'Gübre oranlar'!K$3</f>
        <v>0</v>
      </c>
      <c r="I108">
        <f>'Kullanılan gübre'!I108*'Gübre oranlar'!L$3</f>
        <v>0</v>
      </c>
      <c r="J108">
        <f>'Kullanılan gübre'!J108*'Gübre oranlar'!M$3</f>
        <v>0</v>
      </c>
      <c r="K108">
        <f>'Kullanılan gübre'!K108*'Gübre oranlar'!N$3</f>
        <v>0</v>
      </c>
      <c r="L108">
        <f>'Kullanılan gübre'!L108*'Gübre oranlar'!O$3</f>
        <v>8.2000000000000011</v>
      </c>
      <c r="M108">
        <f>'Kullanılan gübre'!M108*'Gübre oranlar'!P$3</f>
        <v>0</v>
      </c>
      <c r="N108">
        <f>'Kullanılan gübre'!N108*'Gübre oranlar'!Q$3</f>
        <v>0</v>
      </c>
      <c r="O108">
        <f>'Kullanılan gübre'!O108*'Gübre oranlar'!R$3</f>
        <v>0</v>
      </c>
      <c r="P108">
        <f>'Kullanılan gübre'!P108*'Gübre oranlar'!S$3</f>
        <v>0</v>
      </c>
      <c r="Q108">
        <f>'Kullanılan gübre'!Q108*'Gübre oranlar'!T$3</f>
        <v>0</v>
      </c>
      <c r="R108">
        <f>'Kullanılan gübre'!R108*'Gübre oranlar'!U$3</f>
        <v>0</v>
      </c>
      <c r="S108">
        <f>'Kullanılan gübre'!S108*'Gübre oranlar'!V$3</f>
        <v>0</v>
      </c>
      <c r="T108">
        <f>'Kullanılan gübre'!T108*'Gübre oranlar'!W$3</f>
        <v>51.65</v>
      </c>
      <c r="U108">
        <f>'Kullanılan gübre'!U108*'Gübre oranlar'!X$3</f>
        <v>0</v>
      </c>
      <c r="V108">
        <f>'Kullanılan gübre'!V108*'Gübre oranlar'!Y$3</f>
        <v>0</v>
      </c>
      <c r="W108">
        <f>'Kullanılan gübre'!W108*'Gübre oranlar'!Z$3</f>
        <v>0</v>
      </c>
      <c r="X108">
        <f>'Kullanılan gübre'!X108*'Gübre oranlar'!AA$3</f>
        <v>0</v>
      </c>
      <c r="Y108">
        <f>'Kullanılan gübre'!Y108*'Gübre oranlar'!AB$3</f>
        <v>0</v>
      </c>
      <c r="Z108">
        <f>'Kullanılan gübre'!Z108*'Gübre oranlar'!AC$3</f>
        <v>0</v>
      </c>
      <c r="AA108">
        <f>'Kullanılan gübre'!AA108*'Gübre oranlar'!AD$3</f>
        <v>0</v>
      </c>
      <c r="AB108">
        <f>'Kullanılan gübre'!AB108*'Gübre oranlar'!AE$3</f>
        <v>0</v>
      </c>
      <c r="AC108">
        <f>'Kullanılan gübre'!AC108*'Gübre oranlar'!AF$3</f>
        <v>0</v>
      </c>
      <c r="AD108">
        <f>'Kullanılan gübre'!AD108*'Gübre oranlar'!AG$3</f>
        <v>0</v>
      </c>
      <c r="AE108">
        <f>'Kullanılan gübre'!AE108*'Gübre oranlar'!AH$3</f>
        <v>0</v>
      </c>
      <c r="AF108">
        <f>'Kullanılan gübre'!AF108*'Gübre oranlar'!AI$3</f>
        <v>0</v>
      </c>
      <c r="AG108">
        <f>'Kullanılan gübre'!AG108*'Gübre oranlar'!AJ$3</f>
        <v>0</v>
      </c>
      <c r="AH108">
        <f>'Kullanılan gübre'!AH108*'Gübre oranlar'!AK$3</f>
        <v>0</v>
      </c>
      <c r="AI108">
        <f>'Kullanılan gübre'!AI108*'Gübre oranlar'!AL$3</f>
        <v>0</v>
      </c>
      <c r="AJ108">
        <f>'Kullanılan gübre'!AJ108*'Gübre oranlar'!AM$3</f>
        <v>0</v>
      </c>
      <c r="AK108">
        <f>'Kullanılan gübre'!AK108*'Gübre oranlar'!AN$3</f>
        <v>0</v>
      </c>
      <c r="AL108">
        <f>'Kullanılan gübre'!AL108*'Gübre oranlar'!AO$3</f>
        <v>0</v>
      </c>
      <c r="AM108">
        <f>'Kullanılan gübre'!AM108*'Gübre oranlar'!AP$3</f>
        <v>0</v>
      </c>
      <c r="AN108">
        <f>'Kullanılan gübre'!AN108*'Gübre oranlar'!AQ$3</f>
        <v>0</v>
      </c>
      <c r="AO108">
        <f>'Kullanılan gübre'!AO108*'Gübre oranlar'!AR$3</f>
        <v>0</v>
      </c>
      <c r="AP108">
        <f>'Kullanılan gübre'!AP108*'Gübre oranlar'!AS$3</f>
        <v>0</v>
      </c>
      <c r="AQ108">
        <f>'Kullanılan gübre'!AQ108*'Gübre oranlar'!AT$3</f>
        <v>0</v>
      </c>
      <c r="AR108">
        <f>'Kullanılan gübre'!AR108*'Gübre oranlar'!AU$3</f>
        <v>0</v>
      </c>
      <c r="AS108">
        <f>'Kullanılan gübre'!AS108*'Gübre oranlar'!AV$3</f>
        <v>0</v>
      </c>
      <c r="AT108">
        <f>'Kullanılan gübre'!AT108*'Gübre oranlar'!AW$3</f>
        <v>0</v>
      </c>
      <c r="AU108">
        <f>'Kullanılan gübre'!AU108*'Gübre oranlar'!AX$3</f>
        <v>0</v>
      </c>
      <c r="AV108">
        <f>'Kullanılan gübre'!AV108*'Gübre oranlar'!AY$3</f>
        <v>0</v>
      </c>
      <c r="AW108">
        <f t="shared" si="1"/>
        <v>59.85</v>
      </c>
    </row>
    <row r="109" spans="1:49" x14ac:dyDescent="0.25">
      <c r="A109" t="str">
        <f>'Kullanılan gübre'!A109</f>
        <v>AK</v>
      </c>
      <c r="B109" t="str">
        <f>'Kullanılan gübre'!B109</f>
        <v>AFYONKARAHISAR</v>
      </c>
      <c r="C109" t="str">
        <f>'Kullanılan gübre'!C109</f>
        <v>SINANPASA</v>
      </c>
      <c r="D109">
        <f>'Kullanılan gübre'!D109</f>
        <v>2016</v>
      </c>
      <c r="E109">
        <f>'Kullanılan gübre'!E109*'Gübre oranlar'!H$3</f>
        <v>0</v>
      </c>
      <c r="F109">
        <f>'Kullanılan gübre'!F109*'Gübre oranlar'!I$3</f>
        <v>0</v>
      </c>
      <c r="G109">
        <f>'Kullanılan gübre'!G109*'Gübre oranlar'!J$3</f>
        <v>0</v>
      </c>
      <c r="H109">
        <f>'Kullanılan gübre'!H109*'Gübre oranlar'!K$3</f>
        <v>0</v>
      </c>
      <c r="I109">
        <f>'Kullanılan gübre'!I109*'Gübre oranlar'!L$3</f>
        <v>0</v>
      </c>
      <c r="J109">
        <f>'Kullanılan gübre'!J109*'Gübre oranlar'!M$3</f>
        <v>0</v>
      </c>
      <c r="K109">
        <f>'Kullanılan gübre'!K109*'Gübre oranlar'!N$3</f>
        <v>42.509999999999991</v>
      </c>
      <c r="L109">
        <f>'Kullanılan gübre'!L109*'Gübre oranlar'!O$3</f>
        <v>115.80200000000001</v>
      </c>
      <c r="M109">
        <f>'Kullanılan gübre'!M109*'Gübre oranlar'!P$3</f>
        <v>7.8</v>
      </c>
      <c r="N109">
        <f>'Kullanılan gübre'!N109*'Gübre oranlar'!Q$3</f>
        <v>28.71</v>
      </c>
      <c r="O109">
        <f>'Kullanılan gübre'!O109*'Gübre oranlar'!R$3</f>
        <v>0</v>
      </c>
      <c r="P109">
        <f>'Kullanılan gübre'!P109*'Gübre oranlar'!S$3</f>
        <v>0</v>
      </c>
      <c r="Q109">
        <f>'Kullanılan gübre'!Q109*'Gübre oranlar'!T$3</f>
        <v>2.6999999999999997</v>
      </c>
      <c r="R109">
        <f>'Kullanılan gübre'!R109*'Gübre oranlar'!U$3</f>
        <v>0</v>
      </c>
      <c r="S109">
        <f>'Kullanılan gübre'!S109*'Gübre oranlar'!V$3</f>
        <v>0</v>
      </c>
      <c r="T109">
        <f>'Kullanılan gübre'!T109*'Gübre oranlar'!W$3</f>
        <v>98.05</v>
      </c>
      <c r="U109">
        <f>'Kullanılan gübre'!U109*'Gübre oranlar'!X$3</f>
        <v>0</v>
      </c>
      <c r="V109">
        <f>'Kullanılan gübre'!V109*'Gübre oranlar'!Y$3</f>
        <v>10.987499999999999</v>
      </c>
      <c r="W109">
        <f>'Kullanılan gübre'!W109*'Gübre oranlar'!Z$3</f>
        <v>0</v>
      </c>
      <c r="X109">
        <f>'Kullanılan gübre'!X109*'Gübre oranlar'!AA$3</f>
        <v>0</v>
      </c>
      <c r="Y109">
        <f>'Kullanılan gübre'!Y109*'Gübre oranlar'!AB$3</f>
        <v>0</v>
      </c>
      <c r="Z109">
        <f>'Kullanılan gübre'!Z109*'Gübre oranlar'!AC$3</f>
        <v>0</v>
      </c>
      <c r="AA109">
        <f>'Kullanılan gübre'!AA109*'Gübre oranlar'!AD$3</f>
        <v>0</v>
      </c>
      <c r="AB109">
        <f>'Kullanılan gübre'!AB109*'Gübre oranlar'!AE$3</f>
        <v>7.6249999999999998E-2</v>
      </c>
      <c r="AC109">
        <f>'Kullanılan gübre'!AC109*'Gübre oranlar'!AF$3</f>
        <v>0</v>
      </c>
      <c r="AD109">
        <f>'Kullanılan gübre'!AD109*'Gübre oranlar'!AG$3</f>
        <v>0</v>
      </c>
      <c r="AE109">
        <f>'Kullanılan gübre'!AE109*'Gübre oranlar'!AH$3</f>
        <v>0</v>
      </c>
      <c r="AF109">
        <f>'Kullanılan gübre'!AF109*'Gübre oranlar'!AI$3</f>
        <v>0</v>
      </c>
      <c r="AG109">
        <f>'Kullanılan gübre'!AG109*'Gübre oranlar'!AJ$3</f>
        <v>0</v>
      </c>
      <c r="AH109">
        <f>'Kullanılan gübre'!AH109*'Gübre oranlar'!AK$3</f>
        <v>0</v>
      </c>
      <c r="AI109">
        <f>'Kullanılan gübre'!AI109*'Gübre oranlar'!AL$3</f>
        <v>0</v>
      </c>
      <c r="AJ109">
        <f>'Kullanılan gübre'!AJ109*'Gübre oranlar'!AM$3</f>
        <v>0</v>
      </c>
      <c r="AK109">
        <f>'Kullanılan gübre'!AK109*'Gübre oranlar'!AN$3</f>
        <v>0</v>
      </c>
      <c r="AL109">
        <f>'Kullanılan gübre'!AL109*'Gübre oranlar'!AO$3</f>
        <v>0</v>
      </c>
      <c r="AM109">
        <f>'Kullanılan gübre'!AM109*'Gübre oranlar'!AP$3</f>
        <v>0</v>
      </c>
      <c r="AN109">
        <f>'Kullanılan gübre'!AN109*'Gübre oranlar'!AQ$3</f>
        <v>0</v>
      </c>
      <c r="AO109">
        <f>'Kullanılan gübre'!AO109*'Gübre oranlar'!AR$3</f>
        <v>0</v>
      </c>
      <c r="AP109">
        <f>'Kullanılan gübre'!AP109*'Gübre oranlar'!AS$3</f>
        <v>0</v>
      </c>
      <c r="AQ109">
        <f>'Kullanılan gübre'!AQ109*'Gübre oranlar'!AT$3</f>
        <v>0</v>
      </c>
      <c r="AR109">
        <f>'Kullanılan gübre'!AR109*'Gübre oranlar'!AU$3</f>
        <v>0</v>
      </c>
      <c r="AS109">
        <f>'Kullanılan gübre'!AS109*'Gübre oranlar'!AV$3</f>
        <v>0</v>
      </c>
      <c r="AT109">
        <f>'Kullanılan gübre'!AT109*'Gübre oranlar'!AW$3</f>
        <v>0</v>
      </c>
      <c r="AU109">
        <f>'Kullanılan gübre'!AU109*'Gübre oranlar'!AX$3</f>
        <v>0</v>
      </c>
      <c r="AV109">
        <f>'Kullanılan gübre'!AV109*'Gübre oranlar'!AY$3</f>
        <v>0</v>
      </c>
      <c r="AW109">
        <f t="shared" si="1"/>
        <v>306.63575000000003</v>
      </c>
    </row>
    <row r="110" spans="1:49" x14ac:dyDescent="0.25">
      <c r="A110" t="str">
        <f>'Kullanılan gübre'!A110</f>
        <v>AK</v>
      </c>
      <c r="B110" t="str">
        <f>'Kullanılan gübre'!B110</f>
        <v>AFYONKARAHISAR</v>
      </c>
      <c r="C110" t="str">
        <f>'Kullanılan gübre'!C110</f>
        <v>SULTANDAGI</v>
      </c>
      <c r="D110">
        <f>'Kullanılan gübre'!D110</f>
        <v>2016</v>
      </c>
      <c r="E110">
        <f>'Kullanılan gübre'!E110*'Gübre oranlar'!H$3</f>
        <v>0</v>
      </c>
      <c r="F110">
        <f>'Kullanılan gübre'!F110*'Gübre oranlar'!I$3</f>
        <v>0</v>
      </c>
      <c r="G110">
        <f>'Kullanılan gübre'!G110*'Gübre oranlar'!J$3</f>
        <v>0</v>
      </c>
      <c r="H110">
        <f>'Kullanılan gübre'!H110*'Gübre oranlar'!K$3</f>
        <v>0</v>
      </c>
      <c r="I110">
        <f>'Kullanılan gübre'!I110*'Gübre oranlar'!L$3</f>
        <v>0.86</v>
      </c>
      <c r="J110">
        <f>'Kullanılan gübre'!J110*'Gübre oranlar'!M$3</f>
        <v>0</v>
      </c>
      <c r="K110">
        <f>'Kullanılan gübre'!K110*'Gübre oranlar'!N$3</f>
        <v>0</v>
      </c>
      <c r="L110">
        <f>'Kullanılan gübre'!L110*'Gübre oranlar'!O$3</f>
        <v>0</v>
      </c>
      <c r="M110">
        <f>'Kullanılan gübre'!M110*'Gübre oranlar'!P$3</f>
        <v>0</v>
      </c>
      <c r="N110">
        <f>'Kullanılan gübre'!N110*'Gübre oranlar'!Q$3</f>
        <v>0.75</v>
      </c>
      <c r="O110">
        <f>'Kullanılan gübre'!O110*'Gübre oranlar'!R$3</f>
        <v>0</v>
      </c>
      <c r="P110">
        <f>'Kullanılan gübre'!P110*'Gübre oranlar'!S$3</f>
        <v>0</v>
      </c>
      <c r="Q110">
        <f>'Kullanılan gübre'!Q110*'Gübre oranlar'!T$3</f>
        <v>0</v>
      </c>
      <c r="R110">
        <f>'Kullanılan gübre'!R110*'Gübre oranlar'!U$3</f>
        <v>0</v>
      </c>
      <c r="S110">
        <f>'Kullanılan gübre'!S110*'Gübre oranlar'!V$3</f>
        <v>0</v>
      </c>
      <c r="T110">
        <f>'Kullanılan gübre'!T110*'Gübre oranlar'!W$3</f>
        <v>1.25</v>
      </c>
      <c r="U110">
        <f>'Kullanılan gübre'!U110*'Gübre oranlar'!X$3</f>
        <v>0</v>
      </c>
      <c r="V110">
        <f>'Kullanılan gübre'!V110*'Gübre oranlar'!Y$3</f>
        <v>0</v>
      </c>
      <c r="W110">
        <f>'Kullanılan gübre'!W110*'Gübre oranlar'!Z$3</f>
        <v>0</v>
      </c>
      <c r="X110">
        <f>'Kullanılan gübre'!X110*'Gübre oranlar'!AA$3</f>
        <v>0</v>
      </c>
      <c r="Y110">
        <f>'Kullanılan gübre'!Y110*'Gübre oranlar'!AB$3</f>
        <v>0</v>
      </c>
      <c r="Z110">
        <f>'Kullanılan gübre'!Z110*'Gübre oranlar'!AC$3</f>
        <v>0</v>
      </c>
      <c r="AA110">
        <f>'Kullanılan gübre'!AA110*'Gübre oranlar'!AD$3</f>
        <v>0</v>
      </c>
      <c r="AB110">
        <f>'Kullanılan gübre'!AB110*'Gübre oranlar'!AE$3</f>
        <v>0</v>
      </c>
      <c r="AC110">
        <f>'Kullanılan gübre'!AC110*'Gübre oranlar'!AF$3</f>
        <v>0</v>
      </c>
      <c r="AD110">
        <f>'Kullanılan gübre'!AD110*'Gübre oranlar'!AG$3</f>
        <v>0</v>
      </c>
      <c r="AE110">
        <f>'Kullanılan gübre'!AE110*'Gübre oranlar'!AH$3</f>
        <v>0</v>
      </c>
      <c r="AF110">
        <f>'Kullanılan gübre'!AF110*'Gübre oranlar'!AI$3</f>
        <v>0</v>
      </c>
      <c r="AG110">
        <f>'Kullanılan gübre'!AG110*'Gübre oranlar'!AJ$3</f>
        <v>0</v>
      </c>
      <c r="AH110">
        <f>'Kullanılan gübre'!AH110*'Gübre oranlar'!AK$3</f>
        <v>0</v>
      </c>
      <c r="AI110">
        <f>'Kullanılan gübre'!AI110*'Gübre oranlar'!AL$3</f>
        <v>0</v>
      </c>
      <c r="AJ110">
        <f>'Kullanılan gübre'!AJ110*'Gübre oranlar'!AM$3</f>
        <v>0</v>
      </c>
      <c r="AK110">
        <f>'Kullanılan gübre'!AK110*'Gübre oranlar'!AN$3</f>
        <v>0</v>
      </c>
      <c r="AL110">
        <f>'Kullanılan gübre'!AL110*'Gübre oranlar'!AO$3</f>
        <v>0</v>
      </c>
      <c r="AM110">
        <f>'Kullanılan gübre'!AM110*'Gübre oranlar'!AP$3</f>
        <v>0</v>
      </c>
      <c r="AN110">
        <f>'Kullanılan gübre'!AN110*'Gübre oranlar'!AQ$3</f>
        <v>0</v>
      </c>
      <c r="AO110">
        <f>'Kullanılan gübre'!AO110*'Gübre oranlar'!AR$3</f>
        <v>0</v>
      </c>
      <c r="AP110">
        <f>'Kullanılan gübre'!AP110*'Gübre oranlar'!AS$3</f>
        <v>0</v>
      </c>
      <c r="AQ110">
        <f>'Kullanılan gübre'!AQ110*'Gübre oranlar'!AT$3</f>
        <v>0</v>
      </c>
      <c r="AR110">
        <f>'Kullanılan gübre'!AR110*'Gübre oranlar'!AU$3</f>
        <v>0</v>
      </c>
      <c r="AS110">
        <f>'Kullanılan gübre'!AS110*'Gübre oranlar'!AV$3</f>
        <v>0</v>
      </c>
      <c r="AT110">
        <f>'Kullanılan gübre'!AT110*'Gübre oranlar'!AW$3</f>
        <v>0</v>
      </c>
      <c r="AU110">
        <f>'Kullanılan gübre'!AU110*'Gübre oranlar'!AX$3</f>
        <v>0</v>
      </c>
      <c r="AV110">
        <f>'Kullanılan gübre'!AV110*'Gübre oranlar'!AY$3</f>
        <v>0</v>
      </c>
      <c r="AW110">
        <f t="shared" si="1"/>
        <v>2.86</v>
      </c>
    </row>
    <row r="111" spans="1:49" x14ac:dyDescent="0.25">
      <c r="A111" t="str">
        <f>'Kullanılan gübre'!A111</f>
        <v>AK</v>
      </c>
      <c r="B111" t="str">
        <f>'Kullanılan gübre'!B111</f>
        <v>AFYONKARAHISAR</v>
      </c>
      <c r="C111" t="str">
        <f>'Kullanılan gübre'!C111</f>
        <v>SUHUT</v>
      </c>
      <c r="D111">
        <f>'Kullanılan gübre'!D111</f>
        <v>2016</v>
      </c>
      <c r="E111">
        <f>'Kullanılan gübre'!E111*'Gübre oranlar'!H$3</f>
        <v>0</v>
      </c>
      <c r="F111">
        <f>'Kullanılan gübre'!F111*'Gübre oranlar'!I$3</f>
        <v>0</v>
      </c>
      <c r="G111">
        <f>'Kullanılan gübre'!G111*'Gübre oranlar'!J$3</f>
        <v>0</v>
      </c>
      <c r="H111">
        <f>'Kullanılan gübre'!H111*'Gübre oranlar'!K$3</f>
        <v>0</v>
      </c>
      <c r="I111">
        <f>'Kullanılan gübre'!I111*'Gübre oranlar'!L$3</f>
        <v>7.1165000000000003</v>
      </c>
      <c r="J111">
        <f>'Kullanılan gübre'!J111*'Gübre oranlar'!M$3</f>
        <v>0</v>
      </c>
      <c r="K111">
        <f>'Kullanılan gübre'!K111*'Gübre oranlar'!N$3</f>
        <v>45.58</v>
      </c>
      <c r="L111">
        <f>'Kullanılan gübre'!L111*'Gübre oranlar'!O$3</f>
        <v>54.25500000000001</v>
      </c>
      <c r="M111">
        <f>'Kullanılan gübre'!M111*'Gübre oranlar'!P$3</f>
        <v>81.045000000000002</v>
      </c>
      <c r="N111">
        <f>'Kullanılan gübre'!N111*'Gübre oranlar'!Q$3</f>
        <v>184.02749999999997</v>
      </c>
      <c r="O111">
        <f>'Kullanılan gübre'!O111*'Gübre oranlar'!R$3</f>
        <v>0</v>
      </c>
      <c r="P111">
        <f>'Kullanılan gübre'!P111*'Gübre oranlar'!S$3</f>
        <v>0</v>
      </c>
      <c r="Q111">
        <f>'Kullanılan gübre'!Q111*'Gübre oranlar'!T$3</f>
        <v>237.6</v>
      </c>
      <c r="R111">
        <f>'Kullanılan gübre'!R111*'Gübre oranlar'!U$3</f>
        <v>0</v>
      </c>
      <c r="S111">
        <f>'Kullanılan gübre'!S111*'Gübre oranlar'!V$3</f>
        <v>0</v>
      </c>
      <c r="T111">
        <f>'Kullanılan gübre'!T111*'Gübre oranlar'!W$3</f>
        <v>36.537500000000001</v>
      </c>
      <c r="U111">
        <f>'Kullanılan gübre'!U111*'Gübre oranlar'!X$3</f>
        <v>0</v>
      </c>
      <c r="V111">
        <f>'Kullanılan gübre'!V111*'Gübre oranlar'!Y$3</f>
        <v>0</v>
      </c>
      <c r="W111">
        <f>'Kullanılan gübre'!W111*'Gübre oranlar'!Z$3</f>
        <v>0</v>
      </c>
      <c r="X111">
        <f>'Kullanılan gübre'!X111*'Gübre oranlar'!AA$3</f>
        <v>32.68</v>
      </c>
      <c r="Y111">
        <f>'Kullanılan gübre'!Y111*'Gübre oranlar'!AB$3</f>
        <v>0</v>
      </c>
      <c r="Z111">
        <f>'Kullanılan gübre'!Z111*'Gübre oranlar'!AC$3</f>
        <v>0</v>
      </c>
      <c r="AA111">
        <f>'Kullanılan gübre'!AA111*'Gübre oranlar'!AD$3</f>
        <v>0</v>
      </c>
      <c r="AB111">
        <f>'Kullanılan gübre'!AB111*'Gübre oranlar'!AE$3</f>
        <v>0</v>
      </c>
      <c r="AC111">
        <f>'Kullanılan gübre'!AC111*'Gübre oranlar'!AF$3</f>
        <v>0</v>
      </c>
      <c r="AD111">
        <f>'Kullanılan gübre'!AD111*'Gübre oranlar'!AG$3</f>
        <v>0</v>
      </c>
      <c r="AE111">
        <f>'Kullanılan gübre'!AE111*'Gübre oranlar'!AH$3</f>
        <v>21.324999999999999</v>
      </c>
      <c r="AF111">
        <f>'Kullanılan gübre'!AF111*'Gübre oranlar'!AI$3</f>
        <v>0</v>
      </c>
      <c r="AG111">
        <f>'Kullanılan gübre'!AG111*'Gübre oranlar'!AJ$3</f>
        <v>0</v>
      </c>
      <c r="AH111">
        <f>'Kullanılan gübre'!AH111*'Gübre oranlar'!AK$3</f>
        <v>0</v>
      </c>
      <c r="AI111">
        <f>'Kullanılan gübre'!AI111*'Gübre oranlar'!AL$3</f>
        <v>0</v>
      </c>
      <c r="AJ111">
        <f>'Kullanılan gübre'!AJ111*'Gübre oranlar'!AM$3</f>
        <v>0</v>
      </c>
      <c r="AK111">
        <f>'Kullanılan gübre'!AK111*'Gübre oranlar'!AN$3</f>
        <v>0</v>
      </c>
      <c r="AL111">
        <f>'Kullanılan gübre'!AL111*'Gübre oranlar'!AO$3</f>
        <v>0</v>
      </c>
      <c r="AM111">
        <f>'Kullanılan gübre'!AM111*'Gübre oranlar'!AP$3</f>
        <v>0</v>
      </c>
      <c r="AN111">
        <f>'Kullanılan gübre'!AN111*'Gübre oranlar'!AQ$3</f>
        <v>0</v>
      </c>
      <c r="AO111">
        <f>'Kullanılan gübre'!AO111*'Gübre oranlar'!AR$3</f>
        <v>0</v>
      </c>
      <c r="AP111">
        <f>'Kullanılan gübre'!AP111*'Gübre oranlar'!AS$3</f>
        <v>0</v>
      </c>
      <c r="AQ111">
        <f>'Kullanılan gübre'!AQ111*'Gübre oranlar'!AT$3</f>
        <v>0</v>
      </c>
      <c r="AR111">
        <f>'Kullanılan gübre'!AR111*'Gübre oranlar'!AU$3</f>
        <v>0</v>
      </c>
      <c r="AS111">
        <f>'Kullanılan gübre'!AS111*'Gübre oranlar'!AV$3</f>
        <v>0</v>
      </c>
      <c r="AT111">
        <f>'Kullanılan gübre'!AT111*'Gübre oranlar'!AW$3</f>
        <v>0</v>
      </c>
      <c r="AU111">
        <f>'Kullanılan gübre'!AU111*'Gübre oranlar'!AX$3</f>
        <v>0</v>
      </c>
      <c r="AV111">
        <f>'Kullanılan gübre'!AV111*'Gübre oranlar'!AY$3</f>
        <v>0</v>
      </c>
      <c r="AW111">
        <f t="shared" si="1"/>
        <v>700.16650000000004</v>
      </c>
    </row>
    <row r="112" spans="1:49" x14ac:dyDescent="0.25">
      <c r="A112" t="str">
        <f>'Kullanılan gübre'!A112</f>
        <v>AK</v>
      </c>
      <c r="B112" t="str">
        <f>'Kullanılan gübre'!B112</f>
        <v>AFYONKARAHISAR</v>
      </c>
      <c r="C112" t="str">
        <f>'Kullanılan gübre'!C112</f>
        <v>MERKEZ</v>
      </c>
      <c r="D112">
        <f>'Kullanılan gübre'!D112</f>
        <v>2017</v>
      </c>
      <c r="E112">
        <f>'Kullanılan gübre'!E112*'Gübre oranlar'!H$3</f>
        <v>0</v>
      </c>
      <c r="F112">
        <f>'Kullanılan gübre'!F112*'Gübre oranlar'!I$3</f>
        <v>0</v>
      </c>
      <c r="G112">
        <f>'Kullanılan gübre'!G112*'Gübre oranlar'!J$3</f>
        <v>0</v>
      </c>
      <c r="H112">
        <f>'Kullanılan gübre'!H112*'Gübre oranlar'!K$3</f>
        <v>0</v>
      </c>
      <c r="I112">
        <f>'Kullanılan gübre'!I112*'Gübre oranlar'!L$3</f>
        <v>0</v>
      </c>
      <c r="J112">
        <f>'Kullanılan gübre'!J112*'Gübre oranlar'!M$3</f>
        <v>0</v>
      </c>
      <c r="K112">
        <f>'Kullanılan gübre'!K112*'Gübre oranlar'!N$3</f>
        <v>184.64999999999998</v>
      </c>
      <c r="L112">
        <f>'Kullanılan gübre'!L112*'Gübre oranlar'!O$3</f>
        <v>87.760000000000019</v>
      </c>
      <c r="M112">
        <f>'Kullanılan gübre'!M112*'Gübre oranlar'!P$3</f>
        <v>34.222499999999997</v>
      </c>
      <c r="N112">
        <f>'Kullanılan gübre'!N112*'Gübre oranlar'!Q$3</f>
        <v>135.11249999999998</v>
      </c>
      <c r="O112">
        <f>'Kullanılan gübre'!O112*'Gübre oranlar'!R$3</f>
        <v>0</v>
      </c>
      <c r="P112">
        <f>'Kullanılan gübre'!P112*'Gübre oranlar'!S$3</f>
        <v>0</v>
      </c>
      <c r="Q112">
        <f>'Kullanılan gübre'!Q112*'Gübre oranlar'!T$3</f>
        <v>0</v>
      </c>
      <c r="R112">
        <f>'Kullanılan gübre'!R112*'Gübre oranlar'!U$3</f>
        <v>0</v>
      </c>
      <c r="S112">
        <f>'Kullanılan gübre'!S112*'Gübre oranlar'!V$3</f>
        <v>0</v>
      </c>
      <c r="T112">
        <f>'Kullanılan gübre'!T112*'Gübre oranlar'!W$3</f>
        <v>68.324999999999989</v>
      </c>
      <c r="U112">
        <f>'Kullanılan gübre'!U112*'Gübre oranlar'!X$3</f>
        <v>0</v>
      </c>
      <c r="V112">
        <f>'Kullanılan gübre'!V112*'Gübre oranlar'!Y$3</f>
        <v>62.95</v>
      </c>
      <c r="W112">
        <f>'Kullanılan gübre'!W112*'Gübre oranlar'!Z$3</f>
        <v>0</v>
      </c>
      <c r="X112">
        <f>'Kullanılan gübre'!X112*'Gübre oranlar'!AA$3</f>
        <v>0</v>
      </c>
      <c r="Y112">
        <f>'Kullanılan gübre'!Y112*'Gübre oranlar'!AB$3</f>
        <v>0</v>
      </c>
      <c r="Z112">
        <f>'Kullanılan gübre'!Z112*'Gübre oranlar'!AC$3</f>
        <v>0</v>
      </c>
      <c r="AA112">
        <f>'Kullanılan gübre'!AA112*'Gübre oranlar'!AD$3</f>
        <v>0</v>
      </c>
      <c r="AB112">
        <f>'Kullanılan gübre'!AB112*'Gübre oranlar'!AE$3</f>
        <v>0</v>
      </c>
      <c r="AC112">
        <f>'Kullanılan gübre'!AC112*'Gübre oranlar'!AF$3</f>
        <v>0</v>
      </c>
      <c r="AD112">
        <f>'Kullanılan gübre'!AD112*'Gübre oranlar'!AG$3</f>
        <v>0</v>
      </c>
      <c r="AE112">
        <f>'Kullanılan gübre'!AE112*'Gübre oranlar'!AH$3</f>
        <v>0</v>
      </c>
      <c r="AF112">
        <f>'Kullanılan gübre'!AF112*'Gübre oranlar'!AI$3</f>
        <v>0</v>
      </c>
      <c r="AG112">
        <f>'Kullanılan gübre'!AG112*'Gübre oranlar'!AJ$3</f>
        <v>0</v>
      </c>
      <c r="AH112">
        <f>'Kullanılan gübre'!AH112*'Gübre oranlar'!AK$3</f>
        <v>0</v>
      </c>
      <c r="AI112">
        <f>'Kullanılan gübre'!AI112*'Gübre oranlar'!AL$3</f>
        <v>0</v>
      </c>
      <c r="AJ112">
        <f>'Kullanılan gübre'!AJ112*'Gübre oranlar'!AM$3</f>
        <v>0</v>
      </c>
      <c r="AK112">
        <f>'Kullanılan gübre'!AK112*'Gübre oranlar'!AN$3</f>
        <v>0</v>
      </c>
      <c r="AL112">
        <f>'Kullanılan gübre'!AL112*'Gübre oranlar'!AO$3</f>
        <v>0</v>
      </c>
      <c r="AM112">
        <f>'Kullanılan gübre'!AM112*'Gübre oranlar'!AP$3</f>
        <v>0</v>
      </c>
      <c r="AN112">
        <f>'Kullanılan gübre'!AN112*'Gübre oranlar'!AQ$3</f>
        <v>0</v>
      </c>
      <c r="AO112">
        <f>'Kullanılan gübre'!AO112*'Gübre oranlar'!AR$3</f>
        <v>0</v>
      </c>
      <c r="AP112">
        <f>'Kullanılan gübre'!AP112*'Gübre oranlar'!AS$3</f>
        <v>0</v>
      </c>
      <c r="AQ112">
        <f>'Kullanılan gübre'!AQ112*'Gübre oranlar'!AT$3</f>
        <v>0</v>
      </c>
      <c r="AR112">
        <f>'Kullanılan gübre'!AR112*'Gübre oranlar'!AU$3</f>
        <v>0</v>
      </c>
      <c r="AS112">
        <f>'Kullanılan gübre'!AS112*'Gübre oranlar'!AV$3</f>
        <v>0</v>
      </c>
      <c r="AT112">
        <f>'Kullanılan gübre'!AT112*'Gübre oranlar'!AW$3</f>
        <v>0</v>
      </c>
      <c r="AU112">
        <f>'Kullanılan gübre'!AU112*'Gübre oranlar'!AX$3</f>
        <v>0</v>
      </c>
      <c r="AV112">
        <f>'Kullanılan gübre'!AV112*'Gübre oranlar'!AY$3</f>
        <v>0</v>
      </c>
      <c r="AW112">
        <f t="shared" si="1"/>
        <v>573.01999999999987</v>
      </c>
    </row>
    <row r="113" spans="1:49" x14ac:dyDescent="0.25">
      <c r="A113" t="str">
        <f>'Kullanılan gübre'!A113</f>
        <v>AK</v>
      </c>
      <c r="B113" t="str">
        <f>'Kullanılan gübre'!B113</f>
        <v>AFYONKARAHISAR</v>
      </c>
      <c r="C113" t="str">
        <f>'Kullanılan gübre'!C113</f>
        <v>BAYAT</v>
      </c>
      <c r="D113">
        <f>'Kullanılan gübre'!D113</f>
        <v>2017</v>
      </c>
      <c r="E113">
        <f>'Kullanılan gübre'!E113*'Gübre oranlar'!H$3</f>
        <v>0</v>
      </c>
      <c r="F113">
        <f>'Kullanılan gübre'!F113*'Gübre oranlar'!I$3</f>
        <v>0</v>
      </c>
      <c r="G113">
        <f>'Kullanılan gübre'!G113*'Gübre oranlar'!J$3</f>
        <v>0</v>
      </c>
      <c r="H113">
        <f>'Kullanılan gübre'!H113*'Gübre oranlar'!K$3</f>
        <v>0</v>
      </c>
      <c r="I113">
        <f>'Kullanılan gübre'!I113*'Gübre oranlar'!L$3</f>
        <v>0</v>
      </c>
      <c r="J113">
        <f>'Kullanılan gübre'!J113*'Gübre oranlar'!M$3</f>
        <v>0</v>
      </c>
      <c r="K113">
        <f>'Kullanılan gübre'!K113*'Gübre oranlar'!N$3</f>
        <v>0</v>
      </c>
      <c r="L113">
        <f>'Kullanılan gübre'!L113*'Gübre oranlar'!O$3</f>
        <v>17.05</v>
      </c>
      <c r="M113">
        <f>'Kullanılan gübre'!M113*'Gübre oranlar'!P$3</f>
        <v>0</v>
      </c>
      <c r="N113">
        <f>'Kullanılan gübre'!N113*'Gübre oranlar'!Q$3</f>
        <v>0</v>
      </c>
      <c r="O113">
        <f>'Kullanılan gübre'!O113*'Gübre oranlar'!R$3</f>
        <v>0</v>
      </c>
      <c r="P113">
        <f>'Kullanılan gübre'!P113*'Gübre oranlar'!S$3</f>
        <v>0</v>
      </c>
      <c r="Q113">
        <f>'Kullanılan gübre'!Q113*'Gübre oranlar'!T$3</f>
        <v>0</v>
      </c>
      <c r="R113">
        <f>'Kullanılan gübre'!R113*'Gübre oranlar'!U$3</f>
        <v>0</v>
      </c>
      <c r="S113">
        <f>'Kullanılan gübre'!S113*'Gübre oranlar'!V$3</f>
        <v>0</v>
      </c>
      <c r="T113">
        <f>'Kullanılan gübre'!T113*'Gübre oranlar'!W$3</f>
        <v>19.25</v>
      </c>
      <c r="U113">
        <f>'Kullanılan gübre'!U113*'Gübre oranlar'!X$3</f>
        <v>0</v>
      </c>
      <c r="V113">
        <f>'Kullanılan gübre'!V113*'Gübre oranlar'!Y$3</f>
        <v>0</v>
      </c>
      <c r="W113">
        <f>'Kullanılan gübre'!W113*'Gübre oranlar'!Z$3</f>
        <v>0</v>
      </c>
      <c r="X113">
        <f>'Kullanılan gübre'!X113*'Gübre oranlar'!AA$3</f>
        <v>0</v>
      </c>
      <c r="Y113">
        <f>'Kullanılan gübre'!Y113*'Gübre oranlar'!AB$3</f>
        <v>0</v>
      </c>
      <c r="Z113">
        <f>'Kullanılan gübre'!Z113*'Gübre oranlar'!AC$3</f>
        <v>0</v>
      </c>
      <c r="AA113">
        <f>'Kullanılan gübre'!AA113*'Gübre oranlar'!AD$3</f>
        <v>0</v>
      </c>
      <c r="AB113">
        <f>'Kullanılan gübre'!AB113*'Gübre oranlar'!AE$3</f>
        <v>0</v>
      </c>
      <c r="AC113">
        <f>'Kullanılan gübre'!AC113*'Gübre oranlar'!AF$3</f>
        <v>0</v>
      </c>
      <c r="AD113">
        <f>'Kullanılan gübre'!AD113*'Gübre oranlar'!AG$3</f>
        <v>0</v>
      </c>
      <c r="AE113">
        <f>'Kullanılan gübre'!AE113*'Gübre oranlar'!AH$3</f>
        <v>0</v>
      </c>
      <c r="AF113">
        <f>'Kullanılan gübre'!AF113*'Gübre oranlar'!AI$3</f>
        <v>0</v>
      </c>
      <c r="AG113">
        <f>'Kullanılan gübre'!AG113*'Gübre oranlar'!AJ$3</f>
        <v>0</v>
      </c>
      <c r="AH113">
        <f>'Kullanılan gübre'!AH113*'Gübre oranlar'!AK$3</f>
        <v>0</v>
      </c>
      <c r="AI113">
        <f>'Kullanılan gübre'!AI113*'Gübre oranlar'!AL$3</f>
        <v>0</v>
      </c>
      <c r="AJ113">
        <f>'Kullanılan gübre'!AJ113*'Gübre oranlar'!AM$3</f>
        <v>0</v>
      </c>
      <c r="AK113">
        <f>'Kullanılan gübre'!AK113*'Gübre oranlar'!AN$3</f>
        <v>0</v>
      </c>
      <c r="AL113">
        <f>'Kullanılan gübre'!AL113*'Gübre oranlar'!AO$3</f>
        <v>0</v>
      </c>
      <c r="AM113">
        <f>'Kullanılan gübre'!AM113*'Gübre oranlar'!AP$3</f>
        <v>0</v>
      </c>
      <c r="AN113">
        <f>'Kullanılan gübre'!AN113*'Gübre oranlar'!AQ$3</f>
        <v>0</v>
      </c>
      <c r="AO113">
        <f>'Kullanılan gübre'!AO113*'Gübre oranlar'!AR$3</f>
        <v>0</v>
      </c>
      <c r="AP113">
        <f>'Kullanılan gübre'!AP113*'Gübre oranlar'!AS$3</f>
        <v>0</v>
      </c>
      <c r="AQ113">
        <f>'Kullanılan gübre'!AQ113*'Gübre oranlar'!AT$3</f>
        <v>0</v>
      </c>
      <c r="AR113">
        <f>'Kullanılan gübre'!AR113*'Gübre oranlar'!AU$3</f>
        <v>0</v>
      </c>
      <c r="AS113">
        <f>'Kullanılan gübre'!AS113*'Gübre oranlar'!AV$3</f>
        <v>0</v>
      </c>
      <c r="AT113">
        <f>'Kullanılan gübre'!AT113*'Gübre oranlar'!AW$3</f>
        <v>0</v>
      </c>
      <c r="AU113">
        <f>'Kullanılan gübre'!AU113*'Gübre oranlar'!AX$3</f>
        <v>0</v>
      </c>
      <c r="AV113">
        <f>'Kullanılan gübre'!AV113*'Gübre oranlar'!AY$3</f>
        <v>0</v>
      </c>
      <c r="AW113">
        <f t="shared" si="1"/>
        <v>36.299999999999997</v>
      </c>
    </row>
    <row r="114" spans="1:49" x14ac:dyDescent="0.25">
      <c r="A114" t="str">
        <f>'Kullanılan gübre'!A114</f>
        <v>AK</v>
      </c>
      <c r="B114" t="str">
        <f>'Kullanılan gübre'!B114</f>
        <v>AFYONKARAHISAR</v>
      </c>
      <c r="C114" t="str">
        <f>'Kullanılan gübre'!C114</f>
        <v>BOLVADIN</v>
      </c>
      <c r="D114">
        <f>'Kullanılan gübre'!D114</f>
        <v>2017</v>
      </c>
      <c r="E114">
        <f>'Kullanılan gübre'!E114*'Gübre oranlar'!H$3</f>
        <v>0</v>
      </c>
      <c r="F114">
        <f>'Kullanılan gübre'!F114*'Gübre oranlar'!I$3</f>
        <v>0</v>
      </c>
      <c r="G114">
        <f>'Kullanılan gübre'!G114*'Gübre oranlar'!J$3</f>
        <v>0</v>
      </c>
      <c r="H114">
        <f>'Kullanılan gübre'!H114*'Gübre oranlar'!K$3</f>
        <v>0</v>
      </c>
      <c r="I114">
        <f>'Kullanılan gübre'!I114*'Gübre oranlar'!L$3</f>
        <v>0</v>
      </c>
      <c r="J114">
        <f>'Kullanılan gübre'!J114*'Gübre oranlar'!M$3</f>
        <v>0</v>
      </c>
      <c r="K114">
        <f>'Kullanılan gübre'!K114*'Gübre oranlar'!N$3</f>
        <v>0</v>
      </c>
      <c r="L114">
        <f>'Kullanılan gübre'!L114*'Gübre oranlar'!O$3</f>
        <v>14.100000000000001</v>
      </c>
      <c r="M114">
        <f>'Kullanılan gübre'!M114*'Gübre oranlar'!P$3</f>
        <v>0</v>
      </c>
      <c r="N114">
        <f>'Kullanılan gübre'!N114*'Gübre oranlar'!Q$3</f>
        <v>16.762499999999999</v>
      </c>
      <c r="O114">
        <f>'Kullanılan gübre'!O114*'Gübre oranlar'!R$3</f>
        <v>0</v>
      </c>
      <c r="P114">
        <f>'Kullanılan gübre'!P114*'Gübre oranlar'!S$3</f>
        <v>0</v>
      </c>
      <c r="Q114">
        <f>'Kullanılan gübre'!Q114*'Gübre oranlar'!T$3</f>
        <v>0</v>
      </c>
      <c r="R114">
        <f>'Kullanılan gübre'!R114*'Gübre oranlar'!U$3</f>
        <v>0</v>
      </c>
      <c r="S114">
        <f>'Kullanılan gübre'!S114*'Gübre oranlar'!V$3</f>
        <v>0</v>
      </c>
      <c r="T114">
        <f>'Kullanılan gübre'!T114*'Gübre oranlar'!W$3</f>
        <v>52.024999999999991</v>
      </c>
      <c r="U114">
        <f>'Kullanılan gübre'!U114*'Gübre oranlar'!X$3</f>
        <v>0</v>
      </c>
      <c r="V114">
        <f>'Kullanılan gübre'!V114*'Gübre oranlar'!Y$3</f>
        <v>0</v>
      </c>
      <c r="W114">
        <f>'Kullanılan gübre'!W114*'Gübre oranlar'!Z$3</f>
        <v>0</v>
      </c>
      <c r="X114">
        <f>'Kullanılan gübre'!X114*'Gübre oranlar'!AA$3</f>
        <v>0</v>
      </c>
      <c r="Y114">
        <f>'Kullanılan gübre'!Y114*'Gübre oranlar'!AB$3</f>
        <v>0</v>
      </c>
      <c r="Z114">
        <f>'Kullanılan gübre'!Z114*'Gübre oranlar'!AC$3</f>
        <v>0</v>
      </c>
      <c r="AA114">
        <f>'Kullanılan gübre'!AA114*'Gübre oranlar'!AD$3</f>
        <v>0</v>
      </c>
      <c r="AB114">
        <f>'Kullanılan gübre'!AB114*'Gübre oranlar'!AE$3</f>
        <v>0</v>
      </c>
      <c r="AC114">
        <f>'Kullanılan gübre'!AC114*'Gübre oranlar'!AF$3</f>
        <v>0</v>
      </c>
      <c r="AD114">
        <f>'Kullanılan gübre'!AD114*'Gübre oranlar'!AG$3</f>
        <v>0</v>
      </c>
      <c r="AE114">
        <f>'Kullanılan gübre'!AE114*'Gübre oranlar'!AH$3</f>
        <v>3.375</v>
      </c>
      <c r="AF114">
        <f>'Kullanılan gübre'!AF114*'Gübre oranlar'!AI$3</f>
        <v>0</v>
      </c>
      <c r="AG114">
        <f>'Kullanılan gübre'!AG114*'Gübre oranlar'!AJ$3</f>
        <v>0</v>
      </c>
      <c r="AH114">
        <f>'Kullanılan gübre'!AH114*'Gübre oranlar'!AK$3</f>
        <v>0</v>
      </c>
      <c r="AI114">
        <f>'Kullanılan gübre'!AI114*'Gübre oranlar'!AL$3</f>
        <v>0</v>
      </c>
      <c r="AJ114">
        <f>'Kullanılan gübre'!AJ114*'Gübre oranlar'!AM$3</f>
        <v>0</v>
      </c>
      <c r="AK114">
        <f>'Kullanılan gübre'!AK114*'Gübre oranlar'!AN$3</f>
        <v>0</v>
      </c>
      <c r="AL114">
        <f>'Kullanılan gübre'!AL114*'Gübre oranlar'!AO$3</f>
        <v>0</v>
      </c>
      <c r="AM114">
        <f>'Kullanılan gübre'!AM114*'Gübre oranlar'!AP$3</f>
        <v>0</v>
      </c>
      <c r="AN114">
        <f>'Kullanılan gübre'!AN114*'Gübre oranlar'!AQ$3</f>
        <v>0</v>
      </c>
      <c r="AO114">
        <f>'Kullanılan gübre'!AO114*'Gübre oranlar'!AR$3</f>
        <v>0</v>
      </c>
      <c r="AP114">
        <f>'Kullanılan gübre'!AP114*'Gübre oranlar'!AS$3</f>
        <v>0</v>
      </c>
      <c r="AQ114">
        <f>'Kullanılan gübre'!AQ114*'Gübre oranlar'!AT$3</f>
        <v>0</v>
      </c>
      <c r="AR114">
        <f>'Kullanılan gübre'!AR114*'Gübre oranlar'!AU$3</f>
        <v>0</v>
      </c>
      <c r="AS114">
        <f>'Kullanılan gübre'!AS114*'Gübre oranlar'!AV$3</f>
        <v>0</v>
      </c>
      <c r="AT114">
        <f>'Kullanılan gübre'!AT114*'Gübre oranlar'!AW$3</f>
        <v>0</v>
      </c>
      <c r="AU114">
        <f>'Kullanılan gübre'!AU114*'Gübre oranlar'!AX$3</f>
        <v>0</v>
      </c>
      <c r="AV114">
        <f>'Kullanılan gübre'!AV114*'Gübre oranlar'!AY$3</f>
        <v>0</v>
      </c>
      <c r="AW114">
        <f t="shared" si="1"/>
        <v>86.262499999999989</v>
      </c>
    </row>
    <row r="115" spans="1:49" x14ac:dyDescent="0.25">
      <c r="A115" t="str">
        <f>'Kullanılan gübre'!A115</f>
        <v>AK</v>
      </c>
      <c r="B115" t="str">
        <f>'Kullanılan gübre'!B115</f>
        <v>AFYONKARAHISAR</v>
      </c>
      <c r="C115" t="str">
        <f>'Kullanılan gübre'!C115</f>
        <v>CAY</v>
      </c>
      <c r="D115">
        <f>'Kullanılan gübre'!D115</f>
        <v>2017</v>
      </c>
      <c r="E115">
        <f>'Kullanılan gübre'!E115*'Gübre oranlar'!H$3</f>
        <v>0</v>
      </c>
      <c r="F115">
        <f>'Kullanılan gübre'!F115*'Gübre oranlar'!I$3</f>
        <v>0</v>
      </c>
      <c r="G115">
        <f>'Kullanılan gübre'!G115*'Gübre oranlar'!J$3</f>
        <v>0</v>
      </c>
      <c r="H115">
        <f>'Kullanılan gübre'!H115*'Gübre oranlar'!K$3</f>
        <v>0</v>
      </c>
      <c r="I115">
        <f>'Kullanılan gübre'!I115*'Gübre oranlar'!L$3</f>
        <v>20.102499999999999</v>
      </c>
      <c r="J115">
        <f>'Kullanılan gübre'!J115*'Gübre oranlar'!M$3</f>
        <v>0</v>
      </c>
      <c r="K115">
        <f>'Kullanılan gübre'!K115*'Gübre oranlar'!N$3</f>
        <v>0.1</v>
      </c>
      <c r="L115">
        <f>'Kullanılan gübre'!L115*'Gübre oranlar'!O$3</f>
        <v>118.92000000000002</v>
      </c>
      <c r="M115">
        <f>'Kullanılan gübre'!M115*'Gübre oranlar'!P$3</f>
        <v>1.875</v>
      </c>
      <c r="N115">
        <f>'Kullanılan gübre'!N115*'Gübre oranlar'!Q$3</f>
        <v>62.437499999999986</v>
      </c>
      <c r="O115">
        <f>'Kullanılan gübre'!O115*'Gübre oranlar'!R$3</f>
        <v>0</v>
      </c>
      <c r="P115">
        <f>'Kullanılan gübre'!P115*'Gübre oranlar'!S$3</f>
        <v>0</v>
      </c>
      <c r="Q115">
        <f>'Kullanılan gübre'!Q115*'Gübre oranlar'!T$3</f>
        <v>0</v>
      </c>
      <c r="R115">
        <f>'Kullanılan gübre'!R115*'Gübre oranlar'!U$3</f>
        <v>0</v>
      </c>
      <c r="S115">
        <f>'Kullanılan gübre'!S115*'Gübre oranlar'!V$3</f>
        <v>0</v>
      </c>
      <c r="T115">
        <f>'Kullanılan gübre'!T115*'Gübre oranlar'!W$3</f>
        <v>81.787499999999994</v>
      </c>
      <c r="U115">
        <f>'Kullanılan gübre'!U115*'Gübre oranlar'!X$3</f>
        <v>0</v>
      </c>
      <c r="V115">
        <f>'Kullanılan gübre'!V115*'Gübre oranlar'!Y$3</f>
        <v>0</v>
      </c>
      <c r="W115">
        <f>'Kullanılan gübre'!W115*'Gübre oranlar'!Z$3</f>
        <v>0</v>
      </c>
      <c r="X115">
        <f>'Kullanılan gübre'!X115*'Gübre oranlar'!AA$3</f>
        <v>0</v>
      </c>
      <c r="Y115">
        <f>'Kullanılan gübre'!Y115*'Gübre oranlar'!AB$3</f>
        <v>0</v>
      </c>
      <c r="Z115">
        <f>'Kullanılan gübre'!Z115*'Gübre oranlar'!AC$3</f>
        <v>0</v>
      </c>
      <c r="AA115">
        <f>'Kullanılan gübre'!AA115*'Gübre oranlar'!AD$3</f>
        <v>0</v>
      </c>
      <c r="AB115">
        <f>'Kullanılan gübre'!AB115*'Gübre oranlar'!AE$3</f>
        <v>6.8319999999999999</v>
      </c>
      <c r="AC115">
        <f>'Kullanılan gübre'!AC115*'Gübre oranlar'!AF$3</f>
        <v>0</v>
      </c>
      <c r="AD115">
        <f>'Kullanılan gübre'!AD115*'Gübre oranlar'!AG$3</f>
        <v>0</v>
      </c>
      <c r="AE115">
        <f>'Kullanılan gübre'!AE115*'Gübre oranlar'!AH$3</f>
        <v>0</v>
      </c>
      <c r="AF115">
        <f>'Kullanılan gübre'!AF115*'Gübre oranlar'!AI$3</f>
        <v>0</v>
      </c>
      <c r="AG115">
        <f>'Kullanılan gübre'!AG115*'Gübre oranlar'!AJ$3</f>
        <v>0</v>
      </c>
      <c r="AH115">
        <f>'Kullanılan gübre'!AH115*'Gübre oranlar'!AK$3</f>
        <v>0</v>
      </c>
      <c r="AI115">
        <f>'Kullanılan gübre'!AI115*'Gübre oranlar'!AL$3</f>
        <v>0</v>
      </c>
      <c r="AJ115">
        <f>'Kullanılan gübre'!AJ115*'Gübre oranlar'!AM$3</f>
        <v>0</v>
      </c>
      <c r="AK115">
        <f>'Kullanılan gübre'!AK115*'Gübre oranlar'!AN$3</f>
        <v>0</v>
      </c>
      <c r="AL115">
        <f>'Kullanılan gübre'!AL115*'Gübre oranlar'!AO$3</f>
        <v>0</v>
      </c>
      <c r="AM115">
        <f>'Kullanılan gübre'!AM115*'Gübre oranlar'!AP$3</f>
        <v>0</v>
      </c>
      <c r="AN115">
        <f>'Kullanılan gübre'!AN115*'Gübre oranlar'!AQ$3</f>
        <v>0</v>
      </c>
      <c r="AO115">
        <f>'Kullanılan gübre'!AO115*'Gübre oranlar'!AR$3</f>
        <v>0</v>
      </c>
      <c r="AP115">
        <f>'Kullanılan gübre'!AP115*'Gübre oranlar'!AS$3</f>
        <v>0</v>
      </c>
      <c r="AQ115">
        <f>'Kullanılan gübre'!AQ115*'Gübre oranlar'!AT$3</f>
        <v>0</v>
      </c>
      <c r="AR115">
        <f>'Kullanılan gübre'!AR115*'Gübre oranlar'!AU$3</f>
        <v>0</v>
      </c>
      <c r="AS115">
        <f>'Kullanılan gübre'!AS115*'Gübre oranlar'!AV$3</f>
        <v>0</v>
      </c>
      <c r="AT115">
        <f>'Kullanılan gübre'!AT115*'Gübre oranlar'!AW$3</f>
        <v>0</v>
      </c>
      <c r="AU115">
        <f>'Kullanılan gübre'!AU115*'Gübre oranlar'!AX$3</f>
        <v>0</v>
      </c>
      <c r="AV115">
        <f>'Kullanılan gübre'!AV115*'Gübre oranlar'!AY$3</f>
        <v>0</v>
      </c>
      <c r="AW115">
        <f t="shared" si="1"/>
        <v>292.05449999999996</v>
      </c>
    </row>
    <row r="116" spans="1:49" x14ac:dyDescent="0.25">
      <c r="A116" t="str">
        <f>'Kullanılan gübre'!A116</f>
        <v>AK</v>
      </c>
      <c r="B116" t="str">
        <f>'Kullanılan gübre'!B116</f>
        <v>AFYONKARAHISAR</v>
      </c>
      <c r="C116" t="str">
        <f>'Kullanılan gübre'!C116</f>
        <v>COBANLAR</v>
      </c>
      <c r="D116">
        <f>'Kullanılan gübre'!D116</f>
        <v>2017</v>
      </c>
      <c r="E116">
        <f>'Kullanılan gübre'!E116*'Gübre oranlar'!H$3</f>
        <v>0</v>
      </c>
      <c r="F116">
        <f>'Kullanılan gübre'!F116*'Gübre oranlar'!I$3</f>
        <v>0</v>
      </c>
      <c r="G116">
        <f>'Kullanılan gübre'!G116*'Gübre oranlar'!J$3</f>
        <v>0</v>
      </c>
      <c r="H116">
        <f>'Kullanılan gübre'!H116*'Gübre oranlar'!K$3</f>
        <v>0</v>
      </c>
      <c r="I116">
        <f>'Kullanılan gübre'!I116*'Gübre oranlar'!L$3</f>
        <v>0</v>
      </c>
      <c r="J116">
        <f>'Kullanılan gübre'!J116*'Gübre oranlar'!M$3</f>
        <v>0</v>
      </c>
      <c r="K116">
        <f>'Kullanılan gübre'!K116*'Gübre oranlar'!N$3</f>
        <v>0</v>
      </c>
      <c r="L116">
        <f>'Kullanılan gübre'!L116*'Gübre oranlar'!O$3</f>
        <v>65.8</v>
      </c>
      <c r="M116">
        <f>'Kullanılan gübre'!M116*'Gübre oranlar'!P$3</f>
        <v>0</v>
      </c>
      <c r="N116">
        <f>'Kullanılan gübre'!N116*'Gübre oranlar'!Q$3</f>
        <v>28.702499999999997</v>
      </c>
      <c r="O116">
        <f>'Kullanılan gübre'!O116*'Gübre oranlar'!R$3</f>
        <v>0</v>
      </c>
      <c r="P116">
        <f>'Kullanılan gübre'!P116*'Gübre oranlar'!S$3</f>
        <v>0</v>
      </c>
      <c r="Q116">
        <f>'Kullanılan gübre'!Q116*'Gübre oranlar'!T$3</f>
        <v>0</v>
      </c>
      <c r="R116">
        <f>'Kullanılan gübre'!R116*'Gübre oranlar'!U$3</f>
        <v>0</v>
      </c>
      <c r="S116">
        <f>'Kullanılan gübre'!S116*'Gübre oranlar'!V$3</f>
        <v>0</v>
      </c>
      <c r="T116">
        <f>'Kullanılan gübre'!T116*'Gübre oranlar'!W$3</f>
        <v>45.5</v>
      </c>
      <c r="U116">
        <f>'Kullanılan gübre'!U116*'Gübre oranlar'!X$3</f>
        <v>0</v>
      </c>
      <c r="V116">
        <f>'Kullanılan gübre'!V116*'Gübre oranlar'!Y$3</f>
        <v>0</v>
      </c>
      <c r="W116">
        <f>'Kullanılan gübre'!W116*'Gübre oranlar'!Z$3</f>
        <v>0</v>
      </c>
      <c r="X116">
        <f>'Kullanılan gübre'!X116*'Gübre oranlar'!AA$3</f>
        <v>0</v>
      </c>
      <c r="Y116">
        <f>'Kullanılan gübre'!Y116*'Gübre oranlar'!AB$3</f>
        <v>0</v>
      </c>
      <c r="Z116">
        <f>'Kullanılan gübre'!Z116*'Gübre oranlar'!AC$3</f>
        <v>0</v>
      </c>
      <c r="AA116">
        <f>'Kullanılan gübre'!AA116*'Gübre oranlar'!AD$3</f>
        <v>0</v>
      </c>
      <c r="AB116">
        <f>'Kullanılan gübre'!AB116*'Gübre oranlar'!AE$3</f>
        <v>0</v>
      </c>
      <c r="AC116">
        <f>'Kullanılan gübre'!AC116*'Gübre oranlar'!AF$3</f>
        <v>0</v>
      </c>
      <c r="AD116">
        <f>'Kullanılan gübre'!AD116*'Gübre oranlar'!AG$3</f>
        <v>0</v>
      </c>
      <c r="AE116">
        <f>'Kullanılan gübre'!AE116*'Gübre oranlar'!AH$3</f>
        <v>0</v>
      </c>
      <c r="AF116">
        <f>'Kullanılan gübre'!AF116*'Gübre oranlar'!AI$3</f>
        <v>0</v>
      </c>
      <c r="AG116">
        <f>'Kullanılan gübre'!AG116*'Gübre oranlar'!AJ$3</f>
        <v>0</v>
      </c>
      <c r="AH116">
        <f>'Kullanılan gübre'!AH116*'Gübre oranlar'!AK$3</f>
        <v>0</v>
      </c>
      <c r="AI116">
        <f>'Kullanılan gübre'!AI116*'Gübre oranlar'!AL$3</f>
        <v>0</v>
      </c>
      <c r="AJ116">
        <f>'Kullanılan gübre'!AJ116*'Gübre oranlar'!AM$3</f>
        <v>0</v>
      </c>
      <c r="AK116">
        <f>'Kullanılan gübre'!AK116*'Gübre oranlar'!AN$3</f>
        <v>0</v>
      </c>
      <c r="AL116">
        <f>'Kullanılan gübre'!AL116*'Gübre oranlar'!AO$3</f>
        <v>0</v>
      </c>
      <c r="AM116">
        <f>'Kullanılan gübre'!AM116*'Gübre oranlar'!AP$3</f>
        <v>0</v>
      </c>
      <c r="AN116">
        <f>'Kullanılan gübre'!AN116*'Gübre oranlar'!AQ$3</f>
        <v>0</v>
      </c>
      <c r="AO116">
        <f>'Kullanılan gübre'!AO116*'Gübre oranlar'!AR$3</f>
        <v>0</v>
      </c>
      <c r="AP116">
        <f>'Kullanılan gübre'!AP116*'Gübre oranlar'!AS$3</f>
        <v>0</v>
      </c>
      <c r="AQ116">
        <f>'Kullanılan gübre'!AQ116*'Gübre oranlar'!AT$3</f>
        <v>0</v>
      </c>
      <c r="AR116">
        <f>'Kullanılan gübre'!AR116*'Gübre oranlar'!AU$3</f>
        <v>0</v>
      </c>
      <c r="AS116">
        <f>'Kullanılan gübre'!AS116*'Gübre oranlar'!AV$3</f>
        <v>0</v>
      </c>
      <c r="AT116">
        <f>'Kullanılan gübre'!AT116*'Gübre oranlar'!AW$3</f>
        <v>0</v>
      </c>
      <c r="AU116">
        <f>'Kullanılan gübre'!AU116*'Gübre oranlar'!AX$3</f>
        <v>0</v>
      </c>
      <c r="AV116">
        <f>'Kullanılan gübre'!AV116*'Gübre oranlar'!AY$3</f>
        <v>0</v>
      </c>
      <c r="AW116">
        <f t="shared" si="1"/>
        <v>140.0025</v>
      </c>
    </row>
    <row r="117" spans="1:49" x14ac:dyDescent="0.25">
      <c r="A117" t="str">
        <f>'Kullanılan gübre'!A117</f>
        <v>AK</v>
      </c>
      <c r="B117" t="str">
        <f>'Kullanılan gübre'!B117</f>
        <v>AFYONKARAHISAR</v>
      </c>
      <c r="C117" t="str">
        <f>'Kullanılan gübre'!C117</f>
        <v>IHSANIYE</v>
      </c>
      <c r="D117">
        <f>'Kullanılan gübre'!D117</f>
        <v>2017</v>
      </c>
      <c r="E117">
        <f>'Kullanılan gübre'!E117*'Gübre oranlar'!H$3</f>
        <v>0</v>
      </c>
      <c r="F117">
        <f>'Kullanılan gübre'!F117*'Gübre oranlar'!I$3</f>
        <v>0</v>
      </c>
      <c r="G117">
        <f>'Kullanılan gübre'!G117*'Gübre oranlar'!J$3</f>
        <v>0</v>
      </c>
      <c r="H117">
        <f>'Kullanılan gübre'!H117*'Gübre oranlar'!K$3</f>
        <v>0</v>
      </c>
      <c r="I117">
        <f>'Kullanılan gübre'!I117*'Gübre oranlar'!L$3</f>
        <v>0</v>
      </c>
      <c r="J117">
        <f>'Kullanılan gübre'!J117*'Gübre oranlar'!M$3</f>
        <v>0</v>
      </c>
      <c r="K117">
        <f>'Kullanılan gübre'!K117*'Gübre oranlar'!N$3</f>
        <v>44</v>
      </c>
      <c r="L117">
        <f>'Kullanılan gübre'!L117*'Gübre oranlar'!O$3</f>
        <v>103.68000000000002</v>
      </c>
      <c r="M117">
        <f>'Kullanılan gübre'!M117*'Gübre oranlar'!P$3</f>
        <v>0</v>
      </c>
      <c r="N117">
        <f>'Kullanılan gübre'!N117*'Gübre oranlar'!Q$3</f>
        <v>23.774999999999999</v>
      </c>
      <c r="O117">
        <f>'Kullanılan gübre'!O117*'Gübre oranlar'!R$3</f>
        <v>0</v>
      </c>
      <c r="P117">
        <f>'Kullanılan gübre'!P117*'Gübre oranlar'!S$3</f>
        <v>0</v>
      </c>
      <c r="Q117">
        <f>'Kullanılan gübre'!Q117*'Gübre oranlar'!T$3</f>
        <v>21.599999999999998</v>
      </c>
      <c r="R117">
        <f>'Kullanılan gübre'!R117*'Gübre oranlar'!U$3</f>
        <v>0</v>
      </c>
      <c r="S117">
        <f>'Kullanılan gübre'!S117*'Gübre oranlar'!V$3</f>
        <v>0</v>
      </c>
      <c r="T117">
        <f>'Kullanılan gübre'!T117*'Gübre oranlar'!W$3</f>
        <v>147.82500000000002</v>
      </c>
      <c r="U117">
        <f>'Kullanılan gübre'!U117*'Gübre oranlar'!X$3</f>
        <v>0</v>
      </c>
      <c r="V117">
        <f>'Kullanılan gübre'!V117*'Gübre oranlar'!Y$3</f>
        <v>0.95000000000000007</v>
      </c>
      <c r="W117">
        <f>'Kullanılan gübre'!W117*'Gübre oranlar'!Z$3</f>
        <v>0</v>
      </c>
      <c r="X117">
        <f>'Kullanılan gübre'!X117*'Gübre oranlar'!AA$3</f>
        <v>0</v>
      </c>
      <c r="Y117">
        <f>'Kullanılan gübre'!Y117*'Gübre oranlar'!AB$3</f>
        <v>0</v>
      </c>
      <c r="Z117">
        <f>'Kullanılan gübre'!Z117*'Gübre oranlar'!AC$3</f>
        <v>0</v>
      </c>
      <c r="AA117">
        <f>'Kullanılan gübre'!AA117*'Gübre oranlar'!AD$3</f>
        <v>0</v>
      </c>
      <c r="AB117">
        <f>'Kullanılan gübre'!AB117*'Gübre oranlar'!AE$3</f>
        <v>0</v>
      </c>
      <c r="AC117">
        <f>'Kullanılan gübre'!AC117*'Gübre oranlar'!AF$3</f>
        <v>0</v>
      </c>
      <c r="AD117">
        <f>'Kullanılan gübre'!AD117*'Gübre oranlar'!AG$3</f>
        <v>0</v>
      </c>
      <c r="AE117">
        <f>'Kullanılan gübre'!AE117*'Gübre oranlar'!AH$3</f>
        <v>0</v>
      </c>
      <c r="AF117">
        <f>'Kullanılan gübre'!AF117*'Gübre oranlar'!AI$3</f>
        <v>0</v>
      </c>
      <c r="AG117">
        <f>'Kullanılan gübre'!AG117*'Gübre oranlar'!AJ$3</f>
        <v>0</v>
      </c>
      <c r="AH117">
        <f>'Kullanılan gübre'!AH117*'Gübre oranlar'!AK$3</f>
        <v>0</v>
      </c>
      <c r="AI117">
        <f>'Kullanılan gübre'!AI117*'Gübre oranlar'!AL$3</f>
        <v>0</v>
      </c>
      <c r="AJ117">
        <f>'Kullanılan gübre'!AJ117*'Gübre oranlar'!AM$3</f>
        <v>0</v>
      </c>
      <c r="AK117">
        <f>'Kullanılan gübre'!AK117*'Gübre oranlar'!AN$3</f>
        <v>0</v>
      </c>
      <c r="AL117">
        <f>'Kullanılan gübre'!AL117*'Gübre oranlar'!AO$3</f>
        <v>0</v>
      </c>
      <c r="AM117">
        <f>'Kullanılan gübre'!AM117*'Gübre oranlar'!AP$3</f>
        <v>0</v>
      </c>
      <c r="AN117">
        <f>'Kullanılan gübre'!AN117*'Gübre oranlar'!AQ$3</f>
        <v>0</v>
      </c>
      <c r="AO117">
        <f>'Kullanılan gübre'!AO117*'Gübre oranlar'!AR$3</f>
        <v>0</v>
      </c>
      <c r="AP117">
        <f>'Kullanılan gübre'!AP117*'Gübre oranlar'!AS$3</f>
        <v>0</v>
      </c>
      <c r="AQ117">
        <f>'Kullanılan gübre'!AQ117*'Gübre oranlar'!AT$3</f>
        <v>0</v>
      </c>
      <c r="AR117">
        <f>'Kullanılan gübre'!AR117*'Gübre oranlar'!AU$3</f>
        <v>0</v>
      </c>
      <c r="AS117">
        <f>'Kullanılan gübre'!AS117*'Gübre oranlar'!AV$3</f>
        <v>0</v>
      </c>
      <c r="AT117">
        <f>'Kullanılan gübre'!AT117*'Gübre oranlar'!AW$3</f>
        <v>0</v>
      </c>
      <c r="AU117">
        <f>'Kullanılan gübre'!AU117*'Gübre oranlar'!AX$3</f>
        <v>0</v>
      </c>
      <c r="AV117">
        <f>'Kullanılan gübre'!AV117*'Gübre oranlar'!AY$3</f>
        <v>0</v>
      </c>
      <c r="AW117">
        <f t="shared" si="1"/>
        <v>341.83</v>
      </c>
    </row>
    <row r="118" spans="1:49" x14ac:dyDescent="0.25">
      <c r="A118" t="str">
        <f>'Kullanılan gübre'!A118</f>
        <v>AK</v>
      </c>
      <c r="B118" t="str">
        <f>'Kullanılan gübre'!B118</f>
        <v>AFYONKARAHISAR</v>
      </c>
      <c r="C118" t="str">
        <f>'Kullanılan gübre'!C118</f>
        <v>ISCEHISAR</v>
      </c>
      <c r="D118">
        <f>'Kullanılan gübre'!D118</f>
        <v>2017</v>
      </c>
      <c r="E118">
        <f>'Kullanılan gübre'!E118*'Gübre oranlar'!H$3</f>
        <v>0</v>
      </c>
      <c r="F118">
        <f>'Kullanılan gübre'!F118*'Gübre oranlar'!I$3</f>
        <v>0</v>
      </c>
      <c r="G118">
        <f>'Kullanılan gübre'!G118*'Gübre oranlar'!J$3</f>
        <v>0</v>
      </c>
      <c r="H118">
        <f>'Kullanılan gübre'!H118*'Gübre oranlar'!K$3</f>
        <v>0</v>
      </c>
      <c r="I118">
        <f>'Kullanılan gübre'!I118*'Gübre oranlar'!L$3</f>
        <v>0</v>
      </c>
      <c r="J118">
        <f>'Kullanılan gübre'!J118*'Gübre oranlar'!M$3</f>
        <v>0</v>
      </c>
      <c r="K118">
        <f>'Kullanılan gübre'!K118*'Gübre oranlar'!N$3</f>
        <v>0</v>
      </c>
      <c r="L118">
        <f>'Kullanılan gübre'!L118*'Gübre oranlar'!O$3</f>
        <v>7.2</v>
      </c>
      <c r="M118">
        <f>'Kullanılan gübre'!M118*'Gübre oranlar'!P$3</f>
        <v>0</v>
      </c>
      <c r="N118">
        <f>'Kullanılan gübre'!N118*'Gübre oranlar'!Q$3</f>
        <v>0</v>
      </c>
      <c r="O118">
        <f>'Kullanılan gübre'!O118*'Gübre oranlar'!R$3</f>
        <v>0</v>
      </c>
      <c r="P118">
        <f>'Kullanılan gübre'!P118*'Gübre oranlar'!S$3</f>
        <v>0</v>
      </c>
      <c r="Q118">
        <f>'Kullanılan gübre'!Q118*'Gübre oranlar'!T$3</f>
        <v>0</v>
      </c>
      <c r="R118">
        <f>'Kullanılan gübre'!R118*'Gübre oranlar'!U$3</f>
        <v>0</v>
      </c>
      <c r="S118">
        <f>'Kullanılan gübre'!S118*'Gübre oranlar'!V$3</f>
        <v>0</v>
      </c>
      <c r="T118">
        <f>'Kullanılan gübre'!T118*'Gübre oranlar'!W$3</f>
        <v>65.8</v>
      </c>
      <c r="U118">
        <f>'Kullanılan gübre'!U118*'Gübre oranlar'!X$3</f>
        <v>0</v>
      </c>
      <c r="V118">
        <f>'Kullanılan gübre'!V118*'Gübre oranlar'!Y$3</f>
        <v>0</v>
      </c>
      <c r="W118">
        <f>'Kullanılan gübre'!W118*'Gübre oranlar'!Z$3</f>
        <v>0</v>
      </c>
      <c r="X118">
        <f>'Kullanılan gübre'!X118*'Gübre oranlar'!AA$3</f>
        <v>0</v>
      </c>
      <c r="Y118">
        <f>'Kullanılan gübre'!Y118*'Gübre oranlar'!AB$3</f>
        <v>0</v>
      </c>
      <c r="Z118">
        <f>'Kullanılan gübre'!Z118*'Gübre oranlar'!AC$3</f>
        <v>0</v>
      </c>
      <c r="AA118">
        <f>'Kullanılan gübre'!AA118*'Gübre oranlar'!AD$3</f>
        <v>0</v>
      </c>
      <c r="AB118">
        <f>'Kullanılan gübre'!AB118*'Gübre oranlar'!AE$3</f>
        <v>0</v>
      </c>
      <c r="AC118">
        <f>'Kullanılan gübre'!AC118*'Gübre oranlar'!AF$3</f>
        <v>0</v>
      </c>
      <c r="AD118">
        <f>'Kullanılan gübre'!AD118*'Gübre oranlar'!AG$3</f>
        <v>0</v>
      </c>
      <c r="AE118">
        <f>'Kullanılan gübre'!AE118*'Gübre oranlar'!AH$3</f>
        <v>0</v>
      </c>
      <c r="AF118">
        <f>'Kullanılan gübre'!AF118*'Gübre oranlar'!AI$3</f>
        <v>0</v>
      </c>
      <c r="AG118">
        <f>'Kullanılan gübre'!AG118*'Gübre oranlar'!AJ$3</f>
        <v>0</v>
      </c>
      <c r="AH118">
        <f>'Kullanılan gübre'!AH118*'Gübre oranlar'!AK$3</f>
        <v>0</v>
      </c>
      <c r="AI118">
        <f>'Kullanılan gübre'!AI118*'Gübre oranlar'!AL$3</f>
        <v>0</v>
      </c>
      <c r="AJ118">
        <f>'Kullanılan gübre'!AJ118*'Gübre oranlar'!AM$3</f>
        <v>0</v>
      </c>
      <c r="AK118">
        <f>'Kullanılan gübre'!AK118*'Gübre oranlar'!AN$3</f>
        <v>0</v>
      </c>
      <c r="AL118">
        <f>'Kullanılan gübre'!AL118*'Gübre oranlar'!AO$3</f>
        <v>0</v>
      </c>
      <c r="AM118">
        <f>'Kullanılan gübre'!AM118*'Gübre oranlar'!AP$3</f>
        <v>0</v>
      </c>
      <c r="AN118">
        <f>'Kullanılan gübre'!AN118*'Gübre oranlar'!AQ$3</f>
        <v>0</v>
      </c>
      <c r="AO118">
        <f>'Kullanılan gübre'!AO118*'Gübre oranlar'!AR$3</f>
        <v>0</v>
      </c>
      <c r="AP118">
        <f>'Kullanılan gübre'!AP118*'Gübre oranlar'!AS$3</f>
        <v>0</v>
      </c>
      <c r="AQ118">
        <f>'Kullanılan gübre'!AQ118*'Gübre oranlar'!AT$3</f>
        <v>0</v>
      </c>
      <c r="AR118">
        <f>'Kullanılan gübre'!AR118*'Gübre oranlar'!AU$3</f>
        <v>0</v>
      </c>
      <c r="AS118">
        <f>'Kullanılan gübre'!AS118*'Gübre oranlar'!AV$3</f>
        <v>0</v>
      </c>
      <c r="AT118">
        <f>'Kullanılan gübre'!AT118*'Gübre oranlar'!AW$3</f>
        <v>0</v>
      </c>
      <c r="AU118">
        <f>'Kullanılan gübre'!AU118*'Gübre oranlar'!AX$3</f>
        <v>0</v>
      </c>
      <c r="AV118">
        <f>'Kullanılan gübre'!AV118*'Gübre oranlar'!AY$3</f>
        <v>0</v>
      </c>
      <c r="AW118">
        <f t="shared" si="1"/>
        <v>73</v>
      </c>
    </row>
    <row r="119" spans="1:49" x14ac:dyDescent="0.25">
      <c r="A119" t="str">
        <f>'Kullanılan gübre'!A119</f>
        <v>AK</v>
      </c>
      <c r="B119" t="str">
        <f>'Kullanılan gübre'!B119</f>
        <v>AFYONKARAHISAR</v>
      </c>
      <c r="C119" t="str">
        <f>'Kullanılan gübre'!C119</f>
        <v>SINANPASA</v>
      </c>
      <c r="D119">
        <f>'Kullanılan gübre'!D119</f>
        <v>2017</v>
      </c>
      <c r="E119">
        <f>'Kullanılan gübre'!E119*'Gübre oranlar'!H$3</f>
        <v>0</v>
      </c>
      <c r="F119">
        <f>'Kullanılan gübre'!F119*'Gübre oranlar'!I$3</f>
        <v>0</v>
      </c>
      <c r="G119">
        <f>'Kullanılan gübre'!G119*'Gübre oranlar'!J$3</f>
        <v>0</v>
      </c>
      <c r="H119">
        <f>'Kullanılan gübre'!H119*'Gübre oranlar'!K$3</f>
        <v>0</v>
      </c>
      <c r="I119">
        <f>'Kullanılan gübre'!I119*'Gübre oranlar'!L$3</f>
        <v>0</v>
      </c>
      <c r="J119">
        <f>'Kullanılan gübre'!J119*'Gübre oranlar'!M$3</f>
        <v>0</v>
      </c>
      <c r="K119">
        <f>'Kullanılan gübre'!K119*'Gübre oranlar'!N$3</f>
        <v>65.8</v>
      </c>
      <c r="L119">
        <f>'Kullanılan gübre'!L119*'Gübre oranlar'!O$3</f>
        <v>80.747</v>
      </c>
      <c r="M119">
        <f>'Kullanılan gübre'!M119*'Gübre oranlar'!P$3</f>
        <v>1.05</v>
      </c>
      <c r="N119">
        <f>'Kullanılan gübre'!N119*'Gübre oranlar'!Q$3</f>
        <v>27.54</v>
      </c>
      <c r="O119">
        <f>'Kullanılan gübre'!O119*'Gübre oranlar'!R$3</f>
        <v>0</v>
      </c>
      <c r="P119">
        <f>'Kullanılan gübre'!P119*'Gübre oranlar'!S$3</f>
        <v>0</v>
      </c>
      <c r="Q119">
        <f>'Kullanılan gübre'!Q119*'Gübre oranlar'!T$3</f>
        <v>27</v>
      </c>
      <c r="R119">
        <f>'Kullanılan gübre'!R119*'Gübre oranlar'!U$3</f>
        <v>0</v>
      </c>
      <c r="S119">
        <f>'Kullanılan gübre'!S119*'Gübre oranlar'!V$3</f>
        <v>0</v>
      </c>
      <c r="T119">
        <f>'Kullanılan gübre'!T119*'Gübre oranlar'!W$3</f>
        <v>135.61250000000001</v>
      </c>
      <c r="U119">
        <f>'Kullanılan gübre'!U119*'Gübre oranlar'!X$3</f>
        <v>0</v>
      </c>
      <c r="V119">
        <f>'Kullanılan gübre'!V119*'Gübre oranlar'!Y$3</f>
        <v>9.6875</v>
      </c>
      <c r="W119">
        <f>'Kullanılan gübre'!W119*'Gübre oranlar'!Z$3</f>
        <v>0</v>
      </c>
      <c r="X119">
        <f>'Kullanılan gübre'!X119*'Gübre oranlar'!AA$3</f>
        <v>0</v>
      </c>
      <c r="Y119">
        <f>'Kullanılan gübre'!Y119*'Gübre oranlar'!AB$3</f>
        <v>0</v>
      </c>
      <c r="Z119">
        <f>'Kullanılan gübre'!Z119*'Gübre oranlar'!AC$3</f>
        <v>0</v>
      </c>
      <c r="AA119">
        <f>'Kullanılan gübre'!AA119*'Gübre oranlar'!AD$3</f>
        <v>0</v>
      </c>
      <c r="AB119">
        <f>'Kullanılan gübre'!AB119*'Gübre oranlar'!AE$3</f>
        <v>6.0999999999999999E-2</v>
      </c>
      <c r="AC119">
        <f>'Kullanılan gübre'!AC119*'Gübre oranlar'!AF$3</f>
        <v>0</v>
      </c>
      <c r="AD119">
        <f>'Kullanılan gübre'!AD119*'Gübre oranlar'!AG$3</f>
        <v>0</v>
      </c>
      <c r="AE119">
        <f>'Kullanılan gübre'!AE119*'Gübre oranlar'!AH$3</f>
        <v>0</v>
      </c>
      <c r="AF119">
        <f>'Kullanılan gübre'!AF119*'Gübre oranlar'!AI$3</f>
        <v>0</v>
      </c>
      <c r="AG119">
        <f>'Kullanılan gübre'!AG119*'Gübre oranlar'!AJ$3</f>
        <v>0</v>
      </c>
      <c r="AH119">
        <f>'Kullanılan gübre'!AH119*'Gübre oranlar'!AK$3</f>
        <v>0</v>
      </c>
      <c r="AI119">
        <f>'Kullanılan gübre'!AI119*'Gübre oranlar'!AL$3</f>
        <v>0</v>
      </c>
      <c r="AJ119">
        <f>'Kullanılan gübre'!AJ119*'Gübre oranlar'!AM$3</f>
        <v>0</v>
      </c>
      <c r="AK119">
        <f>'Kullanılan gübre'!AK119*'Gübre oranlar'!AN$3</f>
        <v>0</v>
      </c>
      <c r="AL119">
        <f>'Kullanılan gübre'!AL119*'Gübre oranlar'!AO$3</f>
        <v>0</v>
      </c>
      <c r="AM119">
        <f>'Kullanılan gübre'!AM119*'Gübre oranlar'!AP$3</f>
        <v>0</v>
      </c>
      <c r="AN119">
        <f>'Kullanılan gübre'!AN119*'Gübre oranlar'!AQ$3</f>
        <v>0</v>
      </c>
      <c r="AO119">
        <f>'Kullanılan gübre'!AO119*'Gübre oranlar'!AR$3</f>
        <v>0</v>
      </c>
      <c r="AP119">
        <f>'Kullanılan gübre'!AP119*'Gübre oranlar'!AS$3</f>
        <v>0</v>
      </c>
      <c r="AQ119">
        <f>'Kullanılan gübre'!AQ119*'Gübre oranlar'!AT$3</f>
        <v>0</v>
      </c>
      <c r="AR119">
        <f>'Kullanılan gübre'!AR119*'Gübre oranlar'!AU$3</f>
        <v>0</v>
      </c>
      <c r="AS119">
        <f>'Kullanılan gübre'!AS119*'Gübre oranlar'!AV$3</f>
        <v>0</v>
      </c>
      <c r="AT119">
        <f>'Kullanılan gübre'!AT119*'Gübre oranlar'!AW$3</f>
        <v>0</v>
      </c>
      <c r="AU119">
        <f>'Kullanılan gübre'!AU119*'Gübre oranlar'!AX$3</f>
        <v>0</v>
      </c>
      <c r="AV119">
        <f>'Kullanılan gübre'!AV119*'Gübre oranlar'!AY$3</f>
        <v>0</v>
      </c>
      <c r="AW119">
        <f t="shared" si="1"/>
        <v>347.49799999999999</v>
      </c>
    </row>
    <row r="120" spans="1:49" x14ac:dyDescent="0.25">
      <c r="A120" t="str">
        <f>'Kullanılan gübre'!A120</f>
        <v>AK</v>
      </c>
      <c r="B120" t="str">
        <f>'Kullanılan gübre'!B120</f>
        <v>AFYONKARAHISAR</v>
      </c>
      <c r="C120" t="str">
        <f>'Kullanılan gübre'!C120</f>
        <v>SULTANDAGI</v>
      </c>
      <c r="D120">
        <f>'Kullanılan gübre'!D120</f>
        <v>2017</v>
      </c>
      <c r="E120">
        <f>'Kullanılan gübre'!E120*'Gübre oranlar'!H$3</f>
        <v>0</v>
      </c>
      <c r="F120">
        <f>'Kullanılan gübre'!F120*'Gübre oranlar'!I$3</f>
        <v>0</v>
      </c>
      <c r="G120">
        <f>'Kullanılan gübre'!G120*'Gübre oranlar'!J$3</f>
        <v>0</v>
      </c>
      <c r="H120">
        <f>'Kullanılan gübre'!H120*'Gübre oranlar'!K$3</f>
        <v>0</v>
      </c>
      <c r="I120">
        <f>'Kullanılan gübre'!I120*'Gübre oranlar'!L$3</f>
        <v>19.4575</v>
      </c>
      <c r="J120">
        <f>'Kullanılan gübre'!J120*'Gübre oranlar'!M$3</f>
        <v>0</v>
      </c>
      <c r="K120">
        <f>'Kullanılan gübre'!K120*'Gübre oranlar'!N$3</f>
        <v>0</v>
      </c>
      <c r="L120">
        <f>'Kullanılan gübre'!L120*'Gübre oranlar'!O$3</f>
        <v>18.900000000000002</v>
      </c>
      <c r="M120">
        <f>'Kullanılan gübre'!M120*'Gübre oranlar'!P$3</f>
        <v>0</v>
      </c>
      <c r="N120">
        <f>'Kullanılan gübre'!N120*'Gübre oranlar'!Q$3</f>
        <v>22.1325</v>
      </c>
      <c r="O120">
        <f>'Kullanılan gübre'!O120*'Gübre oranlar'!R$3</f>
        <v>0</v>
      </c>
      <c r="P120">
        <f>'Kullanılan gübre'!P120*'Gübre oranlar'!S$3</f>
        <v>0</v>
      </c>
      <c r="Q120">
        <f>'Kullanılan gübre'!Q120*'Gübre oranlar'!T$3</f>
        <v>0</v>
      </c>
      <c r="R120">
        <f>'Kullanılan gübre'!R120*'Gübre oranlar'!U$3</f>
        <v>0</v>
      </c>
      <c r="S120">
        <f>'Kullanılan gübre'!S120*'Gübre oranlar'!V$3</f>
        <v>0</v>
      </c>
      <c r="T120">
        <f>'Kullanılan gübre'!T120*'Gübre oranlar'!W$3</f>
        <v>4.4249999999999998</v>
      </c>
      <c r="U120">
        <f>'Kullanılan gübre'!U120*'Gübre oranlar'!X$3</f>
        <v>0</v>
      </c>
      <c r="V120">
        <f>'Kullanılan gübre'!V120*'Gübre oranlar'!Y$3</f>
        <v>0</v>
      </c>
      <c r="W120">
        <f>'Kullanılan gübre'!W120*'Gübre oranlar'!Z$3</f>
        <v>0</v>
      </c>
      <c r="X120">
        <f>'Kullanılan gübre'!X120*'Gübre oranlar'!AA$3</f>
        <v>0</v>
      </c>
      <c r="Y120">
        <f>'Kullanılan gübre'!Y120*'Gübre oranlar'!AB$3</f>
        <v>0</v>
      </c>
      <c r="Z120">
        <f>'Kullanılan gübre'!Z120*'Gübre oranlar'!AC$3</f>
        <v>0</v>
      </c>
      <c r="AA120">
        <f>'Kullanılan gübre'!AA120*'Gübre oranlar'!AD$3</f>
        <v>0</v>
      </c>
      <c r="AB120">
        <f>'Kullanılan gübre'!AB120*'Gübre oranlar'!AE$3</f>
        <v>10.98</v>
      </c>
      <c r="AC120">
        <f>'Kullanılan gübre'!AC120*'Gübre oranlar'!AF$3</f>
        <v>0</v>
      </c>
      <c r="AD120">
        <f>'Kullanılan gübre'!AD120*'Gübre oranlar'!AG$3</f>
        <v>0</v>
      </c>
      <c r="AE120">
        <f>'Kullanılan gübre'!AE120*'Gübre oranlar'!AH$3</f>
        <v>0</v>
      </c>
      <c r="AF120">
        <f>'Kullanılan gübre'!AF120*'Gübre oranlar'!AI$3</f>
        <v>0</v>
      </c>
      <c r="AG120">
        <f>'Kullanılan gübre'!AG120*'Gübre oranlar'!AJ$3</f>
        <v>0</v>
      </c>
      <c r="AH120">
        <f>'Kullanılan gübre'!AH120*'Gübre oranlar'!AK$3</f>
        <v>0</v>
      </c>
      <c r="AI120">
        <f>'Kullanılan gübre'!AI120*'Gübre oranlar'!AL$3</f>
        <v>0</v>
      </c>
      <c r="AJ120">
        <f>'Kullanılan gübre'!AJ120*'Gübre oranlar'!AM$3</f>
        <v>0</v>
      </c>
      <c r="AK120">
        <f>'Kullanılan gübre'!AK120*'Gübre oranlar'!AN$3</f>
        <v>0</v>
      </c>
      <c r="AL120">
        <f>'Kullanılan gübre'!AL120*'Gübre oranlar'!AO$3</f>
        <v>0</v>
      </c>
      <c r="AM120">
        <f>'Kullanılan gübre'!AM120*'Gübre oranlar'!AP$3</f>
        <v>0</v>
      </c>
      <c r="AN120">
        <f>'Kullanılan gübre'!AN120*'Gübre oranlar'!AQ$3</f>
        <v>0</v>
      </c>
      <c r="AO120">
        <f>'Kullanılan gübre'!AO120*'Gübre oranlar'!AR$3</f>
        <v>0</v>
      </c>
      <c r="AP120">
        <f>'Kullanılan gübre'!AP120*'Gübre oranlar'!AS$3</f>
        <v>0</v>
      </c>
      <c r="AQ120">
        <f>'Kullanılan gübre'!AQ120*'Gübre oranlar'!AT$3</f>
        <v>0</v>
      </c>
      <c r="AR120">
        <f>'Kullanılan gübre'!AR120*'Gübre oranlar'!AU$3</f>
        <v>0</v>
      </c>
      <c r="AS120">
        <f>'Kullanılan gübre'!AS120*'Gübre oranlar'!AV$3</f>
        <v>0</v>
      </c>
      <c r="AT120">
        <f>'Kullanılan gübre'!AT120*'Gübre oranlar'!AW$3</f>
        <v>0</v>
      </c>
      <c r="AU120">
        <f>'Kullanılan gübre'!AU120*'Gübre oranlar'!AX$3</f>
        <v>0</v>
      </c>
      <c r="AV120">
        <f>'Kullanılan gübre'!AV120*'Gübre oranlar'!AY$3</f>
        <v>0</v>
      </c>
      <c r="AW120">
        <f t="shared" si="1"/>
        <v>75.89500000000001</v>
      </c>
    </row>
    <row r="121" spans="1:49" x14ac:dyDescent="0.25">
      <c r="A121" t="str">
        <f>'Kullanılan gübre'!A121</f>
        <v>AK</v>
      </c>
      <c r="B121" t="str">
        <f>'Kullanılan gübre'!B121</f>
        <v>AFYONKARAHISAR</v>
      </c>
      <c r="C121" t="str">
        <f>'Kullanılan gübre'!C121</f>
        <v>SUHUT</v>
      </c>
      <c r="D121">
        <f>'Kullanılan gübre'!D121</f>
        <v>2017</v>
      </c>
      <c r="E121">
        <f>'Kullanılan gübre'!E121*'Gübre oranlar'!H$3</f>
        <v>0</v>
      </c>
      <c r="F121">
        <f>'Kullanılan gübre'!F121*'Gübre oranlar'!I$3</f>
        <v>0</v>
      </c>
      <c r="G121">
        <f>'Kullanılan gübre'!G121*'Gübre oranlar'!J$3</f>
        <v>0</v>
      </c>
      <c r="H121">
        <f>'Kullanılan gübre'!H121*'Gübre oranlar'!K$3</f>
        <v>0</v>
      </c>
      <c r="I121">
        <f>'Kullanılan gübre'!I121*'Gübre oranlar'!L$3</f>
        <v>6.5789999999999997</v>
      </c>
      <c r="J121">
        <f>'Kullanılan gübre'!J121*'Gübre oranlar'!M$3</f>
        <v>0</v>
      </c>
      <c r="K121">
        <f>'Kullanılan gübre'!K121*'Gübre oranlar'!N$3</f>
        <v>35.31</v>
      </c>
      <c r="L121">
        <f>'Kullanılan gübre'!L121*'Gübre oranlar'!O$3</f>
        <v>71.19</v>
      </c>
      <c r="M121">
        <f>'Kullanılan gübre'!M121*'Gübre oranlar'!P$3</f>
        <v>103.9575</v>
      </c>
      <c r="N121">
        <f>'Kullanılan gübre'!N121*'Gübre oranlar'!Q$3</f>
        <v>64.432500000000005</v>
      </c>
      <c r="O121">
        <f>'Kullanılan gübre'!O121*'Gübre oranlar'!R$3</f>
        <v>0</v>
      </c>
      <c r="P121">
        <f>'Kullanılan gübre'!P121*'Gübre oranlar'!S$3</f>
        <v>0</v>
      </c>
      <c r="Q121">
        <f>'Kullanılan gübre'!Q121*'Gübre oranlar'!T$3</f>
        <v>0</v>
      </c>
      <c r="R121">
        <f>'Kullanılan gübre'!R121*'Gübre oranlar'!U$3</f>
        <v>0</v>
      </c>
      <c r="S121">
        <f>'Kullanılan gübre'!S121*'Gübre oranlar'!V$3</f>
        <v>0</v>
      </c>
      <c r="T121">
        <f>'Kullanılan gübre'!T121*'Gübre oranlar'!W$3</f>
        <v>55.037500000000001</v>
      </c>
      <c r="U121">
        <f>'Kullanılan gübre'!U121*'Gübre oranlar'!X$3</f>
        <v>0</v>
      </c>
      <c r="V121">
        <f>'Kullanılan gübre'!V121*'Gübre oranlar'!Y$3</f>
        <v>0</v>
      </c>
      <c r="W121">
        <f>'Kullanılan gübre'!W121*'Gübre oranlar'!Z$3</f>
        <v>0</v>
      </c>
      <c r="X121">
        <f>'Kullanılan gübre'!X121*'Gübre oranlar'!AA$3</f>
        <v>0</v>
      </c>
      <c r="Y121">
        <f>'Kullanılan gübre'!Y121*'Gübre oranlar'!AB$3</f>
        <v>0</v>
      </c>
      <c r="Z121">
        <f>'Kullanılan gübre'!Z121*'Gübre oranlar'!AC$3</f>
        <v>0</v>
      </c>
      <c r="AA121">
        <f>'Kullanılan gübre'!AA121*'Gübre oranlar'!AD$3</f>
        <v>0</v>
      </c>
      <c r="AB121">
        <f>'Kullanılan gübre'!AB121*'Gübre oranlar'!AE$3</f>
        <v>0</v>
      </c>
      <c r="AC121">
        <f>'Kullanılan gübre'!AC121*'Gübre oranlar'!AF$3</f>
        <v>0</v>
      </c>
      <c r="AD121">
        <f>'Kullanılan gübre'!AD121*'Gübre oranlar'!AG$3</f>
        <v>0</v>
      </c>
      <c r="AE121">
        <f>'Kullanılan gübre'!AE121*'Gübre oranlar'!AH$3</f>
        <v>0</v>
      </c>
      <c r="AF121">
        <f>'Kullanılan gübre'!AF121*'Gübre oranlar'!AI$3</f>
        <v>0</v>
      </c>
      <c r="AG121">
        <f>'Kullanılan gübre'!AG121*'Gübre oranlar'!AJ$3</f>
        <v>0</v>
      </c>
      <c r="AH121">
        <f>'Kullanılan gübre'!AH121*'Gübre oranlar'!AK$3</f>
        <v>0</v>
      </c>
      <c r="AI121">
        <f>'Kullanılan gübre'!AI121*'Gübre oranlar'!AL$3</f>
        <v>0</v>
      </c>
      <c r="AJ121">
        <f>'Kullanılan gübre'!AJ121*'Gübre oranlar'!AM$3</f>
        <v>0</v>
      </c>
      <c r="AK121">
        <f>'Kullanılan gübre'!AK121*'Gübre oranlar'!AN$3</f>
        <v>0</v>
      </c>
      <c r="AL121">
        <f>'Kullanılan gübre'!AL121*'Gübre oranlar'!AO$3</f>
        <v>0</v>
      </c>
      <c r="AM121">
        <f>'Kullanılan gübre'!AM121*'Gübre oranlar'!AP$3</f>
        <v>0</v>
      </c>
      <c r="AN121">
        <f>'Kullanılan gübre'!AN121*'Gübre oranlar'!AQ$3</f>
        <v>0</v>
      </c>
      <c r="AO121">
        <f>'Kullanılan gübre'!AO121*'Gübre oranlar'!AR$3</f>
        <v>0</v>
      </c>
      <c r="AP121">
        <f>'Kullanılan gübre'!AP121*'Gübre oranlar'!AS$3</f>
        <v>0</v>
      </c>
      <c r="AQ121">
        <f>'Kullanılan gübre'!AQ121*'Gübre oranlar'!AT$3</f>
        <v>0</v>
      </c>
      <c r="AR121">
        <f>'Kullanılan gübre'!AR121*'Gübre oranlar'!AU$3</f>
        <v>0</v>
      </c>
      <c r="AS121">
        <f>'Kullanılan gübre'!AS121*'Gübre oranlar'!AV$3</f>
        <v>0</v>
      </c>
      <c r="AT121">
        <f>'Kullanılan gübre'!AT121*'Gübre oranlar'!AW$3</f>
        <v>0</v>
      </c>
      <c r="AU121">
        <f>'Kullanılan gübre'!AU121*'Gübre oranlar'!AX$3</f>
        <v>0</v>
      </c>
      <c r="AV121">
        <f>'Kullanılan gübre'!AV121*'Gübre oranlar'!AY$3</f>
        <v>0</v>
      </c>
      <c r="AW121">
        <f t="shared" si="1"/>
        <v>336.50650000000002</v>
      </c>
    </row>
    <row r="122" spans="1:49" x14ac:dyDescent="0.25">
      <c r="A122" t="str">
        <f>'Kullanılan gübre'!A122</f>
        <v>AK</v>
      </c>
      <c r="B122" t="str">
        <f>'Kullanılan gübre'!B122</f>
        <v>KONYA</v>
      </c>
      <c r="C122" t="str">
        <f>'Kullanılan gübre'!C122</f>
        <v>TUZLUKCU</v>
      </c>
      <c r="D122">
        <f>'Kullanılan gübre'!D122</f>
        <v>2006</v>
      </c>
      <c r="E122">
        <f>'Kullanılan gübre'!E122*'Gübre oranlar'!H$3</f>
        <v>0</v>
      </c>
      <c r="F122">
        <f>'Kullanılan gübre'!F122*'Gübre oranlar'!I$3</f>
        <v>0</v>
      </c>
      <c r="G122">
        <f>'Kullanılan gübre'!G122*'Gübre oranlar'!J$3</f>
        <v>0</v>
      </c>
      <c r="H122">
        <f>'Kullanılan gübre'!H122*'Gübre oranlar'!K$3</f>
        <v>0</v>
      </c>
      <c r="I122">
        <f>'Kullanılan gübre'!I122*'Gübre oranlar'!L$3</f>
        <v>30.96</v>
      </c>
      <c r="J122">
        <f>'Kullanılan gübre'!J122*'Gübre oranlar'!M$3</f>
        <v>0</v>
      </c>
      <c r="K122">
        <f>'Kullanılan gübre'!K122*'Gübre oranlar'!N$3</f>
        <v>14</v>
      </c>
      <c r="L122">
        <f>'Kullanılan gübre'!L122*'Gübre oranlar'!O$3</f>
        <v>24.28</v>
      </c>
      <c r="M122">
        <f>'Kullanılan gübre'!M122*'Gübre oranlar'!P$3</f>
        <v>0</v>
      </c>
      <c r="N122">
        <f>'Kullanılan gübre'!N122*'Gübre oranlar'!Q$3</f>
        <v>7.4999999999999997E-2</v>
      </c>
      <c r="O122">
        <f>'Kullanılan gübre'!O122*'Gübre oranlar'!R$3</f>
        <v>0</v>
      </c>
      <c r="P122">
        <f>'Kullanılan gübre'!P122*'Gübre oranlar'!S$3</f>
        <v>0</v>
      </c>
      <c r="Q122">
        <f>'Kullanılan gübre'!Q122*'Gübre oranlar'!T$3</f>
        <v>0</v>
      </c>
      <c r="R122">
        <f>'Kullanılan gübre'!R122*'Gübre oranlar'!U$3</f>
        <v>0</v>
      </c>
      <c r="S122">
        <f>'Kullanılan gübre'!S122*'Gübre oranlar'!V$3</f>
        <v>0</v>
      </c>
      <c r="T122">
        <f>'Kullanılan gübre'!T122*'Gübre oranlar'!W$3</f>
        <v>0</v>
      </c>
      <c r="U122">
        <f>'Kullanılan gübre'!U122*'Gübre oranlar'!X$3</f>
        <v>0</v>
      </c>
      <c r="V122">
        <f>'Kullanılan gübre'!V122*'Gübre oranlar'!Y$3</f>
        <v>0</v>
      </c>
      <c r="W122">
        <f>'Kullanılan gübre'!W122*'Gübre oranlar'!Z$3</f>
        <v>0</v>
      </c>
      <c r="X122">
        <f>'Kullanılan gübre'!X122*'Gübre oranlar'!AA$3</f>
        <v>0</v>
      </c>
      <c r="Y122">
        <f>'Kullanılan gübre'!Y122*'Gübre oranlar'!AB$3</f>
        <v>0</v>
      </c>
      <c r="Z122">
        <f>'Kullanılan gübre'!Z122*'Gübre oranlar'!AC$3</f>
        <v>0</v>
      </c>
      <c r="AA122">
        <f>'Kullanılan gübre'!AA122*'Gübre oranlar'!AD$3</f>
        <v>0</v>
      </c>
      <c r="AB122">
        <f>'Kullanılan gübre'!AB122*'Gübre oranlar'!AE$3</f>
        <v>0</v>
      </c>
      <c r="AC122">
        <f>'Kullanılan gübre'!AC122*'Gübre oranlar'!AF$3</f>
        <v>0</v>
      </c>
      <c r="AD122">
        <f>'Kullanılan gübre'!AD122*'Gübre oranlar'!AG$3</f>
        <v>0</v>
      </c>
      <c r="AE122">
        <f>'Kullanılan gübre'!AE122*'Gübre oranlar'!AH$3</f>
        <v>0</v>
      </c>
      <c r="AF122">
        <f>'Kullanılan gübre'!AF122*'Gübre oranlar'!AI$3</f>
        <v>0</v>
      </c>
      <c r="AG122">
        <f>'Kullanılan gübre'!AG122*'Gübre oranlar'!AJ$3</f>
        <v>0</v>
      </c>
      <c r="AH122">
        <f>'Kullanılan gübre'!AH122*'Gübre oranlar'!AK$3</f>
        <v>0</v>
      </c>
      <c r="AI122">
        <f>'Kullanılan gübre'!AI122*'Gübre oranlar'!AL$3</f>
        <v>0</v>
      </c>
      <c r="AJ122">
        <f>'Kullanılan gübre'!AJ122*'Gübre oranlar'!AM$3</f>
        <v>0</v>
      </c>
      <c r="AK122">
        <f>'Kullanılan gübre'!AK122*'Gübre oranlar'!AN$3</f>
        <v>0</v>
      </c>
      <c r="AL122">
        <f>'Kullanılan gübre'!AL122*'Gübre oranlar'!AO$3</f>
        <v>0</v>
      </c>
      <c r="AM122">
        <f>'Kullanılan gübre'!AM122*'Gübre oranlar'!AP$3</f>
        <v>0</v>
      </c>
      <c r="AN122">
        <f>'Kullanılan gübre'!AN122*'Gübre oranlar'!AQ$3</f>
        <v>0</v>
      </c>
      <c r="AO122">
        <f>'Kullanılan gübre'!AO122*'Gübre oranlar'!AR$3</f>
        <v>0</v>
      </c>
      <c r="AP122">
        <f>'Kullanılan gübre'!AP122*'Gübre oranlar'!AS$3</f>
        <v>0</v>
      </c>
      <c r="AQ122">
        <f>'Kullanılan gübre'!AQ122*'Gübre oranlar'!AT$3</f>
        <v>0</v>
      </c>
      <c r="AR122">
        <f>'Kullanılan gübre'!AR122*'Gübre oranlar'!AU$3</f>
        <v>0</v>
      </c>
      <c r="AS122">
        <f>'Kullanılan gübre'!AS122*'Gübre oranlar'!AV$3</f>
        <v>0</v>
      </c>
      <c r="AT122">
        <f>'Kullanılan gübre'!AT122*'Gübre oranlar'!AW$3</f>
        <v>0</v>
      </c>
      <c r="AU122">
        <f>'Kullanılan gübre'!AU122*'Gübre oranlar'!AX$3</f>
        <v>0</v>
      </c>
      <c r="AV122">
        <f>'Kullanılan gübre'!AV122*'Gübre oranlar'!AY$3</f>
        <v>0</v>
      </c>
      <c r="AW122">
        <f t="shared" si="1"/>
        <v>69.315000000000012</v>
      </c>
    </row>
    <row r="123" spans="1:49" x14ac:dyDescent="0.25">
      <c r="A123" t="str">
        <f>'Kullanılan gübre'!A123</f>
        <v>AK</v>
      </c>
      <c r="B123" t="str">
        <f>'Kullanılan gübre'!B123</f>
        <v>KONYA</v>
      </c>
      <c r="C123" t="str">
        <f>'Kullanılan gübre'!C123</f>
        <v>AKSEHIR</v>
      </c>
      <c r="D123">
        <f>'Kullanılan gübre'!D123</f>
        <v>2006</v>
      </c>
      <c r="E123">
        <f>'Kullanılan gübre'!E123*'Gübre oranlar'!H$3</f>
        <v>0</v>
      </c>
      <c r="F123">
        <f>'Kullanılan gübre'!F123*'Gübre oranlar'!I$3</f>
        <v>0</v>
      </c>
      <c r="G123">
        <f>'Kullanılan gübre'!G123*'Gübre oranlar'!J$3</f>
        <v>0</v>
      </c>
      <c r="H123">
        <f>'Kullanılan gübre'!H123*'Gübre oranlar'!K$3</f>
        <v>0</v>
      </c>
      <c r="I123">
        <f>'Kullanılan gübre'!I123*'Gübre oranlar'!L$3</f>
        <v>60.049500000000002</v>
      </c>
      <c r="J123">
        <f>'Kullanılan gübre'!J123*'Gübre oranlar'!M$3</f>
        <v>0</v>
      </c>
      <c r="K123">
        <f>'Kullanılan gübre'!K123*'Gübre oranlar'!N$3</f>
        <v>280.63000000000005</v>
      </c>
      <c r="L123">
        <f>'Kullanılan gübre'!L123*'Gübre oranlar'!O$3</f>
        <v>252.01999999999998</v>
      </c>
      <c r="M123">
        <f>'Kullanılan gübre'!M123*'Gübre oranlar'!P$3</f>
        <v>19.2</v>
      </c>
      <c r="N123">
        <f>'Kullanılan gübre'!N123*'Gübre oranlar'!Q$3</f>
        <v>27.322500000000002</v>
      </c>
      <c r="O123">
        <f>'Kullanılan gübre'!O123*'Gübre oranlar'!R$3</f>
        <v>0</v>
      </c>
      <c r="P123">
        <f>'Kullanılan gübre'!P123*'Gübre oranlar'!S$3</f>
        <v>0</v>
      </c>
      <c r="Q123">
        <f>'Kullanılan gübre'!Q123*'Gübre oranlar'!T$3</f>
        <v>250.5</v>
      </c>
      <c r="R123">
        <f>'Kullanılan gübre'!R123*'Gübre oranlar'!U$3</f>
        <v>13.139999999999999</v>
      </c>
      <c r="S123">
        <f>'Kullanılan gübre'!S123*'Gübre oranlar'!V$3</f>
        <v>0</v>
      </c>
      <c r="T123">
        <f>'Kullanılan gübre'!T123*'Gübre oranlar'!W$3</f>
        <v>0</v>
      </c>
      <c r="U123">
        <f>'Kullanılan gübre'!U123*'Gübre oranlar'!X$3</f>
        <v>0</v>
      </c>
      <c r="V123">
        <f>'Kullanılan gübre'!V123*'Gübre oranlar'!Y$3</f>
        <v>0</v>
      </c>
      <c r="W123">
        <f>'Kullanılan gübre'!W123*'Gübre oranlar'!Z$3</f>
        <v>0</v>
      </c>
      <c r="X123">
        <f>'Kullanılan gübre'!X123*'Gübre oranlar'!AA$3</f>
        <v>6.2</v>
      </c>
      <c r="Y123">
        <f>'Kullanılan gübre'!Y123*'Gübre oranlar'!AB$3</f>
        <v>0</v>
      </c>
      <c r="Z123">
        <f>'Kullanılan gübre'!Z123*'Gübre oranlar'!AC$3</f>
        <v>0</v>
      </c>
      <c r="AA123">
        <f>'Kullanılan gübre'!AA123*'Gübre oranlar'!AD$3</f>
        <v>0</v>
      </c>
      <c r="AB123">
        <f>'Kullanılan gübre'!AB123*'Gübre oranlar'!AE$3</f>
        <v>0</v>
      </c>
      <c r="AC123">
        <f>'Kullanılan gübre'!AC123*'Gübre oranlar'!AF$3</f>
        <v>0</v>
      </c>
      <c r="AD123">
        <f>'Kullanılan gübre'!AD123*'Gübre oranlar'!AG$3</f>
        <v>0</v>
      </c>
      <c r="AE123">
        <f>'Kullanılan gübre'!AE123*'Gübre oranlar'!AH$3</f>
        <v>0</v>
      </c>
      <c r="AF123">
        <f>'Kullanılan gübre'!AF123*'Gübre oranlar'!AI$3</f>
        <v>0</v>
      </c>
      <c r="AG123">
        <f>'Kullanılan gübre'!AG123*'Gübre oranlar'!AJ$3</f>
        <v>0</v>
      </c>
      <c r="AH123">
        <f>'Kullanılan gübre'!AH123*'Gübre oranlar'!AK$3</f>
        <v>0</v>
      </c>
      <c r="AI123">
        <f>'Kullanılan gübre'!AI123*'Gübre oranlar'!AL$3</f>
        <v>0</v>
      </c>
      <c r="AJ123">
        <f>'Kullanılan gübre'!AJ123*'Gübre oranlar'!AM$3</f>
        <v>0</v>
      </c>
      <c r="AK123">
        <f>'Kullanılan gübre'!AK123*'Gübre oranlar'!AN$3</f>
        <v>0</v>
      </c>
      <c r="AL123">
        <f>'Kullanılan gübre'!AL123*'Gübre oranlar'!AO$3</f>
        <v>0</v>
      </c>
      <c r="AM123">
        <f>'Kullanılan gübre'!AM123*'Gübre oranlar'!AP$3</f>
        <v>0</v>
      </c>
      <c r="AN123">
        <f>'Kullanılan gübre'!AN123*'Gübre oranlar'!AQ$3</f>
        <v>0</v>
      </c>
      <c r="AO123">
        <f>'Kullanılan gübre'!AO123*'Gübre oranlar'!AR$3</f>
        <v>0</v>
      </c>
      <c r="AP123">
        <f>'Kullanılan gübre'!AP123*'Gübre oranlar'!AS$3</f>
        <v>0</v>
      </c>
      <c r="AQ123">
        <f>'Kullanılan gübre'!AQ123*'Gübre oranlar'!AT$3</f>
        <v>0</v>
      </c>
      <c r="AR123">
        <f>'Kullanılan gübre'!AR123*'Gübre oranlar'!AU$3</f>
        <v>0</v>
      </c>
      <c r="AS123">
        <f>'Kullanılan gübre'!AS123*'Gübre oranlar'!AV$3</f>
        <v>0</v>
      </c>
      <c r="AT123">
        <f>'Kullanılan gübre'!AT123*'Gübre oranlar'!AW$3</f>
        <v>0</v>
      </c>
      <c r="AU123">
        <f>'Kullanılan gübre'!AU123*'Gübre oranlar'!AX$3</f>
        <v>0</v>
      </c>
      <c r="AV123">
        <f>'Kullanılan gübre'!AV123*'Gübre oranlar'!AY$3</f>
        <v>0</v>
      </c>
      <c r="AW123">
        <f t="shared" si="1"/>
        <v>909.06200000000013</v>
      </c>
    </row>
    <row r="124" spans="1:49" x14ac:dyDescent="0.25">
      <c r="A124" t="str">
        <f>'Kullanılan gübre'!A124</f>
        <v>AK</v>
      </c>
      <c r="B124" t="str">
        <f>'Kullanılan gübre'!B124</f>
        <v>KONYA</v>
      </c>
      <c r="C124" t="str">
        <f>'Kullanılan gübre'!C124</f>
        <v>AKSEHIR</v>
      </c>
      <c r="D124">
        <f>'Kullanılan gübre'!D124</f>
        <v>2007</v>
      </c>
      <c r="E124">
        <f>'Kullanılan gübre'!E124*'Gübre oranlar'!H$3</f>
        <v>0</v>
      </c>
      <c r="F124">
        <f>'Kullanılan gübre'!F124*'Gübre oranlar'!I$3</f>
        <v>0</v>
      </c>
      <c r="G124">
        <f>'Kullanılan gübre'!G124*'Gübre oranlar'!J$3</f>
        <v>0</v>
      </c>
      <c r="H124">
        <f>'Kullanılan gübre'!H124*'Gübre oranlar'!K$3</f>
        <v>0</v>
      </c>
      <c r="I124">
        <f>'Kullanılan gübre'!I124*'Gübre oranlar'!L$3</f>
        <v>45.752000000000002</v>
      </c>
      <c r="J124">
        <f>'Kullanılan gübre'!J124*'Gübre oranlar'!M$3</f>
        <v>0</v>
      </c>
      <c r="K124">
        <f>'Kullanılan gübre'!K124*'Gübre oranlar'!N$3</f>
        <v>257.45999999999998</v>
      </c>
      <c r="L124">
        <f>'Kullanılan gübre'!L124*'Gübre oranlar'!O$3</f>
        <v>137.44000000000003</v>
      </c>
      <c r="M124">
        <f>'Kullanılan gübre'!M124*'Gübre oranlar'!P$3</f>
        <v>11.219999999999999</v>
      </c>
      <c r="N124">
        <f>'Kullanılan gübre'!N124*'Gübre oranlar'!Q$3</f>
        <v>34.1325</v>
      </c>
      <c r="O124">
        <f>'Kullanılan gübre'!O124*'Gübre oranlar'!R$3</f>
        <v>0</v>
      </c>
      <c r="P124">
        <f>'Kullanılan gübre'!P124*'Gübre oranlar'!S$3</f>
        <v>0</v>
      </c>
      <c r="Q124">
        <f>'Kullanılan gübre'!Q124*'Gübre oranlar'!T$3</f>
        <v>253.79999999999998</v>
      </c>
      <c r="R124">
        <f>'Kullanılan gübre'!R124*'Gübre oranlar'!U$3</f>
        <v>0</v>
      </c>
      <c r="S124">
        <f>'Kullanılan gübre'!S124*'Gübre oranlar'!V$3</f>
        <v>0</v>
      </c>
      <c r="T124">
        <f>'Kullanılan gübre'!T124*'Gübre oranlar'!W$3</f>
        <v>0</v>
      </c>
      <c r="U124">
        <f>'Kullanılan gübre'!U124*'Gübre oranlar'!X$3</f>
        <v>0</v>
      </c>
      <c r="V124">
        <f>'Kullanılan gübre'!V124*'Gübre oranlar'!Y$3</f>
        <v>0</v>
      </c>
      <c r="W124">
        <f>'Kullanılan gübre'!W124*'Gübre oranlar'!Z$3</f>
        <v>0</v>
      </c>
      <c r="X124">
        <f>'Kullanılan gübre'!X124*'Gübre oranlar'!AA$3</f>
        <v>15</v>
      </c>
      <c r="Y124">
        <f>'Kullanılan gübre'!Y124*'Gübre oranlar'!AB$3</f>
        <v>0</v>
      </c>
      <c r="Z124">
        <f>'Kullanılan gübre'!Z124*'Gübre oranlar'!AC$3</f>
        <v>0</v>
      </c>
      <c r="AA124">
        <f>'Kullanılan gübre'!AA124*'Gübre oranlar'!AD$3</f>
        <v>6.8159999999999998</v>
      </c>
      <c r="AB124">
        <f>'Kullanılan gübre'!AB124*'Gübre oranlar'!AE$3</f>
        <v>0</v>
      </c>
      <c r="AC124">
        <f>'Kullanılan gübre'!AC124*'Gübre oranlar'!AF$3</f>
        <v>0</v>
      </c>
      <c r="AD124">
        <f>'Kullanılan gübre'!AD124*'Gübre oranlar'!AG$3</f>
        <v>0</v>
      </c>
      <c r="AE124">
        <f>'Kullanılan gübre'!AE124*'Gübre oranlar'!AH$3</f>
        <v>0</v>
      </c>
      <c r="AF124">
        <f>'Kullanılan gübre'!AF124*'Gübre oranlar'!AI$3</f>
        <v>0</v>
      </c>
      <c r="AG124">
        <f>'Kullanılan gübre'!AG124*'Gübre oranlar'!AJ$3</f>
        <v>0</v>
      </c>
      <c r="AH124">
        <f>'Kullanılan gübre'!AH124*'Gübre oranlar'!AK$3</f>
        <v>0</v>
      </c>
      <c r="AI124">
        <f>'Kullanılan gübre'!AI124*'Gübre oranlar'!AL$3</f>
        <v>0</v>
      </c>
      <c r="AJ124">
        <f>'Kullanılan gübre'!AJ124*'Gübre oranlar'!AM$3</f>
        <v>0</v>
      </c>
      <c r="AK124">
        <f>'Kullanılan gübre'!AK124*'Gübre oranlar'!AN$3</f>
        <v>0</v>
      </c>
      <c r="AL124">
        <f>'Kullanılan gübre'!AL124*'Gübre oranlar'!AO$3</f>
        <v>0</v>
      </c>
      <c r="AM124">
        <f>'Kullanılan gübre'!AM124*'Gübre oranlar'!AP$3</f>
        <v>0</v>
      </c>
      <c r="AN124">
        <f>'Kullanılan gübre'!AN124*'Gübre oranlar'!AQ$3</f>
        <v>0</v>
      </c>
      <c r="AO124">
        <f>'Kullanılan gübre'!AO124*'Gübre oranlar'!AR$3</f>
        <v>0</v>
      </c>
      <c r="AP124">
        <f>'Kullanılan gübre'!AP124*'Gübre oranlar'!AS$3</f>
        <v>0</v>
      </c>
      <c r="AQ124">
        <f>'Kullanılan gübre'!AQ124*'Gübre oranlar'!AT$3</f>
        <v>0</v>
      </c>
      <c r="AR124">
        <f>'Kullanılan gübre'!AR124*'Gübre oranlar'!AU$3</f>
        <v>0</v>
      </c>
      <c r="AS124">
        <f>'Kullanılan gübre'!AS124*'Gübre oranlar'!AV$3</f>
        <v>0</v>
      </c>
      <c r="AT124">
        <f>'Kullanılan gübre'!AT124*'Gübre oranlar'!AW$3</f>
        <v>0</v>
      </c>
      <c r="AU124">
        <f>'Kullanılan gübre'!AU124*'Gübre oranlar'!AX$3</f>
        <v>0</v>
      </c>
      <c r="AV124">
        <f>'Kullanılan gübre'!AV124*'Gübre oranlar'!AY$3</f>
        <v>0</v>
      </c>
      <c r="AW124">
        <f t="shared" si="1"/>
        <v>761.62050000000011</v>
      </c>
    </row>
    <row r="125" spans="1:49" x14ac:dyDescent="0.25">
      <c r="A125" t="str">
        <f>'Kullanılan gübre'!A125</f>
        <v>AK</v>
      </c>
      <c r="B125" t="str">
        <f>'Kullanılan gübre'!B125</f>
        <v>KONYA</v>
      </c>
      <c r="C125" t="str">
        <f>'Kullanılan gübre'!C125</f>
        <v>TUZLUKCU</v>
      </c>
      <c r="D125">
        <f>'Kullanılan gübre'!D125</f>
        <v>2007</v>
      </c>
      <c r="E125">
        <f>'Kullanılan gübre'!E125*'Gübre oranlar'!H$3</f>
        <v>0</v>
      </c>
      <c r="F125">
        <f>'Kullanılan gübre'!F125*'Gübre oranlar'!I$3</f>
        <v>0</v>
      </c>
      <c r="G125">
        <f>'Kullanılan gübre'!G125*'Gübre oranlar'!J$3</f>
        <v>0</v>
      </c>
      <c r="H125">
        <f>'Kullanılan gübre'!H125*'Gübre oranlar'!K$3</f>
        <v>0</v>
      </c>
      <c r="I125">
        <f>'Kullanılan gübre'!I125*'Gübre oranlar'!L$3</f>
        <v>28.251000000000001</v>
      </c>
      <c r="J125">
        <f>'Kullanılan gübre'!J125*'Gübre oranlar'!M$3</f>
        <v>0</v>
      </c>
      <c r="K125">
        <f>'Kullanılan gübre'!K125*'Gübre oranlar'!N$3</f>
        <v>7.9700000000000006</v>
      </c>
      <c r="L125">
        <f>'Kullanılan gübre'!L125*'Gübre oranlar'!O$3</f>
        <v>30.8</v>
      </c>
      <c r="M125">
        <f>'Kullanılan gübre'!M125*'Gübre oranlar'!P$3</f>
        <v>0</v>
      </c>
      <c r="N125">
        <f>'Kullanılan gübre'!N125*'Gübre oranlar'!Q$3</f>
        <v>0</v>
      </c>
      <c r="O125">
        <f>'Kullanılan gübre'!O125*'Gübre oranlar'!R$3</f>
        <v>0</v>
      </c>
      <c r="P125">
        <f>'Kullanılan gübre'!P125*'Gübre oranlar'!S$3</f>
        <v>0</v>
      </c>
      <c r="Q125">
        <f>'Kullanılan gübre'!Q125*'Gübre oranlar'!T$3</f>
        <v>0</v>
      </c>
      <c r="R125">
        <f>'Kullanılan gübre'!R125*'Gübre oranlar'!U$3</f>
        <v>0</v>
      </c>
      <c r="S125">
        <f>'Kullanılan gübre'!S125*'Gübre oranlar'!V$3</f>
        <v>0</v>
      </c>
      <c r="T125">
        <f>'Kullanılan gübre'!T125*'Gübre oranlar'!W$3</f>
        <v>0</v>
      </c>
      <c r="U125">
        <f>'Kullanılan gübre'!U125*'Gübre oranlar'!X$3</f>
        <v>0</v>
      </c>
      <c r="V125">
        <f>'Kullanılan gübre'!V125*'Gübre oranlar'!Y$3</f>
        <v>0</v>
      </c>
      <c r="W125">
        <f>'Kullanılan gübre'!W125*'Gübre oranlar'!Z$3</f>
        <v>0</v>
      </c>
      <c r="X125">
        <f>'Kullanılan gübre'!X125*'Gübre oranlar'!AA$3</f>
        <v>9.9600000000000009</v>
      </c>
      <c r="Y125">
        <f>'Kullanılan gübre'!Y125*'Gübre oranlar'!AB$3</f>
        <v>0</v>
      </c>
      <c r="Z125">
        <f>'Kullanılan gübre'!Z125*'Gübre oranlar'!AC$3</f>
        <v>0</v>
      </c>
      <c r="AA125">
        <f>'Kullanılan gübre'!AA125*'Gübre oranlar'!AD$3</f>
        <v>0</v>
      </c>
      <c r="AB125">
        <f>'Kullanılan gübre'!AB125*'Gübre oranlar'!AE$3</f>
        <v>0</v>
      </c>
      <c r="AC125">
        <f>'Kullanılan gübre'!AC125*'Gübre oranlar'!AF$3</f>
        <v>0</v>
      </c>
      <c r="AD125">
        <f>'Kullanılan gübre'!AD125*'Gübre oranlar'!AG$3</f>
        <v>0</v>
      </c>
      <c r="AE125">
        <f>'Kullanılan gübre'!AE125*'Gübre oranlar'!AH$3</f>
        <v>0</v>
      </c>
      <c r="AF125">
        <f>'Kullanılan gübre'!AF125*'Gübre oranlar'!AI$3</f>
        <v>0</v>
      </c>
      <c r="AG125">
        <f>'Kullanılan gübre'!AG125*'Gübre oranlar'!AJ$3</f>
        <v>0</v>
      </c>
      <c r="AH125">
        <f>'Kullanılan gübre'!AH125*'Gübre oranlar'!AK$3</f>
        <v>0</v>
      </c>
      <c r="AI125">
        <f>'Kullanılan gübre'!AI125*'Gübre oranlar'!AL$3</f>
        <v>0</v>
      </c>
      <c r="AJ125">
        <f>'Kullanılan gübre'!AJ125*'Gübre oranlar'!AM$3</f>
        <v>0</v>
      </c>
      <c r="AK125">
        <f>'Kullanılan gübre'!AK125*'Gübre oranlar'!AN$3</f>
        <v>0</v>
      </c>
      <c r="AL125">
        <f>'Kullanılan gübre'!AL125*'Gübre oranlar'!AO$3</f>
        <v>0</v>
      </c>
      <c r="AM125">
        <f>'Kullanılan gübre'!AM125*'Gübre oranlar'!AP$3</f>
        <v>0</v>
      </c>
      <c r="AN125">
        <f>'Kullanılan gübre'!AN125*'Gübre oranlar'!AQ$3</f>
        <v>0</v>
      </c>
      <c r="AO125">
        <f>'Kullanılan gübre'!AO125*'Gübre oranlar'!AR$3</f>
        <v>0</v>
      </c>
      <c r="AP125">
        <f>'Kullanılan gübre'!AP125*'Gübre oranlar'!AS$3</f>
        <v>0</v>
      </c>
      <c r="AQ125">
        <f>'Kullanılan gübre'!AQ125*'Gübre oranlar'!AT$3</f>
        <v>0</v>
      </c>
      <c r="AR125">
        <f>'Kullanılan gübre'!AR125*'Gübre oranlar'!AU$3</f>
        <v>0</v>
      </c>
      <c r="AS125">
        <f>'Kullanılan gübre'!AS125*'Gübre oranlar'!AV$3</f>
        <v>0</v>
      </c>
      <c r="AT125">
        <f>'Kullanılan gübre'!AT125*'Gübre oranlar'!AW$3</f>
        <v>0</v>
      </c>
      <c r="AU125">
        <f>'Kullanılan gübre'!AU125*'Gübre oranlar'!AX$3</f>
        <v>0</v>
      </c>
      <c r="AV125">
        <f>'Kullanılan gübre'!AV125*'Gübre oranlar'!AY$3</f>
        <v>0</v>
      </c>
      <c r="AW125">
        <f t="shared" si="1"/>
        <v>76.980999999999995</v>
      </c>
    </row>
    <row r="126" spans="1:49" x14ac:dyDescent="0.25">
      <c r="A126" t="str">
        <f>'Kullanılan gübre'!A126</f>
        <v>AK</v>
      </c>
      <c r="B126" t="str">
        <f>'Kullanılan gübre'!B126</f>
        <v>KONYA</v>
      </c>
      <c r="C126" t="str">
        <f>'Kullanılan gübre'!C126</f>
        <v>AKSEHIR</v>
      </c>
      <c r="D126">
        <f>'Kullanılan gübre'!D126</f>
        <v>2008</v>
      </c>
      <c r="E126">
        <f>'Kullanılan gübre'!E126*'Gübre oranlar'!H$3</f>
        <v>0</v>
      </c>
      <c r="F126">
        <f>'Kullanılan gübre'!F126*'Gübre oranlar'!I$3</f>
        <v>0</v>
      </c>
      <c r="G126">
        <f>'Kullanılan gübre'!G126*'Gübre oranlar'!J$3</f>
        <v>0</v>
      </c>
      <c r="H126">
        <f>'Kullanılan gübre'!H126*'Gübre oranlar'!K$3</f>
        <v>0</v>
      </c>
      <c r="I126">
        <f>'Kullanılan gübre'!I126*'Gübre oranlar'!L$3</f>
        <v>60.372</v>
      </c>
      <c r="J126">
        <f>'Kullanılan gübre'!J126*'Gübre oranlar'!M$3</f>
        <v>0</v>
      </c>
      <c r="K126">
        <f>'Kullanılan gübre'!K126*'Gübre oranlar'!N$3</f>
        <v>216.01999999999998</v>
      </c>
      <c r="L126">
        <f>'Kullanılan gübre'!L126*'Gübre oranlar'!O$3</f>
        <v>198.55</v>
      </c>
      <c r="M126">
        <f>'Kullanılan gübre'!M126*'Gübre oranlar'!P$3</f>
        <v>18.247499999999999</v>
      </c>
      <c r="N126">
        <f>'Kullanılan gübre'!N126*'Gübre oranlar'!Q$3</f>
        <v>13.882499999999999</v>
      </c>
      <c r="O126">
        <f>'Kullanılan gübre'!O126*'Gübre oranlar'!R$3</f>
        <v>0</v>
      </c>
      <c r="P126">
        <f>'Kullanılan gübre'!P126*'Gübre oranlar'!S$3</f>
        <v>0</v>
      </c>
      <c r="Q126">
        <f>'Kullanılan gübre'!Q126*'Gübre oranlar'!T$3</f>
        <v>239.46</v>
      </c>
      <c r="R126">
        <f>'Kullanılan gübre'!R126*'Gübre oranlar'!U$3</f>
        <v>7.8210000000000006</v>
      </c>
      <c r="S126">
        <f>'Kullanılan gübre'!S126*'Gübre oranlar'!V$3</f>
        <v>0</v>
      </c>
      <c r="T126">
        <f>'Kullanılan gübre'!T126*'Gübre oranlar'!W$3</f>
        <v>0</v>
      </c>
      <c r="U126">
        <f>'Kullanılan gübre'!U126*'Gübre oranlar'!X$3</f>
        <v>0</v>
      </c>
      <c r="V126">
        <f>'Kullanılan gübre'!V126*'Gübre oranlar'!Y$3</f>
        <v>13.125</v>
      </c>
      <c r="W126">
        <f>'Kullanılan gübre'!W126*'Gübre oranlar'!Z$3</f>
        <v>0</v>
      </c>
      <c r="X126">
        <f>'Kullanılan gübre'!X126*'Gübre oranlar'!AA$3</f>
        <v>0</v>
      </c>
      <c r="Y126">
        <f>'Kullanılan gübre'!Y126*'Gübre oranlar'!AB$3</f>
        <v>0</v>
      </c>
      <c r="Z126">
        <f>'Kullanılan gübre'!Z126*'Gübre oranlar'!AC$3</f>
        <v>0</v>
      </c>
      <c r="AA126">
        <f>'Kullanılan gübre'!AA126*'Gübre oranlar'!AD$3</f>
        <v>30.36</v>
      </c>
      <c r="AB126">
        <f>'Kullanılan gübre'!AB126*'Gübre oranlar'!AE$3</f>
        <v>0</v>
      </c>
      <c r="AC126">
        <f>'Kullanılan gübre'!AC126*'Gübre oranlar'!AF$3</f>
        <v>0</v>
      </c>
      <c r="AD126">
        <f>'Kullanılan gübre'!AD126*'Gübre oranlar'!AG$3</f>
        <v>0</v>
      </c>
      <c r="AE126">
        <f>'Kullanılan gübre'!AE126*'Gübre oranlar'!AH$3</f>
        <v>0</v>
      </c>
      <c r="AF126">
        <f>'Kullanılan gübre'!AF126*'Gübre oranlar'!AI$3</f>
        <v>0</v>
      </c>
      <c r="AG126">
        <f>'Kullanılan gübre'!AG126*'Gübre oranlar'!AJ$3</f>
        <v>0</v>
      </c>
      <c r="AH126">
        <f>'Kullanılan gübre'!AH126*'Gübre oranlar'!AK$3</f>
        <v>0</v>
      </c>
      <c r="AI126">
        <f>'Kullanılan gübre'!AI126*'Gübre oranlar'!AL$3</f>
        <v>0</v>
      </c>
      <c r="AJ126">
        <f>'Kullanılan gübre'!AJ126*'Gübre oranlar'!AM$3</f>
        <v>0</v>
      </c>
      <c r="AK126">
        <f>'Kullanılan gübre'!AK126*'Gübre oranlar'!AN$3</f>
        <v>0</v>
      </c>
      <c r="AL126">
        <f>'Kullanılan gübre'!AL126*'Gübre oranlar'!AO$3</f>
        <v>0</v>
      </c>
      <c r="AM126">
        <f>'Kullanılan gübre'!AM126*'Gübre oranlar'!AP$3</f>
        <v>0</v>
      </c>
      <c r="AN126">
        <f>'Kullanılan gübre'!AN126*'Gübre oranlar'!AQ$3</f>
        <v>0</v>
      </c>
      <c r="AO126">
        <f>'Kullanılan gübre'!AO126*'Gübre oranlar'!AR$3</f>
        <v>0</v>
      </c>
      <c r="AP126">
        <f>'Kullanılan gübre'!AP126*'Gübre oranlar'!AS$3</f>
        <v>0</v>
      </c>
      <c r="AQ126">
        <f>'Kullanılan gübre'!AQ126*'Gübre oranlar'!AT$3</f>
        <v>0</v>
      </c>
      <c r="AR126">
        <f>'Kullanılan gübre'!AR126*'Gübre oranlar'!AU$3</f>
        <v>0</v>
      </c>
      <c r="AS126">
        <f>'Kullanılan gübre'!AS126*'Gübre oranlar'!AV$3</f>
        <v>0</v>
      </c>
      <c r="AT126">
        <f>'Kullanılan gübre'!AT126*'Gübre oranlar'!AW$3</f>
        <v>0</v>
      </c>
      <c r="AU126">
        <f>'Kullanılan gübre'!AU126*'Gübre oranlar'!AX$3</f>
        <v>0</v>
      </c>
      <c r="AV126">
        <f>'Kullanılan gübre'!AV126*'Gübre oranlar'!AY$3</f>
        <v>0</v>
      </c>
      <c r="AW126">
        <f t="shared" si="1"/>
        <v>797.83800000000008</v>
      </c>
    </row>
    <row r="127" spans="1:49" x14ac:dyDescent="0.25">
      <c r="A127" t="str">
        <f>'Kullanılan gübre'!A127</f>
        <v>AK</v>
      </c>
      <c r="B127" t="str">
        <f>'Kullanılan gübre'!B127</f>
        <v>KONYA</v>
      </c>
      <c r="C127" t="str">
        <f>'Kullanılan gübre'!C127</f>
        <v>TUZLUKCU</v>
      </c>
      <c r="D127">
        <f>'Kullanılan gübre'!D127</f>
        <v>2008</v>
      </c>
      <c r="E127">
        <f>'Kullanılan gübre'!E127*'Gübre oranlar'!H$3</f>
        <v>0</v>
      </c>
      <c r="F127">
        <f>'Kullanılan gübre'!F127*'Gübre oranlar'!I$3</f>
        <v>0</v>
      </c>
      <c r="G127">
        <f>'Kullanılan gübre'!G127*'Gübre oranlar'!J$3</f>
        <v>0</v>
      </c>
      <c r="H127">
        <f>'Kullanılan gübre'!H127*'Gübre oranlar'!K$3</f>
        <v>0</v>
      </c>
      <c r="I127">
        <f>'Kullanılan gübre'!I127*'Gübre oranlar'!L$3</f>
        <v>12.061500000000001</v>
      </c>
      <c r="J127">
        <f>'Kullanılan gübre'!J127*'Gübre oranlar'!M$3</f>
        <v>0</v>
      </c>
      <c r="K127">
        <f>'Kullanılan gübre'!K127*'Gübre oranlar'!N$3</f>
        <v>10.780000000000001</v>
      </c>
      <c r="L127">
        <f>'Kullanılan gübre'!L127*'Gübre oranlar'!O$3</f>
        <v>0</v>
      </c>
      <c r="M127">
        <f>'Kullanılan gübre'!M127*'Gübre oranlar'!P$3</f>
        <v>0</v>
      </c>
      <c r="N127">
        <f>'Kullanılan gübre'!N127*'Gübre oranlar'!Q$3</f>
        <v>0</v>
      </c>
      <c r="O127">
        <f>'Kullanılan gübre'!O127*'Gübre oranlar'!R$3</f>
        <v>0</v>
      </c>
      <c r="P127">
        <f>'Kullanılan gübre'!P127*'Gübre oranlar'!S$3</f>
        <v>0</v>
      </c>
      <c r="Q127">
        <f>'Kullanılan gübre'!Q127*'Gübre oranlar'!T$3</f>
        <v>0</v>
      </c>
      <c r="R127">
        <f>'Kullanılan gübre'!R127*'Gübre oranlar'!U$3</f>
        <v>0</v>
      </c>
      <c r="S127">
        <f>'Kullanılan gübre'!S127*'Gübre oranlar'!V$3</f>
        <v>0</v>
      </c>
      <c r="T127">
        <f>'Kullanılan gübre'!T127*'Gübre oranlar'!W$3</f>
        <v>0</v>
      </c>
      <c r="U127">
        <f>'Kullanılan gübre'!U127*'Gübre oranlar'!X$3</f>
        <v>0</v>
      </c>
      <c r="V127">
        <f>'Kullanılan gübre'!V127*'Gübre oranlar'!Y$3</f>
        <v>0.5</v>
      </c>
      <c r="W127">
        <f>'Kullanılan gübre'!W127*'Gübre oranlar'!Z$3</f>
        <v>0</v>
      </c>
      <c r="X127">
        <f>'Kullanılan gübre'!X127*'Gübre oranlar'!AA$3</f>
        <v>7.76</v>
      </c>
      <c r="Y127">
        <f>'Kullanılan gübre'!Y127*'Gübre oranlar'!AB$3</f>
        <v>0</v>
      </c>
      <c r="Z127">
        <f>'Kullanılan gübre'!Z127*'Gübre oranlar'!AC$3</f>
        <v>0</v>
      </c>
      <c r="AA127">
        <f>'Kullanılan gübre'!AA127*'Gübre oranlar'!AD$3</f>
        <v>0.48</v>
      </c>
      <c r="AB127">
        <f>'Kullanılan gübre'!AB127*'Gübre oranlar'!AE$3</f>
        <v>0</v>
      </c>
      <c r="AC127">
        <f>'Kullanılan gübre'!AC127*'Gübre oranlar'!AF$3</f>
        <v>0</v>
      </c>
      <c r="AD127">
        <f>'Kullanılan gübre'!AD127*'Gübre oranlar'!AG$3</f>
        <v>0</v>
      </c>
      <c r="AE127">
        <f>'Kullanılan gübre'!AE127*'Gübre oranlar'!AH$3</f>
        <v>0</v>
      </c>
      <c r="AF127">
        <f>'Kullanılan gübre'!AF127*'Gübre oranlar'!AI$3</f>
        <v>0</v>
      </c>
      <c r="AG127">
        <f>'Kullanılan gübre'!AG127*'Gübre oranlar'!AJ$3</f>
        <v>0</v>
      </c>
      <c r="AH127">
        <f>'Kullanılan gübre'!AH127*'Gübre oranlar'!AK$3</f>
        <v>0</v>
      </c>
      <c r="AI127">
        <f>'Kullanılan gübre'!AI127*'Gübre oranlar'!AL$3</f>
        <v>0</v>
      </c>
      <c r="AJ127">
        <f>'Kullanılan gübre'!AJ127*'Gübre oranlar'!AM$3</f>
        <v>0</v>
      </c>
      <c r="AK127">
        <f>'Kullanılan gübre'!AK127*'Gübre oranlar'!AN$3</f>
        <v>0</v>
      </c>
      <c r="AL127">
        <f>'Kullanılan gübre'!AL127*'Gübre oranlar'!AO$3</f>
        <v>0</v>
      </c>
      <c r="AM127">
        <f>'Kullanılan gübre'!AM127*'Gübre oranlar'!AP$3</f>
        <v>0</v>
      </c>
      <c r="AN127">
        <f>'Kullanılan gübre'!AN127*'Gübre oranlar'!AQ$3</f>
        <v>0</v>
      </c>
      <c r="AO127">
        <f>'Kullanılan gübre'!AO127*'Gübre oranlar'!AR$3</f>
        <v>0</v>
      </c>
      <c r="AP127">
        <f>'Kullanılan gübre'!AP127*'Gübre oranlar'!AS$3</f>
        <v>0</v>
      </c>
      <c r="AQ127">
        <f>'Kullanılan gübre'!AQ127*'Gübre oranlar'!AT$3</f>
        <v>0</v>
      </c>
      <c r="AR127">
        <f>'Kullanılan gübre'!AR127*'Gübre oranlar'!AU$3</f>
        <v>0</v>
      </c>
      <c r="AS127">
        <f>'Kullanılan gübre'!AS127*'Gübre oranlar'!AV$3</f>
        <v>0</v>
      </c>
      <c r="AT127">
        <f>'Kullanılan gübre'!AT127*'Gübre oranlar'!AW$3</f>
        <v>0</v>
      </c>
      <c r="AU127">
        <f>'Kullanılan gübre'!AU127*'Gübre oranlar'!AX$3</f>
        <v>0</v>
      </c>
      <c r="AV127">
        <f>'Kullanılan gübre'!AV127*'Gübre oranlar'!AY$3</f>
        <v>0</v>
      </c>
      <c r="AW127">
        <f t="shared" si="1"/>
        <v>31.581500000000002</v>
      </c>
    </row>
    <row r="128" spans="1:49" x14ac:dyDescent="0.25">
      <c r="A128" t="str">
        <f>'Kullanılan gübre'!A128</f>
        <v>AK</v>
      </c>
      <c r="B128" t="str">
        <f>'Kullanılan gübre'!B128</f>
        <v>KONYA</v>
      </c>
      <c r="C128" t="str">
        <f>'Kullanılan gübre'!C128</f>
        <v>TUZLUKCU</v>
      </c>
      <c r="D128">
        <f>'Kullanılan gübre'!D128</f>
        <v>2009</v>
      </c>
      <c r="E128">
        <f>'Kullanılan gübre'!E128*'Gübre oranlar'!H$3</f>
        <v>0</v>
      </c>
      <c r="F128">
        <f>'Kullanılan gübre'!F128*'Gübre oranlar'!I$3</f>
        <v>0</v>
      </c>
      <c r="G128">
        <f>'Kullanılan gübre'!G128*'Gübre oranlar'!J$3</f>
        <v>0</v>
      </c>
      <c r="H128">
        <f>'Kullanılan gübre'!H128*'Gübre oranlar'!K$3</f>
        <v>0</v>
      </c>
      <c r="I128">
        <f>'Kullanılan gübre'!I128*'Gübre oranlar'!L$3</f>
        <v>11.997</v>
      </c>
      <c r="J128">
        <f>'Kullanılan gübre'!J128*'Gübre oranlar'!M$3</f>
        <v>0</v>
      </c>
      <c r="K128">
        <f>'Kullanılan gübre'!K128*'Gübre oranlar'!N$3</f>
        <v>136.16</v>
      </c>
      <c r="L128">
        <f>'Kullanılan gübre'!L128*'Gübre oranlar'!O$3</f>
        <v>127.71</v>
      </c>
      <c r="M128">
        <f>'Kullanılan gübre'!M128*'Gübre oranlar'!P$3</f>
        <v>16.5075</v>
      </c>
      <c r="N128">
        <f>'Kullanılan gübre'!N128*'Gübre oranlar'!Q$3</f>
        <v>7.2824999999999989</v>
      </c>
      <c r="O128">
        <f>'Kullanılan gübre'!O128*'Gübre oranlar'!R$3</f>
        <v>0</v>
      </c>
      <c r="P128">
        <f>'Kullanılan gübre'!P128*'Gübre oranlar'!S$3</f>
        <v>0</v>
      </c>
      <c r="Q128">
        <f>'Kullanılan gübre'!Q128*'Gübre oranlar'!T$3</f>
        <v>252</v>
      </c>
      <c r="R128">
        <f>'Kullanılan gübre'!R128*'Gübre oranlar'!U$3</f>
        <v>16.992000000000001</v>
      </c>
      <c r="S128">
        <f>'Kullanılan gübre'!S128*'Gübre oranlar'!V$3</f>
        <v>0</v>
      </c>
      <c r="T128">
        <f>'Kullanılan gübre'!T128*'Gübre oranlar'!W$3</f>
        <v>0</v>
      </c>
      <c r="U128">
        <f>'Kullanılan gübre'!U128*'Gübre oranlar'!X$3</f>
        <v>0</v>
      </c>
      <c r="V128">
        <f>'Kullanılan gübre'!V128*'Gübre oranlar'!Y$3</f>
        <v>8.8249999999999993</v>
      </c>
      <c r="W128">
        <f>'Kullanılan gübre'!W128*'Gübre oranlar'!Z$3</f>
        <v>0</v>
      </c>
      <c r="X128">
        <f>'Kullanılan gübre'!X128*'Gübre oranlar'!AA$3</f>
        <v>0</v>
      </c>
      <c r="Y128">
        <f>'Kullanılan gübre'!Y128*'Gübre oranlar'!AB$3</f>
        <v>0</v>
      </c>
      <c r="Z128">
        <f>'Kullanılan gübre'!Z128*'Gübre oranlar'!AC$3</f>
        <v>0</v>
      </c>
      <c r="AA128">
        <f>'Kullanılan gübre'!AA128*'Gübre oranlar'!AD$3</f>
        <v>8.2680000000000007</v>
      </c>
      <c r="AB128">
        <f>'Kullanılan gübre'!AB128*'Gübre oranlar'!AE$3</f>
        <v>0</v>
      </c>
      <c r="AC128">
        <f>'Kullanılan gübre'!AC128*'Gübre oranlar'!AF$3</f>
        <v>0</v>
      </c>
      <c r="AD128">
        <f>'Kullanılan gübre'!AD128*'Gübre oranlar'!AG$3</f>
        <v>0</v>
      </c>
      <c r="AE128">
        <f>'Kullanılan gübre'!AE128*'Gübre oranlar'!AH$3</f>
        <v>0</v>
      </c>
      <c r="AF128">
        <f>'Kullanılan gübre'!AF128*'Gübre oranlar'!AI$3</f>
        <v>0</v>
      </c>
      <c r="AG128">
        <f>'Kullanılan gübre'!AG128*'Gübre oranlar'!AJ$3</f>
        <v>0</v>
      </c>
      <c r="AH128">
        <f>'Kullanılan gübre'!AH128*'Gübre oranlar'!AK$3</f>
        <v>0</v>
      </c>
      <c r="AI128">
        <f>'Kullanılan gübre'!AI128*'Gübre oranlar'!AL$3</f>
        <v>0</v>
      </c>
      <c r="AJ128">
        <f>'Kullanılan gübre'!AJ128*'Gübre oranlar'!AM$3</f>
        <v>0</v>
      </c>
      <c r="AK128">
        <f>'Kullanılan gübre'!AK128*'Gübre oranlar'!AN$3</f>
        <v>0</v>
      </c>
      <c r="AL128">
        <f>'Kullanılan gübre'!AL128*'Gübre oranlar'!AO$3</f>
        <v>0</v>
      </c>
      <c r="AM128">
        <f>'Kullanılan gübre'!AM128*'Gübre oranlar'!AP$3</f>
        <v>0</v>
      </c>
      <c r="AN128">
        <f>'Kullanılan gübre'!AN128*'Gübre oranlar'!AQ$3</f>
        <v>0</v>
      </c>
      <c r="AO128">
        <f>'Kullanılan gübre'!AO128*'Gübre oranlar'!AR$3</f>
        <v>0</v>
      </c>
      <c r="AP128">
        <f>'Kullanılan gübre'!AP128*'Gübre oranlar'!AS$3</f>
        <v>0</v>
      </c>
      <c r="AQ128">
        <f>'Kullanılan gübre'!AQ128*'Gübre oranlar'!AT$3</f>
        <v>0</v>
      </c>
      <c r="AR128">
        <f>'Kullanılan gübre'!AR128*'Gübre oranlar'!AU$3</f>
        <v>0</v>
      </c>
      <c r="AS128">
        <f>'Kullanılan gübre'!AS128*'Gübre oranlar'!AV$3</f>
        <v>0</v>
      </c>
      <c r="AT128">
        <f>'Kullanılan gübre'!AT128*'Gübre oranlar'!AW$3</f>
        <v>0</v>
      </c>
      <c r="AU128">
        <f>'Kullanılan gübre'!AU128*'Gübre oranlar'!AX$3</f>
        <v>0</v>
      </c>
      <c r="AV128">
        <f>'Kullanılan gübre'!AV128*'Gübre oranlar'!AY$3</f>
        <v>0</v>
      </c>
      <c r="AW128">
        <f t="shared" si="1"/>
        <v>585.74199999999996</v>
      </c>
    </row>
    <row r="129" spans="1:49" x14ac:dyDescent="0.25">
      <c r="A129" t="str">
        <f>'Kullanılan gübre'!A129</f>
        <v>AK</v>
      </c>
      <c r="B129" t="str">
        <f>'Kullanılan gübre'!B129</f>
        <v>KONYA</v>
      </c>
      <c r="C129" t="str">
        <f>'Kullanılan gübre'!C129</f>
        <v>AKSEHIR</v>
      </c>
      <c r="D129">
        <f>'Kullanılan gübre'!D129</f>
        <v>2009</v>
      </c>
      <c r="E129">
        <f>'Kullanılan gübre'!E129*'Gübre oranlar'!H$3</f>
        <v>0</v>
      </c>
      <c r="F129">
        <f>'Kullanılan gübre'!F129*'Gübre oranlar'!I$3</f>
        <v>0</v>
      </c>
      <c r="G129">
        <f>'Kullanılan gübre'!G129*'Gübre oranlar'!J$3</f>
        <v>0</v>
      </c>
      <c r="H129">
        <f>'Kullanılan gübre'!H129*'Gübre oranlar'!K$3</f>
        <v>0</v>
      </c>
      <c r="I129">
        <f>'Kullanılan gübre'!I129*'Gübre oranlar'!L$3</f>
        <v>5.8049999999999997</v>
      </c>
      <c r="J129">
        <f>'Kullanılan gübre'!J129*'Gübre oranlar'!M$3</f>
        <v>0</v>
      </c>
      <c r="K129">
        <f>'Kullanılan gübre'!K129*'Gübre oranlar'!N$3</f>
        <v>34.130000000000003</v>
      </c>
      <c r="L129">
        <f>'Kullanılan gübre'!L129*'Gübre oranlar'!O$3</f>
        <v>0</v>
      </c>
      <c r="M129">
        <f>'Kullanılan gübre'!M129*'Gübre oranlar'!P$3</f>
        <v>0</v>
      </c>
      <c r="N129">
        <f>'Kullanılan gübre'!N129*'Gübre oranlar'!Q$3</f>
        <v>0</v>
      </c>
      <c r="O129">
        <f>'Kullanılan gübre'!O129*'Gübre oranlar'!R$3</f>
        <v>0</v>
      </c>
      <c r="P129">
        <f>'Kullanılan gübre'!P129*'Gübre oranlar'!S$3</f>
        <v>0</v>
      </c>
      <c r="Q129">
        <f>'Kullanılan gübre'!Q129*'Gübre oranlar'!T$3</f>
        <v>17.294999999999998</v>
      </c>
      <c r="R129">
        <f>'Kullanılan gübre'!R129*'Gübre oranlar'!U$3</f>
        <v>0</v>
      </c>
      <c r="S129">
        <f>'Kullanılan gübre'!S129*'Gübre oranlar'!V$3</f>
        <v>0</v>
      </c>
      <c r="T129">
        <f>'Kullanılan gübre'!T129*'Gübre oranlar'!W$3</f>
        <v>0</v>
      </c>
      <c r="U129">
        <f>'Kullanılan gübre'!U129*'Gübre oranlar'!X$3</f>
        <v>0</v>
      </c>
      <c r="V129">
        <f>'Kullanılan gübre'!V129*'Gübre oranlar'!Y$3</f>
        <v>17.45</v>
      </c>
      <c r="W129">
        <f>'Kullanılan gübre'!W129*'Gübre oranlar'!Z$3</f>
        <v>0</v>
      </c>
      <c r="X129">
        <f>'Kullanılan gübre'!X129*'Gübre oranlar'!AA$3</f>
        <v>0</v>
      </c>
      <c r="Y129">
        <f>'Kullanılan gübre'!Y129*'Gübre oranlar'!AB$3</f>
        <v>0</v>
      </c>
      <c r="Z129">
        <f>'Kullanılan gübre'!Z129*'Gübre oranlar'!AC$3</f>
        <v>0</v>
      </c>
      <c r="AA129">
        <f>'Kullanılan gübre'!AA129*'Gübre oranlar'!AD$3</f>
        <v>0</v>
      </c>
      <c r="AB129">
        <f>'Kullanılan gübre'!AB129*'Gübre oranlar'!AE$3</f>
        <v>0</v>
      </c>
      <c r="AC129">
        <f>'Kullanılan gübre'!AC129*'Gübre oranlar'!AF$3</f>
        <v>0</v>
      </c>
      <c r="AD129">
        <f>'Kullanılan gübre'!AD129*'Gübre oranlar'!AG$3</f>
        <v>0</v>
      </c>
      <c r="AE129">
        <f>'Kullanılan gübre'!AE129*'Gübre oranlar'!AH$3</f>
        <v>0</v>
      </c>
      <c r="AF129">
        <f>'Kullanılan gübre'!AF129*'Gübre oranlar'!AI$3</f>
        <v>0</v>
      </c>
      <c r="AG129">
        <f>'Kullanılan gübre'!AG129*'Gübre oranlar'!AJ$3</f>
        <v>0</v>
      </c>
      <c r="AH129">
        <f>'Kullanılan gübre'!AH129*'Gübre oranlar'!AK$3</f>
        <v>0</v>
      </c>
      <c r="AI129">
        <f>'Kullanılan gübre'!AI129*'Gübre oranlar'!AL$3</f>
        <v>0</v>
      </c>
      <c r="AJ129">
        <f>'Kullanılan gübre'!AJ129*'Gübre oranlar'!AM$3</f>
        <v>0</v>
      </c>
      <c r="AK129">
        <f>'Kullanılan gübre'!AK129*'Gübre oranlar'!AN$3</f>
        <v>0</v>
      </c>
      <c r="AL129">
        <f>'Kullanılan gübre'!AL129*'Gübre oranlar'!AO$3</f>
        <v>0</v>
      </c>
      <c r="AM129">
        <f>'Kullanılan gübre'!AM129*'Gübre oranlar'!AP$3</f>
        <v>0</v>
      </c>
      <c r="AN129">
        <f>'Kullanılan gübre'!AN129*'Gübre oranlar'!AQ$3</f>
        <v>0</v>
      </c>
      <c r="AO129">
        <f>'Kullanılan gübre'!AO129*'Gübre oranlar'!AR$3</f>
        <v>0</v>
      </c>
      <c r="AP129">
        <f>'Kullanılan gübre'!AP129*'Gübre oranlar'!AS$3</f>
        <v>0</v>
      </c>
      <c r="AQ129">
        <f>'Kullanılan gübre'!AQ129*'Gübre oranlar'!AT$3</f>
        <v>0</v>
      </c>
      <c r="AR129">
        <f>'Kullanılan gübre'!AR129*'Gübre oranlar'!AU$3</f>
        <v>0</v>
      </c>
      <c r="AS129">
        <f>'Kullanılan gübre'!AS129*'Gübre oranlar'!AV$3</f>
        <v>0</v>
      </c>
      <c r="AT129">
        <f>'Kullanılan gübre'!AT129*'Gübre oranlar'!AW$3</f>
        <v>0</v>
      </c>
      <c r="AU129">
        <f>'Kullanılan gübre'!AU129*'Gübre oranlar'!AX$3</f>
        <v>0</v>
      </c>
      <c r="AV129">
        <f>'Kullanılan gübre'!AV129*'Gübre oranlar'!AY$3</f>
        <v>0</v>
      </c>
      <c r="AW129">
        <f t="shared" si="1"/>
        <v>74.680000000000007</v>
      </c>
    </row>
    <row r="130" spans="1:49" x14ac:dyDescent="0.25">
      <c r="A130" t="str">
        <f>'Kullanılan gübre'!A130</f>
        <v>AK</v>
      </c>
      <c r="B130" t="str">
        <f>'Kullanılan gübre'!B130</f>
        <v>KONYA</v>
      </c>
      <c r="C130" t="str">
        <f>'Kullanılan gübre'!C130</f>
        <v>AKSEHIR</v>
      </c>
      <c r="D130">
        <f>'Kullanılan gübre'!D130</f>
        <v>2010</v>
      </c>
      <c r="E130">
        <f>'Kullanılan gübre'!E130*'Gübre oranlar'!H$3</f>
        <v>0</v>
      </c>
      <c r="F130">
        <f>'Kullanılan gübre'!F130*'Gübre oranlar'!I$3</f>
        <v>0</v>
      </c>
      <c r="G130">
        <f>'Kullanılan gübre'!G130*'Gübre oranlar'!J$3</f>
        <v>0</v>
      </c>
      <c r="H130">
        <f>'Kullanılan gübre'!H130*'Gübre oranlar'!K$3</f>
        <v>0</v>
      </c>
      <c r="I130">
        <f>'Kullanılan gübre'!I130*'Gübre oranlar'!L$3</f>
        <v>45.666000000000004</v>
      </c>
      <c r="J130">
        <f>'Kullanılan gübre'!J130*'Gübre oranlar'!M$3</f>
        <v>0</v>
      </c>
      <c r="K130">
        <f>'Kullanılan gübre'!K130*'Gübre oranlar'!N$3</f>
        <v>212.03000000000003</v>
      </c>
      <c r="L130">
        <f>'Kullanılan gübre'!L130*'Gübre oranlar'!O$3</f>
        <v>128.88</v>
      </c>
      <c r="M130">
        <f>'Kullanılan gübre'!M130*'Gübre oranlar'!P$3</f>
        <v>12.0975</v>
      </c>
      <c r="N130">
        <f>'Kullanılan gübre'!N130*'Gübre oranlar'!Q$3</f>
        <v>3.0900000000000003</v>
      </c>
      <c r="O130">
        <f>'Kullanılan gübre'!O130*'Gübre oranlar'!R$3</f>
        <v>0</v>
      </c>
      <c r="P130">
        <f>'Kullanılan gübre'!P130*'Gübre oranlar'!S$3</f>
        <v>0</v>
      </c>
      <c r="Q130">
        <f>'Kullanılan gübre'!Q130*'Gübre oranlar'!T$3</f>
        <v>226.79999999999998</v>
      </c>
      <c r="R130">
        <f>'Kullanılan gübre'!R130*'Gübre oranlar'!U$3</f>
        <v>7.8929999999999998</v>
      </c>
      <c r="S130">
        <f>'Kullanılan gübre'!S130*'Gübre oranlar'!V$3</f>
        <v>0</v>
      </c>
      <c r="T130">
        <f>'Kullanılan gübre'!T130*'Gübre oranlar'!W$3</f>
        <v>0</v>
      </c>
      <c r="U130">
        <f>'Kullanılan gübre'!U130*'Gübre oranlar'!X$3</f>
        <v>0</v>
      </c>
      <c r="V130">
        <f>'Kullanılan gübre'!V130*'Gübre oranlar'!Y$3</f>
        <v>33.674999999999997</v>
      </c>
      <c r="W130">
        <f>'Kullanılan gübre'!W130*'Gübre oranlar'!Z$3</f>
        <v>1.44</v>
      </c>
      <c r="X130">
        <f>'Kullanılan gübre'!X130*'Gübre oranlar'!AA$3</f>
        <v>0</v>
      </c>
      <c r="Y130">
        <f>'Kullanılan gübre'!Y130*'Gübre oranlar'!AB$3</f>
        <v>0</v>
      </c>
      <c r="Z130">
        <f>'Kullanılan gübre'!Z130*'Gübre oranlar'!AC$3</f>
        <v>0</v>
      </c>
      <c r="AA130">
        <f>'Kullanılan gübre'!AA130*'Gübre oranlar'!AD$3</f>
        <v>6.06</v>
      </c>
      <c r="AB130">
        <f>'Kullanılan gübre'!AB130*'Gübre oranlar'!AE$3</f>
        <v>0</v>
      </c>
      <c r="AC130">
        <f>'Kullanılan gübre'!AC130*'Gübre oranlar'!AF$3</f>
        <v>0</v>
      </c>
      <c r="AD130">
        <f>'Kullanılan gübre'!AD130*'Gübre oranlar'!AG$3</f>
        <v>0</v>
      </c>
      <c r="AE130">
        <f>'Kullanılan gübre'!AE130*'Gübre oranlar'!AH$3</f>
        <v>0</v>
      </c>
      <c r="AF130">
        <f>'Kullanılan gübre'!AF130*'Gübre oranlar'!AI$3</f>
        <v>0</v>
      </c>
      <c r="AG130">
        <f>'Kullanılan gübre'!AG130*'Gübre oranlar'!AJ$3</f>
        <v>0</v>
      </c>
      <c r="AH130">
        <f>'Kullanılan gübre'!AH130*'Gübre oranlar'!AK$3</f>
        <v>0</v>
      </c>
      <c r="AI130">
        <f>'Kullanılan gübre'!AI130*'Gübre oranlar'!AL$3</f>
        <v>0</v>
      </c>
      <c r="AJ130">
        <f>'Kullanılan gübre'!AJ130*'Gübre oranlar'!AM$3</f>
        <v>0</v>
      </c>
      <c r="AK130">
        <f>'Kullanılan gübre'!AK130*'Gübre oranlar'!AN$3</f>
        <v>0</v>
      </c>
      <c r="AL130">
        <f>'Kullanılan gübre'!AL130*'Gübre oranlar'!AO$3</f>
        <v>0</v>
      </c>
      <c r="AM130">
        <f>'Kullanılan gübre'!AM130*'Gübre oranlar'!AP$3</f>
        <v>0</v>
      </c>
      <c r="AN130">
        <f>'Kullanılan gübre'!AN130*'Gübre oranlar'!AQ$3</f>
        <v>0</v>
      </c>
      <c r="AO130">
        <f>'Kullanılan gübre'!AO130*'Gübre oranlar'!AR$3</f>
        <v>0</v>
      </c>
      <c r="AP130">
        <f>'Kullanılan gübre'!AP130*'Gübre oranlar'!AS$3</f>
        <v>0</v>
      </c>
      <c r="AQ130">
        <f>'Kullanılan gübre'!AQ130*'Gübre oranlar'!AT$3</f>
        <v>0</v>
      </c>
      <c r="AR130">
        <f>'Kullanılan gübre'!AR130*'Gübre oranlar'!AU$3</f>
        <v>0</v>
      </c>
      <c r="AS130">
        <f>'Kullanılan gübre'!AS130*'Gübre oranlar'!AV$3</f>
        <v>0</v>
      </c>
      <c r="AT130">
        <f>'Kullanılan gübre'!AT130*'Gübre oranlar'!AW$3</f>
        <v>0</v>
      </c>
      <c r="AU130">
        <f>'Kullanılan gübre'!AU130*'Gübre oranlar'!AX$3</f>
        <v>0</v>
      </c>
      <c r="AV130">
        <f>'Kullanılan gübre'!AV130*'Gübre oranlar'!AY$3</f>
        <v>0</v>
      </c>
      <c r="AW130">
        <f t="shared" si="1"/>
        <v>677.63149999999996</v>
      </c>
    </row>
    <row r="131" spans="1:49" x14ac:dyDescent="0.25">
      <c r="A131" t="str">
        <f>'Kullanılan gübre'!A131</f>
        <v>AK</v>
      </c>
      <c r="B131" t="str">
        <f>'Kullanılan gübre'!B131</f>
        <v>KONYA</v>
      </c>
      <c r="C131" t="str">
        <f>'Kullanılan gübre'!C131</f>
        <v>TUZLUKCU</v>
      </c>
      <c r="D131">
        <f>'Kullanılan gübre'!D131</f>
        <v>2010</v>
      </c>
      <c r="E131">
        <f>'Kullanılan gübre'!E131*'Gübre oranlar'!H$3</f>
        <v>0</v>
      </c>
      <c r="F131">
        <f>'Kullanılan gübre'!F131*'Gübre oranlar'!I$3</f>
        <v>0</v>
      </c>
      <c r="G131">
        <f>'Kullanılan gübre'!G131*'Gübre oranlar'!J$3</f>
        <v>0</v>
      </c>
      <c r="H131">
        <f>'Kullanılan gübre'!H131*'Gübre oranlar'!K$3</f>
        <v>0</v>
      </c>
      <c r="I131">
        <f>'Kullanılan gübre'!I131*'Gübre oranlar'!L$3</f>
        <v>11.1585</v>
      </c>
      <c r="J131">
        <f>'Kullanılan gübre'!J131*'Gübre oranlar'!M$3</f>
        <v>0</v>
      </c>
      <c r="K131">
        <f>'Kullanılan gübre'!K131*'Gübre oranlar'!N$3</f>
        <v>42.02</v>
      </c>
      <c r="L131">
        <f>'Kullanılan gübre'!L131*'Gübre oranlar'!O$3</f>
        <v>0.30000000000000004</v>
      </c>
      <c r="M131">
        <f>'Kullanılan gübre'!M131*'Gübre oranlar'!P$3</f>
        <v>2.97</v>
      </c>
      <c r="N131">
        <f>'Kullanılan gübre'!N131*'Gübre oranlar'!Q$3</f>
        <v>17.272500000000001</v>
      </c>
      <c r="O131">
        <f>'Kullanılan gübre'!O131*'Gübre oranlar'!R$3</f>
        <v>0</v>
      </c>
      <c r="P131">
        <f>'Kullanılan gübre'!P131*'Gübre oranlar'!S$3</f>
        <v>0</v>
      </c>
      <c r="Q131">
        <f>'Kullanılan gübre'!Q131*'Gübre oranlar'!T$3</f>
        <v>27.645</v>
      </c>
      <c r="R131">
        <f>'Kullanılan gübre'!R131*'Gübre oranlar'!U$3</f>
        <v>0</v>
      </c>
      <c r="S131">
        <f>'Kullanılan gübre'!S131*'Gübre oranlar'!V$3</f>
        <v>0</v>
      </c>
      <c r="T131">
        <f>'Kullanılan gübre'!T131*'Gübre oranlar'!W$3</f>
        <v>0</v>
      </c>
      <c r="U131">
        <f>'Kullanılan gübre'!U131*'Gübre oranlar'!X$3</f>
        <v>0</v>
      </c>
      <c r="V131">
        <f>'Kullanılan gübre'!V131*'Gübre oranlar'!Y$3</f>
        <v>8.1125000000000007</v>
      </c>
      <c r="W131">
        <f>'Kullanılan gübre'!W131*'Gübre oranlar'!Z$3</f>
        <v>0</v>
      </c>
      <c r="X131">
        <f>'Kullanılan gübre'!X131*'Gübre oranlar'!AA$3</f>
        <v>0</v>
      </c>
      <c r="Y131">
        <f>'Kullanılan gübre'!Y131*'Gübre oranlar'!AB$3</f>
        <v>0</v>
      </c>
      <c r="Z131">
        <f>'Kullanılan gübre'!Z131*'Gübre oranlar'!AC$3</f>
        <v>0</v>
      </c>
      <c r="AA131">
        <f>'Kullanılan gübre'!AA131*'Gübre oranlar'!AD$3</f>
        <v>0</v>
      </c>
      <c r="AB131">
        <f>'Kullanılan gübre'!AB131*'Gübre oranlar'!AE$3</f>
        <v>0</v>
      </c>
      <c r="AC131">
        <f>'Kullanılan gübre'!AC131*'Gübre oranlar'!AF$3</f>
        <v>0</v>
      </c>
      <c r="AD131">
        <f>'Kullanılan gübre'!AD131*'Gübre oranlar'!AG$3</f>
        <v>0</v>
      </c>
      <c r="AE131">
        <f>'Kullanılan gübre'!AE131*'Gübre oranlar'!AH$3</f>
        <v>0</v>
      </c>
      <c r="AF131">
        <f>'Kullanılan gübre'!AF131*'Gübre oranlar'!AI$3</f>
        <v>0</v>
      </c>
      <c r="AG131">
        <f>'Kullanılan gübre'!AG131*'Gübre oranlar'!AJ$3</f>
        <v>0</v>
      </c>
      <c r="AH131">
        <f>'Kullanılan gübre'!AH131*'Gübre oranlar'!AK$3</f>
        <v>0</v>
      </c>
      <c r="AI131">
        <f>'Kullanılan gübre'!AI131*'Gübre oranlar'!AL$3</f>
        <v>0</v>
      </c>
      <c r="AJ131">
        <f>'Kullanılan gübre'!AJ131*'Gübre oranlar'!AM$3</f>
        <v>0</v>
      </c>
      <c r="AK131">
        <f>'Kullanılan gübre'!AK131*'Gübre oranlar'!AN$3</f>
        <v>0</v>
      </c>
      <c r="AL131">
        <f>'Kullanılan gübre'!AL131*'Gübre oranlar'!AO$3</f>
        <v>0</v>
      </c>
      <c r="AM131">
        <f>'Kullanılan gübre'!AM131*'Gübre oranlar'!AP$3</f>
        <v>0</v>
      </c>
      <c r="AN131">
        <f>'Kullanılan gübre'!AN131*'Gübre oranlar'!AQ$3</f>
        <v>0</v>
      </c>
      <c r="AO131">
        <f>'Kullanılan gübre'!AO131*'Gübre oranlar'!AR$3</f>
        <v>0</v>
      </c>
      <c r="AP131">
        <f>'Kullanılan gübre'!AP131*'Gübre oranlar'!AS$3</f>
        <v>0</v>
      </c>
      <c r="AQ131">
        <f>'Kullanılan gübre'!AQ131*'Gübre oranlar'!AT$3</f>
        <v>0</v>
      </c>
      <c r="AR131">
        <f>'Kullanılan gübre'!AR131*'Gübre oranlar'!AU$3</f>
        <v>0</v>
      </c>
      <c r="AS131">
        <f>'Kullanılan gübre'!AS131*'Gübre oranlar'!AV$3</f>
        <v>0</v>
      </c>
      <c r="AT131">
        <f>'Kullanılan gübre'!AT131*'Gübre oranlar'!AW$3</f>
        <v>0</v>
      </c>
      <c r="AU131">
        <f>'Kullanılan gübre'!AU131*'Gübre oranlar'!AX$3</f>
        <v>0</v>
      </c>
      <c r="AV131">
        <f>'Kullanılan gübre'!AV131*'Gübre oranlar'!AY$3</f>
        <v>0</v>
      </c>
      <c r="AW131">
        <f t="shared" ref="AW131:AW194" si="2">SUM(E131:AV131)</f>
        <v>109.4785</v>
      </c>
    </row>
    <row r="132" spans="1:49" x14ac:dyDescent="0.25">
      <c r="A132" t="str">
        <f>'Kullanılan gübre'!A132</f>
        <v>AK</v>
      </c>
      <c r="B132" t="str">
        <f>'Kullanılan gübre'!B132</f>
        <v>KONYA</v>
      </c>
      <c r="C132" t="str">
        <f>'Kullanılan gübre'!C132</f>
        <v>AKSEHIR</v>
      </c>
      <c r="D132">
        <f>'Kullanılan gübre'!D132</f>
        <v>2011</v>
      </c>
      <c r="E132">
        <f>'Kullanılan gübre'!E132*'Gübre oranlar'!H$3</f>
        <v>0</v>
      </c>
      <c r="F132">
        <f>'Kullanılan gübre'!F132*'Gübre oranlar'!I$3</f>
        <v>0</v>
      </c>
      <c r="G132">
        <f>'Kullanılan gübre'!G132*'Gübre oranlar'!J$3</f>
        <v>0</v>
      </c>
      <c r="H132">
        <f>'Kullanılan gübre'!H132*'Gübre oranlar'!K$3</f>
        <v>0</v>
      </c>
      <c r="I132">
        <f>'Kullanılan gübre'!I132*'Gübre oranlar'!L$3</f>
        <v>12.298</v>
      </c>
      <c r="J132">
        <f>'Kullanılan gübre'!J132*'Gübre oranlar'!M$3</f>
        <v>0</v>
      </c>
      <c r="K132">
        <f>'Kullanılan gübre'!K132*'Gübre oranlar'!N$3</f>
        <v>134.83000000000001</v>
      </c>
      <c r="L132">
        <f>'Kullanılan gübre'!L132*'Gübre oranlar'!O$3</f>
        <v>199.37</v>
      </c>
      <c r="M132">
        <f>'Kullanılan gübre'!M132*'Gübre oranlar'!P$3</f>
        <v>33.989999999999995</v>
      </c>
      <c r="N132">
        <f>'Kullanılan gübre'!N132*'Gübre oranlar'!Q$3</f>
        <v>4.47</v>
      </c>
      <c r="O132">
        <f>'Kullanılan gübre'!O132*'Gübre oranlar'!R$3</f>
        <v>0</v>
      </c>
      <c r="P132">
        <f>'Kullanılan gübre'!P132*'Gübre oranlar'!S$3</f>
        <v>0</v>
      </c>
      <c r="Q132">
        <f>'Kullanılan gübre'!Q132*'Gübre oranlar'!T$3</f>
        <v>0</v>
      </c>
      <c r="R132">
        <f>'Kullanılan gübre'!R132*'Gübre oranlar'!U$3</f>
        <v>8.1000000000000003E-2</v>
      </c>
      <c r="S132">
        <f>'Kullanılan gübre'!S132*'Gübre oranlar'!V$3</f>
        <v>0</v>
      </c>
      <c r="T132">
        <f>'Kullanılan gübre'!T132*'Gübre oranlar'!W$3</f>
        <v>0</v>
      </c>
      <c r="U132">
        <f>'Kullanılan gübre'!U132*'Gübre oranlar'!X$3</f>
        <v>0</v>
      </c>
      <c r="V132">
        <f>'Kullanılan gübre'!V132*'Gübre oranlar'!Y$3</f>
        <v>31.65</v>
      </c>
      <c r="W132">
        <f>'Kullanılan gübre'!W132*'Gübre oranlar'!Z$3</f>
        <v>0</v>
      </c>
      <c r="X132">
        <f>'Kullanılan gübre'!X132*'Gübre oranlar'!AA$3</f>
        <v>0</v>
      </c>
      <c r="Y132">
        <f>'Kullanılan gübre'!Y132*'Gübre oranlar'!AB$3</f>
        <v>0</v>
      </c>
      <c r="Z132">
        <f>'Kullanılan gübre'!Z132*'Gübre oranlar'!AC$3</f>
        <v>0</v>
      </c>
      <c r="AA132">
        <f>'Kullanılan gübre'!AA132*'Gübre oranlar'!AD$3</f>
        <v>14.555999999999999</v>
      </c>
      <c r="AB132">
        <f>'Kullanılan gübre'!AB132*'Gübre oranlar'!AE$3</f>
        <v>0</v>
      </c>
      <c r="AC132">
        <f>'Kullanılan gübre'!AC132*'Gübre oranlar'!AF$3</f>
        <v>0</v>
      </c>
      <c r="AD132">
        <f>'Kullanılan gübre'!AD132*'Gübre oranlar'!AG$3</f>
        <v>0</v>
      </c>
      <c r="AE132">
        <f>'Kullanılan gübre'!AE132*'Gübre oranlar'!AH$3</f>
        <v>0</v>
      </c>
      <c r="AF132">
        <f>'Kullanılan gübre'!AF132*'Gübre oranlar'!AI$3</f>
        <v>0</v>
      </c>
      <c r="AG132">
        <f>'Kullanılan gübre'!AG132*'Gübre oranlar'!AJ$3</f>
        <v>0</v>
      </c>
      <c r="AH132">
        <f>'Kullanılan gübre'!AH132*'Gübre oranlar'!AK$3</f>
        <v>0</v>
      </c>
      <c r="AI132">
        <f>'Kullanılan gübre'!AI132*'Gübre oranlar'!AL$3</f>
        <v>0</v>
      </c>
      <c r="AJ132">
        <f>'Kullanılan gübre'!AJ132*'Gübre oranlar'!AM$3</f>
        <v>0</v>
      </c>
      <c r="AK132">
        <f>'Kullanılan gübre'!AK132*'Gübre oranlar'!AN$3</f>
        <v>0</v>
      </c>
      <c r="AL132">
        <f>'Kullanılan gübre'!AL132*'Gübre oranlar'!AO$3</f>
        <v>0</v>
      </c>
      <c r="AM132">
        <f>'Kullanılan gübre'!AM132*'Gübre oranlar'!AP$3</f>
        <v>0</v>
      </c>
      <c r="AN132">
        <f>'Kullanılan gübre'!AN132*'Gübre oranlar'!AQ$3</f>
        <v>0</v>
      </c>
      <c r="AO132">
        <f>'Kullanılan gübre'!AO132*'Gübre oranlar'!AR$3</f>
        <v>0</v>
      </c>
      <c r="AP132">
        <f>'Kullanılan gübre'!AP132*'Gübre oranlar'!AS$3</f>
        <v>0</v>
      </c>
      <c r="AQ132">
        <f>'Kullanılan gübre'!AQ132*'Gübre oranlar'!AT$3</f>
        <v>0</v>
      </c>
      <c r="AR132">
        <f>'Kullanılan gübre'!AR132*'Gübre oranlar'!AU$3</f>
        <v>0</v>
      </c>
      <c r="AS132">
        <f>'Kullanılan gübre'!AS132*'Gübre oranlar'!AV$3</f>
        <v>0</v>
      </c>
      <c r="AT132">
        <f>'Kullanılan gübre'!AT132*'Gübre oranlar'!AW$3</f>
        <v>0</v>
      </c>
      <c r="AU132">
        <f>'Kullanılan gübre'!AU132*'Gübre oranlar'!AX$3</f>
        <v>0</v>
      </c>
      <c r="AV132">
        <f>'Kullanılan gübre'!AV132*'Gübre oranlar'!AY$3</f>
        <v>0</v>
      </c>
      <c r="AW132">
        <f t="shared" si="2"/>
        <v>431.24500000000006</v>
      </c>
    </row>
    <row r="133" spans="1:49" x14ac:dyDescent="0.25">
      <c r="A133" t="str">
        <f>'Kullanılan gübre'!A133</f>
        <v>AK</v>
      </c>
      <c r="B133" t="str">
        <f>'Kullanılan gübre'!B133</f>
        <v>KONYA</v>
      </c>
      <c r="C133" t="str">
        <f>'Kullanılan gübre'!C133</f>
        <v>TUZLUKCU</v>
      </c>
      <c r="D133">
        <f>'Kullanılan gübre'!D133</f>
        <v>2011</v>
      </c>
      <c r="E133">
        <f>'Kullanılan gübre'!E133*'Gübre oranlar'!H$3</f>
        <v>0</v>
      </c>
      <c r="F133">
        <f>'Kullanılan gübre'!F133*'Gübre oranlar'!I$3</f>
        <v>0</v>
      </c>
      <c r="G133">
        <f>'Kullanılan gübre'!G133*'Gübre oranlar'!J$3</f>
        <v>0</v>
      </c>
      <c r="H133">
        <f>'Kullanılan gübre'!H133*'Gübre oranlar'!K$3</f>
        <v>0</v>
      </c>
      <c r="I133">
        <f>'Kullanılan gübre'!I133*'Gübre oranlar'!L$3</f>
        <v>0</v>
      </c>
      <c r="J133">
        <f>'Kullanılan gübre'!J133*'Gübre oranlar'!M$3</f>
        <v>0</v>
      </c>
      <c r="K133">
        <f>'Kullanılan gübre'!K133*'Gübre oranlar'!N$3</f>
        <v>0</v>
      </c>
      <c r="L133">
        <f>'Kullanılan gübre'!L133*'Gübre oranlar'!O$3</f>
        <v>42.42</v>
      </c>
      <c r="M133">
        <f>'Kullanılan gübre'!M133*'Gübre oranlar'!P$3</f>
        <v>5.8949999999999996</v>
      </c>
      <c r="N133">
        <f>'Kullanılan gübre'!N133*'Gübre oranlar'!Q$3</f>
        <v>0</v>
      </c>
      <c r="O133">
        <f>'Kullanılan gübre'!O133*'Gübre oranlar'!R$3</f>
        <v>0</v>
      </c>
      <c r="P133">
        <f>'Kullanılan gübre'!P133*'Gübre oranlar'!S$3</f>
        <v>0</v>
      </c>
      <c r="Q133">
        <f>'Kullanılan gübre'!Q133*'Gübre oranlar'!T$3</f>
        <v>18.54</v>
      </c>
      <c r="R133">
        <f>'Kullanılan gübre'!R133*'Gübre oranlar'!U$3</f>
        <v>0</v>
      </c>
      <c r="S133">
        <f>'Kullanılan gübre'!S133*'Gübre oranlar'!V$3</f>
        <v>0</v>
      </c>
      <c r="T133">
        <f>'Kullanılan gübre'!T133*'Gübre oranlar'!W$3</f>
        <v>0</v>
      </c>
      <c r="U133">
        <f>'Kullanılan gübre'!U133*'Gübre oranlar'!X$3</f>
        <v>0</v>
      </c>
      <c r="V133">
        <f>'Kullanılan gübre'!V133*'Gübre oranlar'!Y$3</f>
        <v>6.75</v>
      </c>
      <c r="W133">
        <f>'Kullanılan gübre'!W133*'Gübre oranlar'!Z$3</f>
        <v>0</v>
      </c>
      <c r="X133">
        <f>'Kullanılan gübre'!X133*'Gübre oranlar'!AA$3</f>
        <v>0</v>
      </c>
      <c r="Y133">
        <f>'Kullanılan gübre'!Y133*'Gübre oranlar'!AB$3</f>
        <v>0</v>
      </c>
      <c r="Z133">
        <f>'Kullanılan gübre'!Z133*'Gübre oranlar'!AC$3</f>
        <v>0</v>
      </c>
      <c r="AA133">
        <f>'Kullanılan gübre'!AA133*'Gübre oranlar'!AD$3</f>
        <v>0</v>
      </c>
      <c r="AB133">
        <f>'Kullanılan gübre'!AB133*'Gübre oranlar'!AE$3</f>
        <v>0</v>
      </c>
      <c r="AC133">
        <f>'Kullanılan gübre'!AC133*'Gübre oranlar'!AF$3</f>
        <v>0</v>
      </c>
      <c r="AD133">
        <f>'Kullanılan gübre'!AD133*'Gübre oranlar'!AG$3</f>
        <v>0</v>
      </c>
      <c r="AE133">
        <f>'Kullanılan gübre'!AE133*'Gübre oranlar'!AH$3</f>
        <v>4</v>
      </c>
      <c r="AF133">
        <f>'Kullanılan gübre'!AF133*'Gübre oranlar'!AI$3</f>
        <v>0</v>
      </c>
      <c r="AG133">
        <f>'Kullanılan gübre'!AG133*'Gübre oranlar'!AJ$3</f>
        <v>0</v>
      </c>
      <c r="AH133">
        <f>'Kullanılan gübre'!AH133*'Gübre oranlar'!AK$3</f>
        <v>0</v>
      </c>
      <c r="AI133">
        <f>'Kullanılan gübre'!AI133*'Gübre oranlar'!AL$3</f>
        <v>0</v>
      </c>
      <c r="AJ133">
        <f>'Kullanılan gübre'!AJ133*'Gübre oranlar'!AM$3</f>
        <v>0</v>
      </c>
      <c r="AK133">
        <f>'Kullanılan gübre'!AK133*'Gübre oranlar'!AN$3</f>
        <v>0</v>
      </c>
      <c r="AL133">
        <f>'Kullanılan gübre'!AL133*'Gübre oranlar'!AO$3</f>
        <v>0</v>
      </c>
      <c r="AM133">
        <f>'Kullanılan gübre'!AM133*'Gübre oranlar'!AP$3</f>
        <v>0</v>
      </c>
      <c r="AN133">
        <f>'Kullanılan gübre'!AN133*'Gübre oranlar'!AQ$3</f>
        <v>0</v>
      </c>
      <c r="AO133">
        <f>'Kullanılan gübre'!AO133*'Gübre oranlar'!AR$3</f>
        <v>0</v>
      </c>
      <c r="AP133">
        <f>'Kullanılan gübre'!AP133*'Gübre oranlar'!AS$3</f>
        <v>0</v>
      </c>
      <c r="AQ133">
        <f>'Kullanılan gübre'!AQ133*'Gübre oranlar'!AT$3</f>
        <v>0</v>
      </c>
      <c r="AR133">
        <f>'Kullanılan gübre'!AR133*'Gübre oranlar'!AU$3</f>
        <v>0</v>
      </c>
      <c r="AS133">
        <f>'Kullanılan gübre'!AS133*'Gübre oranlar'!AV$3</f>
        <v>0</v>
      </c>
      <c r="AT133">
        <f>'Kullanılan gübre'!AT133*'Gübre oranlar'!AW$3</f>
        <v>0</v>
      </c>
      <c r="AU133">
        <f>'Kullanılan gübre'!AU133*'Gübre oranlar'!AX$3</f>
        <v>0</v>
      </c>
      <c r="AV133">
        <f>'Kullanılan gübre'!AV133*'Gübre oranlar'!AY$3</f>
        <v>0</v>
      </c>
      <c r="AW133">
        <f t="shared" si="2"/>
        <v>77.60499999999999</v>
      </c>
    </row>
    <row r="134" spans="1:49" x14ac:dyDescent="0.25">
      <c r="A134" t="str">
        <f>'Kullanılan gübre'!A134</f>
        <v>AK</v>
      </c>
      <c r="B134" t="str">
        <f>'Kullanılan gübre'!B134</f>
        <v>KONYA</v>
      </c>
      <c r="C134" t="str">
        <f>'Kullanılan gübre'!C134</f>
        <v>AKSEHIR</v>
      </c>
      <c r="D134">
        <f>'Kullanılan gübre'!D134</f>
        <v>2012</v>
      </c>
      <c r="E134">
        <f>'Kullanılan gübre'!E134*'Gübre oranlar'!H$3</f>
        <v>0</v>
      </c>
      <c r="F134">
        <f>'Kullanılan gübre'!F134*'Gübre oranlar'!I$3</f>
        <v>0</v>
      </c>
      <c r="G134">
        <f>'Kullanılan gübre'!G134*'Gübre oranlar'!J$3</f>
        <v>0</v>
      </c>
      <c r="H134">
        <f>'Kullanılan gübre'!H134*'Gübre oranlar'!K$3</f>
        <v>0</v>
      </c>
      <c r="I134">
        <f>'Kullanılan gübre'!I134*'Gübre oranlar'!L$3</f>
        <v>6.3425000000000002</v>
      </c>
      <c r="J134">
        <f>'Kullanılan gübre'!J134*'Gübre oranlar'!M$3</f>
        <v>0</v>
      </c>
      <c r="K134">
        <f>'Kullanılan gübre'!K134*'Gübre oranlar'!N$3</f>
        <v>134.34</v>
      </c>
      <c r="L134">
        <f>'Kullanılan gübre'!L134*'Gübre oranlar'!O$3</f>
        <v>214.39000000000001</v>
      </c>
      <c r="M134">
        <f>'Kullanılan gübre'!M134*'Gübre oranlar'!P$3</f>
        <v>27.15</v>
      </c>
      <c r="N134">
        <f>'Kullanılan gübre'!N134*'Gübre oranlar'!Q$3</f>
        <v>10.6875</v>
      </c>
      <c r="O134">
        <f>'Kullanılan gübre'!O134*'Gübre oranlar'!R$3</f>
        <v>0</v>
      </c>
      <c r="P134">
        <f>'Kullanılan gübre'!P134*'Gübre oranlar'!S$3</f>
        <v>0</v>
      </c>
      <c r="Q134">
        <f>'Kullanılan gübre'!Q134*'Gübre oranlar'!T$3</f>
        <v>0</v>
      </c>
      <c r="R134">
        <f>'Kullanılan gübre'!R134*'Gübre oranlar'!U$3</f>
        <v>7.1999999999999993</v>
      </c>
      <c r="S134">
        <f>'Kullanılan gübre'!S134*'Gübre oranlar'!V$3</f>
        <v>0</v>
      </c>
      <c r="T134">
        <f>'Kullanılan gübre'!T134*'Gübre oranlar'!W$3</f>
        <v>0</v>
      </c>
      <c r="U134">
        <f>'Kullanılan gübre'!U134*'Gübre oranlar'!X$3</f>
        <v>0</v>
      </c>
      <c r="V134">
        <f>'Kullanılan gübre'!V134*'Gübre oranlar'!Y$3</f>
        <v>66.537499999999994</v>
      </c>
      <c r="W134">
        <f>'Kullanılan gübre'!W134*'Gübre oranlar'!Z$3</f>
        <v>0</v>
      </c>
      <c r="X134">
        <f>'Kullanılan gübre'!X134*'Gübre oranlar'!AA$3</f>
        <v>0</v>
      </c>
      <c r="Y134">
        <f>'Kullanılan gübre'!Y134*'Gübre oranlar'!AB$3</f>
        <v>0</v>
      </c>
      <c r="Z134">
        <f>'Kullanılan gübre'!Z134*'Gübre oranlar'!AC$3</f>
        <v>0</v>
      </c>
      <c r="AA134">
        <f>'Kullanılan gübre'!AA134*'Gübre oranlar'!AD$3</f>
        <v>13.5</v>
      </c>
      <c r="AB134">
        <f>'Kullanılan gübre'!AB134*'Gübre oranlar'!AE$3</f>
        <v>0</v>
      </c>
      <c r="AC134">
        <f>'Kullanılan gübre'!AC134*'Gübre oranlar'!AF$3</f>
        <v>0</v>
      </c>
      <c r="AD134">
        <f>'Kullanılan gübre'!AD134*'Gübre oranlar'!AG$3</f>
        <v>0</v>
      </c>
      <c r="AE134">
        <f>'Kullanılan gübre'!AE134*'Gübre oranlar'!AH$3</f>
        <v>5.5</v>
      </c>
      <c r="AF134">
        <f>'Kullanılan gübre'!AF134*'Gübre oranlar'!AI$3</f>
        <v>0</v>
      </c>
      <c r="AG134">
        <f>'Kullanılan gübre'!AG134*'Gübre oranlar'!AJ$3</f>
        <v>0</v>
      </c>
      <c r="AH134">
        <f>'Kullanılan gübre'!AH134*'Gübre oranlar'!AK$3</f>
        <v>0</v>
      </c>
      <c r="AI134">
        <f>'Kullanılan gübre'!AI134*'Gübre oranlar'!AL$3</f>
        <v>0</v>
      </c>
      <c r="AJ134">
        <f>'Kullanılan gübre'!AJ134*'Gübre oranlar'!AM$3</f>
        <v>0</v>
      </c>
      <c r="AK134">
        <f>'Kullanılan gübre'!AK134*'Gübre oranlar'!AN$3</f>
        <v>0</v>
      </c>
      <c r="AL134">
        <f>'Kullanılan gübre'!AL134*'Gübre oranlar'!AO$3</f>
        <v>0</v>
      </c>
      <c r="AM134">
        <f>'Kullanılan gübre'!AM134*'Gübre oranlar'!AP$3</f>
        <v>0</v>
      </c>
      <c r="AN134">
        <f>'Kullanılan gübre'!AN134*'Gübre oranlar'!AQ$3</f>
        <v>0</v>
      </c>
      <c r="AO134">
        <f>'Kullanılan gübre'!AO134*'Gübre oranlar'!AR$3</f>
        <v>0</v>
      </c>
      <c r="AP134">
        <f>'Kullanılan gübre'!AP134*'Gübre oranlar'!AS$3</f>
        <v>0</v>
      </c>
      <c r="AQ134">
        <f>'Kullanılan gübre'!AQ134*'Gübre oranlar'!AT$3</f>
        <v>0</v>
      </c>
      <c r="AR134">
        <f>'Kullanılan gübre'!AR134*'Gübre oranlar'!AU$3</f>
        <v>0</v>
      </c>
      <c r="AS134">
        <f>'Kullanılan gübre'!AS134*'Gübre oranlar'!AV$3</f>
        <v>0</v>
      </c>
      <c r="AT134">
        <f>'Kullanılan gübre'!AT134*'Gübre oranlar'!AW$3</f>
        <v>0</v>
      </c>
      <c r="AU134">
        <f>'Kullanılan gübre'!AU134*'Gübre oranlar'!AX$3</f>
        <v>0</v>
      </c>
      <c r="AV134">
        <f>'Kullanılan gübre'!AV134*'Gübre oranlar'!AY$3</f>
        <v>0</v>
      </c>
      <c r="AW134">
        <f t="shared" si="2"/>
        <v>485.64749999999992</v>
      </c>
    </row>
    <row r="135" spans="1:49" x14ac:dyDescent="0.25">
      <c r="A135" t="str">
        <f>'Kullanılan gübre'!A135</f>
        <v>AK</v>
      </c>
      <c r="B135" t="str">
        <f>'Kullanılan gübre'!B135</f>
        <v>KONYA</v>
      </c>
      <c r="C135" t="str">
        <f>'Kullanılan gübre'!C135</f>
        <v>TUZLUKCU</v>
      </c>
      <c r="D135">
        <f>'Kullanılan gübre'!D135</f>
        <v>2012</v>
      </c>
      <c r="E135">
        <f>'Kullanılan gübre'!E135*'Gübre oranlar'!H$3</f>
        <v>0</v>
      </c>
      <c r="F135">
        <f>'Kullanılan gübre'!F135*'Gübre oranlar'!I$3</f>
        <v>0</v>
      </c>
      <c r="G135">
        <f>'Kullanılan gübre'!G135*'Gübre oranlar'!J$3</f>
        <v>0</v>
      </c>
      <c r="H135">
        <f>'Kullanılan gübre'!H135*'Gübre oranlar'!K$3</f>
        <v>0</v>
      </c>
      <c r="I135">
        <f>'Kullanılan gübre'!I135*'Gübre oranlar'!L$3</f>
        <v>0</v>
      </c>
      <c r="J135">
        <f>'Kullanılan gübre'!J135*'Gübre oranlar'!M$3</f>
        <v>0</v>
      </c>
      <c r="K135">
        <f>'Kullanılan gübre'!K135*'Gübre oranlar'!N$3</f>
        <v>13.9</v>
      </c>
      <c r="L135">
        <f>'Kullanılan gübre'!L135*'Gübre oranlar'!O$3</f>
        <v>46.27</v>
      </c>
      <c r="M135">
        <f>'Kullanılan gübre'!M135*'Gübre oranlar'!P$3</f>
        <v>19.0275</v>
      </c>
      <c r="N135">
        <f>'Kullanılan gübre'!N135*'Gübre oranlar'!Q$3</f>
        <v>0</v>
      </c>
      <c r="O135">
        <f>'Kullanılan gübre'!O135*'Gübre oranlar'!R$3</f>
        <v>0</v>
      </c>
      <c r="P135">
        <f>'Kullanılan gübre'!P135*'Gübre oranlar'!S$3</f>
        <v>0</v>
      </c>
      <c r="Q135">
        <f>'Kullanılan gübre'!Q135*'Gübre oranlar'!T$3</f>
        <v>0</v>
      </c>
      <c r="R135">
        <f>'Kullanılan gübre'!R135*'Gübre oranlar'!U$3</f>
        <v>0</v>
      </c>
      <c r="S135">
        <f>'Kullanılan gübre'!S135*'Gübre oranlar'!V$3</f>
        <v>0</v>
      </c>
      <c r="T135">
        <f>'Kullanılan gübre'!T135*'Gübre oranlar'!W$3</f>
        <v>0</v>
      </c>
      <c r="U135">
        <f>'Kullanılan gübre'!U135*'Gübre oranlar'!X$3</f>
        <v>0</v>
      </c>
      <c r="V135">
        <f>'Kullanılan gübre'!V135*'Gübre oranlar'!Y$3</f>
        <v>7.9375</v>
      </c>
      <c r="W135">
        <f>'Kullanılan gübre'!W135*'Gübre oranlar'!Z$3</f>
        <v>0</v>
      </c>
      <c r="X135">
        <f>'Kullanılan gübre'!X135*'Gübre oranlar'!AA$3</f>
        <v>0</v>
      </c>
      <c r="Y135">
        <f>'Kullanılan gübre'!Y135*'Gübre oranlar'!AB$3</f>
        <v>0</v>
      </c>
      <c r="Z135">
        <f>'Kullanılan gübre'!Z135*'Gübre oranlar'!AC$3</f>
        <v>0</v>
      </c>
      <c r="AA135">
        <f>'Kullanılan gübre'!AA135*'Gübre oranlar'!AD$3</f>
        <v>0</v>
      </c>
      <c r="AB135">
        <f>'Kullanılan gübre'!AB135*'Gübre oranlar'!AE$3</f>
        <v>0</v>
      </c>
      <c r="AC135">
        <f>'Kullanılan gübre'!AC135*'Gübre oranlar'!AF$3</f>
        <v>0</v>
      </c>
      <c r="AD135">
        <f>'Kullanılan gübre'!AD135*'Gübre oranlar'!AG$3</f>
        <v>0</v>
      </c>
      <c r="AE135">
        <f>'Kullanılan gübre'!AE135*'Gübre oranlar'!AH$3</f>
        <v>0.625</v>
      </c>
      <c r="AF135">
        <f>'Kullanılan gübre'!AF135*'Gübre oranlar'!AI$3</f>
        <v>0</v>
      </c>
      <c r="AG135">
        <f>'Kullanılan gübre'!AG135*'Gübre oranlar'!AJ$3</f>
        <v>0</v>
      </c>
      <c r="AH135">
        <f>'Kullanılan gübre'!AH135*'Gübre oranlar'!AK$3</f>
        <v>0</v>
      </c>
      <c r="AI135">
        <f>'Kullanılan gübre'!AI135*'Gübre oranlar'!AL$3</f>
        <v>0</v>
      </c>
      <c r="AJ135">
        <f>'Kullanılan gübre'!AJ135*'Gübre oranlar'!AM$3</f>
        <v>0</v>
      </c>
      <c r="AK135">
        <f>'Kullanılan gübre'!AK135*'Gübre oranlar'!AN$3</f>
        <v>0</v>
      </c>
      <c r="AL135">
        <f>'Kullanılan gübre'!AL135*'Gübre oranlar'!AO$3</f>
        <v>0</v>
      </c>
      <c r="AM135">
        <f>'Kullanılan gübre'!AM135*'Gübre oranlar'!AP$3</f>
        <v>0</v>
      </c>
      <c r="AN135">
        <f>'Kullanılan gübre'!AN135*'Gübre oranlar'!AQ$3</f>
        <v>0</v>
      </c>
      <c r="AO135">
        <f>'Kullanılan gübre'!AO135*'Gübre oranlar'!AR$3</f>
        <v>0</v>
      </c>
      <c r="AP135">
        <f>'Kullanılan gübre'!AP135*'Gübre oranlar'!AS$3</f>
        <v>0</v>
      </c>
      <c r="AQ135">
        <f>'Kullanılan gübre'!AQ135*'Gübre oranlar'!AT$3</f>
        <v>0</v>
      </c>
      <c r="AR135">
        <f>'Kullanılan gübre'!AR135*'Gübre oranlar'!AU$3</f>
        <v>0</v>
      </c>
      <c r="AS135">
        <f>'Kullanılan gübre'!AS135*'Gübre oranlar'!AV$3</f>
        <v>0</v>
      </c>
      <c r="AT135">
        <f>'Kullanılan gübre'!AT135*'Gübre oranlar'!AW$3</f>
        <v>0</v>
      </c>
      <c r="AU135">
        <f>'Kullanılan gübre'!AU135*'Gübre oranlar'!AX$3</f>
        <v>0</v>
      </c>
      <c r="AV135">
        <f>'Kullanılan gübre'!AV135*'Gübre oranlar'!AY$3</f>
        <v>0</v>
      </c>
      <c r="AW135">
        <f t="shared" si="2"/>
        <v>87.76</v>
      </c>
    </row>
    <row r="136" spans="1:49" x14ac:dyDescent="0.25">
      <c r="A136" t="str">
        <f>'Kullanılan gübre'!A136</f>
        <v>AK</v>
      </c>
      <c r="B136" t="str">
        <f>'Kullanılan gübre'!B136</f>
        <v>KONYA</v>
      </c>
      <c r="C136" t="str">
        <f>'Kullanılan gübre'!C136</f>
        <v>AKSEHIR</v>
      </c>
      <c r="D136">
        <f>'Kullanılan gübre'!D136</f>
        <v>2013</v>
      </c>
      <c r="E136">
        <f>'Kullanılan gübre'!E136*'Gübre oranlar'!H$3</f>
        <v>0</v>
      </c>
      <c r="F136">
        <f>'Kullanılan gübre'!F136*'Gübre oranlar'!I$3</f>
        <v>0</v>
      </c>
      <c r="G136">
        <f>'Kullanılan gübre'!G136*'Gübre oranlar'!J$3</f>
        <v>0</v>
      </c>
      <c r="H136">
        <f>'Kullanılan gübre'!H136*'Gübre oranlar'!K$3</f>
        <v>0</v>
      </c>
      <c r="I136">
        <f>'Kullanılan gübre'!I136*'Gübre oranlar'!L$3</f>
        <v>8.6000000000000007E-2</v>
      </c>
      <c r="J136">
        <f>'Kullanılan gübre'!J136*'Gübre oranlar'!M$3</f>
        <v>0</v>
      </c>
      <c r="K136">
        <f>'Kullanılan gübre'!K136*'Gübre oranlar'!N$3</f>
        <v>94.300000000000011</v>
      </c>
      <c r="L136">
        <f>'Kullanılan gübre'!L136*'Gübre oranlar'!O$3</f>
        <v>176.99</v>
      </c>
      <c r="M136">
        <f>'Kullanılan gübre'!M136*'Gübre oranlar'!P$3</f>
        <v>42.945</v>
      </c>
      <c r="N136">
        <f>'Kullanılan gübre'!N136*'Gübre oranlar'!Q$3</f>
        <v>33.464999999999996</v>
      </c>
      <c r="O136">
        <f>'Kullanılan gübre'!O136*'Gübre oranlar'!R$3</f>
        <v>0</v>
      </c>
      <c r="P136">
        <f>'Kullanılan gübre'!P136*'Gübre oranlar'!S$3</f>
        <v>0</v>
      </c>
      <c r="Q136">
        <f>'Kullanılan gübre'!Q136*'Gübre oranlar'!T$3</f>
        <v>248.76</v>
      </c>
      <c r="R136">
        <f>'Kullanılan gübre'!R136*'Gübre oranlar'!U$3</f>
        <v>0</v>
      </c>
      <c r="S136">
        <f>'Kullanılan gübre'!S136*'Gübre oranlar'!V$3</f>
        <v>0</v>
      </c>
      <c r="T136">
        <f>'Kullanılan gübre'!T136*'Gübre oranlar'!W$3</f>
        <v>0</v>
      </c>
      <c r="U136">
        <f>'Kullanılan gübre'!U136*'Gübre oranlar'!X$3</f>
        <v>0</v>
      </c>
      <c r="V136">
        <f>'Kullanılan gübre'!V136*'Gübre oranlar'!Y$3</f>
        <v>0</v>
      </c>
      <c r="W136">
        <f>'Kullanılan gübre'!W136*'Gübre oranlar'!Z$3</f>
        <v>0</v>
      </c>
      <c r="X136">
        <f>'Kullanılan gübre'!X136*'Gübre oranlar'!AA$3</f>
        <v>0</v>
      </c>
      <c r="Y136">
        <f>'Kullanılan gübre'!Y136*'Gübre oranlar'!AB$3</f>
        <v>0</v>
      </c>
      <c r="Z136">
        <f>'Kullanılan gübre'!Z136*'Gübre oranlar'!AC$3</f>
        <v>0</v>
      </c>
      <c r="AA136">
        <f>'Kullanılan gübre'!AA136*'Gübre oranlar'!AD$3</f>
        <v>0</v>
      </c>
      <c r="AB136">
        <f>'Kullanılan gübre'!AB136*'Gübre oranlar'!AE$3</f>
        <v>0</v>
      </c>
      <c r="AC136">
        <f>'Kullanılan gübre'!AC136*'Gübre oranlar'!AF$3</f>
        <v>0</v>
      </c>
      <c r="AD136">
        <f>'Kullanılan gübre'!AD136*'Gübre oranlar'!AG$3</f>
        <v>0</v>
      </c>
      <c r="AE136">
        <f>'Kullanılan gübre'!AE136*'Gübre oranlar'!AH$3</f>
        <v>0</v>
      </c>
      <c r="AF136">
        <f>'Kullanılan gübre'!AF136*'Gübre oranlar'!AI$3</f>
        <v>0</v>
      </c>
      <c r="AG136">
        <f>'Kullanılan gübre'!AG136*'Gübre oranlar'!AJ$3</f>
        <v>0</v>
      </c>
      <c r="AH136">
        <f>'Kullanılan gübre'!AH136*'Gübre oranlar'!AK$3</f>
        <v>0</v>
      </c>
      <c r="AI136">
        <f>'Kullanılan gübre'!AI136*'Gübre oranlar'!AL$3</f>
        <v>7.5</v>
      </c>
      <c r="AJ136">
        <f>'Kullanılan gübre'!AJ136*'Gübre oranlar'!AM$3</f>
        <v>0</v>
      </c>
      <c r="AK136">
        <f>'Kullanılan gübre'!AK136*'Gübre oranlar'!AN$3</f>
        <v>0</v>
      </c>
      <c r="AL136">
        <f>'Kullanılan gübre'!AL136*'Gübre oranlar'!AO$3</f>
        <v>47.2</v>
      </c>
      <c r="AM136">
        <f>'Kullanılan gübre'!AM136*'Gübre oranlar'!AP$3</f>
        <v>1.8</v>
      </c>
      <c r="AN136">
        <f>'Kullanılan gübre'!AN136*'Gübre oranlar'!AQ$3</f>
        <v>0</v>
      </c>
      <c r="AO136">
        <f>'Kullanılan gübre'!AO136*'Gübre oranlar'!AR$3</f>
        <v>0</v>
      </c>
      <c r="AP136">
        <f>'Kullanılan gübre'!AP136*'Gübre oranlar'!AS$3</f>
        <v>0</v>
      </c>
      <c r="AQ136">
        <f>'Kullanılan gübre'!AQ136*'Gübre oranlar'!AT$3</f>
        <v>0</v>
      </c>
      <c r="AR136">
        <f>'Kullanılan gübre'!AR136*'Gübre oranlar'!AU$3</f>
        <v>0</v>
      </c>
      <c r="AS136">
        <f>'Kullanılan gübre'!AS136*'Gübre oranlar'!AV$3</f>
        <v>0</v>
      </c>
      <c r="AT136">
        <f>'Kullanılan gübre'!AT136*'Gübre oranlar'!AW$3</f>
        <v>0</v>
      </c>
      <c r="AU136">
        <f>'Kullanılan gübre'!AU136*'Gübre oranlar'!AX$3</f>
        <v>0</v>
      </c>
      <c r="AV136">
        <f>'Kullanılan gübre'!AV136*'Gübre oranlar'!AY$3</f>
        <v>0</v>
      </c>
      <c r="AW136">
        <f t="shared" si="2"/>
        <v>653.04600000000005</v>
      </c>
    </row>
    <row r="137" spans="1:49" x14ac:dyDescent="0.25">
      <c r="A137" t="str">
        <f>'Kullanılan gübre'!A137</f>
        <v>AK</v>
      </c>
      <c r="B137" t="str">
        <f>'Kullanılan gübre'!B137</f>
        <v>KONYA</v>
      </c>
      <c r="C137" t="str">
        <f>'Kullanılan gübre'!C137</f>
        <v>TUZLUKCU</v>
      </c>
      <c r="D137">
        <f>'Kullanılan gübre'!D137</f>
        <v>2013</v>
      </c>
      <c r="E137">
        <f>'Kullanılan gübre'!E137*'Gübre oranlar'!H$3</f>
        <v>0</v>
      </c>
      <c r="F137">
        <f>'Kullanılan gübre'!F137*'Gübre oranlar'!I$3</f>
        <v>0</v>
      </c>
      <c r="G137">
        <f>'Kullanılan gübre'!G137*'Gübre oranlar'!J$3</f>
        <v>0</v>
      </c>
      <c r="H137">
        <f>'Kullanılan gübre'!H137*'Gübre oranlar'!K$3</f>
        <v>0</v>
      </c>
      <c r="I137">
        <f>'Kullanılan gübre'!I137*'Gübre oranlar'!L$3</f>
        <v>0</v>
      </c>
      <c r="J137">
        <f>'Kullanılan gübre'!J137*'Gübre oranlar'!M$3</f>
        <v>0</v>
      </c>
      <c r="K137">
        <f>'Kullanılan gübre'!K137*'Gübre oranlar'!N$3</f>
        <v>5.2</v>
      </c>
      <c r="L137">
        <f>'Kullanılan gübre'!L137*'Gübre oranlar'!O$3</f>
        <v>64.84</v>
      </c>
      <c r="M137">
        <f>'Kullanılan gübre'!M137*'Gübre oranlar'!P$3</f>
        <v>11.819999999999999</v>
      </c>
      <c r="N137">
        <f>'Kullanılan gübre'!N137*'Gübre oranlar'!Q$3</f>
        <v>0</v>
      </c>
      <c r="O137">
        <f>'Kullanılan gübre'!O137*'Gübre oranlar'!R$3</f>
        <v>0</v>
      </c>
      <c r="P137">
        <f>'Kullanılan gübre'!P137*'Gübre oranlar'!S$3</f>
        <v>0</v>
      </c>
      <c r="Q137">
        <f>'Kullanılan gübre'!Q137*'Gübre oranlar'!T$3</f>
        <v>45.645000000000003</v>
      </c>
      <c r="R137">
        <f>'Kullanılan gübre'!R137*'Gübre oranlar'!U$3</f>
        <v>0</v>
      </c>
      <c r="S137">
        <f>'Kullanılan gübre'!S137*'Gübre oranlar'!V$3</f>
        <v>0</v>
      </c>
      <c r="T137">
        <f>'Kullanılan gübre'!T137*'Gübre oranlar'!W$3</f>
        <v>0</v>
      </c>
      <c r="U137">
        <f>'Kullanılan gübre'!U137*'Gübre oranlar'!X$3</f>
        <v>0</v>
      </c>
      <c r="V137">
        <f>'Kullanılan gübre'!V137*'Gübre oranlar'!Y$3</f>
        <v>0</v>
      </c>
      <c r="W137">
        <f>'Kullanılan gübre'!W137*'Gübre oranlar'!Z$3</f>
        <v>0</v>
      </c>
      <c r="X137">
        <f>'Kullanılan gübre'!X137*'Gübre oranlar'!AA$3</f>
        <v>0</v>
      </c>
      <c r="Y137">
        <f>'Kullanılan gübre'!Y137*'Gübre oranlar'!AB$3</f>
        <v>0</v>
      </c>
      <c r="Z137">
        <f>'Kullanılan gübre'!Z137*'Gübre oranlar'!AC$3</f>
        <v>0</v>
      </c>
      <c r="AA137">
        <f>'Kullanılan gübre'!AA137*'Gübre oranlar'!AD$3</f>
        <v>0</v>
      </c>
      <c r="AB137">
        <f>'Kullanılan gübre'!AB137*'Gübre oranlar'!AE$3</f>
        <v>0</v>
      </c>
      <c r="AC137">
        <f>'Kullanılan gübre'!AC137*'Gübre oranlar'!AF$3</f>
        <v>0</v>
      </c>
      <c r="AD137">
        <f>'Kullanılan gübre'!AD137*'Gübre oranlar'!AG$3</f>
        <v>0</v>
      </c>
      <c r="AE137">
        <f>'Kullanılan gübre'!AE137*'Gübre oranlar'!AH$3</f>
        <v>3.2625000000000002</v>
      </c>
      <c r="AF137">
        <f>'Kullanılan gübre'!AF137*'Gübre oranlar'!AI$3</f>
        <v>0</v>
      </c>
      <c r="AG137">
        <f>'Kullanılan gübre'!AG137*'Gübre oranlar'!AJ$3</f>
        <v>0</v>
      </c>
      <c r="AH137">
        <f>'Kullanılan gübre'!AH137*'Gübre oranlar'!AK$3</f>
        <v>0</v>
      </c>
      <c r="AI137">
        <f>'Kullanılan gübre'!AI137*'Gübre oranlar'!AL$3</f>
        <v>0</v>
      </c>
      <c r="AJ137">
        <f>'Kullanılan gübre'!AJ137*'Gübre oranlar'!AM$3</f>
        <v>0</v>
      </c>
      <c r="AK137">
        <f>'Kullanılan gübre'!AK137*'Gübre oranlar'!AN$3</f>
        <v>0</v>
      </c>
      <c r="AL137">
        <f>'Kullanılan gübre'!AL137*'Gübre oranlar'!AO$3</f>
        <v>6.15</v>
      </c>
      <c r="AM137">
        <f>'Kullanılan gübre'!AM137*'Gübre oranlar'!AP$3</f>
        <v>0</v>
      </c>
      <c r="AN137">
        <f>'Kullanılan gübre'!AN137*'Gübre oranlar'!AQ$3</f>
        <v>0</v>
      </c>
      <c r="AO137">
        <f>'Kullanılan gübre'!AO137*'Gübre oranlar'!AR$3</f>
        <v>0</v>
      </c>
      <c r="AP137">
        <f>'Kullanılan gübre'!AP137*'Gübre oranlar'!AS$3</f>
        <v>0</v>
      </c>
      <c r="AQ137">
        <f>'Kullanılan gübre'!AQ137*'Gübre oranlar'!AT$3</f>
        <v>0</v>
      </c>
      <c r="AR137">
        <f>'Kullanılan gübre'!AR137*'Gübre oranlar'!AU$3</f>
        <v>0</v>
      </c>
      <c r="AS137">
        <f>'Kullanılan gübre'!AS137*'Gübre oranlar'!AV$3</f>
        <v>0</v>
      </c>
      <c r="AT137">
        <f>'Kullanılan gübre'!AT137*'Gübre oranlar'!AW$3</f>
        <v>0</v>
      </c>
      <c r="AU137">
        <f>'Kullanılan gübre'!AU137*'Gübre oranlar'!AX$3</f>
        <v>0</v>
      </c>
      <c r="AV137">
        <f>'Kullanılan gübre'!AV137*'Gübre oranlar'!AY$3</f>
        <v>0</v>
      </c>
      <c r="AW137">
        <f t="shared" si="2"/>
        <v>136.91749999999999</v>
      </c>
    </row>
    <row r="138" spans="1:49" x14ac:dyDescent="0.25">
      <c r="A138" t="str">
        <f>'Kullanılan gübre'!A138</f>
        <v>AK</v>
      </c>
      <c r="B138" t="str">
        <f>'Kullanılan gübre'!B138</f>
        <v>KONYA</v>
      </c>
      <c r="C138" t="str">
        <f>'Kullanılan gübre'!C138</f>
        <v>AKSEHIR</v>
      </c>
      <c r="D138">
        <f>'Kullanılan gübre'!D138</f>
        <v>2014</v>
      </c>
      <c r="E138">
        <f>'Kullanılan gübre'!E138*'Gübre oranlar'!H$3</f>
        <v>0</v>
      </c>
      <c r="F138">
        <f>'Kullanılan gübre'!F138*'Gübre oranlar'!I$3</f>
        <v>0</v>
      </c>
      <c r="G138">
        <f>'Kullanılan gübre'!G138*'Gübre oranlar'!J$3</f>
        <v>0</v>
      </c>
      <c r="H138">
        <f>'Kullanılan gübre'!H138*'Gübre oranlar'!K$3</f>
        <v>0</v>
      </c>
      <c r="I138">
        <f>'Kullanılan gübre'!I138*'Gübre oranlar'!L$3</f>
        <v>0</v>
      </c>
      <c r="J138">
        <f>'Kullanılan gübre'!J138*'Gübre oranlar'!M$3</f>
        <v>0</v>
      </c>
      <c r="K138">
        <f>'Kullanılan gübre'!K138*'Gübre oranlar'!N$3</f>
        <v>66.53</v>
      </c>
      <c r="L138">
        <f>'Kullanılan gübre'!L138*'Gübre oranlar'!O$3</f>
        <v>206.64000000000001</v>
      </c>
      <c r="M138">
        <f>'Kullanılan gübre'!M138*'Gübre oranlar'!P$3</f>
        <v>21.36</v>
      </c>
      <c r="N138">
        <f>'Kullanılan gübre'!N138*'Gübre oranlar'!Q$3</f>
        <v>1.56</v>
      </c>
      <c r="O138">
        <f>'Kullanılan gübre'!O138*'Gübre oranlar'!R$3</f>
        <v>0</v>
      </c>
      <c r="P138">
        <f>'Kullanılan gübre'!P138*'Gübre oranlar'!S$3</f>
        <v>0</v>
      </c>
      <c r="Q138">
        <f>'Kullanılan gübre'!Q138*'Gübre oranlar'!T$3</f>
        <v>218.1</v>
      </c>
      <c r="R138">
        <f>'Kullanılan gübre'!R138*'Gübre oranlar'!U$3</f>
        <v>0</v>
      </c>
      <c r="S138">
        <f>'Kullanılan gübre'!S138*'Gübre oranlar'!V$3</f>
        <v>0</v>
      </c>
      <c r="T138">
        <f>'Kullanılan gübre'!T138*'Gübre oranlar'!W$3</f>
        <v>0</v>
      </c>
      <c r="U138">
        <f>'Kullanılan gübre'!U138*'Gübre oranlar'!X$3</f>
        <v>0</v>
      </c>
      <c r="V138">
        <f>'Kullanılan gübre'!V138*'Gübre oranlar'!Y$3</f>
        <v>0</v>
      </c>
      <c r="W138">
        <f>'Kullanılan gübre'!W138*'Gübre oranlar'!Z$3</f>
        <v>0</v>
      </c>
      <c r="X138">
        <f>'Kullanılan gübre'!X138*'Gübre oranlar'!AA$3</f>
        <v>0</v>
      </c>
      <c r="Y138">
        <f>'Kullanılan gübre'!Y138*'Gübre oranlar'!AB$3</f>
        <v>0</v>
      </c>
      <c r="Z138">
        <f>'Kullanılan gübre'!Z138*'Gübre oranlar'!AC$3</f>
        <v>0</v>
      </c>
      <c r="AA138">
        <f>'Kullanılan gübre'!AA138*'Gübre oranlar'!AD$3</f>
        <v>0</v>
      </c>
      <c r="AB138">
        <f>'Kullanılan gübre'!AB138*'Gübre oranlar'!AE$3</f>
        <v>0</v>
      </c>
      <c r="AC138">
        <f>'Kullanılan gübre'!AC138*'Gübre oranlar'!AF$3</f>
        <v>0</v>
      </c>
      <c r="AD138">
        <f>'Kullanılan gübre'!AD138*'Gübre oranlar'!AG$3</f>
        <v>0</v>
      </c>
      <c r="AE138">
        <f>'Kullanılan gübre'!AE138*'Gübre oranlar'!AH$3</f>
        <v>0</v>
      </c>
      <c r="AF138">
        <f>'Kullanılan gübre'!AF138*'Gübre oranlar'!AI$3</f>
        <v>0</v>
      </c>
      <c r="AG138">
        <f>'Kullanılan gübre'!AG138*'Gübre oranlar'!AJ$3</f>
        <v>0</v>
      </c>
      <c r="AH138">
        <f>'Kullanılan gübre'!AH138*'Gübre oranlar'!AK$3</f>
        <v>0</v>
      </c>
      <c r="AI138">
        <f>'Kullanılan gübre'!AI138*'Gübre oranlar'!AL$3</f>
        <v>0</v>
      </c>
      <c r="AJ138">
        <f>'Kullanılan gübre'!AJ138*'Gübre oranlar'!AM$3</f>
        <v>5.0374999999999996</v>
      </c>
      <c r="AK138">
        <f>'Kullanılan gübre'!AK138*'Gübre oranlar'!AN$3</f>
        <v>0</v>
      </c>
      <c r="AL138">
        <f>'Kullanılan gübre'!AL138*'Gübre oranlar'!AO$3</f>
        <v>59.400000000000006</v>
      </c>
      <c r="AM138">
        <f>'Kullanılan gübre'!AM138*'Gübre oranlar'!AP$3</f>
        <v>9.07</v>
      </c>
      <c r="AN138">
        <f>'Kullanılan gübre'!AN138*'Gübre oranlar'!AQ$3</f>
        <v>0</v>
      </c>
      <c r="AO138">
        <f>'Kullanılan gübre'!AO138*'Gübre oranlar'!AR$3</f>
        <v>0</v>
      </c>
      <c r="AP138">
        <f>'Kullanılan gübre'!AP138*'Gübre oranlar'!AS$3</f>
        <v>0</v>
      </c>
      <c r="AQ138">
        <f>'Kullanılan gübre'!AQ138*'Gübre oranlar'!AT$3</f>
        <v>0</v>
      </c>
      <c r="AR138">
        <f>'Kullanılan gübre'!AR138*'Gübre oranlar'!AU$3</f>
        <v>0</v>
      </c>
      <c r="AS138">
        <f>'Kullanılan gübre'!AS138*'Gübre oranlar'!AV$3</f>
        <v>0</v>
      </c>
      <c r="AT138">
        <f>'Kullanılan gübre'!AT138*'Gübre oranlar'!AW$3</f>
        <v>0</v>
      </c>
      <c r="AU138">
        <f>'Kullanılan gübre'!AU138*'Gübre oranlar'!AX$3</f>
        <v>0</v>
      </c>
      <c r="AV138">
        <f>'Kullanılan gübre'!AV138*'Gübre oranlar'!AY$3</f>
        <v>0</v>
      </c>
      <c r="AW138">
        <f t="shared" si="2"/>
        <v>587.6975000000001</v>
      </c>
    </row>
    <row r="139" spans="1:49" x14ac:dyDescent="0.25">
      <c r="A139" t="str">
        <f>'Kullanılan gübre'!A139</f>
        <v>AK</v>
      </c>
      <c r="B139" t="str">
        <f>'Kullanılan gübre'!B139</f>
        <v>KONYA</v>
      </c>
      <c r="C139" t="str">
        <f>'Kullanılan gübre'!C139</f>
        <v>TUZLUKCU</v>
      </c>
      <c r="D139">
        <f>'Kullanılan gübre'!D139</f>
        <v>2014</v>
      </c>
      <c r="E139">
        <f>'Kullanılan gübre'!E139*'Gübre oranlar'!H$3</f>
        <v>0</v>
      </c>
      <c r="F139">
        <f>'Kullanılan gübre'!F139*'Gübre oranlar'!I$3</f>
        <v>0</v>
      </c>
      <c r="G139">
        <f>'Kullanılan gübre'!G139*'Gübre oranlar'!J$3</f>
        <v>0</v>
      </c>
      <c r="H139">
        <f>'Kullanılan gübre'!H139*'Gübre oranlar'!K$3</f>
        <v>0</v>
      </c>
      <c r="I139">
        <f>'Kullanılan gübre'!I139*'Gübre oranlar'!L$3</f>
        <v>0</v>
      </c>
      <c r="J139">
        <f>'Kullanılan gübre'!J139*'Gübre oranlar'!M$3</f>
        <v>0</v>
      </c>
      <c r="K139">
        <f>'Kullanılan gübre'!K139*'Gübre oranlar'!N$3</f>
        <v>0</v>
      </c>
      <c r="L139">
        <f>'Kullanılan gübre'!L139*'Gübre oranlar'!O$3</f>
        <v>54.879999999999995</v>
      </c>
      <c r="M139">
        <f>'Kullanılan gübre'!M139*'Gübre oranlar'!P$3</f>
        <v>0</v>
      </c>
      <c r="N139">
        <f>'Kullanılan gübre'!N139*'Gübre oranlar'!Q$3</f>
        <v>0</v>
      </c>
      <c r="O139">
        <f>'Kullanılan gübre'!O139*'Gübre oranlar'!R$3</f>
        <v>0</v>
      </c>
      <c r="P139">
        <f>'Kullanılan gübre'!P139*'Gübre oranlar'!S$3</f>
        <v>0</v>
      </c>
      <c r="Q139">
        <f>'Kullanılan gübre'!Q139*'Gübre oranlar'!T$3</f>
        <v>63.029999999999994</v>
      </c>
      <c r="R139">
        <f>'Kullanılan gübre'!R139*'Gübre oranlar'!U$3</f>
        <v>0</v>
      </c>
      <c r="S139">
        <f>'Kullanılan gübre'!S139*'Gübre oranlar'!V$3</f>
        <v>0</v>
      </c>
      <c r="T139">
        <f>'Kullanılan gübre'!T139*'Gübre oranlar'!W$3</f>
        <v>0</v>
      </c>
      <c r="U139">
        <f>'Kullanılan gübre'!U139*'Gübre oranlar'!X$3</f>
        <v>0</v>
      </c>
      <c r="V139">
        <f>'Kullanılan gübre'!V139*'Gübre oranlar'!Y$3</f>
        <v>0</v>
      </c>
      <c r="W139">
        <f>'Kullanılan gübre'!W139*'Gübre oranlar'!Z$3</f>
        <v>0</v>
      </c>
      <c r="X139">
        <f>'Kullanılan gübre'!X139*'Gübre oranlar'!AA$3</f>
        <v>0</v>
      </c>
      <c r="Y139">
        <f>'Kullanılan gübre'!Y139*'Gübre oranlar'!AB$3</f>
        <v>0</v>
      </c>
      <c r="Z139">
        <f>'Kullanılan gübre'!Z139*'Gübre oranlar'!AC$3</f>
        <v>0</v>
      </c>
      <c r="AA139">
        <f>'Kullanılan gübre'!AA139*'Gübre oranlar'!AD$3</f>
        <v>0</v>
      </c>
      <c r="AB139">
        <f>'Kullanılan gübre'!AB139*'Gübre oranlar'!AE$3</f>
        <v>0</v>
      </c>
      <c r="AC139">
        <f>'Kullanılan gübre'!AC139*'Gübre oranlar'!AF$3</f>
        <v>0</v>
      </c>
      <c r="AD139">
        <f>'Kullanılan gübre'!AD139*'Gübre oranlar'!AG$3</f>
        <v>0</v>
      </c>
      <c r="AE139">
        <f>'Kullanılan gübre'!AE139*'Gübre oranlar'!AH$3</f>
        <v>0</v>
      </c>
      <c r="AF139">
        <f>'Kullanılan gübre'!AF139*'Gübre oranlar'!AI$3</f>
        <v>0</v>
      </c>
      <c r="AG139">
        <f>'Kullanılan gübre'!AG139*'Gübre oranlar'!AJ$3</f>
        <v>0</v>
      </c>
      <c r="AH139">
        <f>'Kullanılan gübre'!AH139*'Gübre oranlar'!AK$3</f>
        <v>0</v>
      </c>
      <c r="AI139">
        <f>'Kullanılan gübre'!AI139*'Gübre oranlar'!AL$3</f>
        <v>0</v>
      </c>
      <c r="AJ139">
        <f>'Kullanılan gübre'!AJ139*'Gübre oranlar'!AM$3</f>
        <v>6.75</v>
      </c>
      <c r="AK139">
        <f>'Kullanılan gübre'!AK139*'Gübre oranlar'!AN$3</f>
        <v>0</v>
      </c>
      <c r="AL139">
        <f>'Kullanılan gübre'!AL139*'Gübre oranlar'!AO$3</f>
        <v>38.03</v>
      </c>
      <c r="AM139">
        <f>'Kullanılan gübre'!AM139*'Gübre oranlar'!AP$3</f>
        <v>0</v>
      </c>
      <c r="AN139">
        <f>'Kullanılan gübre'!AN139*'Gübre oranlar'!AQ$3</f>
        <v>0</v>
      </c>
      <c r="AO139">
        <f>'Kullanılan gübre'!AO139*'Gübre oranlar'!AR$3</f>
        <v>0</v>
      </c>
      <c r="AP139">
        <f>'Kullanılan gübre'!AP139*'Gübre oranlar'!AS$3</f>
        <v>0</v>
      </c>
      <c r="AQ139">
        <f>'Kullanılan gübre'!AQ139*'Gübre oranlar'!AT$3</f>
        <v>0</v>
      </c>
      <c r="AR139">
        <f>'Kullanılan gübre'!AR139*'Gübre oranlar'!AU$3</f>
        <v>0</v>
      </c>
      <c r="AS139">
        <f>'Kullanılan gübre'!AS139*'Gübre oranlar'!AV$3</f>
        <v>0</v>
      </c>
      <c r="AT139">
        <f>'Kullanılan gübre'!AT139*'Gübre oranlar'!AW$3</f>
        <v>0</v>
      </c>
      <c r="AU139">
        <f>'Kullanılan gübre'!AU139*'Gübre oranlar'!AX$3</f>
        <v>0</v>
      </c>
      <c r="AV139">
        <f>'Kullanılan gübre'!AV139*'Gübre oranlar'!AY$3</f>
        <v>0</v>
      </c>
      <c r="AW139">
        <f t="shared" si="2"/>
        <v>162.69</v>
      </c>
    </row>
    <row r="140" spans="1:49" x14ac:dyDescent="0.25">
      <c r="A140" t="str">
        <f>'Kullanılan gübre'!A140</f>
        <v>AK</v>
      </c>
      <c r="B140" t="str">
        <f>'Kullanılan gübre'!B140</f>
        <v>KONYA</v>
      </c>
      <c r="C140" t="str">
        <f>'Kullanılan gübre'!C140</f>
        <v>AKSEHIR</v>
      </c>
      <c r="D140">
        <f>'Kullanılan gübre'!D140</f>
        <v>2015</v>
      </c>
      <c r="E140">
        <f>'Kullanılan gübre'!E140*'Gübre oranlar'!H$3</f>
        <v>0</v>
      </c>
      <c r="F140">
        <f>'Kullanılan gübre'!F140*'Gübre oranlar'!I$3</f>
        <v>0</v>
      </c>
      <c r="G140">
        <f>'Kullanılan gübre'!G140*'Gübre oranlar'!J$3</f>
        <v>0</v>
      </c>
      <c r="H140">
        <f>'Kullanılan gübre'!H140*'Gübre oranlar'!K$3</f>
        <v>0</v>
      </c>
      <c r="I140">
        <f>'Kullanılan gübre'!I140*'Gübre oranlar'!L$3</f>
        <v>5.2029999999999994</v>
      </c>
      <c r="J140">
        <f>'Kullanılan gübre'!J140*'Gübre oranlar'!M$3</f>
        <v>0</v>
      </c>
      <c r="K140">
        <f>'Kullanılan gübre'!K140*'Gübre oranlar'!N$3</f>
        <v>43.930000000000007</v>
      </c>
      <c r="L140">
        <f>'Kullanılan gübre'!L140*'Gübre oranlar'!O$3</f>
        <v>188.35000000000002</v>
      </c>
      <c r="M140">
        <f>'Kullanılan gübre'!M140*'Gübre oranlar'!P$3</f>
        <v>23.767499999999998</v>
      </c>
      <c r="N140">
        <f>'Kullanılan gübre'!N140*'Gübre oranlar'!Q$3</f>
        <v>1.095</v>
      </c>
      <c r="O140">
        <f>'Kullanılan gübre'!O140*'Gübre oranlar'!R$3</f>
        <v>0</v>
      </c>
      <c r="P140">
        <f>'Kullanılan gübre'!P140*'Gübre oranlar'!S$3</f>
        <v>0</v>
      </c>
      <c r="Q140">
        <f>'Kullanılan gübre'!Q140*'Gübre oranlar'!T$3</f>
        <v>237.89999999999998</v>
      </c>
      <c r="R140">
        <f>'Kullanılan gübre'!R140*'Gübre oranlar'!U$3</f>
        <v>0</v>
      </c>
      <c r="S140">
        <f>'Kullanılan gübre'!S140*'Gübre oranlar'!V$3</f>
        <v>0</v>
      </c>
      <c r="T140">
        <f>'Kullanılan gübre'!T140*'Gübre oranlar'!W$3</f>
        <v>0</v>
      </c>
      <c r="U140">
        <f>'Kullanılan gübre'!U140*'Gübre oranlar'!X$3</f>
        <v>0</v>
      </c>
      <c r="V140">
        <f>'Kullanılan gübre'!V140*'Gübre oranlar'!Y$3</f>
        <v>0</v>
      </c>
      <c r="W140">
        <f>'Kullanılan gübre'!W140*'Gübre oranlar'!Z$3</f>
        <v>8.0519999999999996</v>
      </c>
      <c r="X140">
        <f>'Kullanılan gübre'!X140*'Gübre oranlar'!AA$3</f>
        <v>0</v>
      </c>
      <c r="Y140">
        <f>'Kullanılan gübre'!Y140*'Gübre oranlar'!AB$3</f>
        <v>0</v>
      </c>
      <c r="Z140">
        <f>'Kullanılan gübre'!Z140*'Gübre oranlar'!AC$3</f>
        <v>0</v>
      </c>
      <c r="AA140">
        <f>'Kullanılan gübre'!AA140*'Gübre oranlar'!AD$3</f>
        <v>0</v>
      </c>
      <c r="AB140">
        <f>'Kullanılan gübre'!AB140*'Gübre oranlar'!AE$3</f>
        <v>0</v>
      </c>
      <c r="AC140">
        <f>'Kullanılan gübre'!AC140*'Gübre oranlar'!AF$3</f>
        <v>0</v>
      </c>
      <c r="AD140">
        <f>'Kullanılan gübre'!AD140*'Gübre oranlar'!AG$3</f>
        <v>0</v>
      </c>
      <c r="AE140">
        <f>'Kullanılan gübre'!AE140*'Gübre oranlar'!AH$3</f>
        <v>0</v>
      </c>
      <c r="AF140">
        <f>'Kullanılan gübre'!AF140*'Gübre oranlar'!AI$3</f>
        <v>0</v>
      </c>
      <c r="AG140">
        <f>'Kullanılan gübre'!AG140*'Gübre oranlar'!AJ$3</f>
        <v>0</v>
      </c>
      <c r="AH140">
        <f>'Kullanılan gübre'!AH140*'Gübre oranlar'!AK$3</f>
        <v>0</v>
      </c>
      <c r="AI140">
        <f>'Kullanılan gübre'!AI140*'Gübre oranlar'!AL$3</f>
        <v>2.4600000000000004</v>
      </c>
      <c r="AJ140">
        <f>'Kullanılan gübre'!AJ140*'Gübre oranlar'!AM$3</f>
        <v>0</v>
      </c>
      <c r="AK140">
        <f>'Kullanılan gübre'!AK140*'Gübre oranlar'!AN$3</f>
        <v>0</v>
      </c>
      <c r="AL140">
        <f>'Kullanılan gübre'!AL140*'Gübre oranlar'!AO$3</f>
        <v>92.56</v>
      </c>
      <c r="AM140">
        <f>'Kullanılan gübre'!AM140*'Gübre oranlar'!AP$3</f>
        <v>19.21</v>
      </c>
      <c r="AN140">
        <f>'Kullanılan gübre'!AN140*'Gübre oranlar'!AQ$3</f>
        <v>0</v>
      </c>
      <c r="AO140">
        <f>'Kullanılan gübre'!AO140*'Gübre oranlar'!AR$3</f>
        <v>0</v>
      </c>
      <c r="AP140">
        <f>'Kullanılan gübre'!AP140*'Gübre oranlar'!AS$3</f>
        <v>0</v>
      </c>
      <c r="AQ140">
        <f>'Kullanılan gübre'!AQ140*'Gübre oranlar'!AT$3</f>
        <v>0</v>
      </c>
      <c r="AR140">
        <f>'Kullanılan gübre'!AR140*'Gübre oranlar'!AU$3</f>
        <v>0</v>
      </c>
      <c r="AS140">
        <f>'Kullanılan gübre'!AS140*'Gübre oranlar'!AV$3</f>
        <v>0</v>
      </c>
      <c r="AT140">
        <f>'Kullanılan gübre'!AT140*'Gübre oranlar'!AW$3</f>
        <v>0</v>
      </c>
      <c r="AU140">
        <f>'Kullanılan gübre'!AU140*'Gübre oranlar'!AX$3</f>
        <v>0</v>
      </c>
      <c r="AV140">
        <f>'Kullanılan gübre'!AV140*'Gübre oranlar'!AY$3</f>
        <v>0</v>
      </c>
      <c r="AW140">
        <f t="shared" si="2"/>
        <v>622.52750000000015</v>
      </c>
    </row>
    <row r="141" spans="1:49" x14ac:dyDescent="0.25">
      <c r="A141" t="str">
        <f>'Kullanılan gübre'!A141</f>
        <v>AK</v>
      </c>
      <c r="B141" t="str">
        <f>'Kullanılan gübre'!B141</f>
        <v>KONYA</v>
      </c>
      <c r="C141" t="str">
        <f>'Kullanılan gübre'!C141</f>
        <v>TUZLUKCU</v>
      </c>
      <c r="D141">
        <f>'Kullanılan gübre'!D141</f>
        <v>2015</v>
      </c>
      <c r="E141">
        <f>'Kullanılan gübre'!E141*'Gübre oranlar'!H$3</f>
        <v>0</v>
      </c>
      <c r="F141">
        <f>'Kullanılan gübre'!F141*'Gübre oranlar'!I$3</f>
        <v>0</v>
      </c>
      <c r="G141">
        <f>'Kullanılan gübre'!G141*'Gübre oranlar'!J$3</f>
        <v>0</v>
      </c>
      <c r="H141">
        <f>'Kullanılan gübre'!H141*'Gübre oranlar'!K$3</f>
        <v>0</v>
      </c>
      <c r="I141">
        <f>'Kullanılan gübre'!I141*'Gübre oranlar'!L$3</f>
        <v>0</v>
      </c>
      <c r="J141">
        <f>'Kullanılan gübre'!J141*'Gübre oranlar'!M$3</f>
        <v>0</v>
      </c>
      <c r="K141">
        <f>'Kullanılan gübre'!K141*'Gübre oranlar'!N$3</f>
        <v>5.5200000000000005</v>
      </c>
      <c r="L141">
        <f>'Kullanılan gübre'!L141*'Gübre oranlar'!O$3</f>
        <v>48.150000000000006</v>
      </c>
      <c r="M141">
        <f>'Kullanılan gübre'!M141*'Gübre oranlar'!P$3</f>
        <v>0.03</v>
      </c>
      <c r="N141">
        <f>'Kullanılan gübre'!N141*'Gübre oranlar'!Q$3</f>
        <v>0</v>
      </c>
      <c r="O141">
        <f>'Kullanılan gübre'!O141*'Gübre oranlar'!R$3</f>
        <v>0</v>
      </c>
      <c r="P141">
        <f>'Kullanılan gübre'!P141*'Gübre oranlar'!S$3</f>
        <v>0</v>
      </c>
      <c r="Q141">
        <f>'Kullanılan gübre'!Q141*'Gübre oranlar'!T$3</f>
        <v>72.884999999999991</v>
      </c>
      <c r="R141">
        <f>'Kullanılan gübre'!R141*'Gübre oranlar'!U$3</f>
        <v>0</v>
      </c>
      <c r="S141">
        <f>'Kullanılan gübre'!S141*'Gübre oranlar'!V$3</f>
        <v>0</v>
      </c>
      <c r="T141">
        <f>'Kullanılan gübre'!T141*'Gübre oranlar'!W$3</f>
        <v>0</v>
      </c>
      <c r="U141">
        <f>'Kullanılan gübre'!U141*'Gübre oranlar'!X$3</f>
        <v>0</v>
      </c>
      <c r="V141">
        <f>'Kullanılan gübre'!V141*'Gübre oranlar'!Y$3</f>
        <v>0</v>
      </c>
      <c r="W141">
        <f>'Kullanılan gübre'!W141*'Gübre oranlar'!Z$3</f>
        <v>0</v>
      </c>
      <c r="X141">
        <f>'Kullanılan gübre'!X141*'Gübre oranlar'!AA$3</f>
        <v>0</v>
      </c>
      <c r="Y141">
        <f>'Kullanılan gübre'!Y141*'Gübre oranlar'!AB$3</f>
        <v>0</v>
      </c>
      <c r="Z141">
        <f>'Kullanılan gübre'!Z141*'Gübre oranlar'!AC$3</f>
        <v>0</v>
      </c>
      <c r="AA141">
        <f>'Kullanılan gübre'!AA141*'Gübre oranlar'!AD$3</f>
        <v>0</v>
      </c>
      <c r="AB141">
        <f>'Kullanılan gübre'!AB141*'Gübre oranlar'!AE$3</f>
        <v>0</v>
      </c>
      <c r="AC141">
        <f>'Kullanılan gübre'!AC141*'Gübre oranlar'!AF$3</f>
        <v>0</v>
      </c>
      <c r="AD141">
        <f>'Kullanılan gübre'!AD141*'Gübre oranlar'!AG$3</f>
        <v>0</v>
      </c>
      <c r="AE141">
        <f>'Kullanılan gübre'!AE141*'Gübre oranlar'!AH$3</f>
        <v>0</v>
      </c>
      <c r="AF141">
        <f>'Kullanılan gübre'!AF141*'Gübre oranlar'!AI$3</f>
        <v>0</v>
      </c>
      <c r="AG141">
        <f>'Kullanılan gübre'!AG141*'Gübre oranlar'!AJ$3</f>
        <v>0</v>
      </c>
      <c r="AH141">
        <f>'Kullanılan gübre'!AH141*'Gübre oranlar'!AK$3</f>
        <v>0</v>
      </c>
      <c r="AI141">
        <f>'Kullanılan gübre'!AI141*'Gübre oranlar'!AL$3</f>
        <v>2.5250000000000004</v>
      </c>
      <c r="AJ141">
        <f>'Kullanılan gübre'!AJ141*'Gübre oranlar'!AM$3</f>
        <v>0</v>
      </c>
      <c r="AK141">
        <f>'Kullanılan gübre'!AK141*'Gübre oranlar'!AN$3</f>
        <v>0</v>
      </c>
      <c r="AL141">
        <f>'Kullanılan gübre'!AL141*'Gübre oranlar'!AO$3</f>
        <v>42.02</v>
      </c>
      <c r="AM141">
        <f>'Kullanılan gübre'!AM141*'Gübre oranlar'!AP$3</f>
        <v>10</v>
      </c>
      <c r="AN141">
        <f>'Kullanılan gübre'!AN141*'Gübre oranlar'!AQ$3</f>
        <v>0</v>
      </c>
      <c r="AO141">
        <f>'Kullanılan gübre'!AO141*'Gübre oranlar'!AR$3</f>
        <v>0</v>
      </c>
      <c r="AP141">
        <f>'Kullanılan gübre'!AP141*'Gübre oranlar'!AS$3</f>
        <v>0</v>
      </c>
      <c r="AQ141">
        <f>'Kullanılan gübre'!AQ141*'Gübre oranlar'!AT$3</f>
        <v>0</v>
      </c>
      <c r="AR141">
        <f>'Kullanılan gübre'!AR141*'Gübre oranlar'!AU$3</f>
        <v>0</v>
      </c>
      <c r="AS141">
        <f>'Kullanılan gübre'!AS141*'Gübre oranlar'!AV$3</f>
        <v>0</v>
      </c>
      <c r="AT141">
        <f>'Kullanılan gübre'!AT141*'Gübre oranlar'!AW$3</f>
        <v>0</v>
      </c>
      <c r="AU141">
        <f>'Kullanılan gübre'!AU141*'Gübre oranlar'!AX$3</f>
        <v>0</v>
      </c>
      <c r="AV141">
        <f>'Kullanılan gübre'!AV141*'Gübre oranlar'!AY$3</f>
        <v>0</v>
      </c>
      <c r="AW141">
        <f t="shared" si="2"/>
        <v>181.13000000000002</v>
      </c>
    </row>
    <row r="142" spans="1:49" x14ac:dyDescent="0.25">
      <c r="A142" t="str">
        <f>'Kullanılan gübre'!A142</f>
        <v>AK</v>
      </c>
      <c r="B142" t="str">
        <f>'Kullanılan gübre'!B142</f>
        <v>KONYA</v>
      </c>
      <c r="C142" t="str">
        <f>'Kullanılan gübre'!C142</f>
        <v>AKSEHIR</v>
      </c>
      <c r="D142">
        <f>'Kullanılan gübre'!D142</f>
        <v>2016</v>
      </c>
      <c r="E142">
        <f>'Kullanılan gübre'!E142*'Gübre oranlar'!H$3</f>
        <v>0</v>
      </c>
      <c r="F142">
        <f>'Kullanılan gübre'!F142*'Gübre oranlar'!I$3</f>
        <v>0</v>
      </c>
      <c r="G142">
        <f>'Kullanılan gübre'!G142*'Gübre oranlar'!J$3</f>
        <v>0</v>
      </c>
      <c r="H142">
        <f>'Kullanılan gübre'!H142*'Gübre oranlar'!K$3</f>
        <v>0</v>
      </c>
      <c r="I142">
        <f>'Kullanılan gübre'!I142*'Gübre oranlar'!L$3</f>
        <v>5.5684999999999993</v>
      </c>
      <c r="J142">
        <f>'Kullanılan gübre'!J142*'Gübre oranlar'!M$3</f>
        <v>0</v>
      </c>
      <c r="K142">
        <f>'Kullanılan gübre'!K142*'Gübre oranlar'!N$3</f>
        <v>77.23</v>
      </c>
      <c r="L142">
        <f>'Kullanılan gübre'!L142*'Gübre oranlar'!O$3</f>
        <v>123.9</v>
      </c>
      <c r="M142">
        <f>'Kullanılan gübre'!M142*'Gübre oranlar'!P$3</f>
        <v>16.237500000000001</v>
      </c>
      <c r="N142">
        <f>'Kullanılan gübre'!N142*'Gübre oranlar'!Q$3</f>
        <v>33.5625</v>
      </c>
      <c r="O142">
        <f>'Kullanılan gübre'!O142*'Gübre oranlar'!R$3</f>
        <v>0</v>
      </c>
      <c r="P142">
        <f>'Kullanılan gübre'!P142*'Gübre oranlar'!S$3</f>
        <v>0</v>
      </c>
      <c r="Q142">
        <f>'Kullanılan gübre'!Q142*'Gübre oranlar'!T$3</f>
        <v>241.72499999999999</v>
      </c>
      <c r="R142">
        <f>'Kullanılan gübre'!R142*'Gübre oranlar'!U$3</f>
        <v>0</v>
      </c>
      <c r="S142">
        <f>'Kullanılan gübre'!S142*'Gübre oranlar'!V$3</f>
        <v>0</v>
      </c>
      <c r="T142">
        <f>'Kullanılan gübre'!T142*'Gübre oranlar'!W$3</f>
        <v>0</v>
      </c>
      <c r="U142">
        <f>'Kullanılan gübre'!U142*'Gübre oranlar'!X$3</f>
        <v>0</v>
      </c>
      <c r="V142">
        <f>'Kullanılan gübre'!V142*'Gübre oranlar'!Y$3</f>
        <v>0</v>
      </c>
      <c r="W142">
        <f>'Kullanılan gübre'!W142*'Gübre oranlar'!Z$3</f>
        <v>0</v>
      </c>
      <c r="X142">
        <f>'Kullanılan gübre'!X142*'Gübre oranlar'!AA$3</f>
        <v>0</v>
      </c>
      <c r="Y142">
        <f>'Kullanılan gübre'!Y142*'Gübre oranlar'!AB$3</f>
        <v>0</v>
      </c>
      <c r="Z142">
        <f>'Kullanılan gübre'!Z142*'Gübre oranlar'!AC$3</f>
        <v>0</v>
      </c>
      <c r="AA142">
        <f>'Kullanılan gübre'!AA142*'Gübre oranlar'!AD$3</f>
        <v>0</v>
      </c>
      <c r="AB142">
        <f>'Kullanılan gübre'!AB142*'Gübre oranlar'!AE$3</f>
        <v>0.59475</v>
      </c>
      <c r="AC142">
        <f>'Kullanılan gübre'!AC142*'Gübre oranlar'!AF$3</f>
        <v>0</v>
      </c>
      <c r="AD142">
        <f>'Kullanılan gübre'!AD142*'Gübre oranlar'!AG$3</f>
        <v>0</v>
      </c>
      <c r="AE142">
        <f>'Kullanılan gübre'!AE142*'Gübre oranlar'!AH$3</f>
        <v>0</v>
      </c>
      <c r="AF142">
        <f>'Kullanılan gübre'!AF142*'Gübre oranlar'!AI$3</f>
        <v>0</v>
      </c>
      <c r="AG142">
        <f>'Kullanılan gübre'!AG142*'Gübre oranlar'!AJ$3</f>
        <v>0</v>
      </c>
      <c r="AH142">
        <f>'Kullanılan gübre'!AH142*'Gübre oranlar'!AK$3</f>
        <v>0</v>
      </c>
      <c r="AI142">
        <f>'Kullanılan gübre'!AI142*'Gübre oranlar'!AL$3</f>
        <v>0</v>
      </c>
      <c r="AJ142">
        <f>'Kullanılan gübre'!AJ142*'Gübre oranlar'!AM$3</f>
        <v>0</v>
      </c>
      <c r="AK142">
        <f>'Kullanılan gübre'!AK142*'Gübre oranlar'!AN$3</f>
        <v>0</v>
      </c>
      <c r="AL142">
        <f>'Kullanılan gübre'!AL142*'Gübre oranlar'!AO$3</f>
        <v>46.080000000000005</v>
      </c>
      <c r="AM142">
        <f>'Kullanılan gübre'!AM142*'Gübre oranlar'!AP$3</f>
        <v>34.72</v>
      </c>
      <c r="AN142">
        <f>'Kullanılan gübre'!AN142*'Gübre oranlar'!AQ$3</f>
        <v>1.3000000000000001E-2</v>
      </c>
      <c r="AO142">
        <f>'Kullanılan gübre'!AO142*'Gübre oranlar'!AR$3</f>
        <v>0</v>
      </c>
      <c r="AP142">
        <f>'Kullanılan gübre'!AP142*'Gübre oranlar'!AS$3</f>
        <v>0</v>
      </c>
      <c r="AQ142">
        <f>'Kullanılan gübre'!AQ142*'Gübre oranlar'!AT$3</f>
        <v>0</v>
      </c>
      <c r="AR142">
        <f>'Kullanılan gübre'!AR142*'Gübre oranlar'!AU$3</f>
        <v>0</v>
      </c>
      <c r="AS142">
        <f>'Kullanılan gübre'!AS142*'Gübre oranlar'!AV$3</f>
        <v>0</v>
      </c>
      <c r="AT142">
        <f>'Kullanılan gübre'!AT142*'Gübre oranlar'!AW$3</f>
        <v>0</v>
      </c>
      <c r="AU142">
        <f>'Kullanılan gübre'!AU142*'Gübre oranlar'!AX$3</f>
        <v>0</v>
      </c>
      <c r="AV142">
        <f>'Kullanılan gübre'!AV142*'Gübre oranlar'!AY$3</f>
        <v>0</v>
      </c>
      <c r="AW142">
        <f t="shared" si="2"/>
        <v>579.63125000000014</v>
      </c>
    </row>
    <row r="143" spans="1:49" x14ac:dyDescent="0.25">
      <c r="A143" t="str">
        <f>'Kullanılan gübre'!A143</f>
        <v>AK</v>
      </c>
      <c r="B143" t="str">
        <f>'Kullanılan gübre'!B143</f>
        <v>KONYA</v>
      </c>
      <c r="C143" t="str">
        <f>'Kullanılan gübre'!C143</f>
        <v>TUZLUKCU</v>
      </c>
      <c r="D143">
        <f>'Kullanılan gübre'!D143</f>
        <v>2016</v>
      </c>
      <c r="E143">
        <f>'Kullanılan gübre'!E143*'Gübre oranlar'!H$3</f>
        <v>0</v>
      </c>
      <c r="F143">
        <f>'Kullanılan gübre'!F143*'Gübre oranlar'!I$3</f>
        <v>0</v>
      </c>
      <c r="G143">
        <f>'Kullanılan gübre'!G143*'Gübre oranlar'!J$3</f>
        <v>0</v>
      </c>
      <c r="H143">
        <f>'Kullanılan gübre'!H143*'Gübre oranlar'!K$3</f>
        <v>0</v>
      </c>
      <c r="I143">
        <f>'Kullanılan gübre'!I143*'Gübre oranlar'!L$3</f>
        <v>0</v>
      </c>
      <c r="J143">
        <f>'Kullanılan gübre'!J143*'Gübre oranlar'!M$3</f>
        <v>0</v>
      </c>
      <c r="K143">
        <f>'Kullanılan gübre'!K143*'Gübre oranlar'!N$3</f>
        <v>4.59</v>
      </c>
      <c r="L143">
        <f>'Kullanılan gübre'!L143*'Gübre oranlar'!O$3</f>
        <v>31.84</v>
      </c>
      <c r="M143">
        <f>'Kullanılan gübre'!M143*'Gübre oranlar'!P$3</f>
        <v>5.5874999999999995</v>
      </c>
      <c r="N143">
        <f>'Kullanılan gübre'!N143*'Gübre oranlar'!Q$3</f>
        <v>5.3699999999999992</v>
      </c>
      <c r="O143">
        <f>'Kullanılan gübre'!O143*'Gübre oranlar'!R$3</f>
        <v>0</v>
      </c>
      <c r="P143">
        <f>'Kullanılan gübre'!P143*'Gübre oranlar'!S$3</f>
        <v>0</v>
      </c>
      <c r="Q143">
        <f>'Kullanılan gübre'!Q143*'Gübre oranlar'!T$3</f>
        <v>84.015000000000001</v>
      </c>
      <c r="R143">
        <f>'Kullanılan gübre'!R143*'Gübre oranlar'!U$3</f>
        <v>0</v>
      </c>
      <c r="S143">
        <f>'Kullanılan gübre'!S143*'Gübre oranlar'!V$3</f>
        <v>0</v>
      </c>
      <c r="T143">
        <f>'Kullanılan gübre'!T143*'Gübre oranlar'!W$3</f>
        <v>0</v>
      </c>
      <c r="U143">
        <f>'Kullanılan gübre'!U143*'Gübre oranlar'!X$3</f>
        <v>0</v>
      </c>
      <c r="V143">
        <f>'Kullanılan gübre'!V143*'Gübre oranlar'!Y$3</f>
        <v>0</v>
      </c>
      <c r="W143">
        <f>'Kullanılan gübre'!W143*'Gübre oranlar'!Z$3</f>
        <v>0</v>
      </c>
      <c r="X143">
        <f>'Kullanılan gübre'!X143*'Gübre oranlar'!AA$3</f>
        <v>0</v>
      </c>
      <c r="Y143">
        <f>'Kullanılan gübre'!Y143*'Gübre oranlar'!AB$3</f>
        <v>0</v>
      </c>
      <c r="Z143">
        <f>'Kullanılan gübre'!Z143*'Gübre oranlar'!AC$3</f>
        <v>0</v>
      </c>
      <c r="AA143">
        <f>'Kullanılan gübre'!AA143*'Gübre oranlar'!AD$3</f>
        <v>0</v>
      </c>
      <c r="AB143">
        <f>'Kullanılan gübre'!AB143*'Gübre oranlar'!AE$3</f>
        <v>0</v>
      </c>
      <c r="AC143">
        <f>'Kullanılan gübre'!AC143*'Gübre oranlar'!AF$3</f>
        <v>0</v>
      </c>
      <c r="AD143">
        <f>'Kullanılan gübre'!AD143*'Gübre oranlar'!AG$3</f>
        <v>0</v>
      </c>
      <c r="AE143">
        <f>'Kullanılan gübre'!AE143*'Gübre oranlar'!AH$3</f>
        <v>0</v>
      </c>
      <c r="AF143">
        <f>'Kullanılan gübre'!AF143*'Gübre oranlar'!AI$3</f>
        <v>0</v>
      </c>
      <c r="AG143">
        <f>'Kullanılan gübre'!AG143*'Gübre oranlar'!AJ$3</f>
        <v>0</v>
      </c>
      <c r="AH143">
        <f>'Kullanılan gübre'!AH143*'Gübre oranlar'!AK$3</f>
        <v>0</v>
      </c>
      <c r="AI143">
        <f>'Kullanılan gübre'!AI143*'Gübre oranlar'!AL$3</f>
        <v>0</v>
      </c>
      <c r="AJ143">
        <f>'Kullanılan gübre'!AJ143*'Gübre oranlar'!AM$3</f>
        <v>0</v>
      </c>
      <c r="AK143">
        <f>'Kullanılan gübre'!AK143*'Gübre oranlar'!AN$3</f>
        <v>0</v>
      </c>
      <c r="AL143">
        <f>'Kullanılan gübre'!AL143*'Gübre oranlar'!AO$3</f>
        <v>13.91</v>
      </c>
      <c r="AM143">
        <f>'Kullanılan gübre'!AM143*'Gübre oranlar'!AP$3</f>
        <v>0.93000000000000016</v>
      </c>
      <c r="AN143">
        <f>'Kullanılan gübre'!AN143*'Gübre oranlar'!AQ$3</f>
        <v>0</v>
      </c>
      <c r="AO143">
        <f>'Kullanılan gübre'!AO143*'Gübre oranlar'!AR$3</f>
        <v>0</v>
      </c>
      <c r="AP143">
        <f>'Kullanılan gübre'!AP143*'Gübre oranlar'!AS$3</f>
        <v>0</v>
      </c>
      <c r="AQ143">
        <f>'Kullanılan gübre'!AQ143*'Gübre oranlar'!AT$3</f>
        <v>0</v>
      </c>
      <c r="AR143">
        <f>'Kullanılan gübre'!AR143*'Gübre oranlar'!AU$3</f>
        <v>0</v>
      </c>
      <c r="AS143">
        <f>'Kullanılan gübre'!AS143*'Gübre oranlar'!AV$3</f>
        <v>0</v>
      </c>
      <c r="AT143">
        <f>'Kullanılan gübre'!AT143*'Gübre oranlar'!AW$3</f>
        <v>0</v>
      </c>
      <c r="AU143">
        <f>'Kullanılan gübre'!AU143*'Gübre oranlar'!AX$3</f>
        <v>0</v>
      </c>
      <c r="AV143">
        <f>'Kullanılan gübre'!AV143*'Gübre oranlar'!AY$3</f>
        <v>0</v>
      </c>
      <c r="AW143">
        <f t="shared" si="2"/>
        <v>146.24250000000001</v>
      </c>
    </row>
    <row r="144" spans="1:49" x14ac:dyDescent="0.25">
      <c r="A144" t="str">
        <f>'Kullanılan gübre'!A144</f>
        <v>BA</v>
      </c>
      <c r="B144" t="str">
        <f>'Kullanılan gübre'!B144</f>
        <v>ANTALYA</v>
      </c>
      <c r="C144" t="str">
        <f>'Kullanılan gübre'!C144</f>
        <v>KEMER</v>
      </c>
      <c r="D144">
        <f>'Kullanılan gübre'!D144</f>
        <v>2007</v>
      </c>
      <c r="E144">
        <f>'Kullanılan gübre'!E144*'Gübre oranlar'!H$3</f>
        <v>0</v>
      </c>
      <c r="F144">
        <f>'Kullanılan gübre'!F144*'Gübre oranlar'!I$3</f>
        <v>0</v>
      </c>
      <c r="G144">
        <f>'Kullanılan gübre'!G144*'Gübre oranlar'!J$3</f>
        <v>0</v>
      </c>
      <c r="H144">
        <f>'Kullanılan gübre'!H144*'Gübre oranlar'!K$3</f>
        <v>0</v>
      </c>
      <c r="I144">
        <f>'Kullanılan gübre'!I144*'Gübre oranlar'!L$3</f>
        <v>0</v>
      </c>
      <c r="J144">
        <f>'Kullanılan gübre'!J144*'Gübre oranlar'!M$3</f>
        <v>0</v>
      </c>
      <c r="K144">
        <f>'Kullanılan gübre'!K144*'Gübre oranlar'!N$3</f>
        <v>1</v>
      </c>
      <c r="L144">
        <f>'Kullanılan gübre'!L144*'Gübre oranlar'!O$3</f>
        <v>0</v>
      </c>
      <c r="M144">
        <f>'Kullanılan gübre'!M144*'Gübre oranlar'!P$3</f>
        <v>0.6</v>
      </c>
      <c r="N144">
        <f>'Kullanılan gübre'!N144*'Gübre oranlar'!Q$3</f>
        <v>0.15</v>
      </c>
      <c r="O144">
        <f>'Kullanılan gübre'!O144*'Gübre oranlar'!R$3</f>
        <v>0</v>
      </c>
      <c r="P144">
        <f>'Kullanılan gübre'!P144*'Gübre oranlar'!S$3</f>
        <v>0</v>
      </c>
      <c r="Q144">
        <f>'Kullanılan gübre'!Q144*'Gübre oranlar'!T$3</f>
        <v>0</v>
      </c>
      <c r="R144">
        <f>'Kullanılan gübre'!R144*'Gübre oranlar'!U$3</f>
        <v>0</v>
      </c>
      <c r="S144">
        <f>'Kullanılan gübre'!S144*'Gübre oranlar'!V$3</f>
        <v>0</v>
      </c>
      <c r="T144">
        <f>'Kullanılan gübre'!T144*'Gübre oranlar'!W$3</f>
        <v>0</v>
      </c>
      <c r="U144">
        <f>'Kullanılan gübre'!U144*'Gübre oranlar'!X$3</f>
        <v>0</v>
      </c>
      <c r="V144">
        <f>'Kullanılan gübre'!V144*'Gübre oranlar'!Y$3</f>
        <v>0</v>
      </c>
      <c r="W144">
        <f>'Kullanılan gübre'!W144*'Gübre oranlar'!Z$3</f>
        <v>0</v>
      </c>
      <c r="X144">
        <f>'Kullanılan gübre'!X144*'Gübre oranlar'!AA$3</f>
        <v>0</v>
      </c>
      <c r="Y144">
        <f>'Kullanılan gübre'!Y144*'Gübre oranlar'!AB$3</f>
        <v>0</v>
      </c>
      <c r="Z144">
        <f>'Kullanılan gübre'!Z144*'Gübre oranlar'!AC$3</f>
        <v>0</v>
      </c>
      <c r="AA144">
        <f>'Kullanılan gübre'!AA144*'Gübre oranlar'!AD$3</f>
        <v>0</v>
      </c>
      <c r="AB144">
        <f>'Kullanılan gübre'!AB144*'Gübre oranlar'!AE$3</f>
        <v>0</v>
      </c>
      <c r="AC144">
        <f>'Kullanılan gübre'!AC144*'Gübre oranlar'!AF$3</f>
        <v>0</v>
      </c>
      <c r="AD144">
        <f>'Kullanılan gübre'!AD144*'Gübre oranlar'!AG$3</f>
        <v>0</v>
      </c>
      <c r="AE144">
        <f>'Kullanılan gübre'!AE144*'Gübre oranlar'!AH$3</f>
        <v>0</v>
      </c>
      <c r="AF144">
        <f>'Kullanılan gübre'!AF144*'Gübre oranlar'!AI$3</f>
        <v>0</v>
      </c>
      <c r="AG144">
        <f>'Kullanılan gübre'!AG144*'Gübre oranlar'!AJ$3</f>
        <v>0</v>
      </c>
      <c r="AH144">
        <f>'Kullanılan gübre'!AH144*'Gübre oranlar'!AK$3</f>
        <v>0</v>
      </c>
      <c r="AI144">
        <f>'Kullanılan gübre'!AI144*'Gübre oranlar'!AL$3</f>
        <v>0</v>
      </c>
      <c r="AJ144">
        <f>'Kullanılan gübre'!AJ144*'Gübre oranlar'!AM$3</f>
        <v>0</v>
      </c>
      <c r="AK144">
        <f>'Kullanılan gübre'!AK144*'Gübre oranlar'!AN$3</f>
        <v>0</v>
      </c>
      <c r="AL144">
        <f>'Kullanılan gübre'!AL144*'Gübre oranlar'!AO$3</f>
        <v>0</v>
      </c>
      <c r="AM144">
        <f>'Kullanılan gübre'!AM144*'Gübre oranlar'!AP$3</f>
        <v>0</v>
      </c>
      <c r="AN144">
        <f>'Kullanılan gübre'!AN144*'Gübre oranlar'!AQ$3</f>
        <v>0</v>
      </c>
      <c r="AO144">
        <f>'Kullanılan gübre'!AO144*'Gübre oranlar'!AR$3</f>
        <v>0</v>
      </c>
      <c r="AP144">
        <f>'Kullanılan gübre'!AP144*'Gübre oranlar'!AS$3</f>
        <v>0</v>
      </c>
      <c r="AQ144">
        <f>'Kullanılan gübre'!AQ144*'Gübre oranlar'!AT$3</f>
        <v>0</v>
      </c>
      <c r="AR144">
        <f>'Kullanılan gübre'!AR144*'Gübre oranlar'!AU$3</f>
        <v>0</v>
      </c>
      <c r="AS144">
        <f>'Kullanılan gübre'!AS144*'Gübre oranlar'!AV$3</f>
        <v>0</v>
      </c>
      <c r="AT144">
        <f>'Kullanılan gübre'!AT144*'Gübre oranlar'!AW$3</f>
        <v>0</v>
      </c>
      <c r="AU144">
        <f>'Kullanılan gübre'!AU144*'Gübre oranlar'!AX$3</f>
        <v>0</v>
      </c>
      <c r="AV144">
        <f>'Kullanılan gübre'!AV144*'Gübre oranlar'!AY$3</f>
        <v>0</v>
      </c>
      <c r="AW144">
        <f t="shared" si="2"/>
        <v>1.75</v>
      </c>
    </row>
    <row r="145" spans="1:49" x14ac:dyDescent="0.25">
      <c r="A145" t="str">
        <f>'Kullanılan gübre'!A145</f>
        <v>BA</v>
      </c>
      <c r="B145" t="str">
        <f>'Kullanılan gübre'!B145</f>
        <v>ANTALYA</v>
      </c>
      <c r="C145" t="str">
        <f>'Kullanılan gübre'!C145</f>
        <v>KUMLUCA</v>
      </c>
      <c r="D145">
        <f>'Kullanılan gübre'!D145</f>
        <v>2007</v>
      </c>
      <c r="E145">
        <f>'Kullanılan gübre'!E145*'Gübre oranlar'!H$3</f>
        <v>0</v>
      </c>
      <c r="F145">
        <f>'Kullanılan gübre'!F145*'Gübre oranlar'!I$3</f>
        <v>0</v>
      </c>
      <c r="G145">
        <f>'Kullanılan gübre'!G145*'Gübre oranlar'!J$3</f>
        <v>0</v>
      </c>
      <c r="H145">
        <f>'Kullanılan gübre'!H145*'Gübre oranlar'!K$3</f>
        <v>0</v>
      </c>
      <c r="I145">
        <f>'Kullanılan gübre'!I145*'Gübre oranlar'!L$3</f>
        <v>17.2</v>
      </c>
      <c r="J145">
        <f>'Kullanılan gübre'!J145*'Gübre oranlar'!M$3</f>
        <v>0</v>
      </c>
      <c r="K145">
        <f>'Kullanılan gübre'!K145*'Gübre oranlar'!N$3</f>
        <v>68.600000000000009</v>
      </c>
      <c r="L145">
        <f>'Kullanılan gübre'!L145*'Gübre oranlar'!O$3</f>
        <v>27.200000000000003</v>
      </c>
      <c r="M145">
        <f>'Kullanılan gübre'!M145*'Gübre oranlar'!P$3</f>
        <v>231.45</v>
      </c>
      <c r="N145">
        <f>'Kullanılan gübre'!N145*'Gübre oranlar'!Q$3</f>
        <v>23.7</v>
      </c>
      <c r="O145">
        <f>'Kullanılan gübre'!O145*'Gübre oranlar'!R$3</f>
        <v>0</v>
      </c>
      <c r="P145">
        <f>'Kullanılan gübre'!P145*'Gübre oranlar'!S$3</f>
        <v>0</v>
      </c>
      <c r="Q145">
        <f>'Kullanılan gübre'!Q145*'Gübre oranlar'!T$3</f>
        <v>105.6</v>
      </c>
      <c r="R145">
        <f>'Kullanılan gübre'!R145*'Gübre oranlar'!U$3</f>
        <v>0</v>
      </c>
      <c r="S145">
        <f>'Kullanılan gübre'!S145*'Gübre oranlar'!V$3</f>
        <v>0</v>
      </c>
      <c r="T145">
        <f>'Kullanılan gübre'!T145*'Gübre oranlar'!W$3</f>
        <v>0</v>
      </c>
      <c r="U145">
        <f>'Kullanılan gübre'!U145*'Gübre oranlar'!X$3</f>
        <v>3.5500000000000003</v>
      </c>
      <c r="V145">
        <f>'Kullanılan gübre'!V145*'Gübre oranlar'!Y$3</f>
        <v>0</v>
      </c>
      <c r="W145">
        <f>'Kullanılan gübre'!W145*'Gübre oranlar'!Z$3</f>
        <v>0</v>
      </c>
      <c r="X145">
        <f>'Kullanılan gübre'!X145*'Gübre oranlar'!AA$3</f>
        <v>0</v>
      </c>
      <c r="Y145">
        <f>'Kullanılan gübre'!Y145*'Gübre oranlar'!AB$3</f>
        <v>0</v>
      </c>
      <c r="Z145">
        <f>'Kullanılan gübre'!Z145*'Gübre oranlar'!AC$3</f>
        <v>0</v>
      </c>
      <c r="AA145">
        <f>'Kullanılan gübre'!AA145*'Gübre oranlar'!AD$3</f>
        <v>0</v>
      </c>
      <c r="AB145">
        <f>'Kullanılan gübre'!AB145*'Gübre oranlar'!AE$3</f>
        <v>0</v>
      </c>
      <c r="AC145">
        <f>'Kullanılan gübre'!AC145*'Gübre oranlar'!AF$3</f>
        <v>0</v>
      </c>
      <c r="AD145">
        <f>'Kullanılan gübre'!AD145*'Gübre oranlar'!AG$3</f>
        <v>0</v>
      </c>
      <c r="AE145">
        <f>'Kullanılan gübre'!AE145*'Gübre oranlar'!AH$3</f>
        <v>0</v>
      </c>
      <c r="AF145">
        <f>'Kullanılan gübre'!AF145*'Gübre oranlar'!AI$3</f>
        <v>0</v>
      </c>
      <c r="AG145">
        <f>'Kullanılan gübre'!AG145*'Gübre oranlar'!AJ$3</f>
        <v>0</v>
      </c>
      <c r="AH145">
        <f>'Kullanılan gübre'!AH145*'Gübre oranlar'!AK$3</f>
        <v>0</v>
      </c>
      <c r="AI145">
        <f>'Kullanılan gübre'!AI145*'Gübre oranlar'!AL$3</f>
        <v>0</v>
      </c>
      <c r="AJ145">
        <f>'Kullanılan gübre'!AJ145*'Gübre oranlar'!AM$3</f>
        <v>0</v>
      </c>
      <c r="AK145">
        <f>'Kullanılan gübre'!AK145*'Gübre oranlar'!AN$3</f>
        <v>0</v>
      </c>
      <c r="AL145">
        <f>'Kullanılan gübre'!AL145*'Gübre oranlar'!AO$3</f>
        <v>0</v>
      </c>
      <c r="AM145">
        <f>'Kullanılan gübre'!AM145*'Gübre oranlar'!AP$3</f>
        <v>0</v>
      </c>
      <c r="AN145">
        <f>'Kullanılan gübre'!AN145*'Gübre oranlar'!AQ$3</f>
        <v>0</v>
      </c>
      <c r="AO145">
        <f>'Kullanılan gübre'!AO145*'Gübre oranlar'!AR$3</f>
        <v>0</v>
      </c>
      <c r="AP145">
        <f>'Kullanılan gübre'!AP145*'Gübre oranlar'!AS$3</f>
        <v>0</v>
      </c>
      <c r="AQ145">
        <f>'Kullanılan gübre'!AQ145*'Gübre oranlar'!AT$3</f>
        <v>0</v>
      </c>
      <c r="AR145">
        <f>'Kullanılan gübre'!AR145*'Gübre oranlar'!AU$3</f>
        <v>0</v>
      </c>
      <c r="AS145">
        <f>'Kullanılan gübre'!AS145*'Gübre oranlar'!AV$3</f>
        <v>37.199999999999996</v>
      </c>
      <c r="AT145">
        <f>'Kullanılan gübre'!AT145*'Gübre oranlar'!AW$3</f>
        <v>0</v>
      </c>
      <c r="AU145">
        <f>'Kullanılan gübre'!AU145*'Gübre oranlar'!AX$3</f>
        <v>0</v>
      </c>
      <c r="AV145">
        <f>'Kullanılan gübre'!AV145*'Gübre oranlar'!AY$3</f>
        <v>0</v>
      </c>
      <c r="AW145">
        <f t="shared" si="2"/>
        <v>514.5</v>
      </c>
    </row>
    <row r="146" spans="1:49" x14ac:dyDescent="0.25">
      <c r="A146" t="str">
        <f>'Kullanılan gübre'!A146</f>
        <v>BA</v>
      </c>
      <c r="B146" t="str">
        <f>'Kullanılan gübre'!B146</f>
        <v>ANTALYA</v>
      </c>
      <c r="C146" t="str">
        <f>'Kullanılan gübre'!C146</f>
        <v>FINIKE</v>
      </c>
      <c r="D146">
        <f>'Kullanılan gübre'!D146</f>
        <v>2007</v>
      </c>
      <c r="E146">
        <f>'Kullanılan gübre'!E146*'Gübre oranlar'!H$3</f>
        <v>0</v>
      </c>
      <c r="F146">
        <f>'Kullanılan gübre'!F146*'Gübre oranlar'!I$3</f>
        <v>0</v>
      </c>
      <c r="G146">
        <f>'Kullanılan gübre'!G146*'Gübre oranlar'!J$3</f>
        <v>0</v>
      </c>
      <c r="H146">
        <f>'Kullanılan gübre'!H146*'Gübre oranlar'!K$3</f>
        <v>0</v>
      </c>
      <c r="I146">
        <f>'Kullanılan gübre'!I146*'Gübre oranlar'!L$3</f>
        <v>31.82</v>
      </c>
      <c r="J146">
        <f>'Kullanılan gübre'!J146*'Gübre oranlar'!M$3</f>
        <v>0</v>
      </c>
      <c r="K146">
        <f>'Kullanılan gübre'!K146*'Gübre oranlar'!N$3</f>
        <v>22.8</v>
      </c>
      <c r="L146">
        <f>'Kullanılan gübre'!L146*'Gübre oranlar'!O$3</f>
        <v>0</v>
      </c>
      <c r="M146">
        <f>'Kullanılan gübre'!M146*'Gübre oranlar'!P$3</f>
        <v>53.85</v>
      </c>
      <c r="N146">
        <f>'Kullanılan gübre'!N146*'Gübre oranlar'!Q$3</f>
        <v>177</v>
      </c>
      <c r="O146">
        <f>'Kullanılan gübre'!O146*'Gübre oranlar'!R$3</f>
        <v>0</v>
      </c>
      <c r="P146">
        <f>'Kullanılan gübre'!P146*'Gübre oranlar'!S$3</f>
        <v>0</v>
      </c>
      <c r="Q146">
        <f>'Kullanılan gübre'!Q146*'Gübre oranlar'!T$3</f>
        <v>69.3</v>
      </c>
      <c r="R146">
        <f>'Kullanılan gübre'!R146*'Gübre oranlar'!U$3</f>
        <v>0</v>
      </c>
      <c r="S146">
        <f>'Kullanılan gübre'!S146*'Gübre oranlar'!V$3</f>
        <v>0</v>
      </c>
      <c r="T146">
        <f>'Kullanılan gübre'!T146*'Gübre oranlar'!W$3</f>
        <v>0</v>
      </c>
      <c r="U146">
        <f>'Kullanılan gübre'!U146*'Gübre oranlar'!X$3</f>
        <v>12.450000000000001</v>
      </c>
      <c r="V146">
        <f>'Kullanılan gübre'!V146*'Gübre oranlar'!Y$3</f>
        <v>0</v>
      </c>
      <c r="W146">
        <f>'Kullanılan gübre'!W146*'Gübre oranlar'!Z$3</f>
        <v>0</v>
      </c>
      <c r="X146">
        <f>'Kullanılan gübre'!X146*'Gübre oranlar'!AA$3</f>
        <v>0</v>
      </c>
      <c r="Y146">
        <f>'Kullanılan gübre'!Y146*'Gübre oranlar'!AB$3</f>
        <v>0</v>
      </c>
      <c r="Z146">
        <f>'Kullanılan gübre'!Z146*'Gübre oranlar'!AC$3</f>
        <v>0</v>
      </c>
      <c r="AA146">
        <f>'Kullanılan gübre'!AA146*'Gübre oranlar'!AD$3</f>
        <v>0</v>
      </c>
      <c r="AB146">
        <f>'Kullanılan gübre'!AB146*'Gübre oranlar'!AE$3</f>
        <v>17.690000000000001</v>
      </c>
      <c r="AC146">
        <f>'Kullanılan gübre'!AC146*'Gübre oranlar'!AF$3</f>
        <v>0</v>
      </c>
      <c r="AD146">
        <f>'Kullanılan gübre'!AD146*'Gübre oranlar'!AG$3</f>
        <v>0</v>
      </c>
      <c r="AE146">
        <f>'Kullanılan gübre'!AE146*'Gübre oranlar'!AH$3</f>
        <v>0</v>
      </c>
      <c r="AF146">
        <f>'Kullanılan gübre'!AF146*'Gübre oranlar'!AI$3</f>
        <v>0</v>
      </c>
      <c r="AG146">
        <f>'Kullanılan gübre'!AG146*'Gübre oranlar'!AJ$3</f>
        <v>0</v>
      </c>
      <c r="AH146">
        <f>'Kullanılan gübre'!AH146*'Gübre oranlar'!AK$3</f>
        <v>0</v>
      </c>
      <c r="AI146">
        <f>'Kullanılan gübre'!AI146*'Gübre oranlar'!AL$3</f>
        <v>0</v>
      </c>
      <c r="AJ146">
        <f>'Kullanılan gübre'!AJ146*'Gübre oranlar'!AM$3</f>
        <v>0</v>
      </c>
      <c r="AK146">
        <f>'Kullanılan gübre'!AK146*'Gübre oranlar'!AN$3</f>
        <v>0</v>
      </c>
      <c r="AL146">
        <f>'Kullanılan gübre'!AL146*'Gübre oranlar'!AO$3</f>
        <v>0</v>
      </c>
      <c r="AM146">
        <f>'Kullanılan gübre'!AM146*'Gübre oranlar'!AP$3</f>
        <v>0</v>
      </c>
      <c r="AN146">
        <f>'Kullanılan gübre'!AN146*'Gübre oranlar'!AQ$3</f>
        <v>0</v>
      </c>
      <c r="AO146">
        <f>'Kullanılan gübre'!AO146*'Gübre oranlar'!AR$3</f>
        <v>0</v>
      </c>
      <c r="AP146">
        <f>'Kullanılan gübre'!AP146*'Gübre oranlar'!AS$3</f>
        <v>0</v>
      </c>
      <c r="AQ146">
        <f>'Kullanılan gübre'!AQ146*'Gübre oranlar'!AT$3</f>
        <v>0</v>
      </c>
      <c r="AR146">
        <f>'Kullanılan gübre'!AR146*'Gübre oranlar'!AU$3</f>
        <v>0</v>
      </c>
      <c r="AS146">
        <f>'Kullanılan gübre'!AS146*'Gübre oranlar'!AV$3</f>
        <v>53.76</v>
      </c>
      <c r="AT146">
        <f>'Kullanılan gübre'!AT146*'Gübre oranlar'!AW$3</f>
        <v>0</v>
      </c>
      <c r="AU146">
        <f>'Kullanılan gübre'!AU146*'Gübre oranlar'!AX$3</f>
        <v>0</v>
      </c>
      <c r="AV146">
        <f>'Kullanılan gübre'!AV146*'Gübre oranlar'!AY$3</f>
        <v>0</v>
      </c>
      <c r="AW146">
        <f t="shared" si="2"/>
        <v>438.67</v>
      </c>
    </row>
    <row r="147" spans="1:49" x14ac:dyDescent="0.25">
      <c r="A147" t="str">
        <f>'Kullanılan gübre'!A147</f>
        <v>BA</v>
      </c>
      <c r="B147" t="str">
        <f>'Kullanılan gübre'!B147</f>
        <v>ANTALYA</v>
      </c>
      <c r="C147" t="str">
        <f>'Kullanılan gübre'!C147</f>
        <v>DEMRE</v>
      </c>
      <c r="D147">
        <f>'Kullanılan gübre'!D147</f>
        <v>2007</v>
      </c>
      <c r="E147">
        <f>'Kullanılan gübre'!E147*'Gübre oranlar'!H$3</f>
        <v>0</v>
      </c>
      <c r="F147">
        <f>'Kullanılan gübre'!F147*'Gübre oranlar'!I$3</f>
        <v>0</v>
      </c>
      <c r="G147">
        <f>'Kullanılan gübre'!G147*'Gübre oranlar'!J$3</f>
        <v>0</v>
      </c>
      <c r="H147">
        <f>'Kullanılan gübre'!H147*'Gübre oranlar'!K$3</f>
        <v>0</v>
      </c>
      <c r="I147">
        <f>'Kullanılan gübre'!I147*'Gübre oranlar'!L$3</f>
        <v>18.919999999999998</v>
      </c>
      <c r="J147">
        <f>'Kullanılan gübre'!J147*'Gübre oranlar'!M$3</f>
        <v>0</v>
      </c>
      <c r="K147">
        <f>'Kullanılan gübre'!K147*'Gübre oranlar'!N$3</f>
        <v>15.600000000000001</v>
      </c>
      <c r="L147">
        <f>'Kullanılan gübre'!L147*'Gübre oranlar'!O$3</f>
        <v>0</v>
      </c>
      <c r="M147">
        <f>'Kullanılan gübre'!M147*'Gübre oranlar'!P$3</f>
        <v>21.75</v>
      </c>
      <c r="N147">
        <f>'Kullanılan gübre'!N147*'Gübre oranlar'!Q$3</f>
        <v>11.25</v>
      </c>
      <c r="O147">
        <f>'Kullanılan gübre'!O147*'Gübre oranlar'!R$3</f>
        <v>0</v>
      </c>
      <c r="P147">
        <f>'Kullanılan gübre'!P147*'Gübre oranlar'!S$3</f>
        <v>0</v>
      </c>
      <c r="Q147">
        <f>'Kullanılan gübre'!Q147*'Gübre oranlar'!T$3</f>
        <v>0</v>
      </c>
      <c r="R147">
        <f>'Kullanılan gübre'!R147*'Gübre oranlar'!U$3</f>
        <v>0</v>
      </c>
      <c r="S147">
        <f>'Kullanılan gübre'!S147*'Gübre oranlar'!V$3</f>
        <v>0</v>
      </c>
      <c r="T147">
        <f>'Kullanılan gübre'!T147*'Gübre oranlar'!W$3</f>
        <v>0</v>
      </c>
      <c r="U147">
        <f>'Kullanılan gübre'!U147*'Gübre oranlar'!X$3</f>
        <v>8.9</v>
      </c>
      <c r="V147">
        <f>'Kullanılan gübre'!V147*'Gübre oranlar'!Y$3</f>
        <v>0</v>
      </c>
      <c r="W147">
        <f>'Kullanılan gübre'!W147*'Gübre oranlar'!Z$3</f>
        <v>0</v>
      </c>
      <c r="X147">
        <f>'Kullanılan gübre'!X147*'Gübre oranlar'!AA$3</f>
        <v>0</v>
      </c>
      <c r="Y147">
        <f>'Kullanılan gübre'!Y147*'Gübre oranlar'!AB$3</f>
        <v>0</v>
      </c>
      <c r="Z147">
        <f>'Kullanılan gübre'!Z147*'Gübre oranlar'!AC$3</f>
        <v>0</v>
      </c>
      <c r="AA147">
        <f>'Kullanılan gübre'!AA147*'Gübre oranlar'!AD$3</f>
        <v>0</v>
      </c>
      <c r="AB147">
        <f>'Kullanılan gübre'!AB147*'Gübre oranlar'!AE$3</f>
        <v>80.52</v>
      </c>
      <c r="AC147">
        <f>'Kullanılan gübre'!AC147*'Gübre oranlar'!AF$3</f>
        <v>0</v>
      </c>
      <c r="AD147">
        <f>'Kullanılan gübre'!AD147*'Gübre oranlar'!AG$3</f>
        <v>0</v>
      </c>
      <c r="AE147">
        <f>'Kullanılan gübre'!AE147*'Gübre oranlar'!AH$3</f>
        <v>0</v>
      </c>
      <c r="AF147">
        <f>'Kullanılan gübre'!AF147*'Gübre oranlar'!AI$3</f>
        <v>0</v>
      </c>
      <c r="AG147">
        <f>'Kullanılan gübre'!AG147*'Gübre oranlar'!AJ$3</f>
        <v>0</v>
      </c>
      <c r="AH147">
        <f>'Kullanılan gübre'!AH147*'Gübre oranlar'!AK$3</f>
        <v>0</v>
      </c>
      <c r="AI147">
        <f>'Kullanılan gübre'!AI147*'Gübre oranlar'!AL$3</f>
        <v>0</v>
      </c>
      <c r="AJ147">
        <f>'Kullanılan gübre'!AJ147*'Gübre oranlar'!AM$3</f>
        <v>0</v>
      </c>
      <c r="AK147">
        <f>'Kullanılan gübre'!AK147*'Gübre oranlar'!AN$3</f>
        <v>0</v>
      </c>
      <c r="AL147">
        <f>'Kullanılan gübre'!AL147*'Gübre oranlar'!AO$3</f>
        <v>0</v>
      </c>
      <c r="AM147">
        <f>'Kullanılan gübre'!AM147*'Gübre oranlar'!AP$3</f>
        <v>0</v>
      </c>
      <c r="AN147">
        <f>'Kullanılan gübre'!AN147*'Gübre oranlar'!AQ$3</f>
        <v>0</v>
      </c>
      <c r="AO147">
        <f>'Kullanılan gübre'!AO147*'Gübre oranlar'!AR$3</f>
        <v>0</v>
      </c>
      <c r="AP147">
        <f>'Kullanılan gübre'!AP147*'Gübre oranlar'!AS$3</f>
        <v>0</v>
      </c>
      <c r="AQ147">
        <f>'Kullanılan gübre'!AQ147*'Gübre oranlar'!AT$3</f>
        <v>0</v>
      </c>
      <c r="AR147">
        <f>'Kullanılan gübre'!AR147*'Gübre oranlar'!AU$3</f>
        <v>0</v>
      </c>
      <c r="AS147">
        <f>'Kullanılan gübre'!AS147*'Gübre oranlar'!AV$3</f>
        <v>0</v>
      </c>
      <c r="AT147">
        <f>'Kullanılan gübre'!AT147*'Gübre oranlar'!AW$3</f>
        <v>0</v>
      </c>
      <c r="AU147">
        <f>'Kullanılan gübre'!AU147*'Gübre oranlar'!AX$3</f>
        <v>0</v>
      </c>
      <c r="AV147">
        <f>'Kullanılan gübre'!AV147*'Gübre oranlar'!AY$3</f>
        <v>0</v>
      </c>
      <c r="AW147">
        <f t="shared" si="2"/>
        <v>156.94</v>
      </c>
    </row>
    <row r="148" spans="1:49" x14ac:dyDescent="0.25">
      <c r="A148" t="str">
        <f>'Kullanılan gübre'!A148</f>
        <v>BA</v>
      </c>
      <c r="B148" t="str">
        <f>'Kullanılan gübre'!B148</f>
        <v>ANTALYA</v>
      </c>
      <c r="C148" t="str">
        <f>'Kullanılan gübre'!C148</f>
        <v>KAS</v>
      </c>
      <c r="D148">
        <f>'Kullanılan gübre'!D148</f>
        <v>2007</v>
      </c>
      <c r="E148">
        <f>'Kullanılan gübre'!E148*'Gübre oranlar'!H$3</f>
        <v>0</v>
      </c>
      <c r="F148">
        <f>'Kullanılan gübre'!F148*'Gübre oranlar'!I$3</f>
        <v>0</v>
      </c>
      <c r="G148">
        <f>'Kullanılan gübre'!G148*'Gübre oranlar'!J$3</f>
        <v>0</v>
      </c>
      <c r="H148">
        <f>'Kullanılan gübre'!H148*'Gübre oranlar'!K$3</f>
        <v>0</v>
      </c>
      <c r="I148">
        <f>'Kullanılan gübre'!I148*'Gübre oranlar'!L$3</f>
        <v>48.589999999999996</v>
      </c>
      <c r="J148">
        <f>'Kullanılan gübre'!J148*'Gübre oranlar'!M$3</f>
        <v>0</v>
      </c>
      <c r="K148">
        <f>'Kullanılan gübre'!K148*'Gübre oranlar'!N$3</f>
        <v>24.8</v>
      </c>
      <c r="L148">
        <f>'Kullanılan gübre'!L148*'Gübre oranlar'!O$3</f>
        <v>35.6</v>
      </c>
      <c r="M148">
        <f>'Kullanılan gübre'!M148*'Gübre oranlar'!P$3</f>
        <v>42.6</v>
      </c>
      <c r="N148">
        <f>'Kullanılan gübre'!N148*'Gübre oranlar'!Q$3</f>
        <v>6.3</v>
      </c>
      <c r="O148">
        <f>'Kullanılan gübre'!O148*'Gübre oranlar'!R$3</f>
        <v>0</v>
      </c>
      <c r="P148">
        <f>'Kullanılan gübre'!P148*'Gübre oranlar'!S$3</f>
        <v>0</v>
      </c>
      <c r="Q148">
        <f>'Kullanılan gübre'!Q148*'Gübre oranlar'!T$3</f>
        <v>0</v>
      </c>
      <c r="R148">
        <f>'Kullanılan gübre'!R148*'Gübre oranlar'!U$3</f>
        <v>0</v>
      </c>
      <c r="S148">
        <f>'Kullanılan gübre'!S148*'Gübre oranlar'!V$3</f>
        <v>0</v>
      </c>
      <c r="T148">
        <f>'Kullanılan gübre'!T148*'Gübre oranlar'!W$3</f>
        <v>0</v>
      </c>
      <c r="U148">
        <f>'Kullanılan gübre'!U148*'Gübre oranlar'!X$3</f>
        <v>0</v>
      </c>
      <c r="V148">
        <f>'Kullanılan gübre'!V148*'Gübre oranlar'!Y$3</f>
        <v>0</v>
      </c>
      <c r="W148">
        <f>'Kullanılan gübre'!W148*'Gübre oranlar'!Z$3</f>
        <v>0</v>
      </c>
      <c r="X148">
        <f>'Kullanılan gübre'!X148*'Gübre oranlar'!AA$3</f>
        <v>0</v>
      </c>
      <c r="Y148">
        <f>'Kullanılan gübre'!Y148*'Gübre oranlar'!AB$3</f>
        <v>0</v>
      </c>
      <c r="Z148">
        <f>'Kullanılan gübre'!Z148*'Gübre oranlar'!AC$3</f>
        <v>0</v>
      </c>
      <c r="AA148">
        <f>'Kullanılan gübre'!AA148*'Gübre oranlar'!AD$3</f>
        <v>0</v>
      </c>
      <c r="AB148">
        <f>'Kullanılan gübre'!AB148*'Gübre oranlar'!AE$3</f>
        <v>15.86</v>
      </c>
      <c r="AC148">
        <f>'Kullanılan gübre'!AC148*'Gübre oranlar'!AF$3</f>
        <v>0</v>
      </c>
      <c r="AD148">
        <f>'Kullanılan gübre'!AD148*'Gübre oranlar'!AG$3</f>
        <v>0</v>
      </c>
      <c r="AE148">
        <f>'Kullanılan gübre'!AE148*'Gübre oranlar'!AH$3</f>
        <v>0</v>
      </c>
      <c r="AF148">
        <f>'Kullanılan gübre'!AF148*'Gübre oranlar'!AI$3</f>
        <v>0</v>
      </c>
      <c r="AG148">
        <f>'Kullanılan gübre'!AG148*'Gübre oranlar'!AJ$3</f>
        <v>0</v>
      </c>
      <c r="AH148">
        <f>'Kullanılan gübre'!AH148*'Gübre oranlar'!AK$3</f>
        <v>0</v>
      </c>
      <c r="AI148">
        <f>'Kullanılan gübre'!AI148*'Gübre oranlar'!AL$3</f>
        <v>0</v>
      </c>
      <c r="AJ148">
        <f>'Kullanılan gübre'!AJ148*'Gübre oranlar'!AM$3</f>
        <v>0</v>
      </c>
      <c r="AK148">
        <f>'Kullanılan gübre'!AK148*'Gübre oranlar'!AN$3</f>
        <v>0</v>
      </c>
      <c r="AL148">
        <f>'Kullanılan gübre'!AL148*'Gübre oranlar'!AO$3</f>
        <v>0</v>
      </c>
      <c r="AM148">
        <f>'Kullanılan gübre'!AM148*'Gübre oranlar'!AP$3</f>
        <v>0</v>
      </c>
      <c r="AN148">
        <f>'Kullanılan gübre'!AN148*'Gübre oranlar'!AQ$3</f>
        <v>0</v>
      </c>
      <c r="AO148">
        <f>'Kullanılan gübre'!AO148*'Gübre oranlar'!AR$3</f>
        <v>0</v>
      </c>
      <c r="AP148">
        <f>'Kullanılan gübre'!AP148*'Gübre oranlar'!AS$3</f>
        <v>0</v>
      </c>
      <c r="AQ148">
        <f>'Kullanılan gübre'!AQ148*'Gübre oranlar'!AT$3</f>
        <v>0</v>
      </c>
      <c r="AR148">
        <f>'Kullanılan gübre'!AR148*'Gübre oranlar'!AU$3</f>
        <v>0</v>
      </c>
      <c r="AS148">
        <f>'Kullanılan gübre'!AS148*'Gübre oranlar'!AV$3</f>
        <v>7.92</v>
      </c>
      <c r="AT148">
        <f>'Kullanılan gübre'!AT148*'Gübre oranlar'!AW$3</f>
        <v>0</v>
      </c>
      <c r="AU148">
        <f>'Kullanılan gübre'!AU148*'Gübre oranlar'!AX$3</f>
        <v>0</v>
      </c>
      <c r="AV148">
        <f>'Kullanılan gübre'!AV148*'Gübre oranlar'!AY$3</f>
        <v>0</v>
      </c>
      <c r="AW148">
        <f t="shared" si="2"/>
        <v>181.67</v>
      </c>
    </row>
    <row r="149" spans="1:49" x14ac:dyDescent="0.25">
      <c r="A149" t="str">
        <f>'Kullanılan gübre'!A149</f>
        <v>BA</v>
      </c>
      <c r="B149" t="str">
        <f>'Kullanılan gübre'!B149</f>
        <v>ANTALYA</v>
      </c>
      <c r="C149" t="str">
        <f>'Kullanılan gübre'!C149</f>
        <v>KORKUTELI</v>
      </c>
      <c r="D149">
        <f>'Kullanılan gübre'!D149</f>
        <v>2007</v>
      </c>
      <c r="E149">
        <f>'Kullanılan gübre'!E149*'Gübre oranlar'!H$3</f>
        <v>0</v>
      </c>
      <c r="F149">
        <f>'Kullanılan gübre'!F149*'Gübre oranlar'!I$3</f>
        <v>0</v>
      </c>
      <c r="G149">
        <f>'Kullanılan gübre'!G149*'Gübre oranlar'!J$3</f>
        <v>0</v>
      </c>
      <c r="H149">
        <f>'Kullanılan gübre'!H149*'Gübre oranlar'!K$3</f>
        <v>0</v>
      </c>
      <c r="I149">
        <f>'Kullanılan gübre'!I149*'Gübre oranlar'!L$3</f>
        <v>88.58</v>
      </c>
      <c r="J149">
        <f>'Kullanılan gübre'!J149*'Gübre oranlar'!M$3</f>
        <v>0</v>
      </c>
      <c r="K149">
        <f>'Kullanılan gübre'!K149*'Gübre oranlar'!N$3</f>
        <v>1173.8</v>
      </c>
      <c r="L149">
        <f>'Kullanılan gübre'!L149*'Gübre oranlar'!O$3</f>
        <v>154.60000000000002</v>
      </c>
      <c r="M149">
        <f>'Kullanılan gübre'!M149*'Gübre oranlar'!P$3</f>
        <v>139.5</v>
      </c>
      <c r="N149">
        <f>'Kullanılan gübre'!N149*'Gübre oranlar'!Q$3</f>
        <v>60.3</v>
      </c>
      <c r="O149">
        <f>'Kullanılan gübre'!O149*'Gübre oranlar'!R$3</f>
        <v>0</v>
      </c>
      <c r="P149">
        <f>'Kullanılan gübre'!P149*'Gübre oranlar'!S$3</f>
        <v>0</v>
      </c>
      <c r="Q149">
        <f>'Kullanılan gübre'!Q149*'Gübre oranlar'!T$3</f>
        <v>0</v>
      </c>
      <c r="R149">
        <f>'Kullanılan gübre'!R149*'Gübre oranlar'!U$3</f>
        <v>0</v>
      </c>
      <c r="S149">
        <f>'Kullanılan gübre'!S149*'Gübre oranlar'!V$3</f>
        <v>0</v>
      </c>
      <c r="T149">
        <f>'Kullanılan gübre'!T149*'Gübre oranlar'!W$3</f>
        <v>0</v>
      </c>
      <c r="U149">
        <f>'Kullanılan gübre'!U149*'Gübre oranlar'!X$3</f>
        <v>0</v>
      </c>
      <c r="V149">
        <f>'Kullanılan gübre'!V149*'Gübre oranlar'!Y$3</f>
        <v>0</v>
      </c>
      <c r="W149">
        <f>'Kullanılan gübre'!W149*'Gübre oranlar'!Z$3</f>
        <v>0</v>
      </c>
      <c r="X149">
        <f>'Kullanılan gübre'!X149*'Gübre oranlar'!AA$3</f>
        <v>0</v>
      </c>
      <c r="Y149">
        <f>'Kullanılan gübre'!Y149*'Gübre oranlar'!AB$3</f>
        <v>0</v>
      </c>
      <c r="Z149">
        <f>'Kullanılan gübre'!Z149*'Gübre oranlar'!AC$3</f>
        <v>0</v>
      </c>
      <c r="AA149">
        <f>'Kullanılan gübre'!AA149*'Gübre oranlar'!AD$3</f>
        <v>0</v>
      </c>
      <c r="AB149">
        <f>'Kullanılan gübre'!AB149*'Gübre oranlar'!AE$3</f>
        <v>0</v>
      </c>
      <c r="AC149">
        <f>'Kullanılan gübre'!AC149*'Gübre oranlar'!AF$3</f>
        <v>0</v>
      </c>
      <c r="AD149">
        <f>'Kullanılan gübre'!AD149*'Gübre oranlar'!AG$3</f>
        <v>0</v>
      </c>
      <c r="AE149">
        <f>'Kullanılan gübre'!AE149*'Gübre oranlar'!AH$3</f>
        <v>0</v>
      </c>
      <c r="AF149">
        <f>'Kullanılan gübre'!AF149*'Gübre oranlar'!AI$3</f>
        <v>0</v>
      </c>
      <c r="AG149">
        <f>'Kullanılan gübre'!AG149*'Gübre oranlar'!AJ$3</f>
        <v>0</v>
      </c>
      <c r="AH149">
        <f>'Kullanılan gübre'!AH149*'Gübre oranlar'!AK$3</f>
        <v>0</v>
      </c>
      <c r="AI149">
        <f>'Kullanılan gübre'!AI149*'Gübre oranlar'!AL$3</f>
        <v>0</v>
      </c>
      <c r="AJ149">
        <f>'Kullanılan gübre'!AJ149*'Gübre oranlar'!AM$3</f>
        <v>0</v>
      </c>
      <c r="AK149">
        <f>'Kullanılan gübre'!AK149*'Gübre oranlar'!AN$3</f>
        <v>0</v>
      </c>
      <c r="AL149">
        <f>'Kullanılan gübre'!AL149*'Gübre oranlar'!AO$3</f>
        <v>0</v>
      </c>
      <c r="AM149">
        <f>'Kullanılan gübre'!AM149*'Gübre oranlar'!AP$3</f>
        <v>0</v>
      </c>
      <c r="AN149">
        <f>'Kullanılan gübre'!AN149*'Gübre oranlar'!AQ$3</f>
        <v>0</v>
      </c>
      <c r="AO149">
        <f>'Kullanılan gübre'!AO149*'Gübre oranlar'!AR$3</f>
        <v>0</v>
      </c>
      <c r="AP149">
        <f>'Kullanılan gübre'!AP149*'Gübre oranlar'!AS$3</f>
        <v>0</v>
      </c>
      <c r="AQ149">
        <f>'Kullanılan gübre'!AQ149*'Gübre oranlar'!AT$3</f>
        <v>0</v>
      </c>
      <c r="AR149">
        <f>'Kullanılan gübre'!AR149*'Gübre oranlar'!AU$3</f>
        <v>0</v>
      </c>
      <c r="AS149">
        <f>'Kullanılan gübre'!AS149*'Gübre oranlar'!AV$3</f>
        <v>0</v>
      </c>
      <c r="AT149">
        <f>'Kullanılan gübre'!AT149*'Gübre oranlar'!AW$3</f>
        <v>0</v>
      </c>
      <c r="AU149">
        <f>'Kullanılan gübre'!AU149*'Gübre oranlar'!AX$3</f>
        <v>0</v>
      </c>
      <c r="AV149">
        <f>'Kullanılan gübre'!AV149*'Gübre oranlar'!AY$3</f>
        <v>0</v>
      </c>
      <c r="AW149">
        <f t="shared" si="2"/>
        <v>1616.78</v>
      </c>
    </row>
    <row r="150" spans="1:49" x14ac:dyDescent="0.25">
      <c r="A150" t="str">
        <f>'Kullanılan gübre'!A150</f>
        <v>BA</v>
      </c>
      <c r="B150" t="str">
        <f>'Kullanılan gübre'!B150</f>
        <v>ANTALYA</v>
      </c>
      <c r="C150" t="str">
        <f>'Kullanılan gübre'!C150</f>
        <v>ELMALI</v>
      </c>
      <c r="D150">
        <f>'Kullanılan gübre'!D150</f>
        <v>2007</v>
      </c>
      <c r="E150">
        <f>'Kullanılan gübre'!E150*'Gübre oranlar'!H$3</f>
        <v>0</v>
      </c>
      <c r="F150">
        <f>'Kullanılan gübre'!F150*'Gübre oranlar'!I$3</f>
        <v>0</v>
      </c>
      <c r="G150">
        <f>'Kullanılan gübre'!G150*'Gübre oranlar'!J$3</f>
        <v>0</v>
      </c>
      <c r="H150">
        <f>'Kullanılan gübre'!H150*'Gübre oranlar'!K$3</f>
        <v>0</v>
      </c>
      <c r="I150">
        <f>'Kullanılan gübre'!I150*'Gübre oranlar'!L$3</f>
        <v>76.97</v>
      </c>
      <c r="J150">
        <f>'Kullanılan gübre'!J150*'Gübre oranlar'!M$3</f>
        <v>0</v>
      </c>
      <c r="K150">
        <f>'Kullanılan gübre'!K150*'Gübre oranlar'!N$3</f>
        <v>212.8</v>
      </c>
      <c r="L150">
        <f>'Kullanılan gübre'!L150*'Gübre oranlar'!O$3</f>
        <v>59</v>
      </c>
      <c r="M150">
        <f>'Kullanılan gübre'!M150*'Gübre oranlar'!P$3</f>
        <v>146.54999999999998</v>
      </c>
      <c r="N150">
        <f>'Kullanılan gübre'!N150*'Gübre oranlar'!Q$3</f>
        <v>30.9</v>
      </c>
      <c r="O150">
        <f>'Kullanılan gübre'!O150*'Gübre oranlar'!R$3</f>
        <v>0</v>
      </c>
      <c r="P150">
        <f>'Kullanılan gübre'!P150*'Gübre oranlar'!S$3</f>
        <v>0</v>
      </c>
      <c r="Q150">
        <f>'Kullanılan gübre'!Q150*'Gübre oranlar'!T$3</f>
        <v>105.6</v>
      </c>
      <c r="R150">
        <f>'Kullanılan gübre'!R150*'Gübre oranlar'!U$3</f>
        <v>0</v>
      </c>
      <c r="S150">
        <f>'Kullanılan gübre'!S150*'Gübre oranlar'!V$3</f>
        <v>0</v>
      </c>
      <c r="T150">
        <f>'Kullanılan gübre'!T150*'Gübre oranlar'!W$3</f>
        <v>0</v>
      </c>
      <c r="U150">
        <f>'Kullanılan gübre'!U150*'Gübre oranlar'!X$3</f>
        <v>1.25</v>
      </c>
      <c r="V150">
        <f>'Kullanılan gübre'!V150*'Gübre oranlar'!Y$3</f>
        <v>0</v>
      </c>
      <c r="W150">
        <f>'Kullanılan gübre'!W150*'Gübre oranlar'!Z$3</f>
        <v>0</v>
      </c>
      <c r="X150">
        <f>'Kullanılan gübre'!X150*'Gübre oranlar'!AA$3</f>
        <v>0</v>
      </c>
      <c r="Y150">
        <f>'Kullanılan gübre'!Y150*'Gübre oranlar'!AB$3</f>
        <v>0</v>
      </c>
      <c r="Z150">
        <f>'Kullanılan gübre'!Z150*'Gübre oranlar'!AC$3</f>
        <v>0</v>
      </c>
      <c r="AA150">
        <f>'Kullanılan gübre'!AA150*'Gübre oranlar'!AD$3</f>
        <v>0</v>
      </c>
      <c r="AB150">
        <f>'Kullanılan gübre'!AB150*'Gübre oranlar'!AE$3</f>
        <v>0</v>
      </c>
      <c r="AC150">
        <f>'Kullanılan gübre'!AC150*'Gübre oranlar'!AF$3</f>
        <v>0</v>
      </c>
      <c r="AD150">
        <f>'Kullanılan gübre'!AD150*'Gübre oranlar'!AG$3</f>
        <v>0</v>
      </c>
      <c r="AE150">
        <f>'Kullanılan gübre'!AE150*'Gübre oranlar'!AH$3</f>
        <v>0</v>
      </c>
      <c r="AF150">
        <f>'Kullanılan gübre'!AF150*'Gübre oranlar'!AI$3</f>
        <v>0</v>
      </c>
      <c r="AG150">
        <f>'Kullanılan gübre'!AG150*'Gübre oranlar'!AJ$3</f>
        <v>0</v>
      </c>
      <c r="AH150">
        <f>'Kullanılan gübre'!AH150*'Gübre oranlar'!AK$3</f>
        <v>0</v>
      </c>
      <c r="AI150">
        <f>'Kullanılan gübre'!AI150*'Gübre oranlar'!AL$3</f>
        <v>0</v>
      </c>
      <c r="AJ150">
        <f>'Kullanılan gübre'!AJ150*'Gübre oranlar'!AM$3</f>
        <v>0</v>
      </c>
      <c r="AK150">
        <f>'Kullanılan gübre'!AK150*'Gübre oranlar'!AN$3</f>
        <v>0</v>
      </c>
      <c r="AL150">
        <f>'Kullanılan gübre'!AL150*'Gübre oranlar'!AO$3</f>
        <v>0</v>
      </c>
      <c r="AM150">
        <f>'Kullanılan gübre'!AM150*'Gübre oranlar'!AP$3</f>
        <v>0</v>
      </c>
      <c r="AN150">
        <f>'Kullanılan gübre'!AN150*'Gübre oranlar'!AQ$3</f>
        <v>0</v>
      </c>
      <c r="AO150">
        <f>'Kullanılan gübre'!AO150*'Gübre oranlar'!AR$3</f>
        <v>0</v>
      </c>
      <c r="AP150">
        <f>'Kullanılan gübre'!AP150*'Gübre oranlar'!AS$3</f>
        <v>0</v>
      </c>
      <c r="AQ150">
        <f>'Kullanılan gübre'!AQ150*'Gübre oranlar'!AT$3</f>
        <v>0</v>
      </c>
      <c r="AR150">
        <f>'Kullanılan gübre'!AR150*'Gübre oranlar'!AU$3</f>
        <v>0</v>
      </c>
      <c r="AS150">
        <f>'Kullanılan gübre'!AS150*'Gübre oranlar'!AV$3</f>
        <v>0</v>
      </c>
      <c r="AT150">
        <f>'Kullanılan gübre'!AT150*'Gübre oranlar'!AW$3</f>
        <v>0</v>
      </c>
      <c r="AU150">
        <f>'Kullanılan gübre'!AU150*'Gübre oranlar'!AX$3</f>
        <v>0</v>
      </c>
      <c r="AV150">
        <f>'Kullanılan gübre'!AV150*'Gübre oranlar'!AY$3</f>
        <v>0</v>
      </c>
      <c r="AW150">
        <f t="shared" si="2"/>
        <v>633.06999999999994</v>
      </c>
    </row>
    <row r="151" spans="1:49" x14ac:dyDescent="0.25">
      <c r="A151" t="str">
        <f>'Kullanılan gübre'!A151</f>
        <v>BA</v>
      </c>
      <c r="B151" t="str">
        <f>'Kullanılan gübre'!B151</f>
        <v>ANTALYA</v>
      </c>
      <c r="C151" t="str">
        <f>'Kullanılan gübre'!C151</f>
        <v>KEMER</v>
      </c>
      <c r="D151">
        <f>'Kullanılan gübre'!D151</f>
        <v>2008</v>
      </c>
      <c r="E151">
        <f>'Kullanılan gübre'!E151*'Gübre oranlar'!H$3</f>
        <v>0</v>
      </c>
      <c r="F151">
        <f>'Kullanılan gübre'!F151*'Gübre oranlar'!I$3</f>
        <v>0</v>
      </c>
      <c r="G151">
        <f>'Kullanılan gübre'!G151*'Gübre oranlar'!J$3</f>
        <v>0</v>
      </c>
      <c r="H151">
        <f>'Kullanılan gübre'!H151*'Gübre oranlar'!K$3</f>
        <v>0</v>
      </c>
      <c r="I151">
        <f>'Kullanılan gübre'!I151*'Gübre oranlar'!L$3</f>
        <v>0</v>
      </c>
      <c r="J151">
        <f>'Kullanılan gübre'!J151*'Gübre oranlar'!M$3</f>
        <v>0</v>
      </c>
      <c r="K151">
        <f>'Kullanılan gübre'!K151*'Gübre oranlar'!N$3</f>
        <v>1.8</v>
      </c>
      <c r="L151">
        <f>'Kullanılan gübre'!L151*'Gübre oranlar'!O$3</f>
        <v>0</v>
      </c>
      <c r="M151">
        <f>'Kullanılan gübre'!M151*'Gübre oranlar'!P$3</f>
        <v>6.45</v>
      </c>
      <c r="N151">
        <f>'Kullanılan gübre'!N151*'Gübre oranlar'!Q$3</f>
        <v>14.7</v>
      </c>
      <c r="O151">
        <f>'Kullanılan gübre'!O151*'Gübre oranlar'!R$3</f>
        <v>0</v>
      </c>
      <c r="P151">
        <f>'Kullanılan gübre'!P151*'Gübre oranlar'!S$3</f>
        <v>0</v>
      </c>
      <c r="Q151">
        <f>'Kullanılan gübre'!Q151*'Gübre oranlar'!T$3</f>
        <v>0</v>
      </c>
      <c r="R151">
        <f>'Kullanılan gübre'!R151*'Gübre oranlar'!U$3</f>
        <v>0</v>
      </c>
      <c r="S151">
        <f>'Kullanılan gübre'!S151*'Gübre oranlar'!V$3</f>
        <v>0</v>
      </c>
      <c r="T151">
        <f>'Kullanılan gübre'!T151*'Gübre oranlar'!W$3</f>
        <v>0</v>
      </c>
      <c r="U151">
        <f>'Kullanılan gübre'!U151*'Gübre oranlar'!X$3</f>
        <v>0</v>
      </c>
      <c r="V151">
        <f>'Kullanılan gübre'!V151*'Gübre oranlar'!Y$3</f>
        <v>0</v>
      </c>
      <c r="W151">
        <f>'Kullanılan gübre'!W151*'Gübre oranlar'!Z$3</f>
        <v>0</v>
      </c>
      <c r="X151">
        <f>'Kullanılan gübre'!X151*'Gübre oranlar'!AA$3</f>
        <v>0</v>
      </c>
      <c r="Y151">
        <f>'Kullanılan gübre'!Y151*'Gübre oranlar'!AB$3</f>
        <v>0</v>
      </c>
      <c r="Z151">
        <f>'Kullanılan gübre'!Z151*'Gübre oranlar'!AC$3</f>
        <v>0</v>
      </c>
      <c r="AA151">
        <f>'Kullanılan gübre'!AA151*'Gübre oranlar'!AD$3</f>
        <v>0</v>
      </c>
      <c r="AB151">
        <f>'Kullanılan gübre'!AB151*'Gübre oranlar'!AE$3</f>
        <v>0</v>
      </c>
      <c r="AC151">
        <f>'Kullanılan gübre'!AC151*'Gübre oranlar'!AF$3</f>
        <v>0</v>
      </c>
      <c r="AD151">
        <f>'Kullanılan gübre'!AD151*'Gübre oranlar'!AG$3</f>
        <v>0</v>
      </c>
      <c r="AE151">
        <f>'Kullanılan gübre'!AE151*'Gübre oranlar'!AH$3</f>
        <v>0</v>
      </c>
      <c r="AF151">
        <f>'Kullanılan gübre'!AF151*'Gübre oranlar'!AI$3</f>
        <v>0</v>
      </c>
      <c r="AG151">
        <f>'Kullanılan gübre'!AG151*'Gübre oranlar'!AJ$3</f>
        <v>0</v>
      </c>
      <c r="AH151">
        <f>'Kullanılan gübre'!AH151*'Gübre oranlar'!AK$3</f>
        <v>0</v>
      </c>
      <c r="AI151">
        <f>'Kullanılan gübre'!AI151*'Gübre oranlar'!AL$3</f>
        <v>0</v>
      </c>
      <c r="AJ151">
        <f>'Kullanılan gübre'!AJ151*'Gübre oranlar'!AM$3</f>
        <v>0</v>
      </c>
      <c r="AK151">
        <f>'Kullanılan gübre'!AK151*'Gübre oranlar'!AN$3</f>
        <v>0</v>
      </c>
      <c r="AL151">
        <f>'Kullanılan gübre'!AL151*'Gübre oranlar'!AO$3</f>
        <v>0</v>
      </c>
      <c r="AM151">
        <f>'Kullanılan gübre'!AM151*'Gübre oranlar'!AP$3</f>
        <v>0</v>
      </c>
      <c r="AN151">
        <f>'Kullanılan gübre'!AN151*'Gübre oranlar'!AQ$3</f>
        <v>0</v>
      </c>
      <c r="AO151">
        <f>'Kullanılan gübre'!AO151*'Gübre oranlar'!AR$3</f>
        <v>0</v>
      </c>
      <c r="AP151">
        <f>'Kullanılan gübre'!AP151*'Gübre oranlar'!AS$3</f>
        <v>0</v>
      </c>
      <c r="AQ151">
        <f>'Kullanılan gübre'!AQ151*'Gübre oranlar'!AT$3</f>
        <v>0</v>
      </c>
      <c r="AR151">
        <f>'Kullanılan gübre'!AR151*'Gübre oranlar'!AU$3</f>
        <v>0</v>
      </c>
      <c r="AS151">
        <f>'Kullanılan gübre'!AS151*'Gübre oranlar'!AV$3</f>
        <v>0</v>
      </c>
      <c r="AT151">
        <f>'Kullanılan gübre'!AT151*'Gübre oranlar'!AW$3</f>
        <v>0</v>
      </c>
      <c r="AU151">
        <f>'Kullanılan gübre'!AU151*'Gübre oranlar'!AX$3</f>
        <v>0</v>
      </c>
      <c r="AV151">
        <f>'Kullanılan gübre'!AV151*'Gübre oranlar'!AY$3</f>
        <v>0</v>
      </c>
      <c r="AW151">
        <f t="shared" si="2"/>
        <v>22.95</v>
      </c>
    </row>
    <row r="152" spans="1:49" x14ac:dyDescent="0.25">
      <c r="A152" t="str">
        <f>'Kullanılan gübre'!A152</f>
        <v>BA</v>
      </c>
      <c r="B152" t="str">
        <f>'Kullanılan gübre'!B152</f>
        <v>ANTALYA</v>
      </c>
      <c r="C152" t="str">
        <f>'Kullanılan gübre'!C152</f>
        <v>KUMLUCA</v>
      </c>
      <c r="D152">
        <f>'Kullanılan gübre'!D152</f>
        <v>2008</v>
      </c>
      <c r="E152">
        <f>'Kullanılan gübre'!E152*'Gübre oranlar'!H$3</f>
        <v>0</v>
      </c>
      <c r="F152">
        <f>'Kullanılan gübre'!F152*'Gübre oranlar'!I$3</f>
        <v>0</v>
      </c>
      <c r="G152">
        <f>'Kullanılan gübre'!G152*'Gübre oranlar'!J$3</f>
        <v>0</v>
      </c>
      <c r="H152">
        <f>'Kullanılan gübre'!H152*'Gübre oranlar'!K$3</f>
        <v>0</v>
      </c>
      <c r="I152">
        <f>'Kullanılan gübre'!I152*'Gübre oranlar'!L$3</f>
        <v>90.73</v>
      </c>
      <c r="J152">
        <f>'Kullanılan gübre'!J152*'Gübre oranlar'!M$3</f>
        <v>0</v>
      </c>
      <c r="K152">
        <f>'Kullanılan gübre'!K152*'Gübre oranlar'!N$3</f>
        <v>29.200000000000003</v>
      </c>
      <c r="L152">
        <f>'Kullanılan gübre'!L152*'Gübre oranlar'!O$3</f>
        <v>39.6</v>
      </c>
      <c r="M152">
        <f>'Kullanılan gübre'!M152*'Gübre oranlar'!P$3</f>
        <v>62.25</v>
      </c>
      <c r="N152">
        <f>'Kullanılan gübre'!N152*'Gübre oranlar'!Q$3</f>
        <v>207.15</v>
      </c>
      <c r="O152">
        <f>'Kullanılan gübre'!O152*'Gübre oranlar'!R$3</f>
        <v>0</v>
      </c>
      <c r="P152">
        <f>'Kullanılan gübre'!P152*'Gübre oranlar'!S$3</f>
        <v>0</v>
      </c>
      <c r="Q152">
        <f>'Kullanılan gübre'!Q152*'Gübre oranlar'!T$3</f>
        <v>0</v>
      </c>
      <c r="R152">
        <f>'Kullanılan gübre'!R152*'Gübre oranlar'!U$3</f>
        <v>0</v>
      </c>
      <c r="S152">
        <f>'Kullanılan gübre'!S152*'Gübre oranlar'!V$3</f>
        <v>0</v>
      </c>
      <c r="T152">
        <f>'Kullanılan gübre'!T152*'Gübre oranlar'!W$3</f>
        <v>0</v>
      </c>
      <c r="U152">
        <f>'Kullanılan gübre'!U152*'Gübre oranlar'!X$3</f>
        <v>3.3000000000000003</v>
      </c>
      <c r="V152">
        <f>'Kullanılan gübre'!V152*'Gübre oranlar'!Y$3</f>
        <v>0</v>
      </c>
      <c r="W152">
        <f>'Kullanılan gübre'!W152*'Gübre oranlar'!Z$3</f>
        <v>0</v>
      </c>
      <c r="X152">
        <f>'Kullanılan gübre'!X152*'Gübre oranlar'!AA$3</f>
        <v>0</v>
      </c>
      <c r="Y152">
        <f>'Kullanılan gübre'!Y152*'Gübre oranlar'!AB$3</f>
        <v>0</v>
      </c>
      <c r="Z152">
        <f>'Kullanılan gübre'!Z152*'Gübre oranlar'!AC$3</f>
        <v>0</v>
      </c>
      <c r="AA152">
        <f>'Kullanılan gübre'!AA152*'Gübre oranlar'!AD$3</f>
        <v>0</v>
      </c>
      <c r="AB152">
        <f>'Kullanılan gübre'!AB152*'Gübre oranlar'!AE$3</f>
        <v>0</v>
      </c>
      <c r="AC152">
        <f>'Kullanılan gübre'!AC152*'Gübre oranlar'!AF$3</f>
        <v>0</v>
      </c>
      <c r="AD152">
        <f>'Kullanılan gübre'!AD152*'Gübre oranlar'!AG$3</f>
        <v>0</v>
      </c>
      <c r="AE152">
        <f>'Kullanılan gübre'!AE152*'Gübre oranlar'!AH$3</f>
        <v>0</v>
      </c>
      <c r="AF152">
        <f>'Kullanılan gübre'!AF152*'Gübre oranlar'!AI$3</f>
        <v>0</v>
      </c>
      <c r="AG152">
        <f>'Kullanılan gübre'!AG152*'Gübre oranlar'!AJ$3</f>
        <v>0</v>
      </c>
      <c r="AH152">
        <f>'Kullanılan gübre'!AH152*'Gübre oranlar'!AK$3</f>
        <v>0</v>
      </c>
      <c r="AI152">
        <f>'Kullanılan gübre'!AI152*'Gübre oranlar'!AL$3</f>
        <v>0</v>
      </c>
      <c r="AJ152">
        <f>'Kullanılan gübre'!AJ152*'Gübre oranlar'!AM$3</f>
        <v>0</v>
      </c>
      <c r="AK152">
        <f>'Kullanılan gübre'!AK152*'Gübre oranlar'!AN$3</f>
        <v>0</v>
      </c>
      <c r="AL152">
        <f>'Kullanılan gübre'!AL152*'Gübre oranlar'!AO$3</f>
        <v>0</v>
      </c>
      <c r="AM152">
        <f>'Kullanılan gübre'!AM152*'Gübre oranlar'!AP$3</f>
        <v>0</v>
      </c>
      <c r="AN152">
        <f>'Kullanılan gübre'!AN152*'Gübre oranlar'!AQ$3</f>
        <v>0</v>
      </c>
      <c r="AO152">
        <f>'Kullanılan gübre'!AO152*'Gübre oranlar'!AR$3</f>
        <v>0</v>
      </c>
      <c r="AP152">
        <f>'Kullanılan gübre'!AP152*'Gübre oranlar'!AS$3</f>
        <v>0</v>
      </c>
      <c r="AQ152">
        <f>'Kullanılan gübre'!AQ152*'Gübre oranlar'!AT$3</f>
        <v>0</v>
      </c>
      <c r="AR152">
        <f>'Kullanılan gübre'!AR152*'Gübre oranlar'!AU$3</f>
        <v>0</v>
      </c>
      <c r="AS152">
        <f>'Kullanılan gübre'!AS152*'Gübre oranlar'!AV$3</f>
        <v>44.879999999999995</v>
      </c>
      <c r="AT152">
        <f>'Kullanılan gübre'!AT152*'Gübre oranlar'!AW$3</f>
        <v>0</v>
      </c>
      <c r="AU152">
        <f>'Kullanılan gübre'!AU152*'Gübre oranlar'!AX$3</f>
        <v>0</v>
      </c>
      <c r="AV152">
        <f>'Kullanılan gübre'!AV152*'Gübre oranlar'!AY$3</f>
        <v>0</v>
      </c>
      <c r="AW152">
        <f t="shared" si="2"/>
        <v>477.11</v>
      </c>
    </row>
    <row r="153" spans="1:49" x14ac:dyDescent="0.25">
      <c r="A153" t="str">
        <f>'Kullanılan gübre'!A153</f>
        <v>BA</v>
      </c>
      <c r="B153" t="str">
        <f>'Kullanılan gübre'!B153</f>
        <v>ANTALYA</v>
      </c>
      <c r="C153" t="str">
        <f>'Kullanılan gübre'!C153</f>
        <v>FINIKE</v>
      </c>
      <c r="D153">
        <f>'Kullanılan gübre'!D153</f>
        <v>2008</v>
      </c>
      <c r="E153">
        <f>'Kullanılan gübre'!E153*'Gübre oranlar'!H$3</f>
        <v>0</v>
      </c>
      <c r="F153">
        <f>'Kullanılan gübre'!F153*'Gübre oranlar'!I$3</f>
        <v>0</v>
      </c>
      <c r="G153">
        <f>'Kullanılan gübre'!G153*'Gübre oranlar'!J$3</f>
        <v>0</v>
      </c>
      <c r="H153">
        <f>'Kullanılan gübre'!H153*'Gübre oranlar'!K$3</f>
        <v>0</v>
      </c>
      <c r="I153">
        <f>'Kullanılan gübre'!I153*'Gübre oranlar'!L$3</f>
        <v>27.52</v>
      </c>
      <c r="J153">
        <f>'Kullanılan gübre'!J153*'Gübre oranlar'!M$3</f>
        <v>0</v>
      </c>
      <c r="K153">
        <f>'Kullanılan gübre'!K153*'Gübre oranlar'!N$3</f>
        <v>20.8</v>
      </c>
      <c r="L153">
        <f>'Kullanılan gübre'!L153*'Gübre oranlar'!O$3</f>
        <v>0</v>
      </c>
      <c r="M153">
        <f>'Kullanılan gübre'!M153*'Gübre oranlar'!P$3</f>
        <v>39</v>
      </c>
      <c r="N153">
        <f>'Kullanılan gübre'!N153*'Gübre oranlar'!Q$3</f>
        <v>154.5</v>
      </c>
      <c r="O153">
        <f>'Kullanılan gübre'!O153*'Gübre oranlar'!R$3</f>
        <v>0</v>
      </c>
      <c r="P153">
        <f>'Kullanılan gübre'!P153*'Gübre oranlar'!S$3</f>
        <v>0</v>
      </c>
      <c r="Q153">
        <f>'Kullanılan gübre'!Q153*'Gübre oranlar'!T$3</f>
        <v>0</v>
      </c>
      <c r="R153">
        <f>'Kullanılan gübre'!R153*'Gübre oranlar'!U$3</f>
        <v>0</v>
      </c>
      <c r="S153">
        <f>'Kullanılan gübre'!S153*'Gübre oranlar'!V$3</f>
        <v>0</v>
      </c>
      <c r="T153">
        <f>'Kullanılan gübre'!T153*'Gübre oranlar'!W$3</f>
        <v>0</v>
      </c>
      <c r="U153">
        <f>'Kullanılan gübre'!U153*'Gübre oranlar'!X$3</f>
        <v>10.950000000000001</v>
      </c>
      <c r="V153">
        <f>'Kullanılan gübre'!V153*'Gübre oranlar'!Y$3</f>
        <v>0</v>
      </c>
      <c r="W153">
        <f>'Kullanılan gübre'!W153*'Gübre oranlar'!Z$3</f>
        <v>0</v>
      </c>
      <c r="X153">
        <f>'Kullanılan gübre'!X153*'Gübre oranlar'!AA$3</f>
        <v>0</v>
      </c>
      <c r="Y153">
        <f>'Kullanılan gübre'!Y153*'Gübre oranlar'!AB$3</f>
        <v>0</v>
      </c>
      <c r="Z153">
        <f>'Kullanılan gübre'!Z153*'Gübre oranlar'!AC$3</f>
        <v>0</v>
      </c>
      <c r="AA153">
        <f>'Kullanılan gübre'!AA153*'Gübre oranlar'!AD$3</f>
        <v>0</v>
      </c>
      <c r="AB153">
        <f>'Kullanılan gübre'!AB153*'Gübre oranlar'!AE$3</f>
        <v>16.47</v>
      </c>
      <c r="AC153">
        <f>'Kullanılan gübre'!AC153*'Gübre oranlar'!AF$3</f>
        <v>0</v>
      </c>
      <c r="AD153">
        <f>'Kullanılan gübre'!AD153*'Gübre oranlar'!AG$3</f>
        <v>0</v>
      </c>
      <c r="AE153">
        <f>'Kullanılan gübre'!AE153*'Gübre oranlar'!AH$3</f>
        <v>0</v>
      </c>
      <c r="AF153">
        <f>'Kullanılan gübre'!AF153*'Gübre oranlar'!AI$3</f>
        <v>0</v>
      </c>
      <c r="AG153">
        <f>'Kullanılan gübre'!AG153*'Gübre oranlar'!AJ$3</f>
        <v>0</v>
      </c>
      <c r="AH153">
        <f>'Kullanılan gübre'!AH153*'Gübre oranlar'!AK$3</f>
        <v>0</v>
      </c>
      <c r="AI153">
        <f>'Kullanılan gübre'!AI153*'Gübre oranlar'!AL$3</f>
        <v>0</v>
      </c>
      <c r="AJ153">
        <f>'Kullanılan gübre'!AJ153*'Gübre oranlar'!AM$3</f>
        <v>0</v>
      </c>
      <c r="AK153">
        <f>'Kullanılan gübre'!AK153*'Gübre oranlar'!AN$3</f>
        <v>0</v>
      </c>
      <c r="AL153">
        <f>'Kullanılan gübre'!AL153*'Gübre oranlar'!AO$3</f>
        <v>0</v>
      </c>
      <c r="AM153">
        <f>'Kullanılan gübre'!AM153*'Gübre oranlar'!AP$3</f>
        <v>0</v>
      </c>
      <c r="AN153">
        <f>'Kullanılan gübre'!AN153*'Gübre oranlar'!AQ$3</f>
        <v>0</v>
      </c>
      <c r="AO153">
        <f>'Kullanılan gübre'!AO153*'Gübre oranlar'!AR$3</f>
        <v>0</v>
      </c>
      <c r="AP153">
        <f>'Kullanılan gübre'!AP153*'Gübre oranlar'!AS$3</f>
        <v>0</v>
      </c>
      <c r="AQ153">
        <f>'Kullanılan gübre'!AQ153*'Gübre oranlar'!AT$3</f>
        <v>0</v>
      </c>
      <c r="AR153">
        <f>'Kullanılan gübre'!AR153*'Gübre oranlar'!AU$3</f>
        <v>0</v>
      </c>
      <c r="AS153">
        <f>'Kullanılan gübre'!AS153*'Gübre oranlar'!AV$3</f>
        <v>156</v>
      </c>
      <c r="AT153">
        <f>'Kullanılan gübre'!AT153*'Gübre oranlar'!AW$3</f>
        <v>0</v>
      </c>
      <c r="AU153">
        <f>'Kullanılan gübre'!AU153*'Gübre oranlar'!AX$3</f>
        <v>0</v>
      </c>
      <c r="AV153">
        <f>'Kullanılan gübre'!AV153*'Gübre oranlar'!AY$3</f>
        <v>0</v>
      </c>
      <c r="AW153">
        <f t="shared" si="2"/>
        <v>425.24</v>
      </c>
    </row>
    <row r="154" spans="1:49" x14ac:dyDescent="0.25">
      <c r="A154" t="str">
        <f>'Kullanılan gübre'!A154</f>
        <v>BA</v>
      </c>
      <c r="B154" t="str">
        <f>'Kullanılan gübre'!B154</f>
        <v>ANTALYA</v>
      </c>
      <c r="C154" t="str">
        <f>'Kullanılan gübre'!C154</f>
        <v>DEMRE</v>
      </c>
      <c r="D154">
        <f>'Kullanılan gübre'!D154</f>
        <v>2008</v>
      </c>
      <c r="E154">
        <f>'Kullanılan gübre'!E154*'Gübre oranlar'!H$3</f>
        <v>0</v>
      </c>
      <c r="F154">
        <f>'Kullanılan gübre'!F154*'Gübre oranlar'!I$3</f>
        <v>0</v>
      </c>
      <c r="G154">
        <f>'Kullanılan gübre'!G154*'Gübre oranlar'!J$3</f>
        <v>0</v>
      </c>
      <c r="H154">
        <f>'Kullanılan gübre'!H154*'Gübre oranlar'!K$3</f>
        <v>0</v>
      </c>
      <c r="I154">
        <f>'Kullanılan gübre'!I154*'Gübre oranlar'!L$3</f>
        <v>16.77</v>
      </c>
      <c r="J154">
        <f>'Kullanılan gübre'!J154*'Gübre oranlar'!M$3</f>
        <v>0</v>
      </c>
      <c r="K154">
        <f>'Kullanılan gübre'!K154*'Gübre oranlar'!N$3</f>
        <v>11</v>
      </c>
      <c r="L154">
        <f>'Kullanılan gübre'!L154*'Gübre oranlar'!O$3</f>
        <v>0</v>
      </c>
      <c r="M154">
        <f>'Kullanılan gübre'!M154*'Gübre oranlar'!P$3</f>
        <v>21.15</v>
      </c>
      <c r="N154">
        <f>'Kullanılan gübre'!N154*'Gübre oranlar'!Q$3</f>
        <v>4.6499999999999995</v>
      </c>
      <c r="O154">
        <f>'Kullanılan gübre'!O154*'Gübre oranlar'!R$3</f>
        <v>0</v>
      </c>
      <c r="P154">
        <f>'Kullanılan gübre'!P154*'Gübre oranlar'!S$3</f>
        <v>0</v>
      </c>
      <c r="Q154">
        <f>'Kullanılan gübre'!Q154*'Gübre oranlar'!T$3</f>
        <v>0</v>
      </c>
      <c r="R154">
        <f>'Kullanılan gübre'!R154*'Gübre oranlar'!U$3</f>
        <v>0</v>
      </c>
      <c r="S154">
        <f>'Kullanılan gübre'!S154*'Gübre oranlar'!V$3</f>
        <v>0</v>
      </c>
      <c r="T154">
        <f>'Kullanılan gübre'!T154*'Gübre oranlar'!W$3</f>
        <v>0</v>
      </c>
      <c r="U154">
        <f>'Kullanılan gübre'!U154*'Gübre oranlar'!X$3</f>
        <v>0.60000000000000009</v>
      </c>
      <c r="V154">
        <f>'Kullanılan gübre'!V154*'Gübre oranlar'!Y$3</f>
        <v>0</v>
      </c>
      <c r="W154">
        <f>'Kullanılan gübre'!W154*'Gübre oranlar'!Z$3</f>
        <v>0</v>
      </c>
      <c r="X154">
        <f>'Kullanılan gübre'!X154*'Gübre oranlar'!AA$3</f>
        <v>0</v>
      </c>
      <c r="Y154">
        <f>'Kullanılan gübre'!Y154*'Gübre oranlar'!AB$3</f>
        <v>0</v>
      </c>
      <c r="Z154">
        <f>'Kullanılan gübre'!Z154*'Gübre oranlar'!AC$3</f>
        <v>0</v>
      </c>
      <c r="AA154">
        <f>'Kullanılan gübre'!AA154*'Gübre oranlar'!AD$3</f>
        <v>0</v>
      </c>
      <c r="AB154">
        <f>'Kullanılan gübre'!AB154*'Gübre oranlar'!AE$3</f>
        <v>31.11</v>
      </c>
      <c r="AC154">
        <f>'Kullanılan gübre'!AC154*'Gübre oranlar'!AF$3</f>
        <v>0</v>
      </c>
      <c r="AD154">
        <f>'Kullanılan gübre'!AD154*'Gübre oranlar'!AG$3</f>
        <v>0</v>
      </c>
      <c r="AE154">
        <f>'Kullanılan gübre'!AE154*'Gübre oranlar'!AH$3</f>
        <v>0</v>
      </c>
      <c r="AF154">
        <f>'Kullanılan gübre'!AF154*'Gübre oranlar'!AI$3</f>
        <v>0</v>
      </c>
      <c r="AG154">
        <f>'Kullanılan gübre'!AG154*'Gübre oranlar'!AJ$3</f>
        <v>0</v>
      </c>
      <c r="AH154">
        <f>'Kullanılan gübre'!AH154*'Gübre oranlar'!AK$3</f>
        <v>0</v>
      </c>
      <c r="AI154">
        <f>'Kullanılan gübre'!AI154*'Gübre oranlar'!AL$3</f>
        <v>0</v>
      </c>
      <c r="AJ154">
        <f>'Kullanılan gübre'!AJ154*'Gübre oranlar'!AM$3</f>
        <v>0</v>
      </c>
      <c r="AK154">
        <f>'Kullanılan gübre'!AK154*'Gübre oranlar'!AN$3</f>
        <v>0</v>
      </c>
      <c r="AL154">
        <f>'Kullanılan gübre'!AL154*'Gübre oranlar'!AO$3</f>
        <v>0</v>
      </c>
      <c r="AM154">
        <f>'Kullanılan gübre'!AM154*'Gübre oranlar'!AP$3</f>
        <v>0</v>
      </c>
      <c r="AN154">
        <f>'Kullanılan gübre'!AN154*'Gübre oranlar'!AQ$3</f>
        <v>0</v>
      </c>
      <c r="AO154">
        <f>'Kullanılan gübre'!AO154*'Gübre oranlar'!AR$3</f>
        <v>0</v>
      </c>
      <c r="AP154">
        <f>'Kullanılan gübre'!AP154*'Gübre oranlar'!AS$3</f>
        <v>0</v>
      </c>
      <c r="AQ154">
        <f>'Kullanılan gübre'!AQ154*'Gübre oranlar'!AT$3</f>
        <v>0</v>
      </c>
      <c r="AR154">
        <f>'Kullanılan gübre'!AR154*'Gübre oranlar'!AU$3</f>
        <v>0</v>
      </c>
      <c r="AS154">
        <f>'Kullanılan gübre'!AS154*'Gübre oranlar'!AV$3</f>
        <v>1.2</v>
      </c>
      <c r="AT154">
        <f>'Kullanılan gübre'!AT154*'Gübre oranlar'!AW$3</f>
        <v>0</v>
      </c>
      <c r="AU154">
        <f>'Kullanılan gübre'!AU154*'Gübre oranlar'!AX$3</f>
        <v>0</v>
      </c>
      <c r="AV154">
        <f>'Kullanılan gübre'!AV154*'Gübre oranlar'!AY$3</f>
        <v>0</v>
      </c>
      <c r="AW154">
        <f t="shared" si="2"/>
        <v>86.48</v>
      </c>
    </row>
    <row r="155" spans="1:49" x14ac:dyDescent="0.25">
      <c r="A155" t="str">
        <f>'Kullanılan gübre'!A155</f>
        <v>BA</v>
      </c>
      <c r="B155" t="str">
        <f>'Kullanılan gübre'!B155</f>
        <v>ANTALYA</v>
      </c>
      <c r="C155" t="str">
        <f>'Kullanılan gübre'!C155</f>
        <v>KAS</v>
      </c>
      <c r="D155">
        <f>'Kullanılan gübre'!D155</f>
        <v>2008</v>
      </c>
      <c r="E155">
        <f>'Kullanılan gübre'!E155*'Gübre oranlar'!H$3</f>
        <v>0</v>
      </c>
      <c r="F155">
        <f>'Kullanılan gübre'!F155*'Gübre oranlar'!I$3</f>
        <v>0</v>
      </c>
      <c r="G155">
        <f>'Kullanılan gübre'!G155*'Gübre oranlar'!J$3</f>
        <v>0</v>
      </c>
      <c r="H155">
        <f>'Kullanılan gübre'!H155*'Gübre oranlar'!K$3</f>
        <v>0</v>
      </c>
      <c r="I155">
        <f>'Kullanılan gübre'!I155*'Gübre oranlar'!L$3</f>
        <v>6.88</v>
      </c>
      <c r="J155">
        <f>'Kullanılan gübre'!J155*'Gübre oranlar'!M$3</f>
        <v>0</v>
      </c>
      <c r="K155">
        <f>'Kullanılan gübre'!K155*'Gübre oranlar'!N$3</f>
        <v>38.200000000000003</v>
      </c>
      <c r="L155">
        <f>'Kullanılan gübre'!L155*'Gübre oranlar'!O$3</f>
        <v>0.8</v>
      </c>
      <c r="M155">
        <f>'Kullanılan gübre'!M155*'Gübre oranlar'!P$3</f>
        <v>15.299999999999999</v>
      </c>
      <c r="N155">
        <f>'Kullanılan gübre'!N155*'Gübre oranlar'!Q$3</f>
        <v>29.4</v>
      </c>
      <c r="O155">
        <f>'Kullanılan gübre'!O155*'Gübre oranlar'!R$3</f>
        <v>0</v>
      </c>
      <c r="P155">
        <f>'Kullanılan gübre'!P155*'Gübre oranlar'!S$3</f>
        <v>0</v>
      </c>
      <c r="Q155">
        <f>'Kullanılan gübre'!Q155*'Gübre oranlar'!T$3</f>
        <v>0</v>
      </c>
      <c r="R155">
        <f>'Kullanılan gübre'!R155*'Gübre oranlar'!U$3</f>
        <v>0</v>
      </c>
      <c r="S155">
        <f>'Kullanılan gübre'!S155*'Gübre oranlar'!V$3</f>
        <v>0</v>
      </c>
      <c r="T155">
        <f>'Kullanılan gübre'!T155*'Gübre oranlar'!W$3</f>
        <v>0</v>
      </c>
      <c r="U155">
        <f>'Kullanılan gübre'!U155*'Gübre oranlar'!X$3</f>
        <v>0</v>
      </c>
      <c r="V155">
        <f>'Kullanılan gübre'!V155*'Gübre oranlar'!Y$3</f>
        <v>0</v>
      </c>
      <c r="W155">
        <f>'Kullanılan gübre'!W155*'Gübre oranlar'!Z$3</f>
        <v>0</v>
      </c>
      <c r="X155">
        <f>'Kullanılan gübre'!X155*'Gübre oranlar'!AA$3</f>
        <v>0</v>
      </c>
      <c r="Y155">
        <f>'Kullanılan gübre'!Y155*'Gübre oranlar'!AB$3</f>
        <v>0</v>
      </c>
      <c r="Z155">
        <f>'Kullanılan gübre'!Z155*'Gübre oranlar'!AC$3</f>
        <v>0</v>
      </c>
      <c r="AA155">
        <f>'Kullanılan gübre'!AA155*'Gübre oranlar'!AD$3</f>
        <v>0</v>
      </c>
      <c r="AB155">
        <f>'Kullanılan gübre'!AB155*'Gübre oranlar'!AE$3</f>
        <v>0</v>
      </c>
      <c r="AC155">
        <f>'Kullanılan gübre'!AC155*'Gübre oranlar'!AF$3</f>
        <v>0</v>
      </c>
      <c r="AD155">
        <f>'Kullanılan gübre'!AD155*'Gübre oranlar'!AG$3</f>
        <v>0</v>
      </c>
      <c r="AE155">
        <f>'Kullanılan gübre'!AE155*'Gübre oranlar'!AH$3</f>
        <v>0</v>
      </c>
      <c r="AF155">
        <f>'Kullanılan gübre'!AF155*'Gübre oranlar'!AI$3</f>
        <v>0</v>
      </c>
      <c r="AG155">
        <f>'Kullanılan gübre'!AG155*'Gübre oranlar'!AJ$3</f>
        <v>0</v>
      </c>
      <c r="AH155">
        <f>'Kullanılan gübre'!AH155*'Gübre oranlar'!AK$3</f>
        <v>0</v>
      </c>
      <c r="AI155">
        <f>'Kullanılan gübre'!AI155*'Gübre oranlar'!AL$3</f>
        <v>0</v>
      </c>
      <c r="AJ155">
        <f>'Kullanılan gübre'!AJ155*'Gübre oranlar'!AM$3</f>
        <v>0</v>
      </c>
      <c r="AK155">
        <f>'Kullanılan gübre'!AK155*'Gübre oranlar'!AN$3</f>
        <v>0</v>
      </c>
      <c r="AL155">
        <f>'Kullanılan gübre'!AL155*'Gübre oranlar'!AO$3</f>
        <v>0</v>
      </c>
      <c r="AM155">
        <f>'Kullanılan gübre'!AM155*'Gübre oranlar'!AP$3</f>
        <v>0</v>
      </c>
      <c r="AN155">
        <f>'Kullanılan gübre'!AN155*'Gübre oranlar'!AQ$3</f>
        <v>0</v>
      </c>
      <c r="AO155">
        <f>'Kullanılan gübre'!AO155*'Gübre oranlar'!AR$3</f>
        <v>0</v>
      </c>
      <c r="AP155">
        <f>'Kullanılan gübre'!AP155*'Gübre oranlar'!AS$3</f>
        <v>0</v>
      </c>
      <c r="AQ155">
        <f>'Kullanılan gübre'!AQ155*'Gübre oranlar'!AT$3</f>
        <v>0</v>
      </c>
      <c r="AR155">
        <f>'Kullanılan gübre'!AR155*'Gübre oranlar'!AU$3</f>
        <v>0</v>
      </c>
      <c r="AS155">
        <f>'Kullanılan gübre'!AS155*'Gübre oranlar'!AV$3</f>
        <v>0</v>
      </c>
      <c r="AT155">
        <f>'Kullanılan gübre'!AT155*'Gübre oranlar'!AW$3</f>
        <v>0</v>
      </c>
      <c r="AU155">
        <f>'Kullanılan gübre'!AU155*'Gübre oranlar'!AX$3</f>
        <v>0</v>
      </c>
      <c r="AV155">
        <f>'Kullanılan gübre'!AV155*'Gübre oranlar'!AY$3</f>
        <v>0</v>
      </c>
      <c r="AW155">
        <f t="shared" si="2"/>
        <v>90.58</v>
      </c>
    </row>
    <row r="156" spans="1:49" x14ac:dyDescent="0.25">
      <c r="A156" t="str">
        <f>'Kullanılan gübre'!A156</f>
        <v>BA</v>
      </c>
      <c r="B156" t="str">
        <f>'Kullanılan gübre'!B156</f>
        <v>ANTALYA</v>
      </c>
      <c r="C156" t="str">
        <f>'Kullanılan gübre'!C156</f>
        <v>KORKUTELI</v>
      </c>
      <c r="D156">
        <f>'Kullanılan gübre'!D156</f>
        <v>2008</v>
      </c>
      <c r="E156">
        <f>'Kullanılan gübre'!E156*'Gübre oranlar'!H$3</f>
        <v>0</v>
      </c>
      <c r="F156">
        <f>'Kullanılan gübre'!F156*'Gübre oranlar'!I$3</f>
        <v>0</v>
      </c>
      <c r="G156">
        <f>'Kullanılan gübre'!G156*'Gübre oranlar'!J$3</f>
        <v>0</v>
      </c>
      <c r="H156">
        <f>'Kullanılan gübre'!H156*'Gübre oranlar'!K$3</f>
        <v>0</v>
      </c>
      <c r="I156">
        <f>'Kullanılan gübre'!I156*'Gübre oranlar'!L$3</f>
        <v>85.57</v>
      </c>
      <c r="J156">
        <f>'Kullanılan gübre'!J156*'Gübre oranlar'!M$3</f>
        <v>0</v>
      </c>
      <c r="K156">
        <f>'Kullanılan gübre'!K156*'Gübre oranlar'!N$3</f>
        <v>863.2</v>
      </c>
      <c r="L156">
        <f>'Kullanılan gübre'!L156*'Gübre oranlar'!O$3</f>
        <v>46.6</v>
      </c>
      <c r="M156">
        <f>'Kullanılan gübre'!M156*'Gübre oranlar'!P$3</f>
        <v>211.95</v>
      </c>
      <c r="N156">
        <f>'Kullanılan gübre'!N156*'Gübre oranlar'!Q$3</f>
        <v>79.05</v>
      </c>
      <c r="O156">
        <f>'Kullanılan gübre'!O156*'Gübre oranlar'!R$3</f>
        <v>0</v>
      </c>
      <c r="P156">
        <f>'Kullanılan gübre'!P156*'Gübre oranlar'!S$3</f>
        <v>0</v>
      </c>
      <c r="Q156">
        <f>'Kullanılan gübre'!Q156*'Gübre oranlar'!T$3</f>
        <v>0</v>
      </c>
      <c r="R156">
        <f>'Kullanılan gübre'!R156*'Gübre oranlar'!U$3</f>
        <v>0</v>
      </c>
      <c r="S156">
        <f>'Kullanılan gübre'!S156*'Gübre oranlar'!V$3</f>
        <v>0</v>
      </c>
      <c r="T156">
        <f>'Kullanılan gübre'!T156*'Gübre oranlar'!W$3</f>
        <v>0</v>
      </c>
      <c r="U156">
        <f>'Kullanılan gübre'!U156*'Gübre oranlar'!X$3</f>
        <v>1.6</v>
      </c>
      <c r="V156">
        <f>'Kullanılan gübre'!V156*'Gübre oranlar'!Y$3</f>
        <v>0</v>
      </c>
      <c r="W156">
        <f>'Kullanılan gübre'!W156*'Gübre oranlar'!Z$3</f>
        <v>0</v>
      </c>
      <c r="X156">
        <f>'Kullanılan gübre'!X156*'Gübre oranlar'!AA$3</f>
        <v>0</v>
      </c>
      <c r="Y156">
        <f>'Kullanılan gübre'!Y156*'Gübre oranlar'!AB$3</f>
        <v>0</v>
      </c>
      <c r="Z156">
        <f>'Kullanılan gübre'!Z156*'Gübre oranlar'!AC$3</f>
        <v>0</v>
      </c>
      <c r="AA156">
        <f>'Kullanılan gübre'!AA156*'Gübre oranlar'!AD$3</f>
        <v>0</v>
      </c>
      <c r="AB156">
        <f>'Kullanılan gübre'!AB156*'Gübre oranlar'!AE$3</f>
        <v>0.61</v>
      </c>
      <c r="AC156">
        <f>'Kullanılan gübre'!AC156*'Gübre oranlar'!AF$3</f>
        <v>0</v>
      </c>
      <c r="AD156">
        <f>'Kullanılan gübre'!AD156*'Gübre oranlar'!AG$3</f>
        <v>0</v>
      </c>
      <c r="AE156">
        <f>'Kullanılan gübre'!AE156*'Gübre oranlar'!AH$3</f>
        <v>0</v>
      </c>
      <c r="AF156">
        <f>'Kullanılan gübre'!AF156*'Gübre oranlar'!AI$3</f>
        <v>0</v>
      </c>
      <c r="AG156">
        <f>'Kullanılan gübre'!AG156*'Gübre oranlar'!AJ$3</f>
        <v>0</v>
      </c>
      <c r="AH156">
        <f>'Kullanılan gübre'!AH156*'Gübre oranlar'!AK$3</f>
        <v>0</v>
      </c>
      <c r="AI156">
        <f>'Kullanılan gübre'!AI156*'Gübre oranlar'!AL$3</f>
        <v>0</v>
      </c>
      <c r="AJ156">
        <f>'Kullanılan gübre'!AJ156*'Gübre oranlar'!AM$3</f>
        <v>0</v>
      </c>
      <c r="AK156">
        <f>'Kullanılan gübre'!AK156*'Gübre oranlar'!AN$3</f>
        <v>0</v>
      </c>
      <c r="AL156">
        <f>'Kullanılan gübre'!AL156*'Gübre oranlar'!AO$3</f>
        <v>0</v>
      </c>
      <c r="AM156">
        <f>'Kullanılan gübre'!AM156*'Gübre oranlar'!AP$3</f>
        <v>0</v>
      </c>
      <c r="AN156">
        <f>'Kullanılan gübre'!AN156*'Gübre oranlar'!AQ$3</f>
        <v>0</v>
      </c>
      <c r="AO156">
        <f>'Kullanılan gübre'!AO156*'Gübre oranlar'!AR$3</f>
        <v>0</v>
      </c>
      <c r="AP156">
        <f>'Kullanılan gübre'!AP156*'Gübre oranlar'!AS$3</f>
        <v>0</v>
      </c>
      <c r="AQ156">
        <f>'Kullanılan gübre'!AQ156*'Gübre oranlar'!AT$3</f>
        <v>0</v>
      </c>
      <c r="AR156">
        <f>'Kullanılan gübre'!AR156*'Gübre oranlar'!AU$3</f>
        <v>0</v>
      </c>
      <c r="AS156">
        <f>'Kullanılan gübre'!AS156*'Gübre oranlar'!AV$3</f>
        <v>9.1199999999999992</v>
      </c>
      <c r="AT156">
        <f>'Kullanılan gübre'!AT156*'Gübre oranlar'!AW$3</f>
        <v>0</v>
      </c>
      <c r="AU156">
        <f>'Kullanılan gübre'!AU156*'Gübre oranlar'!AX$3</f>
        <v>0</v>
      </c>
      <c r="AV156">
        <f>'Kullanılan gübre'!AV156*'Gübre oranlar'!AY$3</f>
        <v>0</v>
      </c>
      <c r="AW156">
        <f t="shared" si="2"/>
        <v>1297.6999999999996</v>
      </c>
    </row>
    <row r="157" spans="1:49" x14ac:dyDescent="0.25">
      <c r="A157" t="str">
        <f>'Kullanılan gübre'!A157</f>
        <v>BA</v>
      </c>
      <c r="B157" t="str">
        <f>'Kullanılan gübre'!B157</f>
        <v>ANTALYA</v>
      </c>
      <c r="C157" t="str">
        <f>'Kullanılan gübre'!C157</f>
        <v>ELMALI</v>
      </c>
      <c r="D157">
        <f>'Kullanılan gübre'!D157</f>
        <v>2008</v>
      </c>
      <c r="E157">
        <f>'Kullanılan gübre'!E157*'Gübre oranlar'!H$3</f>
        <v>0</v>
      </c>
      <c r="F157">
        <f>'Kullanılan gübre'!F157*'Gübre oranlar'!I$3</f>
        <v>0</v>
      </c>
      <c r="G157">
        <f>'Kullanılan gübre'!G157*'Gübre oranlar'!J$3</f>
        <v>0</v>
      </c>
      <c r="H157">
        <f>'Kullanılan gübre'!H157*'Gübre oranlar'!K$3</f>
        <v>0</v>
      </c>
      <c r="I157">
        <f>'Kullanılan gübre'!I157*'Gübre oranlar'!L$3</f>
        <v>57.19</v>
      </c>
      <c r="J157">
        <f>'Kullanılan gübre'!J157*'Gübre oranlar'!M$3</f>
        <v>0</v>
      </c>
      <c r="K157">
        <f>'Kullanılan gübre'!K157*'Gübre oranlar'!N$3</f>
        <v>199.4</v>
      </c>
      <c r="L157">
        <f>'Kullanılan gübre'!L157*'Gübre oranlar'!O$3</f>
        <v>11.200000000000001</v>
      </c>
      <c r="M157">
        <f>'Kullanılan gübre'!M157*'Gübre oranlar'!P$3</f>
        <v>76.5</v>
      </c>
      <c r="N157">
        <f>'Kullanılan gübre'!N157*'Gübre oranlar'!Q$3</f>
        <v>42.449999999999996</v>
      </c>
      <c r="O157">
        <f>'Kullanılan gübre'!O157*'Gübre oranlar'!R$3</f>
        <v>0</v>
      </c>
      <c r="P157">
        <f>'Kullanılan gübre'!P157*'Gübre oranlar'!S$3</f>
        <v>0</v>
      </c>
      <c r="Q157">
        <f>'Kullanılan gübre'!Q157*'Gübre oranlar'!T$3</f>
        <v>107.7</v>
      </c>
      <c r="R157">
        <f>'Kullanılan gübre'!R157*'Gübre oranlar'!U$3</f>
        <v>0</v>
      </c>
      <c r="S157">
        <f>'Kullanılan gübre'!S157*'Gübre oranlar'!V$3</f>
        <v>0</v>
      </c>
      <c r="T157">
        <f>'Kullanılan gübre'!T157*'Gübre oranlar'!W$3</f>
        <v>0</v>
      </c>
      <c r="U157">
        <f>'Kullanılan gübre'!U157*'Gübre oranlar'!X$3</f>
        <v>0.45</v>
      </c>
      <c r="V157">
        <f>'Kullanılan gübre'!V157*'Gübre oranlar'!Y$3</f>
        <v>0</v>
      </c>
      <c r="W157">
        <f>'Kullanılan gübre'!W157*'Gübre oranlar'!Z$3</f>
        <v>0</v>
      </c>
      <c r="X157">
        <f>'Kullanılan gübre'!X157*'Gübre oranlar'!AA$3</f>
        <v>0</v>
      </c>
      <c r="Y157">
        <f>'Kullanılan gübre'!Y157*'Gübre oranlar'!AB$3</f>
        <v>0</v>
      </c>
      <c r="Z157">
        <f>'Kullanılan gübre'!Z157*'Gübre oranlar'!AC$3</f>
        <v>0</v>
      </c>
      <c r="AA157">
        <f>'Kullanılan gübre'!AA157*'Gübre oranlar'!AD$3</f>
        <v>0</v>
      </c>
      <c r="AB157">
        <f>'Kullanılan gübre'!AB157*'Gübre oranlar'!AE$3</f>
        <v>3.05</v>
      </c>
      <c r="AC157">
        <f>'Kullanılan gübre'!AC157*'Gübre oranlar'!AF$3</f>
        <v>0</v>
      </c>
      <c r="AD157">
        <f>'Kullanılan gübre'!AD157*'Gübre oranlar'!AG$3</f>
        <v>0</v>
      </c>
      <c r="AE157">
        <f>'Kullanılan gübre'!AE157*'Gübre oranlar'!AH$3</f>
        <v>0</v>
      </c>
      <c r="AF157">
        <f>'Kullanılan gübre'!AF157*'Gübre oranlar'!AI$3</f>
        <v>0</v>
      </c>
      <c r="AG157">
        <f>'Kullanılan gübre'!AG157*'Gübre oranlar'!AJ$3</f>
        <v>0</v>
      </c>
      <c r="AH157">
        <f>'Kullanılan gübre'!AH157*'Gübre oranlar'!AK$3</f>
        <v>0</v>
      </c>
      <c r="AI157">
        <f>'Kullanılan gübre'!AI157*'Gübre oranlar'!AL$3</f>
        <v>0</v>
      </c>
      <c r="AJ157">
        <f>'Kullanılan gübre'!AJ157*'Gübre oranlar'!AM$3</f>
        <v>0</v>
      </c>
      <c r="AK157">
        <f>'Kullanılan gübre'!AK157*'Gübre oranlar'!AN$3</f>
        <v>0</v>
      </c>
      <c r="AL157">
        <f>'Kullanılan gübre'!AL157*'Gübre oranlar'!AO$3</f>
        <v>0</v>
      </c>
      <c r="AM157">
        <f>'Kullanılan gübre'!AM157*'Gübre oranlar'!AP$3</f>
        <v>0</v>
      </c>
      <c r="AN157">
        <f>'Kullanılan gübre'!AN157*'Gübre oranlar'!AQ$3</f>
        <v>0</v>
      </c>
      <c r="AO157">
        <f>'Kullanılan gübre'!AO157*'Gübre oranlar'!AR$3</f>
        <v>0</v>
      </c>
      <c r="AP157">
        <f>'Kullanılan gübre'!AP157*'Gübre oranlar'!AS$3</f>
        <v>0</v>
      </c>
      <c r="AQ157">
        <f>'Kullanılan gübre'!AQ157*'Gübre oranlar'!AT$3</f>
        <v>0</v>
      </c>
      <c r="AR157">
        <f>'Kullanılan gübre'!AR157*'Gübre oranlar'!AU$3</f>
        <v>0</v>
      </c>
      <c r="AS157">
        <f>'Kullanılan gübre'!AS157*'Gübre oranlar'!AV$3</f>
        <v>17.52</v>
      </c>
      <c r="AT157">
        <f>'Kullanılan gübre'!AT157*'Gübre oranlar'!AW$3</f>
        <v>0</v>
      </c>
      <c r="AU157">
        <f>'Kullanılan gübre'!AU157*'Gübre oranlar'!AX$3</f>
        <v>0</v>
      </c>
      <c r="AV157">
        <f>'Kullanılan gübre'!AV157*'Gübre oranlar'!AY$3</f>
        <v>0</v>
      </c>
      <c r="AW157">
        <f t="shared" si="2"/>
        <v>515.46</v>
      </c>
    </row>
    <row r="158" spans="1:49" x14ac:dyDescent="0.25">
      <c r="A158" t="str">
        <f>'Kullanılan gübre'!A158</f>
        <v>BA</v>
      </c>
      <c r="B158" t="str">
        <f>'Kullanılan gübre'!B158</f>
        <v>ANTALYA</v>
      </c>
      <c r="C158" t="str">
        <f>'Kullanılan gübre'!C158</f>
        <v>KEMER</v>
      </c>
      <c r="D158">
        <f>'Kullanılan gübre'!D158</f>
        <v>2009</v>
      </c>
      <c r="E158">
        <f>'Kullanılan gübre'!E158*'Gübre oranlar'!H$3</f>
        <v>0</v>
      </c>
      <c r="F158">
        <f>'Kullanılan gübre'!F158*'Gübre oranlar'!I$3</f>
        <v>0</v>
      </c>
      <c r="G158">
        <f>'Kullanılan gübre'!G158*'Gübre oranlar'!J$3</f>
        <v>0</v>
      </c>
      <c r="H158">
        <f>'Kullanılan gübre'!H158*'Gübre oranlar'!K$3</f>
        <v>0</v>
      </c>
      <c r="I158">
        <f>'Kullanılan gübre'!I158*'Gübre oranlar'!L$3</f>
        <v>0</v>
      </c>
      <c r="J158">
        <f>'Kullanılan gübre'!J158*'Gübre oranlar'!M$3</f>
        <v>0</v>
      </c>
      <c r="K158">
        <f>'Kullanılan gübre'!K158*'Gübre oranlar'!N$3</f>
        <v>0.4</v>
      </c>
      <c r="L158">
        <f>'Kullanılan gübre'!L158*'Gübre oranlar'!O$3</f>
        <v>0</v>
      </c>
      <c r="M158">
        <f>'Kullanılan gübre'!M158*'Gübre oranlar'!P$3</f>
        <v>0</v>
      </c>
      <c r="N158">
        <f>'Kullanılan gübre'!N158*'Gübre oranlar'!Q$3</f>
        <v>6.75</v>
      </c>
      <c r="O158">
        <f>'Kullanılan gübre'!O158*'Gübre oranlar'!R$3</f>
        <v>0</v>
      </c>
      <c r="P158">
        <f>'Kullanılan gübre'!P158*'Gübre oranlar'!S$3</f>
        <v>0</v>
      </c>
      <c r="Q158">
        <f>'Kullanılan gübre'!Q158*'Gübre oranlar'!T$3</f>
        <v>0</v>
      </c>
      <c r="R158">
        <f>'Kullanılan gübre'!R158*'Gübre oranlar'!U$3</f>
        <v>0</v>
      </c>
      <c r="S158">
        <f>'Kullanılan gübre'!S158*'Gübre oranlar'!V$3</f>
        <v>0</v>
      </c>
      <c r="T158">
        <f>'Kullanılan gübre'!T158*'Gübre oranlar'!W$3</f>
        <v>0</v>
      </c>
      <c r="U158">
        <f>'Kullanılan gübre'!U158*'Gübre oranlar'!X$3</f>
        <v>0</v>
      </c>
      <c r="V158">
        <f>'Kullanılan gübre'!V158*'Gübre oranlar'!Y$3</f>
        <v>0</v>
      </c>
      <c r="W158">
        <f>'Kullanılan gübre'!W158*'Gübre oranlar'!Z$3</f>
        <v>0</v>
      </c>
      <c r="X158">
        <f>'Kullanılan gübre'!X158*'Gübre oranlar'!AA$3</f>
        <v>0</v>
      </c>
      <c r="Y158">
        <f>'Kullanılan gübre'!Y158*'Gübre oranlar'!AB$3</f>
        <v>0</v>
      </c>
      <c r="Z158">
        <f>'Kullanılan gübre'!Z158*'Gübre oranlar'!AC$3</f>
        <v>0</v>
      </c>
      <c r="AA158">
        <f>'Kullanılan gübre'!AA158*'Gübre oranlar'!AD$3</f>
        <v>0</v>
      </c>
      <c r="AB158">
        <f>'Kullanılan gübre'!AB158*'Gübre oranlar'!AE$3</f>
        <v>0</v>
      </c>
      <c r="AC158">
        <f>'Kullanılan gübre'!AC158*'Gübre oranlar'!AF$3</f>
        <v>0</v>
      </c>
      <c r="AD158">
        <f>'Kullanılan gübre'!AD158*'Gübre oranlar'!AG$3</f>
        <v>0</v>
      </c>
      <c r="AE158">
        <f>'Kullanılan gübre'!AE158*'Gübre oranlar'!AH$3</f>
        <v>0</v>
      </c>
      <c r="AF158">
        <f>'Kullanılan gübre'!AF158*'Gübre oranlar'!AI$3</f>
        <v>0</v>
      </c>
      <c r="AG158">
        <f>'Kullanılan gübre'!AG158*'Gübre oranlar'!AJ$3</f>
        <v>0</v>
      </c>
      <c r="AH158">
        <f>'Kullanılan gübre'!AH158*'Gübre oranlar'!AK$3</f>
        <v>0</v>
      </c>
      <c r="AI158">
        <f>'Kullanılan gübre'!AI158*'Gübre oranlar'!AL$3</f>
        <v>0</v>
      </c>
      <c r="AJ158">
        <f>'Kullanılan gübre'!AJ158*'Gübre oranlar'!AM$3</f>
        <v>0</v>
      </c>
      <c r="AK158">
        <f>'Kullanılan gübre'!AK158*'Gübre oranlar'!AN$3</f>
        <v>0</v>
      </c>
      <c r="AL158">
        <f>'Kullanılan gübre'!AL158*'Gübre oranlar'!AO$3</f>
        <v>0</v>
      </c>
      <c r="AM158">
        <f>'Kullanılan gübre'!AM158*'Gübre oranlar'!AP$3</f>
        <v>0</v>
      </c>
      <c r="AN158">
        <f>'Kullanılan gübre'!AN158*'Gübre oranlar'!AQ$3</f>
        <v>0</v>
      </c>
      <c r="AO158">
        <f>'Kullanılan gübre'!AO158*'Gübre oranlar'!AR$3</f>
        <v>0</v>
      </c>
      <c r="AP158">
        <f>'Kullanılan gübre'!AP158*'Gübre oranlar'!AS$3</f>
        <v>0</v>
      </c>
      <c r="AQ158">
        <f>'Kullanılan gübre'!AQ158*'Gübre oranlar'!AT$3</f>
        <v>0</v>
      </c>
      <c r="AR158">
        <f>'Kullanılan gübre'!AR158*'Gübre oranlar'!AU$3</f>
        <v>0</v>
      </c>
      <c r="AS158">
        <f>'Kullanılan gübre'!AS158*'Gübre oranlar'!AV$3</f>
        <v>0</v>
      </c>
      <c r="AT158">
        <f>'Kullanılan gübre'!AT158*'Gübre oranlar'!AW$3</f>
        <v>0</v>
      </c>
      <c r="AU158">
        <f>'Kullanılan gübre'!AU158*'Gübre oranlar'!AX$3</f>
        <v>0</v>
      </c>
      <c r="AV158">
        <f>'Kullanılan gübre'!AV158*'Gübre oranlar'!AY$3</f>
        <v>0</v>
      </c>
      <c r="AW158">
        <f t="shared" si="2"/>
        <v>7.15</v>
      </c>
    </row>
    <row r="159" spans="1:49" x14ac:dyDescent="0.25">
      <c r="A159" t="str">
        <f>'Kullanılan gübre'!A159</f>
        <v>BA</v>
      </c>
      <c r="B159" t="str">
        <f>'Kullanılan gübre'!B159</f>
        <v>ANTALYA</v>
      </c>
      <c r="C159" t="str">
        <f>'Kullanılan gübre'!C159</f>
        <v>KUMLUCA</v>
      </c>
      <c r="D159">
        <f>'Kullanılan gübre'!D159</f>
        <v>2009</v>
      </c>
      <c r="E159">
        <f>'Kullanılan gübre'!E159*'Gübre oranlar'!H$3</f>
        <v>0</v>
      </c>
      <c r="F159">
        <f>'Kullanılan gübre'!F159*'Gübre oranlar'!I$3</f>
        <v>0</v>
      </c>
      <c r="G159">
        <f>'Kullanılan gübre'!G159*'Gübre oranlar'!J$3</f>
        <v>0</v>
      </c>
      <c r="H159">
        <f>'Kullanılan gübre'!H159*'Gübre oranlar'!K$3</f>
        <v>0</v>
      </c>
      <c r="I159">
        <f>'Kullanılan gübre'!I159*'Gübre oranlar'!L$3</f>
        <v>41.28</v>
      </c>
      <c r="J159">
        <f>'Kullanılan gübre'!J159*'Gübre oranlar'!M$3</f>
        <v>0</v>
      </c>
      <c r="K159">
        <f>'Kullanılan gübre'!K159*'Gübre oranlar'!N$3</f>
        <v>36</v>
      </c>
      <c r="L159">
        <f>'Kullanılan gübre'!L159*'Gübre oranlar'!O$3</f>
        <v>7.4</v>
      </c>
      <c r="M159">
        <f>'Kullanılan gübre'!M159*'Gübre oranlar'!P$3</f>
        <v>66.75</v>
      </c>
      <c r="N159">
        <f>'Kullanılan gübre'!N159*'Gübre oranlar'!Q$3</f>
        <v>183.29999999999998</v>
      </c>
      <c r="O159">
        <f>'Kullanılan gübre'!O159*'Gübre oranlar'!R$3</f>
        <v>0</v>
      </c>
      <c r="P159">
        <f>'Kullanılan gübre'!P159*'Gübre oranlar'!S$3</f>
        <v>0</v>
      </c>
      <c r="Q159">
        <f>'Kullanılan gübre'!Q159*'Gübre oranlar'!T$3</f>
        <v>93</v>
      </c>
      <c r="R159">
        <f>'Kullanılan gübre'!R159*'Gübre oranlar'!U$3</f>
        <v>0</v>
      </c>
      <c r="S159">
        <f>'Kullanılan gübre'!S159*'Gübre oranlar'!V$3</f>
        <v>0</v>
      </c>
      <c r="T159">
        <f>'Kullanılan gübre'!T159*'Gübre oranlar'!W$3</f>
        <v>0</v>
      </c>
      <c r="U159">
        <f>'Kullanılan gübre'!U159*'Gübre oranlar'!X$3</f>
        <v>2.5</v>
      </c>
      <c r="V159">
        <f>'Kullanılan gübre'!V159*'Gübre oranlar'!Y$3</f>
        <v>0</v>
      </c>
      <c r="W159">
        <f>'Kullanılan gübre'!W159*'Gübre oranlar'!Z$3</f>
        <v>0</v>
      </c>
      <c r="X159">
        <f>'Kullanılan gübre'!X159*'Gübre oranlar'!AA$3</f>
        <v>0</v>
      </c>
      <c r="Y159">
        <f>'Kullanılan gübre'!Y159*'Gübre oranlar'!AB$3</f>
        <v>0</v>
      </c>
      <c r="Z159">
        <f>'Kullanılan gübre'!Z159*'Gübre oranlar'!AC$3</f>
        <v>0</v>
      </c>
      <c r="AA159">
        <f>'Kullanılan gübre'!AA159*'Gübre oranlar'!AD$3</f>
        <v>0</v>
      </c>
      <c r="AB159">
        <f>'Kullanılan gübre'!AB159*'Gübre oranlar'!AE$3</f>
        <v>18.91</v>
      </c>
      <c r="AC159">
        <f>'Kullanılan gübre'!AC159*'Gübre oranlar'!AF$3</f>
        <v>0</v>
      </c>
      <c r="AD159">
        <f>'Kullanılan gübre'!AD159*'Gübre oranlar'!AG$3</f>
        <v>0</v>
      </c>
      <c r="AE159">
        <f>'Kullanılan gübre'!AE159*'Gübre oranlar'!AH$3</f>
        <v>0</v>
      </c>
      <c r="AF159">
        <f>'Kullanılan gübre'!AF159*'Gübre oranlar'!AI$3</f>
        <v>0</v>
      </c>
      <c r="AG159">
        <f>'Kullanılan gübre'!AG159*'Gübre oranlar'!AJ$3</f>
        <v>0</v>
      </c>
      <c r="AH159">
        <f>'Kullanılan gübre'!AH159*'Gübre oranlar'!AK$3</f>
        <v>0</v>
      </c>
      <c r="AI159">
        <f>'Kullanılan gübre'!AI159*'Gübre oranlar'!AL$3</f>
        <v>0</v>
      </c>
      <c r="AJ159">
        <f>'Kullanılan gübre'!AJ159*'Gübre oranlar'!AM$3</f>
        <v>0</v>
      </c>
      <c r="AK159">
        <f>'Kullanılan gübre'!AK159*'Gübre oranlar'!AN$3</f>
        <v>0</v>
      </c>
      <c r="AL159">
        <f>'Kullanılan gübre'!AL159*'Gübre oranlar'!AO$3</f>
        <v>0</v>
      </c>
      <c r="AM159">
        <f>'Kullanılan gübre'!AM159*'Gübre oranlar'!AP$3</f>
        <v>0</v>
      </c>
      <c r="AN159">
        <f>'Kullanılan gübre'!AN159*'Gübre oranlar'!AQ$3</f>
        <v>0</v>
      </c>
      <c r="AO159">
        <f>'Kullanılan gübre'!AO159*'Gübre oranlar'!AR$3</f>
        <v>0</v>
      </c>
      <c r="AP159">
        <f>'Kullanılan gübre'!AP159*'Gübre oranlar'!AS$3</f>
        <v>0</v>
      </c>
      <c r="AQ159">
        <f>'Kullanılan gübre'!AQ159*'Gübre oranlar'!AT$3</f>
        <v>0</v>
      </c>
      <c r="AR159">
        <f>'Kullanılan gübre'!AR159*'Gübre oranlar'!AU$3</f>
        <v>0</v>
      </c>
      <c r="AS159">
        <f>'Kullanılan gübre'!AS159*'Gübre oranlar'!AV$3</f>
        <v>48.239999999999995</v>
      </c>
      <c r="AT159">
        <f>'Kullanılan gübre'!AT159*'Gübre oranlar'!AW$3</f>
        <v>0</v>
      </c>
      <c r="AU159">
        <f>'Kullanılan gübre'!AU159*'Gübre oranlar'!AX$3</f>
        <v>0</v>
      </c>
      <c r="AV159">
        <f>'Kullanılan gübre'!AV159*'Gübre oranlar'!AY$3</f>
        <v>0</v>
      </c>
      <c r="AW159">
        <f t="shared" si="2"/>
        <v>497.38000000000005</v>
      </c>
    </row>
    <row r="160" spans="1:49" x14ac:dyDescent="0.25">
      <c r="A160" t="str">
        <f>'Kullanılan gübre'!A160</f>
        <v>BA</v>
      </c>
      <c r="B160" t="str">
        <f>'Kullanılan gübre'!B160</f>
        <v>ANTALYA</v>
      </c>
      <c r="C160" t="str">
        <f>'Kullanılan gübre'!C160</f>
        <v>FINIKE</v>
      </c>
      <c r="D160">
        <f>'Kullanılan gübre'!D160</f>
        <v>2009</v>
      </c>
      <c r="E160">
        <f>'Kullanılan gübre'!E160*'Gübre oranlar'!H$3</f>
        <v>0</v>
      </c>
      <c r="F160">
        <f>'Kullanılan gübre'!F160*'Gübre oranlar'!I$3</f>
        <v>0</v>
      </c>
      <c r="G160">
        <f>'Kullanılan gübre'!G160*'Gübre oranlar'!J$3</f>
        <v>0</v>
      </c>
      <c r="H160">
        <f>'Kullanılan gübre'!H160*'Gübre oranlar'!K$3</f>
        <v>0</v>
      </c>
      <c r="I160">
        <f>'Kullanılan gübre'!I160*'Gübre oranlar'!L$3</f>
        <v>27.52</v>
      </c>
      <c r="J160">
        <f>'Kullanılan gübre'!J160*'Gübre oranlar'!M$3</f>
        <v>0</v>
      </c>
      <c r="K160">
        <f>'Kullanılan gübre'!K160*'Gübre oranlar'!N$3</f>
        <v>20.8</v>
      </c>
      <c r="L160">
        <f>'Kullanılan gübre'!L160*'Gübre oranlar'!O$3</f>
        <v>0</v>
      </c>
      <c r="M160">
        <f>'Kullanılan gübre'!M160*'Gübre oranlar'!P$3</f>
        <v>39</v>
      </c>
      <c r="N160">
        <f>'Kullanılan gübre'!N160*'Gübre oranlar'!Q$3</f>
        <v>154.5</v>
      </c>
      <c r="O160">
        <f>'Kullanılan gübre'!O160*'Gübre oranlar'!R$3</f>
        <v>0</v>
      </c>
      <c r="P160">
        <f>'Kullanılan gübre'!P160*'Gübre oranlar'!S$3</f>
        <v>0</v>
      </c>
      <c r="Q160">
        <f>'Kullanılan gübre'!Q160*'Gübre oranlar'!T$3</f>
        <v>86.1</v>
      </c>
      <c r="R160">
        <f>'Kullanılan gübre'!R160*'Gübre oranlar'!U$3</f>
        <v>0</v>
      </c>
      <c r="S160">
        <f>'Kullanılan gübre'!S160*'Gübre oranlar'!V$3</f>
        <v>0</v>
      </c>
      <c r="T160">
        <f>'Kullanılan gübre'!T160*'Gübre oranlar'!W$3</f>
        <v>0</v>
      </c>
      <c r="U160">
        <f>'Kullanılan gübre'!U160*'Gübre oranlar'!X$3</f>
        <v>10.950000000000001</v>
      </c>
      <c r="V160">
        <f>'Kullanılan gübre'!V160*'Gübre oranlar'!Y$3</f>
        <v>0</v>
      </c>
      <c r="W160">
        <f>'Kullanılan gübre'!W160*'Gübre oranlar'!Z$3</f>
        <v>0</v>
      </c>
      <c r="X160">
        <f>'Kullanılan gübre'!X160*'Gübre oranlar'!AA$3</f>
        <v>0</v>
      </c>
      <c r="Y160">
        <f>'Kullanılan gübre'!Y160*'Gübre oranlar'!AB$3</f>
        <v>0</v>
      </c>
      <c r="Z160">
        <f>'Kullanılan gübre'!Z160*'Gübre oranlar'!AC$3</f>
        <v>0</v>
      </c>
      <c r="AA160">
        <f>'Kullanılan gübre'!AA160*'Gübre oranlar'!AD$3</f>
        <v>0</v>
      </c>
      <c r="AB160">
        <f>'Kullanılan gübre'!AB160*'Gübre oranlar'!AE$3</f>
        <v>16.47</v>
      </c>
      <c r="AC160">
        <f>'Kullanılan gübre'!AC160*'Gübre oranlar'!AF$3</f>
        <v>0</v>
      </c>
      <c r="AD160">
        <f>'Kullanılan gübre'!AD160*'Gübre oranlar'!AG$3</f>
        <v>0</v>
      </c>
      <c r="AE160">
        <f>'Kullanılan gübre'!AE160*'Gübre oranlar'!AH$3</f>
        <v>0</v>
      </c>
      <c r="AF160">
        <f>'Kullanılan gübre'!AF160*'Gübre oranlar'!AI$3</f>
        <v>0</v>
      </c>
      <c r="AG160">
        <f>'Kullanılan gübre'!AG160*'Gübre oranlar'!AJ$3</f>
        <v>0</v>
      </c>
      <c r="AH160">
        <f>'Kullanılan gübre'!AH160*'Gübre oranlar'!AK$3</f>
        <v>0</v>
      </c>
      <c r="AI160">
        <f>'Kullanılan gübre'!AI160*'Gübre oranlar'!AL$3</f>
        <v>0</v>
      </c>
      <c r="AJ160">
        <f>'Kullanılan gübre'!AJ160*'Gübre oranlar'!AM$3</f>
        <v>0</v>
      </c>
      <c r="AK160">
        <f>'Kullanılan gübre'!AK160*'Gübre oranlar'!AN$3</f>
        <v>0</v>
      </c>
      <c r="AL160">
        <f>'Kullanılan gübre'!AL160*'Gübre oranlar'!AO$3</f>
        <v>0</v>
      </c>
      <c r="AM160">
        <f>'Kullanılan gübre'!AM160*'Gübre oranlar'!AP$3</f>
        <v>0</v>
      </c>
      <c r="AN160">
        <f>'Kullanılan gübre'!AN160*'Gübre oranlar'!AQ$3</f>
        <v>0</v>
      </c>
      <c r="AO160">
        <f>'Kullanılan gübre'!AO160*'Gübre oranlar'!AR$3</f>
        <v>0</v>
      </c>
      <c r="AP160">
        <f>'Kullanılan gübre'!AP160*'Gübre oranlar'!AS$3</f>
        <v>0</v>
      </c>
      <c r="AQ160">
        <f>'Kullanılan gübre'!AQ160*'Gübre oranlar'!AT$3</f>
        <v>0</v>
      </c>
      <c r="AR160">
        <f>'Kullanılan gübre'!AR160*'Gübre oranlar'!AU$3</f>
        <v>0</v>
      </c>
      <c r="AS160">
        <f>'Kullanılan gübre'!AS160*'Gübre oranlar'!AV$3</f>
        <v>94.32</v>
      </c>
      <c r="AT160">
        <f>'Kullanılan gübre'!AT160*'Gübre oranlar'!AW$3</f>
        <v>0</v>
      </c>
      <c r="AU160">
        <f>'Kullanılan gübre'!AU160*'Gübre oranlar'!AX$3</f>
        <v>0</v>
      </c>
      <c r="AV160">
        <f>'Kullanılan gübre'!AV160*'Gübre oranlar'!AY$3</f>
        <v>0</v>
      </c>
      <c r="AW160">
        <f t="shared" si="2"/>
        <v>449.65999999999991</v>
      </c>
    </row>
    <row r="161" spans="1:49" x14ac:dyDescent="0.25">
      <c r="A161" t="str">
        <f>'Kullanılan gübre'!A161</f>
        <v>BA</v>
      </c>
      <c r="B161" t="str">
        <f>'Kullanılan gübre'!B161</f>
        <v>ANTALYA</v>
      </c>
      <c r="C161" t="str">
        <f>'Kullanılan gübre'!C161</f>
        <v>DEMRE</v>
      </c>
      <c r="D161">
        <f>'Kullanılan gübre'!D161</f>
        <v>2009</v>
      </c>
      <c r="E161">
        <f>'Kullanılan gübre'!E161*'Gübre oranlar'!H$3</f>
        <v>0</v>
      </c>
      <c r="F161">
        <f>'Kullanılan gübre'!F161*'Gübre oranlar'!I$3</f>
        <v>0</v>
      </c>
      <c r="G161">
        <f>'Kullanılan gübre'!G161*'Gübre oranlar'!J$3</f>
        <v>0</v>
      </c>
      <c r="H161">
        <f>'Kullanılan gübre'!H161*'Gübre oranlar'!K$3</f>
        <v>0</v>
      </c>
      <c r="I161">
        <f>'Kullanılan gübre'!I161*'Gübre oranlar'!L$3</f>
        <v>3.01</v>
      </c>
      <c r="J161">
        <f>'Kullanılan gübre'!J161*'Gübre oranlar'!M$3</f>
        <v>0</v>
      </c>
      <c r="K161">
        <f>'Kullanılan gübre'!K161*'Gübre oranlar'!N$3</f>
        <v>9.6000000000000014</v>
      </c>
      <c r="L161">
        <f>'Kullanılan gübre'!L161*'Gübre oranlar'!O$3</f>
        <v>0</v>
      </c>
      <c r="M161">
        <f>'Kullanılan gübre'!M161*'Gübre oranlar'!P$3</f>
        <v>4.3499999999999996</v>
      </c>
      <c r="N161">
        <f>'Kullanılan gübre'!N161*'Gübre oranlar'!Q$3</f>
        <v>14.549999999999999</v>
      </c>
      <c r="O161">
        <f>'Kullanılan gübre'!O161*'Gübre oranlar'!R$3</f>
        <v>0</v>
      </c>
      <c r="P161">
        <f>'Kullanılan gübre'!P161*'Gübre oranlar'!S$3</f>
        <v>0</v>
      </c>
      <c r="Q161">
        <f>'Kullanılan gübre'!Q161*'Gübre oranlar'!T$3</f>
        <v>0</v>
      </c>
      <c r="R161">
        <f>'Kullanılan gübre'!R161*'Gübre oranlar'!U$3</f>
        <v>0</v>
      </c>
      <c r="S161">
        <f>'Kullanılan gübre'!S161*'Gübre oranlar'!V$3</f>
        <v>0</v>
      </c>
      <c r="T161">
        <f>'Kullanılan gübre'!T161*'Gübre oranlar'!W$3</f>
        <v>0</v>
      </c>
      <c r="U161">
        <f>'Kullanılan gübre'!U161*'Gübre oranlar'!X$3</f>
        <v>1.4500000000000002</v>
      </c>
      <c r="V161">
        <f>'Kullanılan gübre'!V161*'Gübre oranlar'!Y$3</f>
        <v>0</v>
      </c>
      <c r="W161">
        <f>'Kullanılan gübre'!W161*'Gübre oranlar'!Z$3</f>
        <v>0</v>
      </c>
      <c r="X161">
        <f>'Kullanılan gübre'!X161*'Gübre oranlar'!AA$3</f>
        <v>0</v>
      </c>
      <c r="Y161">
        <f>'Kullanılan gübre'!Y161*'Gübre oranlar'!AB$3</f>
        <v>0</v>
      </c>
      <c r="Z161">
        <f>'Kullanılan gübre'!Z161*'Gübre oranlar'!AC$3</f>
        <v>0</v>
      </c>
      <c r="AA161">
        <f>'Kullanılan gübre'!AA161*'Gübre oranlar'!AD$3</f>
        <v>0</v>
      </c>
      <c r="AB161">
        <f>'Kullanılan gübre'!AB161*'Gübre oranlar'!AE$3</f>
        <v>44.53</v>
      </c>
      <c r="AC161">
        <f>'Kullanılan gübre'!AC161*'Gübre oranlar'!AF$3</f>
        <v>0</v>
      </c>
      <c r="AD161">
        <f>'Kullanılan gübre'!AD161*'Gübre oranlar'!AG$3</f>
        <v>0</v>
      </c>
      <c r="AE161">
        <f>'Kullanılan gübre'!AE161*'Gübre oranlar'!AH$3</f>
        <v>0</v>
      </c>
      <c r="AF161">
        <f>'Kullanılan gübre'!AF161*'Gübre oranlar'!AI$3</f>
        <v>0</v>
      </c>
      <c r="AG161">
        <f>'Kullanılan gübre'!AG161*'Gübre oranlar'!AJ$3</f>
        <v>0</v>
      </c>
      <c r="AH161">
        <f>'Kullanılan gübre'!AH161*'Gübre oranlar'!AK$3</f>
        <v>0</v>
      </c>
      <c r="AI161">
        <f>'Kullanılan gübre'!AI161*'Gübre oranlar'!AL$3</f>
        <v>0</v>
      </c>
      <c r="AJ161">
        <f>'Kullanılan gübre'!AJ161*'Gübre oranlar'!AM$3</f>
        <v>0</v>
      </c>
      <c r="AK161">
        <f>'Kullanılan gübre'!AK161*'Gübre oranlar'!AN$3</f>
        <v>0</v>
      </c>
      <c r="AL161">
        <f>'Kullanılan gübre'!AL161*'Gübre oranlar'!AO$3</f>
        <v>0</v>
      </c>
      <c r="AM161">
        <f>'Kullanılan gübre'!AM161*'Gübre oranlar'!AP$3</f>
        <v>0</v>
      </c>
      <c r="AN161">
        <f>'Kullanılan gübre'!AN161*'Gübre oranlar'!AQ$3</f>
        <v>0</v>
      </c>
      <c r="AO161">
        <f>'Kullanılan gübre'!AO161*'Gübre oranlar'!AR$3</f>
        <v>0</v>
      </c>
      <c r="AP161">
        <f>'Kullanılan gübre'!AP161*'Gübre oranlar'!AS$3</f>
        <v>0</v>
      </c>
      <c r="AQ161">
        <f>'Kullanılan gübre'!AQ161*'Gübre oranlar'!AT$3</f>
        <v>0</v>
      </c>
      <c r="AR161">
        <f>'Kullanılan gübre'!AR161*'Gübre oranlar'!AU$3</f>
        <v>0</v>
      </c>
      <c r="AS161">
        <f>'Kullanılan gübre'!AS161*'Gübre oranlar'!AV$3</f>
        <v>0</v>
      </c>
      <c r="AT161">
        <f>'Kullanılan gübre'!AT161*'Gübre oranlar'!AW$3</f>
        <v>0</v>
      </c>
      <c r="AU161">
        <f>'Kullanılan gübre'!AU161*'Gübre oranlar'!AX$3</f>
        <v>0</v>
      </c>
      <c r="AV161">
        <f>'Kullanılan gübre'!AV161*'Gübre oranlar'!AY$3</f>
        <v>0</v>
      </c>
      <c r="AW161">
        <f t="shared" si="2"/>
        <v>77.490000000000009</v>
      </c>
    </row>
    <row r="162" spans="1:49" x14ac:dyDescent="0.25">
      <c r="A162" t="str">
        <f>'Kullanılan gübre'!A162</f>
        <v>BA</v>
      </c>
      <c r="B162" t="str">
        <f>'Kullanılan gübre'!B162</f>
        <v>ANTALYA</v>
      </c>
      <c r="C162" t="str">
        <f>'Kullanılan gübre'!C162</f>
        <v>KAS</v>
      </c>
      <c r="D162">
        <f>'Kullanılan gübre'!D162</f>
        <v>2009</v>
      </c>
      <c r="E162">
        <f>'Kullanılan gübre'!E162*'Gübre oranlar'!H$3</f>
        <v>0</v>
      </c>
      <c r="F162">
        <f>'Kullanılan gübre'!F162*'Gübre oranlar'!I$3</f>
        <v>0</v>
      </c>
      <c r="G162">
        <f>'Kullanılan gübre'!G162*'Gübre oranlar'!J$3</f>
        <v>0</v>
      </c>
      <c r="H162">
        <f>'Kullanılan gübre'!H162*'Gübre oranlar'!K$3</f>
        <v>0</v>
      </c>
      <c r="I162">
        <f>'Kullanılan gübre'!I162*'Gübre oranlar'!L$3</f>
        <v>0.86</v>
      </c>
      <c r="J162">
        <f>'Kullanılan gübre'!J162*'Gübre oranlar'!M$3</f>
        <v>0</v>
      </c>
      <c r="K162">
        <f>'Kullanılan gübre'!K162*'Gübre oranlar'!N$3</f>
        <v>18.8</v>
      </c>
      <c r="L162">
        <f>'Kullanılan gübre'!L162*'Gübre oranlar'!O$3</f>
        <v>0.8</v>
      </c>
      <c r="M162">
        <f>'Kullanılan gübre'!M162*'Gübre oranlar'!P$3</f>
        <v>8.5499999999999989</v>
      </c>
      <c r="N162">
        <f>'Kullanılan gübre'!N162*'Gübre oranlar'!Q$3</f>
        <v>44.55</v>
      </c>
      <c r="O162">
        <f>'Kullanılan gübre'!O162*'Gübre oranlar'!R$3</f>
        <v>0</v>
      </c>
      <c r="P162">
        <f>'Kullanılan gübre'!P162*'Gübre oranlar'!S$3</f>
        <v>0</v>
      </c>
      <c r="Q162">
        <f>'Kullanılan gübre'!Q162*'Gübre oranlar'!T$3</f>
        <v>0</v>
      </c>
      <c r="R162">
        <f>'Kullanılan gübre'!R162*'Gübre oranlar'!U$3</f>
        <v>0</v>
      </c>
      <c r="S162">
        <f>'Kullanılan gübre'!S162*'Gübre oranlar'!V$3</f>
        <v>0</v>
      </c>
      <c r="T162">
        <f>'Kullanılan gübre'!T162*'Gübre oranlar'!W$3</f>
        <v>0</v>
      </c>
      <c r="U162">
        <f>'Kullanılan gübre'!U162*'Gübre oranlar'!X$3</f>
        <v>0</v>
      </c>
      <c r="V162">
        <f>'Kullanılan gübre'!V162*'Gübre oranlar'!Y$3</f>
        <v>0</v>
      </c>
      <c r="W162">
        <f>'Kullanılan gübre'!W162*'Gübre oranlar'!Z$3</f>
        <v>0</v>
      </c>
      <c r="X162">
        <f>'Kullanılan gübre'!X162*'Gübre oranlar'!AA$3</f>
        <v>0</v>
      </c>
      <c r="Y162">
        <f>'Kullanılan gübre'!Y162*'Gübre oranlar'!AB$3</f>
        <v>0</v>
      </c>
      <c r="Z162">
        <f>'Kullanılan gübre'!Z162*'Gübre oranlar'!AC$3</f>
        <v>0</v>
      </c>
      <c r="AA162">
        <f>'Kullanılan gübre'!AA162*'Gübre oranlar'!AD$3</f>
        <v>0</v>
      </c>
      <c r="AB162">
        <f>'Kullanılan gübre'!AB162*'Gübre oranlar'!AE$3</f>
        <v>0</v>
      </c>
      <c r="AC162">
        <f>'Kullanılan gübre'!AC162*'Gübre oranlar'!AF$3</f>
        <v>0</v>
      </c>
      <c r="AD162">
        <f>'Kullanılan gübre'!AD162*'Gübre oranlar'!AG$3</f>
        <v>0</v>
      </c>
      <c r="AE162">
        <f>'Kullanılan gübre'!AE162*'Gübre oranlar'!AH$3</f>
        <v>0</v>
      </c>
      <c r="AF162">
        <f>'Kullanılan gübre'!AF162*'Gübre oranlar'!AI$3</f>
        <v>0</v>
      </c>
      <c r="AG162">
        <f>'Kullanılan gübre'!AG162*'Gübre oranlar'!AJ$3</f>
        <v>0</v>
      </c>
      <c r="AH162">
        <f>'Kullanılan gübre'!AH162*'Gübre oranlar'!AK$3</f>
        <v>0</v>
      </c>
      <c r="AI162">
        <f>'Kullanılan gübre'!AI162*'Gübre oranlar'!AL$3</f>
        <v>0</v>
      </c>
      <c r="AJ162">
        <f>'Kullanılan gübre'!AJ162*'Gübre oranlar'!AM$3</f>
        <v>0</v>
      </c>
      <c r="AK162">
        <f>'Kullanılan gübre'!AK162*'Gübre oranlar'!AN$3</f>
        <v>0</v>
      </c>
      <c r="AL162">
        <f>'Kullanılan gübre'!AL162*'Gübre oranlar'!AO$3</f>
        <v>0</v>
      </c>
      <c r="AM162">
        <f>'Kullanılan gübre'!AM162*'Gübre oranlar'!AP$3</f>
        <v>0</v>
      </c>
      <c r="AN162">
        <f>'Kullanılan gübre'!AN162*'Gübre oranlar'!AQ$3</f>
        <v>0</v>
      </c>
      <c r="AO162">
        <f>'Kullanılan gübre'!AO162*'Gübre oranlar'!AR$3</f>
        <v>0</v>
      </c>
      <c r="AP162">
        <f>'Kullanılan gübre'!AP162*'Gübre oranlar'!AS$3</f>
        <v>0</v>
      </c>
      <c r="AQ162">
        <f>'Kullanılan gübre'!AQ162*'Gübre oranlar'!AT$3</f>
        <v>0</v>
      </c>
      <c r="AR162">
        <f>'Kullanılan gübre'!AR162*'Gübre oranlar'!AU$3</f>
        <v>0</v>
      </c>
      <c r="AS162">
        <f>'Kullanılan gübre'!AS162*'Gübre oranlar'!AV$3</f>
        <v>0</v>
      </c>
      <c r="AT162">
        <f>'Kullanılan gübre'!AT162*'Gübre oranlar'!AW$3</f>
        <v>0</v>
      </c>
      <c r="AU162">
        <f>'Kullanılan gübre'!AU162*'Gübre oranlar'!AX$3</f>
        <v>0</v>
      </c>
      <c r="AV162">
        <f>'Kullanılan gübre'!AV162*'Gübre oranlar'!AY$3</f>
        <v>0</v>
      </c>
      <c r="AW162">
        <f t="shared" si="2"/>
        <v>73.56</v>
      </c>
    </row>
    <row r="163" spans="1:49" x14ac:dyDescent="0.25">
      <c r="A163" t="str">
        <f>'Kullanılan gübre'!A163</f>
        <v>BA</v>
      </c>
      <c r="B163" t="str">
        <f>'Kullanılan gübre'!B163</f>
        <v>ANTALYA</v>
      </c>
      <c r="C163" t="str">
        <f>'Kullanılan gübre'!C163</f>
        <v>KORKUTELI</v>
      </c>
      <c r="D163">
        <f>'Kullanılan gübre'!D163</f>
        <v>2009</v>
      </c>
      <c r="E163">
        <f>'Kullanılan gübre'!E163*'Gübre oranlar'!H$3</f>
        <v>0</v>
      </c>
      <c r="F163">
        <f>'Kullanılan gübre'!F163*'Gübre oranlar'!I$3</f>
        <v>0</v>
      </c>
      <c r="G163">
        <f>'Kullanılan gübre'!G163*'Gübre oranlar'!J$3</f>
        <v>0</v>
      </c>
      <c r="H163">
        <f>'Kullanılan gübre'!H163*'Gübre oranlar'!K$3</f>
        <v>0</v>
      </c>
      <c r="I163">
        <f>'Kullanılan gübre'!I163*'Gübre oranlar'!L$3</f>
        <v>56.33</v>
      </c>
      <c r="J163">
        <f>'Kullanılan gübre'!J163*'Gübre oranlar'!M$3</f>
        <v>0</v>
      </c>
      <c r="K163">
        <f>'Kullanılan gübre'!K163*'Gübre oranlar'!N$3</f>
        <v>826.40000000000009</v>
      </c>
      <c r="L163">
        <f>'Kullanılan gübre'!L163*'Gübre oranlar'!O$3</f>
        <v>44.2</v>
      </c>
      <c r="M163">
        <f>'Kullanılan gübre'!M163*'Gübre oranlar'!P$3</f>
        <v>186.75</v>
      </c>
      <c r="N163">
        <f>'Kullanılan gübre'!N163*'Gübre oranlar'!Q$3</f>
        <v>40.35</v>
      </c>
      <c r="O163">
        <f>'Kullanılan gübre'!O163*'Gübre oranlar'!R$3</f>
        <v>0</v>
      </c>
      <c r="P163">
        <f>'Kullanılan gübre'!P163*'Gübre oranlar'!S$3</f>
        <v>0</v>
      </c>
      <c r="Q163">
        <f>'Kullanılan gübre'!Q163*'Gübre oranlar'!T$3</f>
        <v>0</v>
      </c>
      <c r="R163">
        <f>'Kullanılan gübre'!R163*'Gübre oranlar'!U$3</f>
        <v>0</v>
      </c>
      <c r="S163">
        <f>'Kullanılan gübre'!S163*'Gübre oranlar'!V$3</f>
        <v>0</v>
      </c>
      <c r="T163">
        <f>'Kullanılan gübre'!T163*'Gübre oranlar'!W$3</f>
        <v>0</v>
      </c>
      <c r="U163">
        <f>'Kullanılan gübre'!U163*'Gübre oranlar'!X$3</f>
        <v>0.55000000000000004</v>
      </c>
      <c r="V163">
        <f>'Kullanılan gübre'!V163*'Gübre oranlar'!Y$3</f>
        <v>0</v>
      </c>
      <c r="W163">
        <f>'Kullanılan gübre'!W163*'Gübre oranlar'!Z$3</f>
        <v>0</v>
      </c>
      <c r="X163">
        <f>'Kullanılan gübre'!X163*'Gübre oranlar'!AA$3</f>
        <v>0</v>
      </c>
      <c r="Y163">
        <f>'Kullanılan gübre'!Y163*'Gübre oranlar'!AB$3</f>
        <v>0</v>
      </c>
      <c r="Z163">
        <f>'Kullanılan gübre'!Z163*'Gübre oranlar'!AC$3</f>
        <v>0</v>
      </c>
      <c r="AA163">
        <f>'Kullanılan gübre'!AA163*'Gübre oranlar'!AD$3</f>
        <v>0</v>
      </c>
      <c r="AB163">
        <f>'Kullanılan gübre'!AB163*'Gübre oranlar'!AE$3</f>
        <v>3.05</v>
      </c>
      <c r="AC163">
        <f>'Kullanılan gübre'!AC163*'Gübre oranlar'!AF$3</f>
        <v>0</v>
      </c>
      <c r="AD163">
        <f>'Kullanılan gübre'!AD163*'Gübre oranlar'!AG$3</f>
        <v>0</v>
      </c>
      <c r="AE163">
        <f>'Kullanılan gübre'!AE163*'Gübre oranlar'!AH$3</f>
        <v>0</v>
      </c>
      <c r="AF163">
        <f>'Kullanılan gübre'!AF163*'Gübre oranlar'!AI$3</f>
        <v>0</v>
      </c>
      <c r="AG163">
        <f>'Kullanılan gübre'!AG163*'Gübre oranlar'!AJ$3</f>
        <v>0</v>
      </c>
      <c r="AH163">
        <f>'Kullanılan gübre'!AH163*'Gübre oranlar'!AK$3</f>
        <v>0</v>
      </c>
      <c r="AI163">
        <f>'Kullanılan gübre'!AI163*'Gübre oranlar'!AL$3</f>
        <v>0</v>
      </c>
      <c r="AJ163">
        <f>'Kullanılan gübre'!AJ163*'Gübre oranlar'!AM$3</f>
        <v>0</v>
      </c>
      <c r="AK163">
        <f>'Kullanılan gübre'!AK163*'Gübre oranlar'!AN$3</f>
        <v>0</v>
      </c>
      <c r="AL163">
        <f>'Kullanılan gübre'!AL163*'Gübre oranlar'!AO$3</f>
        <v>0</v>
      </c>
      <c r="AM163">
        <f>'Kullanılan gübre'!AM163*'Gübre oranlar'!AP$3</f>
        <v>0</v>
      </c>
      <c r="AN163">
        <f>'Kullanılan gübre'!AN163*'Gübre oranlar'!AQ$3</f>
        <v>0</v>
      </c>
      <c r="AO163">
        <f>'Kullanılan gübre'!AO163*'Gübre oranlar'!AR$3</f>
        <v>0</v>
      </c>
      <c r="AP163">
        <f>'Kullanılan gübre'!AP163*'Gübre oranlar'!AS$3</f>
        <v>0</v>
      </c>
      <c r="AQ163">
        <f>'Kullanılan gübre'!AQ163*'Gübre oranlar'!AT$3</f>
        <v>0</v>
      </c>
      <c r="AR163">
        <f>'Kullanılan gübre'!AR163*'Gübre oranlar'!AU$3</f>
        <v>0</v>
      </c>
      <c r="AS163">
        <f>'Kullanılan gübre'!AS163*'Gübre oranlar'!AV$3</f>
        <v>0</v>
      </c>
      <c r="AT163">
        <f>'Kullanılan gübre'!AT163*'Gübre oranlar'!AW$3</f>
        <v>0</v>
      </c>
      <c r="AU163">
        <f>'Kullanılan gübre'!AU163*'Gübre oranlar'!AX$3</f>
        <v>0</v>
      </c>
      <c r="AV163">
        <f>'Kullanılan gübre'!AV163*'Gübre oranlar'!AY$3</f>
        <v>0</v>
      </c>
      <c r="AW163">
        <f t="shared" si="2"/>
        <v>1157.6300000000001</v>
      </c>
    </row>
    <row r="164" spans="1:49" x14ac:dyDescent="0.25">
      <c r="A164" t="str">
        <f>'Kullanılan gübre'!A164</f>
        <v>BA</v>
      </c>
      <c r="B164" t="str">
        <f>'Kullanılan gübre'!B164</f>
        <v>ANTALYA</v>
      </c>
      <c r="C164" t="str">
        <f>'Kullanılan gübre'!C164</f>
        <v>ELMALI</v>
      </c>
      <c r="D164">
        <f>'Kullanılan gübre'!D164</f>
        <v>2009</v>
      </c>
      <c r="E164">
        <f>'Kullanılan gübre'!E164*'Gübre oranlar'!H$3</f>
        <v>0</v>
      </c>
      <c r="F164">
        <f>'Kullanılan gübre'!F164*'Gübre oranlar'!I$3</f>
        <v>0</v>
      </c>
      <c r="G164">
        <f>'Kullanılan gübre'!G164*'Gübre oranlar'!J$3</f>
        <v>0</v>
      </c>
      <c r="H164">
        <f>'Kullanılan gübre'!H164*'Gübre oranlar'!K$3</f>
        <v>0</v>
      </c>
      <c r="I164">
        <f>'Kullanılan gübre'!I164*'Gübre oranlar'!L$3</f>
        <v>36.979999999999997</v>
      </c>
      <c r="J164">
        <f>'Kullanılan gübre'!J164*'Gübre oranlar'!M$3</f>
        <v>0</v>
      </c>
      <c r="K164">
        <f>'Kullanılan gübre'!K164*'Gübre oranlar'!N$3</f>
        <v>239.8</v>
      </c>
      <c r="L164">
        <f>'Kullanılan gübre'!L164*'Gübre oranlar'!O$3</f>
        <v>3.4000000000000004</v>
      </c>
      <c r="M164">
        <f>'Kullanılan gübre'!M164*'Gübre oranlar'!P$3</f>
        <v>116.39999999999999</v>
      </c>
      <c r="N164">
        <f>'Kullanılan gübre'!N164*'Gübre oranlar'!Q$3</f>
        <v>11.1</v>
      </c>
      <c r="O164">
        <f>'Kullanılan gübre'!O164*'Gübre oranlar'!R$3</f>
        <v>0</v>
      </c>
      <c r="P164">
        <f>'Kullanılan gübre'!P164*'Gübre oranlar'!S$3</f>
        <v>0</v>
      </c>
      <c r="Q164">
        <f>'Kullanılan gübre'!Q164*'Gübre oranlar'!T$3</f>
        <v>5.0999999999999996</v>
      </c>
      <c r="R164">
        <f>'Kullanılan gübre'!R164*'Gübre oranlar'!U$3</f>
        <v>0</v>
      </c>
      <c r="S164">
        <f>'Kullanılan gübre'!S164*'Gübre oranlar'!V$3</f>
        <v>0</v>
      </c>
      <c r="T164">
        <f>'Kullanılan gübre'!T164*'Gübre oranlar'!W$3</f>
        <v>0</v>
      </c>
      <c r="U164">
        <f>'Kullanılan gübre'!U164*'Gübre oranlar'!X$3</f>
        <v>0.5</v>
      </c>
      <c r="V164">
        <f>'Kullanılan gübre'!V164*'Gübre oranlar'!Y$3</f>
        <v>0</v>
      </c>
      <c r="W164">
        <f>'Kullanılan gübre'!W164*'Gübre oranlar'!Z$3</f>
        <v>0</v>
      </c>
      <c r="X164">
        <f>'Kullanılan gübre'!X164*'Gübre oranlar'!AA$3</f>
        <v>0</v>
      </c>
      <c r="Y164">
        <f>'Kullanılan gübre'!Y164*'Gübre oranlar'!AB$3</f>
        <v>0</v>
      </c>
      <c r="Z164">
        <f>'Kullanılan gübre'!Z164*'Gübre oranlar'!AC$3</f>
        <v>0</v>
      </c>
      <c r="AA164">
        <f>'Kullanılan gübre'!AA164*'Gübre oranlar'!AD$3</f>
        <v>0</v>
      </c>
      <c r="AB164">
        <f>'Kullanılan gübre'!AB164*'Gübre oranlar'!AE$3</f>
        <v>0</v>
      </c>
      <c r="AC164">
        <f>'Kullanılan gübre'!AC164*'Gübre oranlar'!AF$3</f>
        <v>0</v>
      </c>
      <c r="AD164">
        <f>'Kullanılan gübre'!AD164*'Gübre oranlar'!AG$3</f>
        <v>0</v>
      </c>
      <c r="AE164">
        <f>'Kullanılan gübre'!AE164*'Gübre oranlar'!AH$3</f>
        <v>0</v>
      </c>
      <c r="AF164">
        <f>'Kullanılan gübre'!AF164*'Gübre oranlar'!AI$3</f>
        <v>0</v>
      </c>
      <c r="AG164">
        <f>'Kullanılan gübre'!AG164*'Gübre oranlar'!AJ$3</f>
        <v>0</v>
      </c>
      <c r="AH164">
        <f>'Kullanılan gübre'!AH164*'Gübre oranlar'!AK$3</f>
        <v>0</v>
      </c>
      <c r="AI164">
        <f>'Kullanılan gübre'!AI164*'Gübre oranlar'!AL$3</f>
        <v>0</v>
      </c>
      <c r="AJ164">
        <f>'Kullanılan gübre'!AJ164*'Gübre oranlar'!AM$3</f>
        <v>0</v>
      </c>
      <c r="AK164">
        <f>'Kullanılan gübre'!AK164*'Gübre oranlar'!AN$3</f>
        <v>0</v>
      </c>
      <c r="AL164">
        <f>'Kullanılan gübre'!AL164*'Gübre oranlar'!AO$3</f>
        <v>0</v>
      </c>
      <c r="AM164">
        <f>'Kullanılan gübre'!AM164*'Gübre oranlar'!AP$3</f>
        <v>0</v>
      </c>
      <c r="AN164">
        <f>'Kullanılan gübre'!AN164*'Gübre oranlar'!AQ$3</f>
        <v>0</v>
      </c>
      <c r="AO164">
        <f>'Kullanılan gübre'!AO164*'Gübre oranlar'!AR$3</f>
        <v>0</v>
      </c>
      <c r="AP164">
        <f>'Kullanılan gübre'!AP164*'Gübre oranlar'!AS$3</f>
        <v>0</v>
      </c>
      <c r="AQ164">
        <f>'Kullanılan gübre'!AQ164*'Gübre oranlar'!AT$3</f>
        <v>0</v>
      </c>
      <c r="AR164">
        <f>'Kullanılan gübre'!AR164*'Gübre oranlar'!AU$3</f>
        <v>0</v>
      </c>
      <c r="AS164">
        <f>'Kullanılan gübre'!AS164*'Gübre oranlar'!AV$3</f>
        <v>0</v>
      </c>
      <c r="AT164">
        <f>'Kullanılan gübre'!AT164*'Gübre oranlar'!AW$3</f>
        <v>0</v>
      </c>
      <c r="AU164">
        <f>'Kullanılan gübre'!AU164*'Gübre oranlar'!AX$3</f>
        <v>0</v>
      </c>
      <c r="AV164">
        <f>'Kullanılan gübre'!AV164*'Gübre oranlar'!AY$3</f>
        <v>0</v>
      </c>
      <c r="AW164">
        <f t="shared" si="2"/>
        <v>413.28000000000003</v>
      </c>
    </row>
    <row r="165" spans="1:49" x14ac:dyDescent="0.25">
      <c r="A165" t="str">
        <f>'Kullanılan gübre'!A165</f>
        <v>BA</v>
      </c>
      <c r="B165" t="str">
        <f>'Kullanılan gübre'!B165</f>
        <v>ANTALYA</v>
      </c>
      <c r="C165" t="str">
        <f>'Kullanılan gübre'!C165</f>
        <v>KEMER</v>
      </c>
      <c r="D165">
        <f>'Kullanılan gübre'!D165</f>
        <v>2010</v>
      </c>
      <c r="E165">
        <f>'Kullanılan gübre'!E165*'Gübre oranlar'!H$3</f>
        <v>0</v>
      </c>
      <c r="F165">
        <f>'Kullanılan gübre'!F165*'Gübre oranlar'!I$3</f>
        <v>0</v>
      </c>
      <c r="G165">
        <f>'Kullanılan gübre'!G165*'Gübre oranlar'!J$3</f>
        <v>0</v>
      </c>
      <c r="H165">
        <f>'Kullanılan gübre'!H165*'Gübre oranlar'!K$3</f>
        <v>0</v>
      </c>
      <c r="I165">
        <f>'Kullanılan gübre'!I165*'Gübre oranlar'!L$3</f>
        <v>0.86</v>
      </c>
      <c r="J165">
        <f>'Kullanılan gübre'!J165*'Gübre oranlar'!M$3</f>
        <v>0</v>
      </c>
      <c r="K165">
        <f>'Kullanılan gübre'!K165*'Gübre oranlar'!N$3</f>
        <v>0.4</v>
      </c>
      <c r="L165">
        <f>'Kullanılan gübre'!L165*'Gübre oranlar'!O$3</f>
        <v>0</v>
      </c>
      <c r="M165">
        <f>'Kullanılan gübre'!M165*'Gübre oranlar'!P$3</f>
        <v>7.35</v>
      </c>
      <c r="N165">
        <f>'Kullanılan gübre'!N165*'Gübre oranlar'!Q$3</f>
        <v>5.25</v>
      </c>
      <c r="O165">
        <f>'Kullanılan gübre'!O165*'Gübre oranlar'!R$3</f>
        <v>0</v>
      </c>
      <c r="P165">
        <f>'Kullanılan gübre'!P165*'Gübre oranlar'!S$3</f>
        <v>0</v>
      </c>
      <c r="Q165">
        <f>'Kullanılan gübre'!Q165*'Gübre oranlar'!T$3</f>
        <v>0</v>
      </c>
      <c r="R165">
        <f>'Kullanılan gübre'!R165*'Gübre oranlar'!U$3</f>
        <v>0</v>
      </c>
      <c r="S165">
        <f>'Kullanılan gübre'!S165*'Gübre oranlar'!V$3</f>
        <v>0</v>
      </c>
      <c r="T165">
        <f>'Kullanılan gübre'!T165*'Gübre oranlar'!W$3</f>
        <v>0</v>
      </c>
      <c r="U165">
        <f>'Kullanılan gübre'!U165*'Gübre oranlar'!X$3</f>
        <v>0</v>
      </c>
      <c r="V165">
        <f>'Kullanılan gübre'!V165*'Gübre oranlar'!Y$3</f>
        <v>0</v>
      </c>
      <c r="W165">
        <f>'Kullanılan gübre'!W165*'Gübre oranlar'!Z$3</f>
        <v>0</v>
      </c>
      <c r="X165">
        <f>'Kullanılan gübre'!X165*'Gübre oranlar'!AA$3</f>
        <v>0</v>
      </c>
      <c r="Y165">
        <f>'Kullanılan gübre'!Y165*'Gübre oranlar'!AB$3</f>
        <v>0</v>
      </c>
      <c r="Z165">
        <f>'Kullanılan gübre'!Z165*'Gübre oranlar'!AC$3</f>
        <v>0</v>
      </c>
      <c r="AA165">
        <f>'Kullanılan gübre'!AA165*'Gübre oranlar'!AD$3</f>
        <v>0</v>
      </c>
      <c r="AB165">
        <f>'Kullanılan gübre'!AB165*'Gübre oranlar'!AE$3</f>
        <v>0</v>
      </c>
      <c r="AC165">
        <f>'Kullanılan gübre'!AC165*'Gübre oranlar'!AF$3</f>
        <v>0</v>
      </c>
      <c r="AD165">
        <f>'Kullanılan gübre'!AD165*'Gübre oranlar'!AG$3</f>
        <v>0</v>
      </c>
      <c r="AE165">
        <f>'Kullanılan gübre'!AE165*'Gübre oranlar'!AH$3</f>
        <v>0</v>
      </c>
      <c r="AF165">
        <f>'Kullanılan gübre'!AF165*'Gübre oranlar'!AI$3</f>
        <v>0</v>
      </c>
      <c r="AG165">
        <f>'Kullanılan gübre'!AG165*'Gübre oranlar'!AJ$3</f>
        <v>0</v>
      </c>
      <c r="AH165">
        <f>'Kullanılan gübre'!AH165*'Gübre oranlar'!AK$3</f>
        <v>0</v>
      </c>
      <c r="AI165">
        <f>'Kullanılan gübre'!AI165*'Gübre oranlar'!AL$3</f>
        <v>0</v>
      </c>
      <c r="AJ165">
        <f>'Kullanılan gübre'!AJ165*'Gübre oranlar'!AM$3</f>
        <v>0</v>
      </c>
      <c r="AK165">
        <f>'Kullanılan gübre'!AK165*'Gübre oranlar'!AN$3</f>
        <v>0</v>
      </c>
      <c r="AL165">
        <f>'Kullanılan gübre'!AL165*'Gübre oranlar'!AO$3</f>
        <v>0</v>
      </c>
      <c r="AM165">
        <f>'Kullanılan gübre'!AM165*'Gübre oranlar'!AP$3</f>
        <v>0</v>
      </c>
      <c r="AN165">
        <f>'Kullanılan gübre'!AN165*'Gübre oranlar'!AQ$3</f>
        <v>0</v>
      </c>
      <c r="AO165">
        <f>'Kullanılan gübre'!AO165*'Gübre oranlar'!AR$3</f>
        <v>0</v>
      </c>
      <c r="AP165">
        <f>'Kullanılan gübre'!AP165*'Gübre oranlar'!AS$3</f>
        <v>0</v>
      </c>
      <c r="AQ165">
        <f>'Kullanılan gübre'!AQ165*'Gübre oranlar'!AT$3</f>
        <v>0</v>
      </c>
      <c r="AR165">
        <f>'Kullanılan gübre'!AR165*'Gübre oranlar'!AU$3</f>
        <v>0</v>
      </c>
      <c r="AS165">
        <f>'Kullanılan gübre'!AS165*'Gübre oranlar'!AV$3</f>
        <v>0</v>
      </c>
      <c r="AT165">
        <f>'Kullanılan gübre'!AT165*'Gübre oranlar'!AW$3</f>
        <v>0</v>
      </c>
      <c r="AU165">
        <f>'Kullanılan gübre'!AU165*'Gübre oranlar'!AX$3</f>
        <v>0</v>
      </c>
      <c r="AV165">
        <f>'Kullanılan gübre'!AV165*'Gübre oranlar'!AY$3</f>
        <v>0</v>
      </c>
      <c r="AW165">
        <f t="shared" si="2"/>
        <v>13.86</v>
      </c>
    </row>
    <row r="166" spans="1:49" x14ac:dyDescent="0.25">
      <c r="A166" t="str">
        <f>'Kullanılan gübre'!A166</f>
        <v>BA</v>
      </c>
      <c r="B166" t="str">
        <f>'Kullanılan gübre'!B166</f>
        <v>ANTALYA</v>
      </c>
      <c r="C166" t="str">
        <f>'Kullanılan gübre'!C166</f>
        <v>KUMLUCA</v>
      </c>
      <c r="D166">
        <f>'Kullanılan gübre'!D166</f>
        <v>2010</v>
      </c>
      <c r="E166">
        <f>'Kullanılan gübre'!E166*'Gübre oranlar'!H$3</f>
        <v>0</v>
      </c>
      <c r="F166">
        <f>'Kullanılan gübre'!F166*'Gübre oranlar'!I$3</f>
        <v>0</v>
      </c>
      <c r="G166">
        <f>'Kullanılan gübre'!G166*'Gübre oranlar'!J$3</f>
        <v>0</v>
      </c>
      <c r="H166">
        <f>'Kullanılan gübre'!H166*'Gübre oranlar'!K$3</f>
        <v>0</v>
      </c>
      <c r="I166">
        <f>'Kullanılan gübre'!I166*'Gübre oranlar'!L$3</f>
        <v>55.04</v>
      </c>
      <c r="J166">
        <f>'Kullanılan gübre'!J166*'Gübre oranlar'!M$3</f>
        <v>0</v>
      </c>
      <c r="K166">
        <f>'Kullanılan gübre'!K166*'Gübre oranlar'!N$3</f>
        <v>25.200000000000003</v>
      </c>
      <c r="L166">
        <f>'Kullanılan gübre'!L166*'Gübre oranlar'!O$3</f>
        <v>11</v>
      </c>
      <c r="M166">
        <f>'Kullanılan gübre'!M166*'Gübre oranlar'!P$3</f>
        <v>24</v>
      </c>
      <c r="N166">
        <f>'Kullanılan gübre'!N166*'Gübre oranlar'!Q$3</f>
        <v>147.15</v>
      </c>
      <c r="O166">
        <f>'Kullanılan gübre'!O166*'Gübre oranlar'!R$3</f>
        <v>0</v>
      </c>
      <c r="P166">
        <f>'Kullanılan gübre'!P166*'Gübre oranlar'!S$3</f>
        <v>0</v>
      </c>
      <c r="Q166">
        <f>'Kullanılan gübre'!Q166*'Gübre oranlar'!T$3</f>
        <v>198.9</v>
      </c>
      <c r="R166">
        <f>'Kullanılan gübre'!R166*'Gübre oranlar'!U$3</f>
        <v>0</v>
      </c>
      <c r="S166">
        <f>'Kullanılan gübre'!S166*'Gübre oranlar'!V$3</f>
        <v>0</v>
      </c>
      <c r="T166">
        <f>'Kullanılan gübre'!T166*'Gübre oranlar'!W$3</f>
        <v>0</v>
      </c>
      <c r="U166">
        <f>'Kullanılan gübre'!U166*'Gübre oranlar'!X$3</f>
        <v>4.8000000000000007</v>
      </c>
      <c r="V166">
        <f>'Kullanılan gübre'!V166*'Gübre oranlar'!Y$3</f>
        <v>0</v>
      </c>
      <c r="W166">
        <f>'Kullanılan gübre'!W166*'Gübre oranlar'!Z$3</f>
        <v>0</v>
      </c>
      <c r="X166">
        <f>'Kullanılan gübre'!X166*'Gübre oranlar'!AA$3</f>
        <v>0</v>
      </c>
      <c r="Y166">
        <f>'Kullanılan gübre'!Y166*'Gübre oranlar'!AB$3</f>
        <v>0</v>
      </c>
      <c r="Z166">
        <f>'Kullanılan gübre'!Z166*'Gübre oranlar'!AC$3</f>
        <v>0</v>
      </c>
      <c r="AA166">
        <f>'Kullanılan gübre'!AA166*'Gübre oranlar'!AD$3</f>
        <v>0</v>
      </c>
      <c r="AB166">
        <f>'Kullanılan gübre'!AB166*'Gübre oranlar'!AE$3</f>
        <v>0</v>
      </c>
      <c r="AC166">
        <f>'Kullanılan gübre'!AC166*'Gübre oranlar'!AF$3</f>
        <v>0</v>
      </c>
      <c r="AD166">
        <f>'Kullanılan gübre'!AD166*'Gübre oranlar'!AG$3</f>
        <v>0</v>
      </c>
      <c r="AE166">
        <f>'Kullanılan gübre'!AE166*'Gübre oranlar'!AH$3</f>
        <v>0</v>
      </c>
      <c r="AF166">
        <f>'Kullanılan gübre'!AF166*'Gübre oranlar'!AI$3</f>
        <v>0</v>
      </c>
      <c r="AG166">
        <f>'Kullanılan gübre'!AG166*'Gübre oranlar'!AJ$3</f>
        <v>0</v>
      </c>
      <c r="AH166">
        <f>'Kullanılan gübre'!AH166*'Gübre oranlar'!AK$3</f>
        <v>0</v>
      </c>
      <c r="AI166">
        <f>'Kullanılan gübre'!AI166*'Gübre oranlar'!AL$3</f>
        <v>0</v>
      </c>
      <c r="AJ166">
        <f>'Kullanılan gübre'!AJ166*'Gübre oranlar'!AM$3</f>
        <v>0</v>
      </c>
      <c r="AK166">
        <f>'Kullanılan gübre'!AK166*'Gübre oranlar'!AN$3</f>
        <v>0</v>
      </c>
      <c r="AL166">
        <f>'Kullanılan gübre'!AL166*'Gübre oranlar'!AO$3</f>
        <v>0</v>
      </c>
      <c r="AM166">
        <f>'Kullanılan gübre'!AM166*'Gübre oranlar'!AP$3</f>
        <v>0</v>
      </c>
      <c r="AN166">
        <f>'Kullanılan gübre'!AN166*'Gübre oranlar'!AQ$3</f>
        <v>0</v>
      </c>
      <c r="AO166">
        <f>'Kullanılan gübre'!AO166*'Gübre oranlar'!AR$3</f>
        <v>0</v>
      </c>
      <c r="AP166">
        <f>'Kullanılan gübre'!AP166*'Gübre oranlar'!AS$3</f>
        <v>0</v>
      </c>
      <c r="AQ166">
        <f>'Kullanılan gübre'!AQ166*'Gübre oranlar'!AT$3</f>
        <v>0</v>
      </c>
      <c r="AR166">
        <f>'Kullanılan gübre'!AR166*'Gübre oranlar'!AU$3</f>
        <v>0</v>
      </c>
      <c r="AS166">
        <f>'Kullanılan gübre'!AS166*'Gübre oranlar'!AV$3</f>
        <v>118.56</v>
      </c>
      <c r="AT166">
        <f>'Kullanılan gübre'!AT166*'Gübre oranlar'!AW$3</f>
        <v>0</v>
      </c>
      <c r="AU166">
        <f>'Kullanılan gübre'!AU166*'Gübre oranlar'!AX$3</f>
        <v>0</v>
      </c>
      <c r="AV166">
        <f>'Kullanılan gübre'!AV166*'Gübre oranlar'!AY$3</f>
        <v>0</v>
      </c>
      <c r="AW166">
        <f t="shared" si="2"/>
        <v>584.65</v>
      </c>
    </row>
    <row r="167" spans="1:49" x14ac:dyDescent="0.25">
      <c r="A167" t="str">
        <f>'Kullanılan gübre'!A167</f>
        <v>BA</v>
      </c>
      <c r="B167" t="str">
        <f>'Kullanılan gübre'!B167</f>
        <v>ANTALYA</v>
      </c>
      <c r="C167" t="str">
        <f>'Kullanılan gübre'!C167</f>
        <v>FINIKE</v>
      </c>
      <c r="D167">
        <f>'Kullanılan gübre'!D167</f>
        <v>2010</v>
      </c>
      <c r="E167">
        <f>'Kullanılan gübre'!E167*'Gübre oranlar'!H$3</f>
        <v>0</v>
      </c>
      <c r="F167">
        <f>'Kullanılan gübre'!F167*'Gübre oranlar'!I$3</f>
        <v>0</v>
      </c>
      <c r="G167">
        <f>'Kullanılan gübre'!G167*'Gübre oranlar'!J$3</f>
        <v>0</v>
      </c>
      <c r="H167">
        <f>'Kullanılan gübre'!H167*'Gübre oranlar'!K$3</f>
        <v>0</v>
      </c>
      <c r="I167">
        <f>'Kullanılan gübre'!I167*'Gübre oranlar'!L$3</f>
        <v>27.52</v>
      </c>
      <c r="J167">
        <f>'Kullanılan gübre'!J167*'Gübre oranlar'!M$3</f>
        <v>0</v>
      </c>
      <c r="K167">
        <f>'Kullanılan gübre'!K167*'Gübre oranlar'!N$3</f>
        <v>20.8</v>
      </c>
      <c r="L167">
        <f>'Kullanılan gübre'!L167*'Gübre oranlar'!O$3</f>
        <v>0</v>
      </c>
      <c r="M167">
        <f>'Kullanılan gübre'!M167*'Gübre oranlar'!P$3</f>
        <v>39</v>
      </c>
      <c r="N167">
        <f>'Kullanılan gübre'!N167*'Gübre oranlar'!Q$3</f>
        <v>154.5</v>
      </c>
      <c r="O167">
        <f>'Kullanılan gübre'!O167*'Gübre oranlar'!R$3</f>
        <v>0</v>
      </c>
      <c r="P167">
        <f>'Kullanılan gübre'!P167*'Gübre oranlar'!S$3</f>
        <v>0</v>
      </c>
      <c r="Q167">
        <f>'Kullanılan gübre'!Q167*'Gübre oranlar'!T$3</f>
        <v>106.2</v>
      </c>
      <c r="R167">
        <f>'Kullanılan gübre'!R167*'Gübre oranlar'!U$3</f>
        <v>0</v>
      </c>
      <c r="S167">
        <f>'Kullanılan gübre'!S167*'Gübre oranlar'!V$3</f>
        <v>0</v>
      </c>
      <c r="T167">
        <f>'Kullanılan gübre'!T167*'Gübre oranlar'!W$3</f>
        <v>0</v>
      </c>
      <c r="U167">
        <f>'Kullanılan gübre'!U167*'Gübre oranlar'!X$3</f>
        <v>10.950000000000001</v>
      </c>
      <c r="V167">
        <f>'Kullanılan gübre'!V167*'Gübre oranlar'!Y$3</f>
        <v>0</v>
      </c>
      <c r="W167">
        <f>'Kullanılan gübre'!W167*'Gübre oranlar'!Z$3</f>
        <v>0</v>
      </c>
      <c r="X167">
        <f>'Kullanılan gübre'!X167*'Gübre oranlar'!AA$3</f>
        <v>0</v>
      </c>
      <c r="Y167">
        <f>'Kullanılan gübre'!Y167*'Gübre oranlar'!AB$3</f>
        <v>0</v>
      </c>
      <c r="Z167">
        <f>'Kullanılan gübre'!Z167*'Gübre oranlar'!AC$3</f>
        <v>0</v>
      </c>
      <c r="AA167">
        <f>'Kullanılan gübre'!AA167*'Gübre oranlar'!AD$3</f>
        <v>0</v>
      </c>
      <c r="AB167">
        <f>'Kullanılan gübre'!AB167*'Gübre oranlar'!AE$3</f>
        <v>16.47</v>
      </c>
      <c r="AC167">
        <f>'Kullanılan gübre'!AC167*'Gübre oranlar'!AF$3</f>
        <v>0</v>
      </c>
      <c r="AD167">
        <f>'Kullanılan gübre'!AD167*'Gübre oranlar'!AG$3</f>
        <v>0</v>
      </c>
      <c r="AE167">
        <f>'Kullanılan gübre'!AE167*'Gübre oranlar'!AH$3</f>
        <v>0</v>
      </c>
      <c r="AF167">
        <f>'Kullanılan gübre'!AF167*'Gübre oranlar'!AI$3</f>
        <v>0</v>
      </c>
      <c r="AG167">
        <f>'Kullanılan gübre'!AG167*'Gübre oranlar'!AJ$3</f>
        <v>0</v>
      </c>
      <c r="AH167">
        <f>'Kullanılan gübre'!AH167*'Gübre oranlar'!AK$3</f>
        <v>0</v>
      </c>
      <c r="AI167">
        <f>'Kullanılan gübre'!AI167*'Gübre oranlar'!AL$3</f>
        <v>0</v>
      </c>
      <c r="AJ167">
        <f>'Kullanılan gübre'!AJ167*'Gübre oranlar'!AM$3</f>
        <v>0</v>
      </c>
      <c r="AK167">
        <f>'Kullanılan gübre'!AK167*'Gübre oranlar'!AN$3</f>
        <v>0</v>
      </c>
      <c r="AL167">
        <f>'Kullanılan gübre'!AL167*'Gübre oranlar'!AO$3</f>
        <v>0</v>
      </c>
      <c r="AM167">
        <f>'Kullanılan gübre'!AM167*'Gübre oranlar'!AP$3</f>
        <v>0</v>
      </c>
      <c r="AN167">
        <f>'Kullanılan gübre'!AN167*'Gübre oranlar'!AQ$3</f>
        <v>0</v>
      </c>
      <c r="AO167">
        <f>'Kullanılan gübre'!AO167*'Gübre oranlar'!AR$3</f>
        <v>0</v>
      </c>
      <c r="AP167">
        <f>'Kullanılan gübre'!AP167*'Gübre oranlar'!AS$3</f>
        <v>0</v>
      </c>
      <c r="AQ167">
        <f>'Kullanılan gübre'!AQ167*'Gübre oranlar'!AT$3</f>
        <v>0</v>
      </c>
      <c r="AR167">
        <f>'Kullanılan gübre'!AR167*'Gübre oranlar'!AU$3</f>
        <v>0</v>
      </c>
      <c r="AS167">
        <f>'Kullanılan gübre'!AS167*'Gübre oranlar'!AV$3</f>
        <v>84.72</v>
      </c>
      <c r="AT167">
        <f>'Kullanılan gübre'!AT167*'Gübre oranlar'!AW$3</f>
        <v>0</v>
      </c>
      <c r="AU167">
        <f>'Kullanılan gübre'!AU167*'Gübre oranlar'!AX$3</f>
        <v>0</v>
      </c>
      <c r="AV167">
        <f>'Kullanılan gübre'!AV167*'Gübre oranlar'!AY$3</f>
        <v>0</v>
      </c>
      <c r="AW167">
        <f t="shared" si="2"/>
        <v>460.15999999999997</v>
      </c>
    </row>
    <row r="168" spans="1:49" x14ac:dyDescent="0.25">
      <c r="A168" t="str">
        <f>'Kullanılan gübre'!A168</f>
        <v>BA</v>
      </c>
      <c r="B168" t="str">
        <f>'Kullanılan gübre'!B168</f>
        <v>ANTALYA</v>
      </c>
      <c r="C168" t="str">
        <f>'Kullanılan gübre'!C168</f>
        <v>DEMRE</v>
      </c>
      <c r="D168">
        <f>'Kullanılan gübre'!D168</f>
        <v>2010</v>
      </c>
      <c r="E168">
        <f>'Kullanılan gübre'!E168*'Gübre oranlar'!H$3</f>
        <v>0</v>
      </c>
      <c r="F168">
        <f>'Kullanılan gübre'!F168*'Gübre oranlar'!I$3</f>
        <v>0</v>
      </c>
      <c r="G168">
        <f>'Kullanılan gübre'!G168*'Gübre oranlar'!J$3</f>
        <v>0</v>
      </c>
      <c r="H168">
        <f>'Kullanılan gübre'!H168*'Gübre oranlar'!K$3</f>
        <v>0</v>
      </c>
      <c r="I168">
        <f>'Kullanılan gübre'!I168*'Gübre oranlar'!L$3</f>
        <v>2.58</v>
      </c>
      <c r="J168">
        <f>'Kullanılan gübre'!J168*'Gübre oranlar'!M$3</f>
        <v>0</v>
      </c>
      <c r="K168">
        <f>'Kullanılan gübre'!K168*'Gübre oranlar'!N$3</f>
        <v>10</v>
      </c>
      <c r="L168">
        <f>'Kullanılan gübre'!L168*'Gübre oranlar'!O$3</f>
        <v>0</v>
      </c>
      <c r="M168">
        <f>'Kullanılan gübre'!M168*'Gübre oranlar'!P$3</f>
        <v>8.5499999999999989</v>
      </c>
      <c r="N168">
        <f>'Kullanılan gübre'!N168*'Gübre oranlar'!Q$3</f>
        <v>16.8</v>
      </c>
      <c r="O168">
        <f>'Kullanılan gübre'!O168*'Gübre oranlar'!R$3</f>
        <v>0</v>
      </c>
      <c r="P168">
        <f>'Kullanılan gübre'!P168*'Gübre oranlar'!S$3</f>
        <v>0</v>
      </c>
      <c r="Q168">
        <f>'Kullanılan gübre'!Q168*'Gübre oranlar'!T$3</f>
        <v>0</v>
      </c>
      <c r="R168">
        <f>'Kullanılan gübre'!R168*'Gübre oranlar'!U$3</f>
        <v>0</v>
      </c>
      <c r="S168">
        <f>'Kullanılan gübre'!S168*'Gübre oranlar'!V$3</f>
        <v>0</v>
      </c>
      <c r="T168">
        <f>'Kullanılan gübre'!T168*'Gübre oranlar'!W$3</f>
        <v>0</v>
      </c>
      <c r="U168">
        <f>'Kullanılan gübre'!U168*'Gübre oranlar'!X$3</f>
        <v>1.9000000000000001</v>
      </c>
      <c r="V168">
        <f>'Kullanılan gübre'!V168*'Gübre oranlar'!Y$3</f>
        <v>0</v>
      </c>
      <c r="W168">
        <f>'Kullanılan gübre'!W168*'Gübre oranlar'!Z$3</f>
        <v>0</v>
      </c>
      <c r="X168">
        <f>'Kullanılan gübre'!X168*'Gübre oranlar'!AA$3</f>
        <v>0</v>
      </c>
      <c r="Y168">
        <f>'Kullanılan gübre'!Y168*'Gübre oranlar'!AB$3</f>
        <v>0</v>
      </c>
      <c r="Z168">
        <f>'Kullanılan gübre'!Z168*'Gübre oranlar'!AC$3</f>
        <v>0</v>
      </c>
      <c r="AA168">
        <f>'Kullanılan gübre'!AA168*'Gübre oranlar'!AD$3</f>
        <v>0</v>
      </c>
      <c r="AB168">
        <f>'Kullanılan gübre'!AB168*'Gübre oranlar'!AE$3</f>
        <v>30.5</v>
      </c>
      <c r="AC168">
        <f>'Kullanılan gübre'!AC168*'Gübre oranlar'!AF$3</f>
        <v>0</v>
      </c>
      <c r="AD168">
        <f>'Kullanılan gübre'!AD168*'Gübre oranlar'!AG$3</f>
        <v>0</v>
      </c>
      <c r="AE168">
        <f>'Kullanılan gübre'!AE168*'Gübre oranlar'!AH$3</f>
        <v>0</v>
      </c>
      <c r="AF168">
        <f>'Kullanılan gübre'!AF168*'Gübre oranlar'!AI$3</f>
        <v>0</v>
      </c>
      <c r="AG168">
        <f>'Kullanılan gübre'!AG168*'Gübre oranlar'!AJ$3</f>
        <v>0</v>
      </c>
      <c r="AH168">
        <f>'Kullanılan gübre'!AH168*'Gübre oranlar'!AK$3</f>
        <v>0</v>
      </c>
      <c r="AI168">
        <f>'Kullanılan gübre'!AI168*'Gübre oranlar'!AL$3</f>
        <v>0</v>
      </c>
      <c r="AJ168">
        <f>'Kullanılan gübre'!AJ168*'Gübre oranlar'!AM$3</f>
        <v>0</v>
      </c>
      <c r="AK168">
        <f>'Kullanılan gübre'!AK168*'Gübre oranlar'!AN$3</f>
        <v>0</v>
      </c>
      <c r="AL168">
        <f>'Kullanılan gübre'!AL168*'Gübre oranlar'!AO$3</f>
        <v>0</v>
      </c>
      <c r="AM168">
        <f>'Kullanılan gübre'!AM168*'Gübre oranlar'!AP$3</f>
        <v>0</v>
      </c>
      <c r="AN168">
        <f>'Kullanılan gübre'!AN168*'Gübre oranlar'!AQ$3</f>
        <v>0</v>
      </c>
      <c r="AO168">
        <f>'Kullanılan gübre'!AO168*'Gübre oranlar'!AR$3</f>
        <v>0</v>
      </c>
      <c r="AP168">
        <f>'Kullanılan gübre'!AP168*'Gübre oranlar'!AS$3</f>
        <v>0</v>
      </c>
      <c r="AQ168">
        <f>'Kullanılan gübre'!AQ168*'Gübre oranlar'!AT$3</f>
        <v>0</v>
      </c>
      <c r="AR168">
        <f>'Kullanılan gübre'!AR168*'Gübre oranlar'!AU$3</f>
        <v>0</v>
      </c>
      <c r="AS168">
        <f>'Kullanılan gübre'!AS168*'Gübre oranlar'!AV$3</f>
        <v>6.4799999999999995</v>
      </c>
      <c r="AT168">
        <f>'Kullanılan gübre'!AT168*'Gübre oranlar'!AW$3</f>
        <v>0</v>
      </c>
      <c r="AU168">
        <f>'Kullanılan gübre'!AU168*'Gübre oranlar'!AX$3</f>
        <v>0</v>
      </c>
      <c r="AV168">
        <f>'Kullanılan gübre'!AV168*'Gübre oranlar'!AY$3</f>
        <v>0</v>
      </c>
      <c r="AW168">
        <f t="shared" si="2"/>
        <v>76.81</v>
      </c>
    </row>
    <row r="169" spans="1:49" x14ac:dyDescent="0.25">
      <c r="A169" t="str">
        <f>'Kullanılan gübre'!A169</f>
        <v>BA</v>
      </c>
      <c r="B169" t="str">
        <f>'Kullanılan gübre'!B169</f>
        <v>ANTALYA</v>
      </c>
      <c r="C169" t="str">
        <f>'Kullanılan gübre'!C169</f>
        <v>KAS</v>
      </c>
      <c r="D169">
        <f>'Kullanılan gübre'!D169</f>
        <v>2010</v>
      </c>
      <c r="E169">
        <f>'Kullanılan gübre'!E169*'Gübre oranlar'!H$3</f>
        <v>0</v>
      </c>
      <c r="F169">
        <f>'Kullanılan gübre'!F169*'Gübre oranlar'!I$3</f>
        <v>0</v>
      </c>
      <c r="G169">
        <f>'Kullanılan gübre'!G169*'Gübre oranlar'!J$3</f>
        <v>0</v>
      </c>
      <c r="H169">
        <f>'Kullanılan gübre'!H169*'Gübre oranlar'!K$3</f>
        <v>0</v>
      </c>
      <c r="I169">
        <f>'Kullanılan gübre'!I169*'Gübre oranlar'!L$3</f>
        <v>0.86</v>
      </c>
      <c r="J169">
        <f>'Kullanılan gübre'!J169*'Gübre oranlar'!M$3</f>
        <v>0</v>
      </c>
      <c r="K169">
        <f>'Kullanılan gübre'!K169*'Gübre oranlar'!N$3</f>
        <v>24.8</v>
      </c>
      <c r="L169">
        <f>'Kullanılan gübre'!L169*'Gübre oranlar'!O$3</f>
        <v>0</v>
      </c>
      <c r="M169">
        <f>'Kullanılan gübre'!M169*'Gübre oranlar'!P$3</f>
        <v>27.45</v>
      </c>
      <c r="N169">
        <f>'Kullanılan gübre'!N169*'Gübre oranlar'!Q$3</f>
        <v>40.5</v>
      </c>
      <c r="O169">
        <f>'Kullanılan gübre'!O169*'Gübre oranlar'!R$3</f>
        <v>0</v>
      </c>
      <c r="P169">
        <f>'Kullanılan gübre'!P169*'Gübre oranlar'!S$3</f>
        <v>0</v>
      </c>
      <c r="Q169">
        <f>'Kullanılan gübre'!Q169*'Gübre oranlar'!T$3</f>
        <v>0</v>
      </c>
      <c r="R169">
        <f>'Kullanılan gübre'!R169*'Gübre oranlar'!U$3</f>
        <v>0</v>
      </c>
      <c r="S169">
        <f>'Kullanılan gübre'!S169*'Gübre oranlar'!V$3</f>
        <v>0</v>
      </c>
      <c r="T169">
        <f>'Kullanılan gübre'!T169*'Gübre oranlar'!W$3</f>
        <v>0</v>
      </c>
      <c r="U169">
        <f>'Kullanılan gübre'!U169*'Gübre oranlar'!X$3</f>
        <v>0</v>
      </c>
      <c r="V169">
        <f>'Kullanılan gübre'!V169*'Gübre oranlar'!Y$3</f>
        <v>0</v>
      </c>
      <c r="W169">
        <f>'Kullanılan gübre'!W169*'Gübre oranlar'!Z$3</f>
        <v>0</v>
      </c>
      <c r="X169">
        <f>'Kullanılan gübre'!X169*'Gübre oranlar'!AA$3</f>
        <v>0</v>
      </c>
      <c r="Y169">
        <f>'Kullanılan gübre'!Y169*'Gübre oranlar'!AB$3</f>
        <v>0</v>
      </c>
      <c r="Z169">
        <f>'Kullanılan gübre'!Z169*'Gübre oranlar'!AC$3</f>
        <v>0</v>
      </c>
      <c r="AA169">
        <f>'Kullanılan gübre'!AA169*'Gübre oranlar'!AD$3</f>
        <v>0</v>
      </c>
      <c r="AB169">
        <f>'Kullanılan gübre'!AB169*'Gübre oranlar'!AE$3</f>
        <v>0</v>
      </c>
      <c r="AC169">
        <f>'Kullanılan gübre'!AC169*'Gübre oranlar'!AF$3</f>
        <v>0</v>
      </c>
      <c r="AD169">
        <f>'Kullanılan gübre'!AD169*'Gübre oranlar'!AG$3</f>
        <v>0</v>
      </c>
      <c r="AE169">
        <f>'Kullanılan gübre'!AE169*'Gübre oranlar'!AH$3</f>
        <v>0</v>
      </c>
      <c r="AF169">
        <f>'Kullanılan gübre'!AF169*'Gübre oranlar'!AI$3</f>
        <v>0</v>
      </c>
      <c r="AG169">
        <f>'Kullanılan gübre'!AG169*'Gübre oranlar'!AJ$3</f>
        <v>0</v>
      </c>
      <c r="AH169">
        <f>'Kullanılan gübre'!AH169*'Gübre oranlar'!AK$3</f>
        <v>0</v>
      </c>
      <c r="AI169">
        <f>'Kullanılan gübre'!AI169*'Gübre oranlar'!AL$3</f>
        <v>0</v>
      </c>
      <c r="AJ169">
        <f>'Kullanılan gübre'!AJ169*'Gübre oranlar'!AM$3</f>
        <v>0</v>
      </c>
      <c r="AK169">
        <f>'Kullanılan gübre'!AK169*'Gübre oranlar'!AN$3</f>
        <v>0</v>
      </c>
      <c r="AL169">
        <f>'Kullanılan gübre'!AL169*'Gübre oranlar'!AO$3</f>
        <v>0</v>
      </c>
      <c r="AM169">
        <f>'Kullanılan gübre'!AM169*'Gübre oranlar'!AP$3</f>
        <v>0</v>
      </c>
      <c r="AN169">
        <f>'Kullanılan gübre'!AN169*'Gübre oranlar'!AQ$3</f>
        <v>0</v>
      </c>
      <c r="AO169">
        <f>'Kullanılan gübre'!AO169*'Gübre oranlar'!AR$3</f>
        <v>0</v>
      </c>
      <c r="AP169">
        <f>'Kullanılan gübre'!AP169*'Gübre oranlar'!AS$3</f>
        <v>0</v>
      </c>
      <c r="AQ169">
        <f>'Kullanılan gübre'!AQ169*'Gübre oranlar'!AT$3</f>
        <v>0</v>
      </c>
      <c r="AR169">
        <f>'Kullanılan gübre'!AR169*'Gübre oranlar'!AU$3</f>
        <v>0</v>
      </c>
      <c r="AS169">
        <f>'Kullanılan gübre'!AS169*'Gübre oranlar'!AV$3</f>
        <v>0</v>
      </c>
      <c r="AT169">
        <f>'Kullanılan gübre'!AT169*'Gübre oranlar'!AW$3</f>
        <v>0</v>
      </c>
      <c r="AU169">
        <f>'Kullanılan gübre'!AU169*'Gübre oranlar'!AX$3</f>
        <v>0</v>
      </c>
      <c r="AV169">
        <f>'Kullanılan gübre'!AV169*'Gübre oranlar'!AY$3</f>
        <v>0</v>
      </c>
      <c r="AW169">
        <f t="shared" si="2"/>
        <v>93.61</v>
      </c>
    </row>
    <row r="170" spans="1:49" x14ac:dyDescent="0.25">
      <c r="A170" t="str">
        <f>'Kullanılan gübre'!A170</f>
        <v>BA</v>
      </c>
      <c r="B170" t="str">
        <f>'Kullanılan gübre'!B170</f>
        <v>ANTALYA</v>
      </c>
      <c r="C170" t="str">
        <f>'Kullanılan gübre'!C170</f>
        <v>KORKUTELI</v>
      </c>
      <c r="D170">
        <f>'Kullanılan gübre'!D170</f>
        <v>2010</v>
      </c>
      <c r="E170">
        <f>'Kullanılan gübre'!E170*'Gübre oranlar'!H$3</f>
        <v>0</v>
      </c>
      <c r="F170">
        <f>'Kullanılan gübre'!F170*'Gübre oranlar'!I$3</f>
        <v>0</v>
      </c>
      <c r="G170">
        <f>'Kullanılan gübre'!G170*'Gübre oranlar'!J$3</f>
        <v>0</v>
      </c>
      <c r="H170">
        <f>'Kullanılan gübre'!H170*'Gübre oranlar'!K$3</f>
        <v>0</v>
      </c>
      <c r="I170">
        <f>'Kullanılan gübre'!I170*'Gübre oranlar'!L$3</f>
        <v>103.63</v>
      </c>
      <c r="J170">
        <f>'Kullanılan gübre'!J170*'Gübre oranlar'!M$3</f>
        <v>0</v>
      </c>
      <c r="K170">
        <f>'Kullanılan gübre'!K170*'Gübre oranlar'!N$3</f>
        <v>986.40000000000009</v>
      </c>
      <c r="L170">
        <f>'Kullanılan gübre'!L170*'Gübre oranlar'!O$3</f>
        <v>31</v>
      </c>
      <c r="M170">
        <f>'Kullanılan gübre'!M170*'Gübre oranlar'!P$3</f>
        <v>282.89999999999998</v>
      </c>
      <c r="N170">
        <f>'Kullanılan gübre'!N170*'Gübre oranlar'!Q$3</f>
        <v>147.6</v>
      </c>
      <c r="O170">
        <f>'Kullanılan gübre'!O170*'Gübre oranlar'!R$3</f>
        <v>0</v>
      </c>
      <c r="P170">
        <f>'Kullanılan gübre'!P170*'Gübre oranlar'!S$3</f>
        <v>0</v>
      </c>
      <c r="Q170">
        <f>'Kullanılan gübre'!Q170*'Gübre oranlar'!T$3</f>
        <v>10.5</v>
      </c>
      <c r="R170">
        <f>'Kullanılan gübre'!R170*'Gübre oranlar'!U$3</f>
        <v>0</v>
      </c>
      <c r="S170">
        <f>'Kullanılan gübre'!S170*'Gübre oranlar'!V$3</f>
        <v>0</v>
      </c>
      <c r="T170">
        <f>'Kullanılan gübre'!T170*'Gübre oranlar'!W$3</f>
        <v>0</v>
      </c>
      <c r="U170">
        <f>'Kullanılan gübre'!U170*'Gübre oranlar'!X$3</f>
        <v>2.4000000000000004</v>
      </c>
      <c r="V170">
        <f>'Kullanılan gübre'!V170*'Gübre oranlar'!Y$3</f>
        <v>0</v>
      </c>
      <c r="W170">
        <f>'Kullanılan gübre'!W170*'Gübre oranlar'!Z$3</f>
        <v>0</v>
      </c>
      <c r="X170">
        <f>'Kullanılan gübre'!X170*'Gübre oranlar'!AA$3</f>
        <v>0</v>
      </c>
      <c r="Y170">
        <f>'Kullanılan gübre'!Y170*'Gübre oranlar'!AB$3</f>
        <v>0</v>
      </c>
      <c r="Z170">
        <f>'Kullanılan gübre'!Z170*'Gübre oranlar'!AC$3</f>
        <v>0</v>
      </c>
      <c r="AA170">
        <f>'Kullanılan gübre'!AA170*'Gübre oranlar'!AD$3</f>
        <v>0</v>
      </c>
      <c r="AB170">
        <f>'Kullanılan gübre'!AB170*'Gübre oranlar'!AE$3</f>
        <v>11.59</v>
      </c>
      <c r="AC170">
        <f>'Kullanılan gübre'!AC170*'Gübre oranlar'!AF$3</f>
        <v>0</v>
      </c>
      <c r="AD170">
        <f>'Kullanılan gübre'!AD170*'Gübre oranlar'!AG$3</f>
        <v>0</v>
      </c>
      <c r="AE170">
        <f>'Kullanılan gübre'!AE170*'Gübre oranlar'!AH$3</f>
        <v>0</v>
      </c>
      <c r="AF170">
        <f>'Kullanılan gübre'!AF170*'Gübre oranlar'!AI$3</f>
        <v>0</v>
      </c>
      <c r="AG170">
        <f>'Kullanılan gübre'!AG170*'Gübre oranlar'!AJ$3</f>
        <v>0</v>
      </c>
      <c r="AH170">
        <f>'Kullanılan gübre'!AH170*'Gübre oranlar'!AK$3</f>
        <v>0</v>
      </c>
      <c r="AI170">
        <f>'Kullanılan gübre'!AI170*'Gübre oranlar'!AL$3</f>
        <v>0</v>
      </c>
      <c r="AJ170">
        <f>'Kullanılan gübre'!AJ170*'Gübre oranlar'!AM$3</f>
        <v>0</v>
      </c>
      <c r="AK170">
        <f>'Kullanılan gübre'!AK170*'Gübre oranlar'!AN$3</f>
        <v>0</v>
      </c>
      <c r="AL170">
        <f>'Kullanılan gübre'!AL170*'Gübre oranlar'!AO$3</f>
        <v>0</v>
      </c>
      <c r="AM170">
        <f>'Kullanılan gübre'!AM170*'Gübre oranlar'!AP$3</f>
        <v>0</v>
      </c>
      <c r="AN170">
        <f>'Kullanılan gübre'!AN170*'Gübre oranlar'!AQ$3</f>
        <v>0</v>
      </c>
      <c r="AO170">
        <f>'Kullanılan gübre'!AO170*'Gübre oranlar'!AR$3</f>
        <v>0</v>
      </c>
      <c r="AP170">
        <f>'Kullanılan gübre'!AP170*'Gübre oranlar'!AS$3</f>
        <v>0</v>
      </c>
      <c r="AQ170">
        <f>'Kullanılan gübre'!AQ170*'Gübre oranlar'!AT$3</f>
        <v>0</v>
      </c>
      <c r="AR170">
        <f>'Kullanılan gübre'!AR170*'Gübre oranlar'!AU$3</f>
        <v>0</v>
      </c>
      <c r="AS170">
        <f>'Kullanılan gübre'!AS170*'Gübre oranlar'!AV$3</f>
        <v>23.759999999999998</v>
      </c>
      <c r="AT170">
        <f>'Kullanılan gübre'!AT170*'Gübre oranlar'!AW$3</f>
        <v>0</v>
      </c>
      <c r="AU170">
        <f>'Kullanılan gübre'!AU170*'Gübre oranlar'!AX$3</f>
        <v>0</v>
      </c>
      <c r="AV170">
        <f>'Kullanılan gübre'!AV170*'Gübre oranlar'!AY$3</f>
        <v>0</v>
      </c>
      <c r="AW170">
        <f t="shared" si="2"/>
        <v>1599.7800000000002</v>
      </c>
    </row>
    <row r="171" spans="1:49" x14ac:dyDescent="0.25">
      <c r="A171" t="str">
        <f>'Kullanılan gübre'!A171</f>
        <v>BA</v>
      </c>
      <c r="B171" t="str">
        <f>'Kullanılan gübre'!B171</f>
        <v>ANTALYA</v>
      </c>
      <c r="C171" t="str">
        <f>'Kullanılan gübre'!C171</f>
        <v>ELMALI</v>
      </c>
      <c r="D171">
        <f>'Kullanılan gübre'!D171</f>
        <v>2010</v>
      </c>
      <c r="E171">
        <f>'Kullanılan gübre'!E171*'Gübre oranlar'!H$3</f>
        <v>0</v>
      </c>
      <c r="F171">
        <f>'Kullanılan gübre'!F171*'Gübre oranlar'!I$3</f>
        <v>0</v>
      </c>
      <c r="G171">
        <f>'Kullanılan gübre'!G171*'Gübre oranlar'!J$3</f>
        <v>0</v>
      </c>
      <c r="H171">
        <f>'Kullanılan gübre'!H171*'Gübre oranlar'!K$3</f>
        <v>0</v>
      </c>
      <c r="I171">
        <f>'Kullanılan gübre'!I171*'Gübre oranlar'!L$3</f>
        <v>54.61</v>
      </c>
      <c r="J171">
        <f>'Kullanılan gübre'!J171*'Gübre oranlar'!M$3</f>
        <v>0</v>
      </c>
      <c r="K171">
        <f>'Kullanılan gübre'!K171*'Gübre oranlar'!N$3</f>
        <v>225.8</v>
      </c>
      <c r="L171">
        <f>'Kullanılan gübre'!L171*'Gübre oranlar'!O$3</f>
        <v>16.400000000000002</v>
      </c>
      <c r="M171">
        <f>'Kullanılan gübre'!M171*'Gübre oranlar'!P$3</f>
        <v>116.39999999999999</v>
      </c>
      <c r="N171">
        <f>'Kullanılan gübre'!N171*'Gübre oranlar'!Q$3</f>
        <v>21</v>
      </c>
      <c r="O171">
        <f>'Kullanılan gübre'!O171*'Gübre oranlar'!R$3</f>
        <v>0</v>
      </c>
      <c r="P171">
        <f>'Kullanılan gübre'!P171*'Gübre oranlar'!S$3</f>
        <v>0</v>
      </c>
      <c r="Q171">
        <f>'Kullanılan gübre'!Q171*'Gübre oranlar'!T$3</f>
        <v>88.8</v>
      </c>
      <c r="R171">
        <f>'Kullanılan gübre'!R171*'Gübre oranlar'!U$3</f>
        <v>0</v>
      </c>
      <c r="S171">
        <f>'Kullanılan gübre'!S171*'Gübre oranlar'!V$3</f>
        <v>0</v>
      </c>
      <c r="T171">
        <f>'Kullanılan gübre'!T171*'Gübre oranlar'!W$3</f>
        <v>0</v>
      </c>
      <c r="U171">
        <f>'Kullanılan gübre'!U171*'Gübre oranlar'!X$3</f>
        <v>0.1</v>
      </c>
      <c r="V171">
        <f>'Kullanılan gübre'!V171*'Gübre oranlar'!Y$3</f>
        <v>0</v>
      </c>
      <c r="W171">
        <f>'Kullanılan gübre'!W171*'Gübre oranlar'!Z$3</f>
        <v>0</v>
      </c>
      <c r="X171">
        <f>'Kullanılan gübre'!X171*'Gübre oranlar'!AA$3</f>
        <v>0</v>
      </c>
      <c r="Y171">
        <f>'Kullanılan gübre'!Y171*'Gübre oranlar'!AB$3</f>
        <v>0</v>
      </c>
      <c r="Z171">
        <f>'Kullanılan gübre'!Z171*'Gübre oranlar'!AC$3</f>
        <v>0</v>
      </c>
      <c r="AA171">
        <f>'Kullanılan gübre'!AA171*'Gübre oranlar'!AD$3</f>
        <v>0</v>
      </c>
      <c r="AB171">
        <f>'Kullanılan gübre'!AB171*'Gübre oranlar'!AE$3</f>
        <v>0</v>
      </c>
      <c r="AC171">
        <f>'Kullanılan gübre'!AC171*'Gübre oranlar'!AF$3</f>
        <v>0</v>
      </c>
      <c r="AD171">
        <f>'Kullanılan gübre'!AD171*'Gübre oranlar'!AG$3</f>
        <v>0</v>
      </c>
      <c r="AE171">
        <f>'Kullanılan gübre'!AE171*'Gübre oranlar'!AH$3</f>
        <v>0</v>
      </c>
      <c r="AF171">
        <f>'Kullanılan gübre'!AF171*'Gübre oranlar'!AI$3</f>
        <v>0</v>
      </c>
      <c r="AG171">
        <f>'Kullanılan gübre'!AG171*'Gübre oranlar'!AJ$3</f>
        <v>0</v>
      </c>
      <c r="AH171">
        <f>'Kullanılan gübre'!AH171*'Gübre oranlar'!AK$3</f>
        <v>0</v>
      </c>
      <c r="AI171">
        <f>'Kullanılan gübre'!AI171*'Gübre oranlar'!AL$3</f>
        <v>0</v>
      </c>
      <c r="AJ171">
        <f>'Kullanılan gübre'!AJ171*'Gübre oranlar'!AM$3</f>
        <v>0</v>
      </c>
      <c r="AK171">
        <f>'Kullanılan gübre'!AK171*'Gübre oranlar'!AN$3</f>
        <v>0</v>
      </c>
      <c r="AL171">
        <f>'Kullanılan gübre'!AL171*'Gübre oranlar'!AO$3</f>
        <v>0</v>
      </c>
      <c r="AM171">
        <f>'Kullanılan gübre'!AM171*'Gübre oranlar'!AP$3</f>
        <v>0</v>
      </c>
      <c r="AN171">
        <f>'Kullanılan gübre'!AN171*'Gübre oranlar'!AQ$3</f>
        <v>0</v>
      </c>
      <c r="AO171">
        <f>'Kullanılan gübre'!AO171*'Gübre oranlar'!AR$3</f>
        <v>0</v>
      </c>
      <c r="AP171">
        <f>'Kullanılan gübre'!AP171*'Gübre oranlar'!AS$3</f>
        <v>0</v>
      </c>
      <c r="AQ171">
        <f>'Kullanılan gübre'!AQ171*'Gübre oranlar'!AT$3</f>
        <v>0</v>
      </c>
      <c r="AR171">
        <f>'Kullanılan gübre'!AR171*'Gübre oranlar'!AU$3</f>
        <v>0</v>
      </c>
      <c r="AS171">
        <f>'Kullanılan gübre'!AS171*'Gübre oranlar'!AV$3</f>
        <v>0</v>
      </c>
      <c r="AT171">
        <f>'Kullanılan gübre'!AT171*'Gübre oranlar'!AW$3</f>
        <v>0</v>
      </c>
      <c r="AU171">
        <f>'Kullanılan gübre'!AU171*'Gübre oranlar'!AX$3</f>
        <v>0</v>
      </c>
      <c r="AV171">
        <f>'Kullanılan gübre'!AV171*'Gübre oranlar'!AY$3</f>
        <v>0</v>
      </c>
      <c r="AW171">
        <f t="shared" si="2"/>
        <v>523.11</v>
      </c>
    </row>
    <row r="172" spans="1:49" x14ac:dyDescent="0.25">
      <c r="A172" t="str">
        <f>'Kullanılan gübre'!A172</f>
        <v>BA</v>
      </c>
      <c r="B172" t="str">
        <f>'Kullanılan gübre'!B172</f>
        <v>ANTALYA</v>
      </c>
      <c r="C172" t="str">
        <f>'Kullanılan gübre'!C172</f>
        <v>KEMER</v>
      </c>
      <c r="D172">
        <f>'Kullanılan gübre'!D172</f>
        <v>2011</v>
      </c>
      <c r="E172">
        <f>'Kullanılan gübre'!E172*'Gübre oranlar'!H$3</f>
        <v>0</v>
      </c>
      <c r="F172">
        <f>'Kullanılan gübre'!F172*'Gübre oranlar'!I$3</f>
        <v>0</v>
      </c>
      <c r="G172">
        <f>'Kullanılan gübre'!G172*'Gübre oranlar'!J$3</f>
        <v>0</v>
      </c>
      <c r="H172">
        <f>'Kullanılan gübre'!H172*'Gübre oranlar'!K$3</f>
        <v>0</v>
      </c>
      <c r="I172">
        <f>'Kullanılan gübre'!I172*'Gübre oranlar'!L$3</f>
        <v>0</v>
      </c>
      <c r="J172">
        <f>'Kullanılan gübre'!J172*'Gübre oranlar'!M$3</f>
        <v>0</v>
      </c>
      <c r="K172">
        <f>'Kullanılan gübre'!K172*'Gübre oranlar'!N$3</f>
        <v>0.4</v>
      </c>
      <c r="L172">
        <f>'Kullanılan gübre'!L172*'Gübre oranlar'!O$3</f>
        <v>0</v>
      </c>
      <c r="M172">
        <f>'Kullanılan gübre'!M172*'Gübre oranlar'!P$3</f>
        <v>4.6499999999999995</v>
      </c>
      <c r="N172">
        <f>'Kullanılan gübre'!N172*'Gübre oranlar'!Q$3</f>
        <v>3.9</v>
      </c>
      <c r="O172">
        <f>'Kullanılan gübre'!O172*'Gübre oranlar'!R$3</f>
        <v>0</v>
      </c>
      <c r="P172">
        <f>'Kullanılan gübre'!P172*'Gübre oranlar'!S$3</f>
        <v>0</v>
      </c>
      <c r="Q172">
        <f>'Kullanılan gübre'!Q172*'Gübre oranlar'!T$3</f>
        <v>0</v>
      </c>
      <c r="R172">
        <f>'Kullanılan gübre'!R172*'Gübre oranlar'!U$3</f>
        <v>0</v>
      </c>
      <c r="S172">
        <f>'Kullanılan gübre'!S172*'Gübre oranlar'!V$3</f>
        <v>0</v>
      </c>
      <c r="T172">
        <f>'Kullanılan gübre'!T172*'Gübre oranlar'!W$3</f>
        <v>0</v>
      </c>
      <c r="U172">
        <f>'Kullanılan gübre'!U172*'Gübre oranlar'!X$3</f>
        <v>0</v>
      </c>
      <c r="V172">
        <f>'Kullanılan gübre'!V172*'Gübre oranlar'!Y$3</f>
        <v>0</v>
      </c>
      <c r="W172">
        <f>'Kullanılan gübre'!W172*'Gübre oranlar'!Z$3</f>
        <v>0</v>
      </c>
      <c r="X172">
        <f>'Kullanılan gübre'!X172*'Gübre oranlar'!AA$3</f>
        <v>0</v>
      </c>
      <c r="Y172">
        <f>'Kullanılan gübre'!Y172*'Gübre oranlar'!AB$3</f>
        <v>0</v>
      </c>
      <c r="Z172">
        <f>'Kullanılan gübre'!Z172*'Gübre oranlar'!AC$3</f>
        <v>0</v>
      </c>
      <c r="AA172">
        <f>'Kullanılan gübre'!AA172*'Gübre oranlar'!AD$3</f>
        <v>0</v>
      </c>
      <c r="AB172">
        <f>'Kullanılan gübre'!AB172*'Gübre oranlar'!AE$3</f>
        <v>0</v>
      </c>
      <c r="AC172">
        <f>'Kullanılan gübre'!AC172*'Gübre oranlar'!AF$3</f>
        <v>0</v>
      </c>
      <c r="AD172">
        <f>'Kullanılan gübre'!AD172*'Gübre oranlar'!AG$3</f>
        <v>0</v>
      </c>
      <c r="AE172">
        <f>'Kullanılan gübre'!AE172*'Gübre oranlar'!AH$3</f>
        <v>0</v>
      </c>
      <c r="AF172">
        <f>'Kullanılan gübre'!AF172*'Gübre oranlar'!AI$3</f>
        <v>0</v>
      </c>
      <c r="AG172">
        <f>'Kullanılan gübre'!AG172*'Gübre oranlar'!AJ$3</f>
        <v>0</v>
      </c>
      <c r="AH172">
        <f>'Kullanılan gübre'!AH172*'Gübre oranlar'!AK$3</f>
        <v>0</v>
      </c>
      <c r="AI172">
        <f>'Kullanılan gübre'!AI172*'Gübre oranlar'!AL$3</f>
        <v>0</v>
      </c>
      <c r="AJ172">
        <f>'Kullanılan gübre'!AJ172*'Gübre oranlar'!AM$3</f>
        <v>0</v>
      </c>
      <c r="AK172">
        <f>'Kullanılan gübre'!AK172*'Gübre oranlar'!AN$3</f>
        <v>0</v>
      </c>
      <c r="AL172">
        <f>'Kullanılan gübre'!AL172*'Gübre oranlar'!AO$3</f>
        <v>0</v>
      </c>
      <c r="AM172">
        <f>'Kullanılan gübre'!AM172*'Gübre oranlar'!AP$3</f>
        <v>0</v>
      </c>
      <c r="AN172">
        <f>'Kullanılan gübre'!AN172*'Gübre oranlar'!AQ$3</f>
        <v>0</v>
      </c>
      <c r="AO172">
        <f>'Kullanılan gübre'!AO172*'Gübre oranlar'!AR$3</f>
        <v>0</v>
      </c>
      <c r="AP172">
        <f>'Kullanılan gübre'!AP172*'Gübre oranlar'!AS$3</f>
        <v>0</v>
      </c>
      <c r="AQ172">
        <f>'Kullanılan gübre'!AQ172*'Gübre oranlar'!AT$3</f>
        <v>0</v>
      </c>
      <c r="AR172">
        <f>'Kullanılan gübre'!AR172*'Gübre oranlar'!AU$3</f>
        <v>0</v>
      </c>
      <c r="AS172">
        <f>'Kullanılan gübre'!AS172*'Gübre oranlar'!AV$3</f>
        <v>0</v>
      </c>
      <c r="AT172">
        <f>'Kullanılan gübre'!AT172*'Gübre oranlar'!AW$3</f>
        <v>0</v>
      </c>
      <c r="AU172">
        <f>'Kullanılan gübre'!AU172*'Gübre oranlar'!AX$3</f>
        <v>0</v>
      </c>
      <c r="AV172">
        <f>'Kullanılan gübre'!AV172*'Gübre oranlar'!AY$3</f>
        <v>0</v>
      </c>
      <c r="AW172">
        <f t="shared" si="2"/>
        <v>8.9499999999999993</v>
      </c>
    </row>
    <row r="173" spans="1:49" x14ac:dyDescent="0.25">
      <c r="A173" t="str">
        <f>'Kullanılan gübre'!A173</f>
        <v>BA</v>
      </c>
      <c r="B173" t="str">
        <f>'Kullanılan gübre'!B173</f>
        <v>ANTALYA</v>
      </c>
      <c r="C173" t="str">
        <f>'Kullanılan gübre'!C173</f>
        <v>KUMLUCA</v>
      </c>
      <c r="D173">
        <f>'Kullanılan gübre'!D173</f>
        <v>2011</v>
      </c>
      <c r="E173">
        <f>'Kullanılan gübre'!E173*'Gübre oranlar'!H$3</f>
        <v>0</v>
      </c>
      <c r="F173">
        <f>'Kullanılan gübre'!F173*'Gübre oranlar'!I$3</f>
        <v>0</v>
      </c>
      <c r="G173">
        <f>'Kullanılan gübre'!G173*'Gübre oranlar'!J$3</f>
        <v>0</v>
      </c>
      <c r="H173">
        <f>'Kullanılan gübre'!H173*'Gübre oranlar'!K$3</f>
        <v>0</v>
      </c>
      <c r="I173">
        <f>'Kullanılan gübre'!I173*'Gübre oranlar'!L$3</f>
        <v>9.89</v>
      </c>
      <c r="J173">
        <f>'Kullanılan gübre'!J173*'Gübre oranlar'!M$3</f>
        <v>0</v>
      </c>
      <c r="K173">
        <f>'Kullanılan gübre'!K173*'Gübre oranlar'!N$3</f>
        <v>38</v>
      </c>
      <c r="L173">
        <f>'Kullanılan gübre'!L173*'Gübre oranlar'!O$3</f>
        <v>10</v>
      </c>
      <c r="M173">
        <f>'Kullanılan gübre'!M173*'Gübre oranlar'!P$3</f>
        <v>36.6</v>
      </c>
      <c r="N173">
        <f>'Kullanılan gübre'!N173*'Gübre oranlar'!Q$3</f>
        <v>204.15</v>
      </c>
      <c r="O173">
        <f>'Kullanılan gübre'!O173*'Gübre oranlar'!R$3</f>
        <v>0</v>
      </c>
      <c r="P173">
        <f>'Kullanılan gübre'!P173*'Gübre oranlar'!S$3</f>
        <v>0</v>
      </c>
      <c r="Q173">
        <f>'Kullanılan gübre'!Q173*'Gübre oranlar'!T$3</f>
        <v>0</v>
      </c>
      <c r="R173">
        <f>'Kullanılan gübre'!R173*'Gübre oranlar'!U$3</f>
        <v>0</v>
      </c>
      <c r="S173">
        <f>'Kullanılan gübre'!S173*'Gübre oranlar'!V$3</f>
        <v>0</v>
      </c>
      <c r="T173">
        <f>'Kullanılan gübre'!T173*'Gübre oranlar'!W$3</f>
        <v>0</v>
      </c>
      <c r="U173">
        <f>'Kullanılan gübre'!U173*'Gübre oranlar'!X$3</f>
        <v>2.7</v>
      </c>
      <c r="V173">
        <f>'Kullanılan gübre'!V173*'Gübre oranlar'!Y$3</f>
        <v>0</v>
      </c>
      <c r="W173">
        <f>'Kullanılan gübre'!W173*'Gübre oranlar'!Z$3</f>
        <v>0</v>
      </c>
      <c r="X173">
        <f>'Kullanılan gübre'!X173*'Gübre oranlar'!AA$3</f>
        <v>0</v>
      </c>
      <c r="Y173">
        <f>'Kullanılan gübre'!Y173*'Gübre oranlar'!AB$3</f>
        <v>0</v>
      </c>
      <c r="Z173">
        <f>'Kullanılan gübre'!Z173*'Gübre oranlar'!AC$3</f>
        <v>0</v>
      </c>
      <c r="AA173">
        <f>'Kullanılan gübre'!AA173*'Gübre oranlar'!AD$3</f>
        <v>0</v>
      </c>
      <c r="AB173">
        <f>'Kullanılan gübre'!AB173*'Gübre oranlar'!AE$3</f>
        <v>0</v>
      </c>
      <c r="AC173">
        <f>'Kullanılan gübre'!AC173*'Gübre oranlar'!AF$3</f>
        <v>0</v>
      </c>
      <c r="AD173">
        <f>'Kullanılan gübre'!AD173*'Gübre oranlar'!AG$3</f>
        <v>0</v>
      </c>
      <c r="AE173">
        <f>'Kullanılan gübre'!AE173*'Gübre oranlar'!AH$3</f>
        <v>0</v>
      </c>
      <c r="AF173">
        <f>'Kullanılan gübre'!AF173*'Gübre oranlar'!AI$3</f>
        <v>0</v>
      </c>
      <c r="AG173">
        <f>'Kullanılan gübre'!AG173*'Gübre oranlar'!AJ$3</f>
        <v>0</v>
      </c>
      <c r="AH173">
        <f>'Kullanılan gübre'!AH173*'Gübre oranlar'!AK$3</f>
        <v>0</v>
      </c>
      <c r="AI173">
        <f>'Kullanılan gübre'!AI173*'Gübre oranlar'!AL$3</f>
        <v>0</v>
      </c>
      <c r="AJ173">
        <f>'Kullanılan gübre'!AJ173*'Gübre oranlar'!AM$3</f>
        <v>0</v>
      </c>
      <c r="AK173">
        <f>'Kullanılan gübre'!AK173*'Gübre oranlar'!AN$3</f>
        <v>0</v>
      </c>
      <c r="AL173">
        <f>'Kullanılan gübre'!AL173*'Gübre oranlar'!AO$3</f>
        <v>0</v>
      </c>
      <c r="AM173">
        <f>'Kullanılan gübre'!AM173*'Gübre oranlar'!AP$3</f>
        <v>0</v>
      </c>
      <c r="AN173">
        <f>'Kullanılan gübre'!AN173*'Gübre oranlar'!AQ$3</f>
        <v>0</v>
      </c>
      <c r="AO173">
        <f>'Kullanılan gübre'!AO173*'Gübre oranlar'!AR$3</f>
        <v>0</v>
      </c>
      <c r="AP173">
        <f>'Kullanılan gübre'!AP173*'Gübre oranlar'!AS$3</f>
        <v>0</v>
      </c>
      <c r="AQ173">
        <f>'Kullanılan gübre'!AQ173*'Gübre oranlar'!AT$3</f>
        <v>0</v>
      </c>
      <c r="AR173">
        <f>'Kullanılan gübre'!AR173*'Gübre oranlar'!AU$3</f>
        <v>0</v>
      </c>
      <c r="AS173">
        <f>'Kullanılan gübre'!AS173*'Gübre oranlar'!AV$3</f>
        <v>0</v>
      </c>
      <c r="AT173">
        <f>'Kullanılan gübre'!AT173*'Gübre oranlar'!AW$3</f>
        <v>0</v>
      </c>
      <c r="AU173">
        <f>'Kullanılan gübre'!AU173*'Gübre oranlar'!AX$3</f>
        <v>0</v>
      </c>
      <c r="AV173">
        <f>'Kullanılan gübre'!AV173*'Gübre oranlar'!AY$3</f>
        <v>0</v>
      </c>
      <c r="AW173">
        <f t="shared" si="2"/>
        <v>301.33999999999997</v>
      </c>
    </row>
    <row r="174" spans="1:49" x14ac:dyDescent="0.25">
      <c r="A174" t="str">
        <f>'Kullanılan gübre'!A174</f>
        <v>BA</v>
      </c>
      <c r="B174" t="str">
        <f>'Kullanılan gübre'!B174</f>
        <v>ANTALYA</v>
      </c>
      <c r="C174" t="str">
        <f>'Kullanılan gübre'!C174</f>
        <v>FINIKE</v>
      </c>
      <c r="D174">
        <f>'Kullanılan gübre'!D174</f>
        <v>2011</v>
      </c>
      <c r="E174">
        <f>'Kullanılan gübre'!E174*'Gübre oranlar'!H$3</f>
        <v>0</v>
      </c>
      <c r="F174">
        <f>'Kullanılan gübre'!F174*'Gübre oranlar'!I$3</f>
        <v>0</v>
      </c>
      <c r="G174">
        <f>'Kullanılan gübre'!G174*'Gübre oranlar'!J$3</f>
        <v>0</v>
      </c>
      <c r="H174">
        <f>'Kullanılan gübre'!H174*'Gübre oranlar'!K$3</f>
        <v>0</v>
      </c>
      <c r="I174">
        <f>'Kullanılan gübre'!I174*'Gübre oranlar'!L$3</f>
        <v>20.64</v>
      </c>
      <c r="J174">
        <f>'Kullanılan gübre'!J174*'Gübre oranlar'!M$3</f>
        <v>0</v>
      </c>
      <c r="K174">
        <f>'Kullanılan gübre'!K174*'Gübre oranlar'!N$3</f>
        <v>17.600000000000001</v>
      </c>
      <c r="L174">
        <f>'Kullanılan gübre'!L174*'Gübre oranlar'!O$3</f>
        <v>0</v>
      </c>
      <c r="M174">
        <f>'Kullanılan gübre'!M174*'Gübre oranlar'!P$3</f>
        <v>30</v>
      </c>
      <c r="N174">
        <f>'Kullanılan gübre'!N174*'Gübre oranlar'!Q$3</f>
        <v>144</v>
      </c>
      <c r="O174">
        <f>'Kullanılan gübre'!O174*'Gübre oranlar'!R$3</f>
        <v>0</v>
      </c>
      <c r="P174">
        <f>'Kullanılan gübre'!P174*'Gübre oranlar'!S$3</f>
        <v>0</v>
      </c>
      <c r="Q174">
        <f>'Kullanılan gübre'!Q174*'Gübre oranlar'!T$3</f>
        <v>49.199999999999996</v>
      </c>
      <c r="R174">
        <f>'Kullanılan gübre'!R174*'Gübre oranlar'!U$3</f>
        <v>0</v>
      </c>
      <c r="S174">
        <f>'Kullanılan gübre'!S174*'Gübre oranlar'!V$3</f>
        <v>0</v>
      </c>
      <c r="T174">
        <f>'Kullanılan gübre'!T174*'Gübre oranlar'!W$3</f>
        <v>0</v>
      </c>
      <c r="U174">
        <f>'Kullanılan gübre'!U174*'Gübre oranlar'!X$3</f>
        <v>9.9</v>
      </c>
      <c r="V174">
        <f>'Kullanılan gübre'!V174*'Gübre oranlar'!Y$3</f>
        <v>0</v>
      </c>
      <c r="W174">
        <f>'Kullanılan gübre'!W174*'Gübre oranlar'!Z$3</f>
        <v>0</v>
      </c>
      <c r="X174">
        <f>'Kullanılan gübre'!X174*'Gübre oranlar'!AA$3</f>
        <v>0</v>
      </c>
      <c r="Y174">
        <f>'Kullanılan gübre'!Y174*'Gübre oranlar'!AB$3</f>
        <v>0</v>
      </c>
      <c r="Z174">
        <f>'Kullanılan gübre'!Z174*'Gübre oranlar'!AC$3</f>
        <v>0</v>
      </c>
      <c r="AA174">
        <f>'Kullanılan gübre'!AA174*'Gübre oranlar'!AD$3</f>
        <v>0</v>
      </c>
      <c r="AB174">
        <f>'Kullanılan gübre'!AB174*'Gübre oranlar'!AE$3</f>
        <v>0</v>
      </c>
      <c r="AC174">
        <f>'Kullanılan gübre'!AC174*'Gübre oranlar'!AF$3</f>
        <v>0</v>
      </c>
      <c r="AD174">
        <f>'Kullanılan gübre'!AD174*'Gübre oranlar'!AG$3</f>
        <v>0</v>
      </c>
      <c r="AE174">
        <f>'Kullanılan gübre'!AE174*'Gübre oranlar'!AH$3</f>
        <v>0</v>
      </c>
      <c r="AF174">
        <f>'Kullanılan gübre'!AF174*'Gübre oranlar'!AI$3</f>
        <v>0</v>
      </c>
      <c r="AG174">
        <f>'Kullanılan gübre'!AG174*'Gübre oranlar'!AJ$3</f>
        <v>0</v>
      </c>
      <c r="AH174">
        <f>'Kullanılan gübre'!AH174*'Gübre oranlar'!AK$3</f>
        <v>0</v>
      </c>
      <c r="AI174">
        <f>'Kullanılan gübre'!AI174*'Gübre oranlar'!AL$3</f>
        <v>0</v>
      </c>
      <c r="AJ174">
        <f>'Kullanılan gübre'!AJ174*'Gübre oranlar'!AM$3</f>
        <v>0</v>
      </c>
      <c r="AK174">
        <f>'Kullanılan gübre'!AK174*'Gübre oranlar'!AN$3</f>
        <v>0</v>
      </c>
      <c r="AL174">
        <f>'Kullanılan gübre'!AL174*'Gübre oranlar'!AO$3</f>
        <v>0</v>
      </c>
      <c r="AM174">
        <f>'Kullanılan gübre'!AM174*'Gübre oranlar'!AP$3</f>
        <v>0</v>
      </c>
      <c r="AN174">
        <f>'Kullanılan gübre'!AN174*'Gübre oranlar'!AQ$3</f>
        <v>0</v>
      </c>
      <c r="AO174">
        <f>'Kullanılan gübre'!AO174*'Gübre oranlar'!AR$3</f>
        <v>0</v>
      </c>
      <c r="AP174">
        <f>'Kullanılan gübre'!AP174*'Gübre oranlar'!AS$3</f>
        <v>0</v>
      </c>
      <c r="AQ174">
        <f>'Kullanılan gübre'!AQ174*'Gübre oranlar'!AT$3</f>
        <v>0</v>
      </c>
      <c r="AR174">
        <f>'Kullanılan gübre'!AR174*'Gübre oranlar'!AU$3</f>
        <v>0</v>
      </c>
      <c r="AS174">
        <f>'Kullanılan gübre'!AS174*'Gübre oranlar'!AV$3</f>
        <v>53.519999999999996</v>
      </c>
      <c r="AT174">
        <f>'Kullanılan gübre'!AT174*'Gübre oranlar'!AW$3</f>
        <v>0</v>
      </c>
      <c r="AU174">
        <f>'Kullanılan gübre'!AU174*'Gübre oranlar'!AX$3</f>
        <v>0</v>
      </c>
      <c r="AV174">
        <f>'Kullanılan gübre'!AV174*'Gübre oranlar'!AY$3</f>
        <v>0</v>
      </c>
      <c r="AW174">
        <f t="shared" si="2"/>
        <v>324.85999999999996</v>
      </c>
    </row>
    <row r="175" spans="1:49" x14ac:dyDescent="0.25">
      <c r="A175" t="str">
        <f>'Kullanılan gübre'!A175</f>
        <v>BA</v>
      </c>
      <c r="B175" t="str">
        <f>'Kullanılan gübre'!B175</f>
        <v>ANTALYA</v>
      </c>
      <c r="C175" t="str">
        <f>'Kullanılan gübre'!C175</f>
        <v>DEMRE</v>
      </c>
      <c r="D175">
        <f>'Kullanılan gübre'!D175</f>
        <v>2011</v>
      </c>
      <c r="E175">
        <f>'Kullanılan gübre'!E175*'Gübre oranlar'!H$3</f>
        <v>0</v>
      </c>
      <c r="F175">
        <f>'Kullanılan gübre'!F175*'Gübre oranlar'!I$3</f>
        <v>0</v>
      </c>
      <c r="G175">
        <f>'Kullanılan gübre'!G175*'Gübre oranlar'!J$3</f>
        <v>0</v>
      </c>
      <c r="H175">
        <f>'Kullanılan gübre'!H175*'Gübre oranlar'!K$3</f>
        <v>0</v>
      </c>
      <c r="I175">
        <f>'Kullanılan gübre'!I175*'Gübre oranlar'!L$3</f>
        <v>6.45</v>
      </c>
      <c r="J175">
        <f>'Kullanılan gübre'!J175*'Gübre oranlar'!M$3</f>
        <v>0</v>
      </c>
      <c r="K175">
        <f>'Kullanılan gübre'!K175*'Gübre oranlar'!N$3</f>
        <v>14.600000000000001</v>
      </c>
      <c r="L175">
        <f>'Kullanılan gübre'!L175*'Gübre oranlar'!O$3</f>
        <v>0</v>
      </c>
      <c r="M175">
        <f>'Kullanılan gübre'!M175*'Gübre oranlar'!P$3</f>
        <v>0.89999999999999991</v>
      </c>
      <c r="N175">
        <f>'Kullanılan gübre'!N175*'Gübre oranlar'!Q$3</f>
        <v>14.399999999999999</v>
      </c>
      <c r="O175">
        <f>'Kullanılan gübre'!O175*'Gübre oranlar'!R$3</f>
        <v>0</v>
      </c>
      <c r="P175">
        <f>'Kullanılan gübre'!P175*'Gübre oranlar'!S$3</f>
        <v>0</v>
      </c>
      <c r="Q175">
        <f>'Kullanılan gübre'!Q175*'Gübre oranlar'!T$3</f>
        <v>0</v>
      </c>
      <c r="R175">
        <f>'Kullanılan gübre'!R175*'Gübre oranlar'!U$3</f>
        <v>0</v>
      </c>
      <c r="S175">
        <f>'Kullanılan gübre'!S175*'Gübre oranlar'!V$3</f>
        <v>0</v>
      </c>
      <c r="T175">
        <f>'Kullanılan gübre'!T175*'Gübre oranlar'!W$3</f>
        <v>0</v>
      </c>
      <c r="U175">
        <f>'Kullanılan gübre'!U175*'Gübre oranlar'!X$3</f>
        <v>0.1</v>
      </c>
      <c r="V175">
        <f>'Kullanılan gübre'!V175*'Gübre oranlar'!Y$3</f>
        <v>0</v>
      </c>
      <c r="W175">
        <f>'Kullanılan gübre'!W175*'Gübre oranlar'!Z$3</f>
        <v>0</v>
      </c>
      <c r="X175">
        <f>'Kullanılan gübre'!X175*'Gübre oranlar'!AA$3</f>
        <v>0</v>
      </c>
      <c r="Y175">
        <f>'Kullanılan gübre'!Y175*'Gübre oranlar'!AB$3</f>
        <v>0</v>
      </c>
      <c r="Z175">
        <f>'Kullanılan gübre'!Z175*'Gübre oranlar'!AC$3</f>
        <v>0</v>
      </c>
      <c r="AA175">
        <f>'Kullanılan gübre'!AA175*'Gübre oranlar'!AD$3</f>
        <v>0</v>
      </c>
      <c r="AB175">
        <f>'Kullanılan gübre'!AB175*'Gübre oranlar'!AE$3</f>
        <v>67.709999999999994</v>
      </c>
      <c r="AC175">
        <f>'Kullanılan gübre'!AC175*'Gübre oranlar'!AF$3</f>
        <v>0</v>
      </c>
      <c r="AD175">
        <f>'Kullanılan gübre'!AD175*'Gübre oranlar'!AG$3</f>
        <v>0</v>
      </c>
      <c r="AE175">
        <f>'Kullanılan gübre'!AE175*'Gübre oranlar'!AH$3</f>
        <v>0</v>
      </c>
      <c r="AF175">
        <f>'Kullanılan gübre'!AF175*'Gübre oranlar'!AI$3</f>
        <v>0</v>
      </c>
      <c r="AG175">
        <f>'Kullanılan gübre'!AG175*'Gübre oranlar'!AJ$3</f>
        <v>0</v>
      </c>
      <c r="AH175">
        <f>'Kullanılan gübre'!AH175*'Gübre oranlar'!AK$3</f>
        <v>0</v>
      </c>
      <c r="AI175">
        <f>'Kullanılan gübre'!AI175*'Gübre oranlar'!AL$3</f>
        <v>0</v>
      </c>
      <c r="AJ175">
        <f>'Kullanılan gübre'!AJ175*'Gübre oranlar'!AM$3</f>
        <v>0</v>
      </c>
      <c r="AK175">
        <f>'Kullanılan gübre'!AK175*'Gübre oranlar'!AN$3</f>
        <v>0</v>
      </c>
      <c r="AL175">
        <f>'Kullanılan gübre'!AL175*'Gübre oranlar'!AO$3</f>
        <v>0</v>
      </c>
      <c r="AM175">
        <f>'Kullanılan gübre'!AM175*'Gübre oranlar'!AP$3</f>
        <v>0</v>
      </c>
      <c r="AN175">
        <f>'Kullanılan gübre'!AN175*'Gübre oranlar'!AQ$3</f>
        <v>0</v>
      </c>
      <c r="AO175">
        <f>'Kullanılan gübre'!AO175*'Gübre oranlar'!AR$3</f>
        <v>0</v>
      </c>
      <c r="AP175">
        <f>'Kullanılan gübre'!AP175*'Gübre oranlar'!AS$3</f>
        <v>0</v>
      </c>
      <c r="AQ175">
        <f>'Kullanılan gübre'!AQ175*'Gübre oranlar'!AT$3</f>
        <v>0</v>
      </c>
      <c r="AR175">
        <f>'Kullanılan gübre'!AR175*'Gübre oranlar'!AU$3</f>
        <v>0</v>
      </c>
      <c r="AS175">
        <f>'Kullanılan gübre'!AS175*'Gübre oranlar'!AV$3</f>
        <v>0.24</v>
      </c>
      <c r="AT175">
        <f>'Kullanılan gübre'!AT175*'Gübre oranlar'!AW$3</f>
        <v>0</v>
      </c>
      <c r="AU175">
        <f>'Kullanılan gübre'!AU175*'Gübre oranlar'!AX$3</f>
        <v>0</v>
      </c>
      <c r="AV175">
        <f>'Kullanılan gübre'!AV175*'Gübre oranlar'!AY$3</f>
        <v>0</v>
      </c>
      <c r="AW175">
        <f t="shared" si="2"/>
        <v>104.39999999999999</v>
      </c>
    </row>
    <row r="176" spans="1:49" x14ac:dyDescent="0.25">
      <c r="A176" t="str">
        <f>'Kullanılan gübre'!A176</f>
        <v>BA</v>
      </c>
      <c r="B176" t="str">
        <f>'Kullanılan gübre'!B176</f>
        <v>ANTALYA</v>
      </c>
      <c r="C176" t="str">
        <f>'Kullanılan gübre'!C176</f>
        <v>KAS</v>
      </c>
      <c r="D176">
        <f>'Kullanılan gübre'!D176</f>
        <v>2011</v>
      </c>
      <c r="E176">
        <f>'Kullanılan gübre'!E176*'Gübre oranlar'!H$3</f>
        <v>0</v>
      </c>
      <c r="F176">
        <f>'Kullanılan gübre'!F176*'Gübre oranlar'!I$3</f>
        <v>0</v>
      </c>
      <c r="G176">
        <f>'Kullanılan gübre'!G176*'Gübre oranlar'!J$3</f>
        <v>0</v>
      </c>
      <c r="H176">
        <f>'Kullanılan gübre'!H176*'Gübre oranlar'!K$3</f>
        <v>0</v>
      </c>
      <c r="I176">
        <f>'Kullanılan gübre'!I176*'Gübre oranlar'!L$3</f>
        <v>0.86</v>
      </c>
      <c r="J176">
        <f>'Kullanılan gübre'!J176*'Gübre oranlar'!M$3</f>
        <v>0</v>
      </c>
      <c r="K176">
        <f>'Kullanılan gübre'!K176*'Gübre oranlar'!N$3</f>
        <v>17.2</v>
      </c>
      <c r="L176">
        <f>'Kullanılan gübre'!L176*'Gübre oranlar'!O$3</f>
        <v>0</v>
      </c>
      <c r="M176">
        <f>'Kullanılan gübre'!M176*'Gübre oranlar'!P$3</f>
        <v>24</v>
      </c>
      <c r="N176">
        <f>'Kullanılan gübre'!N176*'Gübre oranlar'!Q$3</f>
        <v>44.25</v>
      </c>
      <c r="O176">
        <f>'Kullanılan gübre'!O176*'Gübre oranlar'!R$3</f>
        <v>0</v>
      </c>
      <c r="P176">
        <f>'Kullanılan gübre'!P176*'Gübre oranlar'!S$3</f>
        <v>0</v>
      </c>
      <c r="Q176">
        <f>'Kullanılan gübre'!Q176*'Gübre oranlar'!T$3</f>
        <v>0</v>
      </c>
      <c r="R176">
        <f>'Kullanılan gübre'!R176*'Gübre oranlar'!U$3</f>
        <v>0</v>
      </c>
      <c r="S176">
        <f>'Kullanılan gübre'!S176*'Gübre oranlar'!V$3</f>
        <v>0</v>
      </c>
      <c r="T176">
        <f>'Kullanılan gübre'!T176*'Gübre oranlar'!W$3</f>
        <v>0</v>
      </c>
      <c r="U176">
        <f>'Kullanılan gübre'!U176*'Gübre oranlar'!X$3</f>
        <v>0</v>
      </c>
      <c r="V176">
        <f>'Kullanılan gübre'!V176*'Gübre oranlar'!Y$3</f>
        <v>0</v>
      </c>
      <c r="W176">
        <f>'Kullanılan gübre'!W176*'Gübre oranlar'!Z$3</f>
        <v>0</v>
      </c>
      <c r="X176">
        <f>'Kullanılan gübre'!X176*'Gübre oranlar'!AA$3</f>
        <v>0</v>
      </c>
      <c r="Y176">
        <f>'Kullanılan gübre'!Y176*'Gübre oranlar'!AB$3</f>
        <v>0</v>
      </c>
      <c r="Z176">
        <f>'Kullanılan gübre'!Z176*'Gübre oranlar'!AC$3</f>
        <v>0</v>
      </c>
      <c r="AA176">
        <f>'Kullanılan gübre'!AA176*'Gübre oranlar'!AD$3</f>
        <v>0</v>
      </c>
      <c r="AB176">
        <f>'Kullanılan gübre'!AB176*'Gübre oranlar'!AE$3</f>
        <v>0</v>
      </c>
      <c r="AC176">
        <f>'Kullanılan gübre'!AC176*'Gübre oranlar'!AF$3</f>
        <v>0</v>
      </c>
      <c r="AD176">
        <f>'Kullanılan gübre'!AD176*'Gübre oranlar'!AG$3</f>
        <v>0</v>
      </c>
      <c r="AE176">
        <f>'Kullanılan gübre'!AE176*'Gübre oranlar'!AH$3</f>
        <v>0</v>
      </c>
      <c r="AF176">
        <f>'Kullanılan gübre'!AF176*'Gübre oranlar'!AI$3</f>
        <v>0</v>
      </c>
      <c r="AG176">
        <f>'Kullanılan gübre'!AG176*'Gübre oranlar'!AJ$3</f>
        <v>0</v>
      </c>
      <c r="AH176">
        <f>'Kullanılan gübre'!AH176*'Gübre oranlar'!AK$3</f>
        <v>0</v>
      </c>
      <c r="AI176">
        <f>'Kullanılan gübre'!AI176*'Gübre oranlar'!AL$3</f>
        <v>0</v>
      </c>
      <c r="AJ176">
        <f>'Kullanılan gübre'!AJ176*'Gübre oranlar'!AM$3</f>
        <v>0</v>
      </c>
      <c r="AK176">
        <f>'Kullanılan gübre'!AK176*'Gübre oranlar'!AN$3</f>
        <v>0</v>
      </c>
      <c r="AL176">
        <f>'Kullanılan gübre'!AL176*'Gübre oranlar'!AO$3</f>
        <v>0</v>
      </c>
      <c r="AM176">
        <f>'Kullanılan gübre'!AM176*'Gübre oranlar'!AP$3</f>
        <v>0</v>
      </c>
      <c r="AN176">
        <f>'Kullanılan gübre'!AN176*'Gübre oranlar'!AQ$3</f>
        <v>0</v>
      </c>
      <c r="AO176">
        <f>'Kullanılan gübre'!AO176*'Gübre oranlar'!AR$3</f>
        <v>0</v>
      </c>
      <c r="AP176">
        <f>'Kullanılan gübre'!AP176*'Gübre oranlar'!AS$3</f>
        <v>0</v>
      </c>
      <c r="AQ176">
        <f>'Kullanılan gübre'!AQ176*'Gübre oranlar'!AT$3</f>
        <v>0</v>
      </c>
      <c r="AR176">
        <f>'Kullanılan gübre'!AR176*'Gübre oranlar'!AU$3</f>
        <v>0</v>
      </c>
      <c r="AS176">
        <f>'Kullanılan gübre'!AS176*'Gübre oranlar'!AV$3</f>
        <v>0</v>
      </c>
      <c r="AT176">
        <f>'Kullanılan gübre'!AT176*'Gübre oranlar'!AW$3</f>
        <v>0</v>
      </c>
      <c r="AU176">
        <f>'Kullanılan gübre'!AU176*'Gübre oranlar'!AX$3</f>
        <v>0</v>
      </c>
      <c r="AV176">
        <f>'Kullanılan gübre'!AV176*'Gübre oranlar'!AY$3</f>
        <v>0</v>
      </c>
      <c r="AW176">
        <f t="shared" si="2"/>
        <v>86.31</v>
      </c>
    </row>
    <row r="177" spans="1:49" x14ac:dyDescent="0.25">
      <c r="A177" t="str">
        <f>'Kullanılan gübre'!A177</f>
        <v>BA</v>
      </c>
      <c r="B177" t="str">
        <f>'Kullanılan gübre'!B177</f>
        <v>ANTALYA</v>
      </c>
      <c r="C177" t="str">
        <f>'Kullanılan gübre'!C177</f>
        <v>KORKUTELI</v>
      </c>
      <c r="D177">
        <f>'Kullanılan gübre'!D177</f>
        <v>2011</v>
      </c>
      <c r="E177">
        <f>'Kullanılan gübre'!E177*'Gübre oranlar'!H$3</f>
        <v>0</v>
      </c>
      <c r="F177">
        <f>'Kullanılan gübre'!F177*'Gübre oranlar'!I$3</f>
        <v>0</v>
      </c>
      <c r="G177">
        <f>'Kullanılan gübre'!G177*'Gübre oranlar'!J$3</f>
        <v>0</v>
      </c>
      <c r="H177">
        <f>'Kullanılan gübre'!H177*'Gübre oranlar'!K$3</f>
        <v>0</v>
      </c>
      <c r="I177">
        <f>'Kullanılan gübre'!I177*'Gübre oranlar'!L$3</f>
        <v>79.98</v>
      </c>
      <c r="J177">
        <f>'Kullanılan gübre'!J177*'Gübre oranlar'!M$3</f>
        <v>0</v>
      </c>
      <c r="K177">
        <f>'Kullanılan gübre'!K177*'Gübre oranlar'!N$3</f>
        <v>917.80000000000007</v>
      </c>
      <c r="L177">
        <f>'Kullanılan gübre'!L177*'Gübre oranlar'!O$3</f>
        <v>101.80000000000001</v>
      </c>
      <c r="M177">
        <f>'Kullanılan gübre'!M177*'Gübre oranlar'!P$3</f>
        <v>244.95</v>
      </c>
      <c r="N177">
        <f>'Kullanılan gübre'!N177*'Gübre oranlar'!Q$3</f>
        <v>161.4</v>
      </c>
      <c r="O177">
        <f>'Kullanılan gübre'!O177*'Gübre oranlar'!R$3</f>
        <v>0</v>
      </c>
      <c r="P177">
        <f>'Kullanılan gübre'!P177*'Gübre oranlar'!S$3</f>
        <v>0</v>
      </c>
      <c r="Q177">
        <f>'Kullanılan gübre'!Q177*'Gübre oranlar'!T$3</f>
        <v>0</v>
      </c>
      <c r="R177">
        <f>'Kullanılan gübre'!R177*'Gübre oranlar'!U$3</f>
        <v>0</v>
      </c>
      <c r="S177">
        <f>'Kullanılan gübre'!S177*'Gübre oranlar'!V$3</f>
        <v>0</v>
      </c>
      <c r="T177">
        <f>'Kullanılan gübre'!T177*'Gübre oranlar'!W$3</f>
        <v>0</v>
      </c>
      <c r="U177">
        <f>'Kullanılan gübre'!U177*'Gübre oranlar'!X$3</f>
        <v>1.6</v>
      </c>
      <c r="V177">
        <f>'Kullanılan gübre'!V177*'Gübre oranlar'!Y$3</f>
        <v>0</v>
      </c>
      <c r="W177">
        <f>'Kullanılan gübre'!W177*'Gübre oranlar'!Z$3</f>
        <v>0</v>
      </c>
      <c r="X177">
        <f>'Kullanılan gübre'!X177*'Gübre oranlar'!AA$3</f>
        <v>0</v>
      </c>
      <c r="Y177">
        <f>'Kullanılan gübre'!Y177*'Gübre oranlar'!AB$3</f>
        <v>0</v>
      </c>
      <c r="Z177">
        <f>'Kullanılan gübre'!Z177*'Gübre oranlar'!AC$3</f>
        <v>0</v>
      </c>
      <c r="AA177">
        <f>'Kullanılan gübre'!AA177*'Gübre oranlar'!AD$3</f>
        <v>0</v>
      </c>
      <c r="AB177">
        <f>'Kullanılan gübre'!AB177*'Gübre oranlar'!AE$3</f>
        <v>45.14</v>
      </c>
      <c r="AC177">
        <f>'Kullanılan gübre'!AC177*'Gübre oranlar'!AF$3</f>
        <v>0</v>
      </c>
      <c r="AD177">
        <f>'Kullanılan gübre'!AD177*'Gübre oranlar'!AG$3</f>
        <v>0</v>
      </c>
      <c r="AE177">
        <f>'Kullanılan gübre'!AE177*'Gübre oranlar'!AH$3</f>
        <v>0</v>
      </c>
      <c r="AF177">
        <f>'Kullanılan gübre'!AF177*'Gübre oranlar'!AI$3</f>
        <v>0</v>
      </c>
      <c r="AG177">
        <f>'Kullanılan gübre'!AG177*'Gübre oranlar'!AJ$3</f>
        <v>0</v>
      </c>
      <c r="AH177">
        <f>'Kullanılan gübre'!AH177*'Gübre oranlar'!AK$3</f>
        <v>0</v>
      </c>
      <c r="AI177">
        <f>'Kullanılan gübre'!AI177*'Gübre oranlar'!AL$3</f>
        <v>0</v>
      </c>
      <c r="AJ177">
        <f>'Kullanılan gübre'!AJ177*'Gübre oranlar'!AM$3</f>
        <v>0</v>
      </c>
      <c r="AK177">
        <f>'Kullanılan gübre'!AK177*'Gübre oranlar'!AN$3</f>
        <v>0</v>
      </c>
      <c r="AL177">
        <f>'Kullanılan gübre'!AL177*'Gübre oranlar'!AO$3</f>
        <v>0</v>
      </c>
      <c r="AM177">
        <f>'Kullanılan gübre'!AM177*'Gübre oranlar'!AP$3</f>
        <v>0</v>
      </c>
      <c r="AN177">
        <f>'Kullanılan gübre'!AN177*'Gübre oranlar'!AQ$3</f>
        <v>0</v>
      </c>
      <c r="AO177">
        <f>'Kullanılan gübre'!AO177*'Gübre oranlar'!AR$3</f>
        <v>0</v>
      </c>
      <c r="AP177">
        <f>'Kullanılan gübre'!AP177*'Gübre oranlar'!AS$3</f>
        <v>0</v>
      </c>
      <c r="AQ177">
        <f>'Kullanılan gübre'!AQ177*'Gübre oranlar'!AT$3</f>
        <v>0</v>
      </c>
      <c r="AR177">
        <f>'Kullanılan gübre'!AR177*'Gübre oranlar'!AU$3</f>
        <v>0</v>
      </c>
      <c r="AS177">
        <f>'Kullanılan gübre'!AS177*'Gübre oranlar'!AV$3</f>
        <v>1.44</v>
      </c>
      <c r="AT177">
        <f>'Kullanılan gübre'!AT177*'Gübre oranlar'!AW$3</f>
        <v>0</v>
      </c>
      <c r="AU177">
        <f>'Kullanılan gübre'!AU177*'Gübre oranlar'!AX$3</f>
        <v>0</v>
      </c>
      <c r="AV177">
        <f>'Kullanılan gübre'!AV177*'Gübre oranlar'!AY$3</f>
        <v>0</v>
      </c>
      <c r="AW177">
        <f t="shared" si="2"/>
        <v>1554.1100000000004</v>
      </c>
    </row>
    <row r="178" spans="1:49" x14ac:dyDescent="0.25">
      <c r="A178" t="str">
        <f>'Kullanılan gübre'!A178</f>
        <v>BA</v>
      </c>
      <c r="B178" t="str">
        <f>'Kullanılan gübre'!B178</f>
        <v>ANTALYA</v>
      </c>
      <c r="C178" t="str">
        <f>'Kullanılan gübre'!C178</f>
        <v>ELMALI</v>
      </c>
      <c r="D178">
        <f>'Kullanılan gübre'!D178</f>
        <v>2011</v>
      </c>
      <c r="E178">
        <f>'Kullanılan gübre'!E178*'Gübre oranlar'!H$3</f>
        <v>0</v>
      </c>
      <c r="F178">
        <f>'Kullanılan gübre'!F178*'Gübre oranlar'!I$3</f>
        <v>0</v>
      </c>
      <c r="G178">
        <f>'Kullanılan gübre'!G178*'Gübre oranlar'!J$3</f>
        <v>0</v>
      </c>
      <c r="H178">
        <f>'Kullanılan gübre'!H178*'Gübre oranlar'!K$3</f>
        <v>0</v>
      </c>
      <c r="I178">
        <f>'Kullanılan gübre'!I178*'Gübre oranlar'!L$3</f>
        <v>43.43</v>
      </c>
      <c r="J178">
        <f>'Kullanılan gübre'!J178*'Gübre oranlar'!M$3</f>
        <v>0</v>
      </c>
      <c r="K178">
        <f>'Kullanılan gübre'!K178*'Gübre oranlar'!N$3</f>
        <v>247.4</v>
      </c>
      <c r="L178">
        <f>'Kullanılan gübre'!L178*'Gübre oranlar'!O$3</f>
        <v>21.6</v>
      </c>
      <c r="M178">
        <f>'Kullanılan gübre'!M178*'Gübre oranlar'!P$3</f>
        <v>127.5</v>
      </c>
      <c r="N178">
        <f>'Kullanılan gübre'!N178*'Gübre oranlar'!Q$3</f>
        <v>17.55</v>
      </c>
      <c r="O178">
        <f>'Kullanılan gübre'!O178*'Gübre oranlar'!R$3</f>
        <v>0</v>
      </c>
      <c r="P178">
        <f>'Kullanılan gübre'!P178*'Gübre oranlar'!S$3</f>
        <v>0</v>
      </c>
      <c r="Q178">
        <f>'Kullanılan gübre'!Q178*'Gübre oranlar'!T$3</f>
        <v>107.39999999999999</v>
      </c>
      <c r="R178">
        <f>'Kullanılan gübre'!R178*'Gübre oranlar'!U$3</f>
        <v>0</v>
      </c>
      <c r="S178">
        <f>'Kullanılan gübre'!S178*'Gübre oranlar'!V$3</f>
        <v>0</v>
      </c>
      <c r="T178">
        <f>'Kullanılan gübre'!T178*'Gübre oranlar'!W$3</f>
        <v>0</v>
      </c>
      <c r="U178">
        <f>'Kullanılan gübre'!U178*'Gübre oranlar'!X$3</f>
        <v>0</v>
      </c>
      <c r="V178">
        <f>'Kullanılan gübre'!V178*'Gübre oranlar'!Y$3</f>
        <v>0</v>
      </c>
      <c r="W178">
        <f>'Kullanılan gübre'!W178*'Gübre oranlar'!Z$3</f>
        <v>0</v>
      </c>
      <c r="X178">
        <f>'Kullanılan gübre'!X178*'Gübre oranlar'!AA$3</f>
        <v>0</v>
      </c>
      <c r="Y178">
        <f>'Kullanılan gübre'!Y178*'Gübre oranlar'!AB$3</f>
        <v>0</v>
      </c>
      <c r="Z178">
        <f>'Kullanılan gübre'!Z178*'Gübre oranlar'!AC$3</f>
        <v>0</v>
      </c>
      <c r="AA178">
        <f>'Kullanılan gübre'!AA178*'Gübre oranlar'!AD$3</f>
        <v>0</v>
      </c>
      <c r="AB178">
        <f>'Kullanılan gübre'!AB178*'Gübre oranlar'!AE$3</f>
        <v>0</v>
      </c>
      <c r="AC178">
        <f>'Kullanılan gübre'!AC178*'Gübre oranlar'!AF$3</f>
        <v>0</v>
      </c>
      <c r="AD178">
        <f>'Kullanılan gübre'!AD178*'Gübre oranlar'!AG$3</f>
        <v>0</v>
      </c>
      <c r="AE178">
        <f>'Kullanılan gübre'!AE178*'Gübre oranlar'!AH$3</f>
        <v>0</v>
      </c>
      <c r="AF178">
        <f>'Kullanılan gübre'!AF178*'Gübre oranlar'!AI$3</f>
        <v>0</v>
      </c>
      <c r="AG178">
        <f>'Kullanılan gübre'!AG178*'Gübre oranlar'!AJ$3</f>
        <v>0</v>
      </c>
      <c r="AH178">
        <f>'Kullanılan gübre'!AH178*'Gübre oranlar'!AK$3</f>
        <v>0</v>
      </c>
      <c r="AI178">
        <f>'Kullanılan gübre'!AI178*'Gübre oranlar'!AL$3</f>
        <v>0</v>
      </c>
      <c r="AJ178">
        <f>'Kullanılan gübre'!AJ178*'Gübre oranlar'!AM$3</f>
        <v>0</v>
      </c>
      <c r="AK178">
        <f>'Kullanılan gübre'!AK178*'Gübre oranlar'!AN$3</f>
        <v>0</v>
      </c>
      <c r="AL178">
        <f>'Kullanılan gübre'!AL178*'Gübre oranlar'!AO$3</f>
        <v>0</v>
      </c>
      <c r="AM178">
        <f>'Kullanılan gübre'!AM178*'Gübre oranlar'!AP$3</f>
        <v>0</v>
      </c>
      <c r="AN178">
        <f>'Kullanılan gübre'!AN178*'Gübre oranlar'!AQ$3</f>
        <v>0</v>
      </c>
      <c r="AO178">
        <f>'Kullanılan gübre'!AO178*'Gübre oranlar'!AR$3</f>
        <v>0</v>
      </c>
      <c r="AP178">
        <f>'Kullanılan gübre'!AP178*'Gübre oranlar'!AS$3</f>
        <v>0</v>
      </c>
      <c r="AQ178">
        <f>'Kullanılan gübre'!AQ178*'Gübre oranlar'!AT$3</f>
        <v>0</v>
      </c>
      <c r="AR178">
        <f>'Kullanılan gübre'!AR178*'Gübre oranlar'!AU$3</f>
        <v>0</v>
      </c>
      <c r="AS178">
        <f>'Kullanılan gübre'!AS178*'Gübre oranlar'!AV$3</f>
        <v>1.2</v>
      </c>
      <c r="AT178">
        <f>'Kullanılan gübre'!AT178*'Gübre oranlar'!AW$3</f>
        <v>0</v>
      </c>
      <c r="AU178">
        <f>'Kullanılan gübre'!AU178*'Gübre oranlar'!AX$3</f>
        <v>0</v>
      </c>
      <c r="AV178">
        <f>'Kullanılan gübre'!AV178*'Gübre oranlar'!AY$3</f>
        <v>0</v>
      </c>
      <c r="AW178">
        <f t="shared" si="2"/>
        <v>566.08000000000004</v>
      </c>
    </row>
    <row r="179" spans="1:49" x14ac:dyDescent="0.25">
      <c r="A179" t="str">
        <f>'Kullanılan gübre'!A179</f>
        <v>BA</v>
      </c>
      <c r="B179" t="str">
        <f>'Kullanılan gübre'!B179</f>
        <v>ANTALYA</v>
      </c>
      <c r="C179" t="str">
        <f>'Kullanılan gübre'!C179</f>
        <v>KEMER</v>
      </c>
      <c r="D179">
        <f>'Kullanılan gübre'!D179</f>
        <v>2012</v>
      </c>
      <c r="E179">
        <f>'Kullanılan gübre'!E179*'Gübre oranlar'!H$3</f>
        <v>0</v>
      </c>
      <c r="F179">
        <f>'Kullanılan gübre'!F179*'Gübre oranlar'!I$3</f>
        <v>0</v>
      </c>
      <c r="G179">
        <f>'Kullanılan gübre'!G179*'Gübre oranlar'!J$3</f>
        <v>0</v>
      </c>
      <c r="H179">
        <f>'Kullanılan gübre'!H179*'Gübre oranlar'!K$3</f>
        <v>0</v>
      </c>
      <c r="I179">
        <f>'Kullanılan gübre'!I179*'Gübre oranlar'!L$3</f>
        <v>0.43</v>
      </c>
      <c r="J179">
        <f>'Kullanılan gübre'!J179*'Gübre oranlar'!M$3</f>
        <v>0</v>
      </c>
      <c r="K179">
        <f>'Kullanılan gübre'!K179*'Gübre oranlar'!N$3</f>
        <v>1</v>
      </c>
      <c r="L179">
        <f>'Kullanılan gübre'!L179*'Gübre oranlar'!O$3</f>
        <v>0</v>
      </c>
      <c r="M179">
        <f>'Kullanılan gübre'!M179*'Gübre oranlar'!P$3</f>
        <v>0</v>
      </c>
      <c r="N179">
        <f>'Kullanılan gübre'!N179*'Gübre oranlar'!Q$3</f>
        <v>1.5</v>
      </c>
      <c r="O179">
        <f>'Kullanılan gübre'!O179*'Gübre oranlar'!R$3</f>
        <v>0</v>
      </c>
      <c r="P179">
        <f>'Kullanılan gübre'!P179*'Gübre oranlar'!S$3</f>
        <v>0</v>
      </c>
      <c r="Q179">
        <f>'Kullanılan gübre'!Q179*'Gübre oranlar'!T$3</f>
        <v>0</v>
      </c>
      <c r="R179">
        <f>'Kullanılan gübre'!R179*'Gübre oranlar'!U$3</f>
        <v>0</v>
      </c>
      <c r="S179">
        <f>'Kullanılan gübre'!S179*'Gübre oranlar'!V$3</f>
        <v>0</v>
      </c>
      <c r="T179">
        <f>'Kullanılan gübre'!T179*'Gübre oranlar'!W$3</f>
        <v>0</v>
      </c>
      <c r="U179">
        <f>'Kullanılan gübre'!U179*'Gübre oranlar'!X$3</f>
        <v>0</v>
      </c>
      <c r="V179">
        <f>'Kullanılan gübre'!V179*'Gübre oranlar'!Y$3</f>
        <v>0</v>
      </c>
      <c r="W179">
        <f>'Kullanılan gübre'!W179*'Gübre oranlar'!Z$3</f>
        <v>0</v>
      </c>
      <c r="X179">
        <f>'Kullanılan gübre'!X179*'Gübre oranlar'!AA$3</f>
        <v>0</v>
      </c>
      <c r="Y179">
        <f>'Kullanılan gübre'!Y179*'Gübre oranlar'!AB$3</f>
        <v>0</v>
      </c>
      <c r="Z179">
        <f>'Kullanılan gübre'!Z179*'Gübre oranlar'!AC$3</f>
        <v>0</v>
      </c>
      <c r="AA179">
        <f>'Kullanılan gübre'!AA179*'Gübre oranlar'!AD$3</f>
        <v>0</v>
      </c>
      <c r="AB179">
        <f>'Kullanılan gübre'!AB179*'Gübre oranlar'!AE$3</f>
        <v>0</v>
      </c>
      <c r="AC179">
        <f>'Kullanılan gübre'!AC179*'Gübre oranlar'!AF$3</f>
        <v>0</v>
      </c>
      <c r="AD179">
        <f>'Kullanılan gübre'!AD179*'Gübre oranlar'!AG$3</f>
        <v>0</v>
      </c>
      <c r="AE179">
        <f>'Kullanılan gübre'!AE179*'Gübre oranlar'!AH$3</f>
        <v>0</v>
      </c>
      <c r="AF179">
        <f>'Kullanılan gübre'!AF179*'Gübre oranlar'!AI$3</f>
        <v>0</v>
      </c>
      <c r="AG179">
        <f>'Kullanılan gübre'!AG179*'Gübre oranlar'!AJ$3</f>
        <v>0</v>
      </c>
      <c r="AH179">
        <f>'Kullanılan gübre'!AH179*'Gübre oranlar'!AK$3</f>
        <v>0</v>
      </c>
      <c r="AI179">
        <f>'Kullanılan gübre'!AI179*'Gübre oranlar'!AL$3</f>
        <v>0</v>
      </c>
      <c r="AJ179">
        <f>'Kullanılan gübre'!AJ179*'Gübre oranlar'!AM$3</f>
        <v>0</v>
      </c>
      <c r="AK179">
        <f>'Kullanılan gübre'!AK179*'Gübre oranlar'!AN$3</f>
        <v>0</v>
      </c>
      <c r="AL179">
        <f>'Kullanılan gübre'!AL179*'Gübre oranlar'!AO$3</f>
        <v>0</v>
      </c>
      <c r="AM179">
        <f>'Kullanılan gübre'!AM179*'Gübre oranlar'!AP$3</f>
        <v>0</v>
      </c>
      <c r="AN179">
        <f>'Kullanılan gübre'!AN179*'Gübre oranlar'!AQ$3</f>
        <v>0</v>
      </c>
      <c r="AO179">
        <f>'Kullanılan gübre'!AO179*'Gübre oranlar'!AR$3</f>
        <v>0</v>
      </c>
      <c r="AP179">
        <f>'Kullanılan gübre'!AP179*'Gübre oranlar'!AS$3</f>
        <v>0</v>
      </c>
      <c r="AQ179">
        <f>'Kullanılan gübre'!AQ179*'Gübre oranlar'!AT$3</f>
        <v>0</v>
      </c>
      <c r="AR179">
        <f>'Kullanılan gübre'!AR179*'Gübre oranlar'!AU$3</f>
        <v>0</v>
      </c>
      <c r="AS179">
        <f>'Kullanılan gübre'!AS179*'Gübre oranlar'!AV$3</f>
        <v>0</v>
      </c>
      <c r="AT179">
        <f>'Kullanılan gübre'!AT179*'Gübre oranlar'!AW$3</f>
        <v>0</v>
      </c>
      <c r="AU179">
        <f>'Kullanılan gübre'!AU179*'Gübre oranlar'!AX$3</f>
        <v>0</v>
      </c>
      <c r="AV179">
        <f>'Kullanılan gübre'!AV179*'Gübre oranlar'!AY$3</f>
        <v>0</v>
      </c>
      <c r="AW179">
        <f t="shared" si="2"/>
        <v>2.9299999999999997</v>
      </c>
    </row>
    <row r="180" spans="1:49" x14ac:dyDescent="0.25">
      <c r="A180" t="str">
        <f>'Kullanılan gübre'!A180</f>
        <v>BA</v>
      </c>
      <c r="B180" t="str">
        <f>'Kullanılan gübre'!B180</f>
        <v>ANTALYA</v>
      </c>
      <c r="C180" t="str">
        <f>'Kullanılan gübre'!C180</f>
        <v>KUMLUCA</v>
      </c>
      <c r="D180">
        <f>'Kullanılan gübre'!D180</f>
        <v>2012</v>
      </c>
      <c r="E180">
        <f>'Kullanılan gübre'!E180*'Gübre oranlar'!H$3</f>
        <v>0</v>
      </c>
      <c r="F180">
        <f>'Kullanılan gübre'!F180*'Gübre oranlar'!I$3</f>
        <v>0</v>
      </c>
      <c r="G180">
        <f>'Kullanılan gübre'!G180*'Gübre oranlar'!J$3</f>
        <v>0</v>
      </c>
      <c r="H180">
        <f>'Kullanılan gübre'!H180*'Gübre oranlar'!K$3</f>
        <v>0</v>
      </c>
      <c r="I180">
        <f>'Kullanılan gübre'!I180*'Gübre oranlar'!L$3</f>
        <v>31.39</v>
      </c>
      <c r="J180">
        <f>'Kullanılan gübre'!J180*'Gübre oranlar'!M$3</f>
        <v>0</v>
      </c>
      <c r="K180">
        <f>'Kullanılan gübre'!K180*'Gübre oranlar'!N$3</f>
        <v>80.800000000000011</v>
      </c>
      <c r="L180">
        <f>'Kullanılan gübre'!L180*'Gübre oranlar'!O$3</f>
        <v>0</v>
      </c>
      <c r="M180">
        <f>'Kullanılan gübre'!M180*'Gübre oranlar'!P$3</f>
        <v>60.15</v>
      </c>
      <c r="N180">
        <f>'Kullanılan gübre'!N180*'Gübre oranlar'!Q$3</f>
        <v>468.15</v>
      </c>
      <c r="O180">
        <f>'Kullanılan gübre'!O180*'Gübre oranlar'!R$3</f>
        <v>0</v>
      </c>
      <c r="P180">
        <f>'Kullanılan gübre'!P180*'Gübre oranlar'!S$3</f>
        <v>0</v>
      </c>
      <c r="Q180">
        <f>'Kullanılan gübre'!Q180*'Gübre oranlar'!T$3</f>
        <v>34.199999999999996</v>
      </c>
      <c r="R180">
        <f>'Kullanılan gübre'!R180*'Gübre oranlar'!U$3</f>
        <v>0</v>
      </c>
      <c r="S180">
        <f>'Kullanılan gübre'!S180*'Gübre oranlar'!V$3</f>
        <v>0</v>
      </c>
      <c r="T180">
        <f>'Kullanılan gübre'!T180*'Gübre oranlar'!W$3</f>
        <v>0</v>
      </c>
      <c r="U180">
        <f>'Kullanılan gübre'!U180*'Gübre oranlar'!X$3</f>
        <v>7.6000000000000005</v>
      </c>
      <c r="V180">
        <f>'Kullanılan gübre'!V180*'Gübre oranlar'!Y$3</f>
        <v>0</v>
      </c>
      <c r="W180">
        <f>'Kullanılan gübre'!W180*'Gübre oranlar'!Z$3</f>
        <v>0</v>
      </c>
      <c r="X180">
        <f>'Kullanılan gübre'!X180*'Gübre oranlar'!AA$3</f>
        <v>0</v>
      </c>
      <c r="Y180">
        <f>'Kullanılan gübre'!Y180*'Gübre oranlar'!AB$3</f>
        <v>0</v>
      </c>
      <c r="Z180">
        <f>'Kullanılan gübre'!Z180*'Gübre oranlar'!AC$3</f>
        <v>0</v>
      </c>
      <c r="AA180">
        <f>'Kullanılan gübre'!AA180*'Gübre oranlar'!AD$3</f>
        <v>0</v>
      </c>
      <c r="AB180">
        <f>'Kullanılan gübre'!AB180*'Gübre oranlar'!AE$3</f>
        <v>0</v>
      </c>
      <c r="AC180">
        <f>'Kullanılan gübre'!AC180*'Gübre oranlar'!AF$3</f>
        <v>0</v>
      </c>
      <c r="AD180">
        <f>'Kullanılan gübre'!AD180*'Gübre oranlar'!AG$3</f>
        <v>0</v>
      </c>
      <c r="AE180">
        <f>'Kullanılan gübre'!AE180*'Gübre oranlar'!AH$3</f>
        <v>0</v>
      </c>
      <c r="AF180">
        <f>'Kullanılan gübre'!AF180*'Gübre oranlar'!AI$3</f>
        <v>0</v>
      </c>
      <c r="AG180">
        <f>'Kullanılan gübre'!AG180*'Gübre oranlar'!AJ$3</f>
        <v>0</v>
      </c>
      <c r="AH180">
        <f>'Kullanılan gübre'!AH180*'Gübre oranlar'!AK$3</f>
        <v>0</v>
      </c>
      <c r="AI180">
        <f>'Kullanılan gübre'!AI180*'Gübre oranlar'!AL$3</f>
        <v>0</v>
      </c>
      <c r="AJ180">
        <f>'Kullanılan gübre'!AJ180*'Gübre oranlar'!AM$3</f>
        <v>0</v>
      </c>
      <c r="AK180">
        <f>'Kullanılan gübre'!AK180*'Gübre oranlar'!AN$3</f>
        <v>0</v>
      </c>
      <c r="AL180">
        <f>'Kullanılan gübre'!AL180*'Gübre oranlar'!AO$3</f>
        <v>0</v>
      </c>
      <c r="AM180">
        <f>'Kullanılan gübre'!AM180*'Gübre oranlar'!AP$3</f>
        <v>0</v>
      </c>
      <c r="AN180">
        <f>'Kullanılan gübre'!AN180*'Gübre oranlar'!AQ$3</f>
        <v>0</v>
      </c>
      <c r="AO180">
        <f>'Kullanılan gübre'!AO180*'Gübre oranlar'!AR$3</f>
        <v>0</v>
      </c>
      <c r="AP180">
        <f>'Kullanılan gübre'!AP180*'Gübre oranlar'!AS$3</f>
        <v>0</v>
      </c>
      <c r="AQ180">
        <f>'Kullanılan gübre'!AQ180*'Gübre oranlar'!AT$3</f>
        <v>0</v>
      </c>
      <c r="AR180">
        <f>'Kullanılan gübre'!AR180*'Gübre oranlar'!AU$3</f>
        <v>0</v>
      </c>
      <c r="AS180">
        <f>'Kullanılan gübre'!AS180*'Gübre oranlar'!AV$3</f>
        <v>23.04</v>
      </c>
      <c r="AT180">
        <f>'Kullanılan gübre'!AT180*'Gübre oranlar'!AW$3</f>
        <v>0</v>
      </c>
      <c r="AU180">
        <f>'Kullanılan gübre'!AU180*'Gübre oranlar'!AX$3</f>
        <v>0</v>
      </c>
      <c r="AV180">
        <f>'Kullanılan gübre'!AV180*'Gübre oranlar'!AY$3</f>
        <v>0</v>
      </c>
      <c r="AW180">
        <f t="shared" si="2"/>
        <v>705.33</v>
      </c>
    </row>
    <row r="181" spans="1:49" x14ac:dyDescent="0.25">
      <c r="A181" t="str">
        <f>'Kullanılan gübre'!A181</f>
        <v>BA</v>
      </c>
      <c r="B181" t="str">
        <f>'Kullanılan gübre'!B181</f>
        <v>ANTALYA</v>
      </c>
      <c r="C181" t="str">
        <f>'Kullanılan gübre'!C181</f>
        <v>FINIKE</v>
      </c>
      <c r="D181">
        <f>'Kullanılan gübre'!D181</f>
        <v>2012</v>
      </c>
      <c r="E181">
        <f>'Kullanılan gübre'!E181*'Gübre oranlar'!H$3</f>
        <v>0</v>
      </c>
      <c r="F181">
        <f>'Kullanılan gübre'!F181*'Gübre oranlar'!I$3</f>
        <v>0</v>
      </c>
      <c r="G181">
        <f>'Kullanılan gübre'!G181*'Gübre oranlar'!J$3</f>
        <v>0</v>
      </c>
      <c r="H181">
        <f>'Kullanılan gübre'!H181*'Gübre oranlar'!K$3</f>
        <v>0</v>
      </c>
      <c r="I181">
        <f>'Kullanılan gübre'!I181*'Gübre oranlar'!L$3</f>
        <v>3.01</v>
      </c>
      <c r="J181">
        <f>'Kullanılan gübre'!J181*'Gübre oranlar'!M$3</f>
        <v>0</v>
      </c>
      <c r="K181">
        <f>'Kullanılan gübre'!K181*'Gübre oranlar'!N$3</f>
        <v>2.4000000000000004</v>
      </c>
      <c r="L181">
        <f>'Kullanılan gübre'!L181*'Gübre oranlar'!O$3</f>
        <v>0</v>
      </c>
      <c r="M181">
        <f>'Kullanılan gübre'!M181*'Gübre oranlar'!P$3</f>
        <v>8.6999999999999993</v>
      </c>
      <c r="N181">
        <f>'Kullanılan gübre'!N181*'Gübre oranlar'!Q$3</f>
        <v>6.1499999999999995</v>
      </c>
      <c r="O181">
        <f>'Kullanılan gübre'!O181*'Gübre oranlar'!R$3</f>
        <v>0</v>
      </c>
      <c r="P181">
        <f>'Kullanılan gübre'!P181*'Gübre oranlar'!S$3</f>
        <v>0</v>
      </c>
      <c r="Q181">
        <f>'Kullanılan gübre'!Q181*'Gübre oranlar'!T$3</f>
        <v>18</v>
      </c>
      <c r="R181">
        <f>'Kullanılan gübre'!R181*'Gübre oranlar'!U$3</f>
        <v>0</v>
      </c>
      <c r="S181">
        <f>'Kullanılan gübre'!S181*'Gübre oranlar'!V$3</f>
        <v>0</v>
      </c>
      <c r="T181">
        <f>'Kullanılan gübre'!T181*'Gübre oranlar'!W$3</f>
        <v>0</v>
      </c>
      <c r="U181">
        <f>'Kullanılan gübre'!U181*'Gübre oranlar'!X$3</f>
        <v>3.9000000000000004</v>
      </c>
      <c r="V181">
        <f>'Kullanılan gübre'!V181*'Gübre oranlar'!Y$3</f>
        <v>0</v>
      </c>
      <c r="W181">
        <f>'Kullanılan gübre'!W181*'Gübre oranlar'!Z$3</f>
        <v>0</v>
      </c>
      <c r="X181">
        <f>'Kullanılan gübre'!X181*'Gübre oranlar'!AA$3</f>
        <v>0</v>
      </c>
      <c r="Y181">
        <f>'Kullanılan gübre'!Y181*'Gübre oranlar'!AB$3</f>
        <v>0</v>
      </c>
      <c r="Z181">
        <f>'Kullanılan gübre'!Z181*'Gübre oranlar'!AC$3</f>
        <v>0</v>
      </c>
      <c r="AA181">
        <f>'Kullanılan gübre'!AA181*'Gübre oranlar'!AD$3</f>
        <v>0</v>
      </c>
      <c r="AB181">
        <f>'Kullanılan gübre'!AB181*'Gübre oranlar'!AE$3</f>
        <v>9.15</v>
      </c>
      <c r="AC181">
        <f>'Kullanılan gübre'!AC181*'Gübre oranlar'!AF$3</f>
        <v>0</v>
      </c>
      <c r="AD181">
        <f>'Kullanılan gübre'!AD181*'Gübre oranlar'!AG$3</f>
        <v>0</v>
      </c>
      <c r="AE181">
        <f>'Kullanılan gübre'!AE181*'Gübre oranlar'!AH$3</f>
        <v>0</v>
      </c>
      <c r="AF181">
        <f>'Kullanılan gübre'!AF181*'Gübre oranlar'!AI$3</f>
        <v>0</v>
      </c>
      <c r="AG181">
        <f>'Kullanılan gübre'!AG181*'Gübre oranlar'!AJ$3</f>
        <v>0</v>
      </c>
      <c r="AH181">
        <f>'Kullanılan gübre'!AH181*'Gübre oranlar'!AK$3</f>
        <v>0</v>
      </c>
      <c r="AI181">
        <f>'Kullanılan gübre'!AI181*'Gübre oranlar'!AL$3</f>
        <v>0</v>
      </c>
      <c r="AJ181">
        <f>'Kullanılan gübre'!AJ181*'Gübre oranlar'!AM$3</f>
        <v>0</v>
      </c>
      <c r="AK181">
        <f>'Kullanılan gübre'!AK181*'Gübre oranlar'!AN$3</f>
        <v>0</v>
      </c>
      <c r="AL181">
        <f>'Kullanılan gübre'!AL181*'Gübre oranlar'!AO$3</f>
        <v>0</v>
      </c>
      <c r="AM181">
        <f>'Kullanılan gübre'!AM181*'Gübre oranlar'!AP$3</f>
        <v>0</v>
      </c>
      <c r="AN181">
        <f>'Kullanılan gübre'!AN181*'Gübre oranlar'!AQ$3</f>
        <v>0</v>
      </c>
      <c r="AO181">
        <f>'Kullanılan gübre'!AO181*'Gübre oranlar'!AR$3</f>
        <v>0</v>
      </c>
      <c r="AP181">
        <f>'Kullanılan gübre'!AP181*'Gübre oranlar'!AS$3</f>
        <v>0</v>
      </c>
      <c r="AQ181">
        <f>'Kullanılan gübre'!AQ181*'Gübre oranlar'!AT$3</f>
        <v>0</v>
      </c>
      <c r="AR181">
        <f>'Kullanılan gübre'!AR181*'Gübre oranlar'!AU$3</f>
        <v>0</v>
      </c>
      <c r="AS181">
        <f>'Kullanılan gübre'!AS181*'Gübre oranlar'!AV$3</f>
        <v>11.28</v>
      </c>
      <c r="AT181">
        <f>'Kullanılan gübre'!AT181*'Gübre oranlar'!AW$3</f>
        <v>0</v>
      </c>
      <c r="AU181">
        <f>'Kullanılan gübre'!AU181*'Gübre oranlar'!AX$3</f>
        <v>0</v>
      </c>
      <c r="AV181">
        <f>'Kullanılan gübre'!AV181*'Gübre oranlar'!AY$3</f>
        <v>0</v>
      </c>
      <c r="AW181">
        <f t="shared" si="2"/>
        <v>62.589999999999996</v>
      </c>
    </row>
    <row r="182" spans="1:49" x14ac:dyDescent="0.25">
      <c r="A182" t="str">
        <f>'Kullanılan gübre'!A182</f>
        <v>BA</v>
      </c>
      <c r="B182" t="str">
        <f>'Kullanılan gübre'!B182</f>
        <v>ANTALYA</v>
      </c>
      <c r="C182" t="str">
        <f>'Kullanılan gübre'!C182</f>
        <v>DEMRE</v>
      </c>
      <c r="D182">
        <f>'Kullanılan gübre'!D182</f>
        <v>2012</v>
      </c>
      <c r="E182">
        <f>'Kullanılan gübre'!E182*'Gübre oranlar'!H$3</f>
        <v>0</v>
      </c>
      <c r="F182">
        <f>'Kullanılan gübre'!F182*'Gübre oranlar'!I$3</f>
        <v>0</v>
      </c>
      <c r="G182">
        <f>'Kullanılan gübre'!G182*'Gübre oranlar'!J$3</f>
        <v>0</v>
      </c>
      <c r="H182">
        <f>'Kullanılan gübre'!H182*'Gübre oranlar'!K$3</f>
        <v>0</v>
      </c>
      <c r="I182">
        <f>'Kullanılan gübre'!I182*'Gübre oranlar'!L$3</f>
        <v>2.15</v>
      </c>
      <c r="J182">
        <f>'Kullanılan gübre'!J182*'Gübre oranlar'!M$3</f>
        <v>0</v>
      </c>
      <c r="K182">
        <f>'Kullanılan gübre'!K182*'Gübre oranlar'!N$3</f>
        <v>14</v>
      </c>
      <c r="L182">
        <f>'Kullanılan gübre'!L182*'Gübre oranlar'!O$3</f>
        <v>0.8</v>
      </c>
      <c r="M182">
        <f>'Kullanılan gübre'!M182*'Gübre oranlar'!P$3</f>
        <v>2.85</v>
      </c>
      <c r="N182">
        <f>'Kullanılan gübre'!N182*'Gübre oranlar'!Q$3</f>
        <v>15.299999999999999</v>
      </c>
      <c r="O182">
        <f>'Kullanılan gübre'!O182*'Gübre oranlar'!R$3</f>
        <v>0</v>
      </c>
      <c r="P182">
        <f>'Kullanılan gübre'!P182*'Gübre oranlar'!S$3</f>
        <v>0</v>
      </c>
      <c r="Q182">
        <f>'Kullanılan gübre'!Q182*'Gübre oranlar'!T$3</f>
        <v>0</v>
      </c>
      <c r="R182">
        <f>'Kullanılan gübre'!R182*'Gübre oranlar'!U$3</f>
        <v>0</v>
      </c>
      <c r="S182">
        <f>'Kullanılan gübre'!S182*'Gübre oranlar'!V$3</f>
        <v>0</v>
      </c>
      <c r="T182">
        <f>'Kullanılan gübre'!T182*'Gübre oranlar'!W$3</f>
        <v>0</v>
      </c>
      <c r="U182">
        <f>'Kullanılan gübre'!U182*'Gübre oranlar'!X$3</f>
        <v>0.05</v>
      </c>
      <c r="V182">
        <f>'Kullanılan gübre'!V182*'Gübre oranlar'!Y$3</f>
        <v>0</v>
      </c>
      <c r="W182">
        <f>'Kullanılan gübre'!W182*'Gübre oranlar'!Z$3</f>
        <v>0</v>
      </c>
      <c r="X182">
        <f>'Kullanılan gübre'!X182*'Gübre oranlar'!AA$3</f>
        <v>0</v>
      </c>
      <c r="Y182">
        <f>'Kullanılan gübre'!Y182*'Gübre oranlar'!AB$3</f>
        <v>0</v>
      </c>
      <c r="Z182">
        <f>'Kullanılan gübre'!Z182*'Gübre oranlar'!AC$3</f>
        <v>0</v>
      </c>
      <c r="AA182">
        <f>'Kullanılan gübre'!AA182*'Gübre oranlar'!AD$3</f>
        <v>0</v>
      </c>
      <c r="AB182">
        <f>'Kullanılan gübre'!AB182*'Gübre oranlar'!AE$3</f>
        <v>57.949999999999996</v>
      </c>
      <c r="AC182">
        <f>'Kullanılan gübre'!AC182*'Gübre oranlar'!AF$3</f>
        <v>0</v>
      </c>
      <c r="AD182">
        <f>'Kullanılan gübre'!AD182*'Gübre oranlar'!AG$3</f>
        <v>0</v>
      </c>
      <c r="AE182">
        <f>'Kullanılan gübre'!AE182*'Gübre oranlar'!AH$3</f>
        <v>0</v>
      </c>
      <c r="AF182">
        <f>'Kullanılan gübre'!AF182*'Gübre oranlar'!AI$3</f>
        <v>0</v>
      </c>
      <c r="AG182">
        <f>'Kullanılan gübre'!AG182*'Gübre oranlar'!AJ$3</f>
        <v>0</v>
      </c>
      <c r="AH182">
        <f>'Kullanılan gübre'!AH182*'Gübre oranlar'!AK$3</f>
        <v>0</v>
      </c>
      <c r="AI182">
        <f>'Kullanılan gübre'!AI182*'Gübre oranlar'!AL$3</f>
        <v>0</v>
      </c>
      <c r="AJ182">
        <f>'Kullanılan gübre'!AJ182*'Gübre oranlar'!AM$3</f>
        <v>0</v>
      </c>
      <c r="AK182">
        <f>'Kullanılan gübre'!AK182*'Gübre oranlar'!AN$3</f>
        <v>0</v>
      </c>
      <c r="AL182">
        <f>'Kullanılan gübre'!AL182*'Gübre oranlar'!AO$3</f>
        <v>0</v>
      </c>
      <c r="AM182">
        <f>'Kullanılan gübre'!AM182*'Gübre oranlar'!AP$3</f>
        <v>0</v>
      </c>
      <c r="AN182">
        <f>'Kullanılan gübre'!AN182*'Gübre oranlar'!AQ$3</f>
        <v>0</v>
      </c>
      <c r="AO182">
        <f>'Kullanılan gübre'!AO182*'Gübre oranlar'!AR$3</f>
        <v>0</v>
      </c>
      <c r="AP182">
        <f>'Kullanılan gübre'!AP182*'Gübre oranlar'!AS$3</f>
        <v>0</v>
      </c>
      <c r="AQ182">
        <f>'Kullanılan gübre'!AQ182*'Gübre oranlar'!AT$3</f>
        <v>0</v>
      </c>
      <c r="AR182">
        <f>'Kullanılan gübre'!AR182*'Gübre oranlar'!AU$3</f>
        <v>0</v>
      </c>
      <c r="AS182">
        <f>'Kullanılan gübre'!AS182*'Gübre oranlar'!AV$3</f>
        <v>0</v>
      </c>
      <c r="AT182">
        <f>'Kullanılan gübre'!AT182*'Gübre oranlar'!AW$3</f>
        <v>0</v>
      </c>
      <c r="AU182">
        <f>'Kullanılan gübre'!AU182*'Gübre oranlar'!AX$3</f>
        <v>0</v>
      </c>
      <c r="AV182">
        <f>'Kullanılan gübre'!AV182*'Gübre oranlar'!AY$3</f>
        <v>0</v>
      </c>
      <c r="AW182">
        <f t="shared" si="2"/>
        <v>93.1</v>
      </c>
    </row>
    <row r="183" spans="1:49" x14ac:dyDescent="0.25">
      <c r="A183" t="str">
        <f>'Kullanılan gübre'!A183</f>
        <v>BA</v>
      </c>
      <c r="B183" t="str">
        <f>'Kullanılan gübre'!B183</f>
        <v>ANTALYA</v>
      </c>
      <c r="C183" t="str">
        <f>'Kullanılan gübre'!C183</f>
        <v>KAS</v>
      </c>
      <c r="D183">
        <f>'Kullanılan gübre'!D183</f>
        <v>2012</v>
      </c>
      <c r="E183">
        <f>'Kullanılan gübre'!E183*'Gübre oranlar'!H$3</f>
        <v>0</v>
      </c>
      <c r="F183">
        <f>'Kullanılan gübre'!F183*'Gübre oranlar'!I$3</f>
        <v>0</v>
      </c>
      <c r="G183">
        <f>'Kullanılan gübre'!G183*'Gübre oranlar'!J$3</f>
        <v>0</v>
      </c>
      <c r="H183">
        <f>'Kullanılan gübre'!H183*'Gübre oranlar'!K$3</f>
        <v>0</v>
      </c>
      <c r="I183">
        <f>'Kullanılan gübre'!I183*'Gübre oranlar'!L$3</f>
        <v>34.4</v>
      </c>
      <c r="J183">
        <f>'Kullanılan gübre'!J183*'Gübre oranlar'!M$3</f>
        <v>0</v>
      </c>
      <c r="K183">
        <f>'Kullanılan gübre'!K183*'Gübre oranlar'!N$3</f>
        <v>26.400000000000002</v>
      </c>
      <c r="L183">
        <f>'Kullanılan gübre'!L183*'Gübre oranlar'!O$3</f>
        <v>36</v>
      </c>
      <c r="M183">
        <f>'Kullanılan gübre'!M183*'Gübre oranlar'!P$3</f>
        <v>49.199999999999996</v>
      </c>
      <c r="N183">
        <f>'Kullanılan gübre'!N183*'Gübre oranlar'!Q$3</f>
        <v>27</v>
      </c>
      <c r="O183">
        <f>'Kullanılan gübre'!O183*'Gübre oranlar'!R$3</f>
        <v>0</v>
      </c>
      <c r="P183">
        <f>'Kullanılan gübre'!P183*'Gübre oranlar'!S$3</f>
        <v>0</v>
      </c>
      <c r="Q183">
        <f>'Kullanılan gübre'!Q183*'Gübre oranlar'!T$3</f>
        <v>0</v>
      </c>
      <c r="R183">
        <f>'Kullanılan gübre'!R183*'Gübre oranlar'!U$3</f>
        <v>0</v>
      </c>
      <c r="S183">
        <f>'Kullanılan gübre'!S183*'Gübre oranlar'!V$3</f>
        <v>0</v>
      </c>
      <c r="T183">
        <f>'Kullanılan gübre'!T183*'Gübre oranlar'!W$3</f>
        <v>0</v>
      </c>
      <c r="U183">
        <f>'Kullanılan gübre'!U183*'Gübre oranlar'!X$3</f>
        <v>0</v>
      </c>
      <c r="V183">
        <f>'Kullanılan gübre'!V183*'Gübre oranlar'!Y$3</f>
        <v>0</v>
      </c>
      <c r="W183">
        <f>'Kullanılan gübre'!W183*'Gübre oranlar'!Z$3</f>
        <v>0</v>
      </c>
      <c r="X183">
        <f>'Kullanılan gübre'!X183*'Gübre oranlar'!AA$3</f>
        <v>0</v>
      </c>
      <c r="Y183">
        <f>'Kullanılan gübre'!Y183*'Gübre oranlar'!AB$3</f>
        <v>0</v>
      </c>
      <c r="Z183">
        <f>'Kullanılan gübre'!Z183*'Gübre oranlar'!AC$3</f>
        <v>0</v>
      </c>
      <c r="AA183">
        <f>'Kullanılan gübre'!AA183*'Gübre oranlar'!AD$3</f>
        <v>0</v>
      </c>
      <c r="AB183">
        <f>'Kullanılan gübre'!AB183*'Gübre oranlar'!AE$3</f>
        <v>0</v>
      </c>
      <c r="AC183">
        <f>'Kullanılan gübre'!AC183*'Gübre oranlar'!AF$3</f>
        <v>0</v>
      </c>
      <c r="AD183">
        <f>'Kullanılan gübre'!AD183*'Gübre oranlar'!AG$3</f>
        <v>0</v>
      </c>
      <c r="AE183">
        <f>'Kullanılan gübre'!AE183*'Gübre oranlar'!AH$3</f>
        <v>0</v>
      </c>
      <c r="AF183">
        <f>'Kullanılan gübre'!AF183*'Gübre oranlar'!AI$3</f>
        <v>0</v>
      </c>
      <c r="AG183">
        <f>'Kullanılan gübre'!AG183*'Gübre oranlar'!AJ$3</f>
        <v>0</v>
      </c>
      <c r="AH183">
        <f>'Kullanılan gübre'!AH183*'Gübre oranlar'!AK$3</f>
        <v>0</v>
      </c>
      <c r="AI183">
        <f>'Kullanılan gübre'!AI183*'Gübre oranlar'!AL$3</f>
        <v>0</v>
      </c>
      <c r="AJ183">
        <f>'Kullanılan gübre'!AJ183*'Gübre oranlar'!AM$3</f>
        <v>0</v>
      </c>
      <c r="AK183">
        <f>'Kullanılan gübre'!AK183*'Gübre oranlar'!AN$3</f>
        <v>0</v>
      </c>
      <c r="AL183">
        <f>'Kullanılan gübre'!AL183*'Gübre oranlar'!AO$3</f>
        <v>0</v>
      </c>
      <c r="AM183">
        <f>'Kullanılan gübre'!AM183*'Gübre oranlar'!AP$3</f>
        <v>0</v>
      </c>
      <c r="AN183">
        <f>'Kullanılan gübre'!AN183*'Gübre oranlar'!AQ$3</f>
        <v>0</v>
      </c>
      <c r="AO183">
        <f>'Kullanılan gübre'!AO183*'Gübre oranlar'!AR$3</f>
        <v>0</v>
      </c>
      <c r="AP183">
        <f>'Kullanılan gübre'!AP183*'Gübre oranlar'!AS$3</f>
        <v>0</v>
      </c>
      <c r="AQ183">
        <f>'Kullanılan gübre'!AQ183*'Gübre oranlar'!AT$3</f>
        <v>0</v>
      </c>
      <c r="AR183">
        <f>'Kullanılan gübre'!AR183*'Gübre oranlar'!AU$3</f>
        <v>0</v>
      </c>
      <c r="AS183">
        <f>'Kullanılan gübre'!AS183*'Gübre oranlar'!AV$3</f>
        <v>0</v>
      </c>
      <c r="AT183">
        <f>'Kullanılan gübre'!AT183*'Gübre oranlar'!AW$3</f>
        <v>0</v>
      </c>
      <c r="AU183">
        <f>'Kullanılan gübre'!AU183*'Gübre oranlar'!AX$3</f>
        <v>0</v>
      </c>
      <c r="AV183">
        <f>'Kullanılan gübre'!AV183*'Gübre oranlar'!AY$3</f>
        <v>0</v>
      </c>
      <c r="AW183">
        <f t="shared" si="2"/>
        <v>173</v>
      </c>
    </row>
    <row r="184" spans="1:49" x14ac:dyDescent="0.25">
      <c r="A184" t="str">
        <f>'Kullanılan gübre'!A184</f>
        <v>BA</v>
      </c>
      <c r="B184" t="str">
        <f>'Kullanılan gübre'!B184</f>
        <v>ANTALYA</v>
      </c>
      <c r="C184" t="str">
        <f>'Kullanılan gübre'!C184</f>
        <v>KORKUTELI</v>
      </c>
      <c r="D184">
        <f>'Kullanılan gübre'!D184</f>
        <v>2012</v>
      </c>
      <c r="E184">
        <f>'Kullanılan gübre'!E184*'Gübre oranlar'!H$3</f>
        <v>0</v>
      </c>
      <c r="F184">
        <f>'Kullanılan gübre'!F184*'Gübre oranlar'!I$3</f>
        <v>0</v>
      </c>
      <c r="G184">
        <f>'Kullanılan gübre'!G184*'Gübre oranlar'!J$3</f>
        <v>0</v>
      </c>
      <c r="H184">
        <f>'Kullanılan gübre'!H184*'Gübre oranlar'!K$3</f>
        <v>0</v>
      </c>
      <c r="I184">
        <f>'Kullanılan gübre'!I184*'Gübre oranlar'!L$3</f>
        <v>34.83</v>
      </c>
      <c r="J184">
        <f>'Kullanılan gübre'!J184*'Gübre oranlar'!M$3</f>
        <v>0</v>
      </c>
      <c r="K184">
        <f>'Kullanılan gübre'!K184*'Gübre oranlar'!N$3</f>
        <v>1324</v>
      </c>
      <c r="L184">
        <f>'Kullanılan gübre'!L184*'Gübre oranlar'!O$3</f>
        <v>84.2</v>
      </c>
      <c r="M184">
        <f>'Kullanılan gübre'!M184*'Gübre oranlar'!P$3</f>
        <v>322.5</v>
      </c>
      <c r="N184">
        <f>'Kullanılan gübre'!N184*'Gübre oranlar'!Q$3</f>
        <v>107.25</v>
      </c>
      <c r="O184">
        <f>'Kullanılan gübre'!O184*'Gübre oranlar'!R$3</f>
        <v>0</v>
      </c>
      <c r="P184">
        <f>'Kullanılan gübre'!P184*'Gübre oranlar'!S$3</f>
        <v>0</v>
      </c>
      <c r="Q184">
        <f>'Kullanılan gübre'!Q184*'Gübre oranlar'!T$3</f>
        <v>0</v>
      </c>
      <c r="R184">
        <f>'Kullanılan gübre'!R184*'Gübre oranlar'!U$3</f>
        <v>0</v>
      </c>
      <c r="S184">
        <f>'Kullanılan gübre'!S184*'Gübre oranlar'!V$3</f>
        <v>0</v>
      </c>
      <c r="T184">
        <f>'Kullanılan gübre'!T184*'Gübre oranlar'!W$3</f>
        <v>0</v>
      </c>
      <c r="U184">
        <f>'Kullanılan gübre'!U184*'Gübre oranlar'!X$3</f>
        <v>0.15000000000000002</v>
      </c>
      <c r="V184">
        <f>'Kullanılan gübre'!V184*'Gübre oranlar'!Y$3</f>
        <v>0</v>
      </c>
      <c r="W184">
        <f>'Kullanılan gübre'!W184*'Gübre oranlar'!Z$3</f>
        <v>0</v>
      </c>
      <c r="X184">
        <f>'Kullanılan gübre'!X184*'Gübre oranlar'!AA$3</f>
        <v>0</v>
      </c>
      <c r="Y184">
        <f>'Kullanılan gübre'!Y184*'Gübre oranlar'!AB$3</f>
        <v>0</v>
      </c>
      <c r="Z184">
        <f>'Kullanılan gübre'!Z184*'Gübre oranlar'!AC$3</f>
        <v>0</v>
      </c>
      <c r="AA184">
        <f>'Kullanılan gübre'!AA184*'Gübre oranlar'!AD$3</f>
        <v>0</v>
      </c>
      <c r="AB184">
        <f>'Kullanılan gübre'!AB184*'Gübre oranlar'!AE$3</f>
        <v>35.99</v>
      </c>
      <c r="AC184">
        <f>'Kullanılan gübre'!AC184*'Gübre oranlar'!AF$3</f>
        <v>0</v>
      </c>
      <c r="AD184">
        <f>'Kullanılan gübre'!AD184*'Gübre oranlar'!AG$3</f>
        <v>0</v>
      </c>
      <c r="AE184">
        <f>'Kullanılan gübre'!AE184*'Gübre oranlar'!AH$3</f>
        <v>0</v>
      </c>
      <c r="AF184">
        <f>'Kullanılan gübre'!AF184*'Gübre oranlar'!AI$3</f>
        <v>0</v>
      </c>
      <c r="AG184">
        <f>'Kullanılan gübre'!AG184*'Gübre oranlar'!AJ$3</f>
        <v>0</v>
      </c>
      <c r="AH184">
        <f>'Kullanılan gübre'!AH184*'Gübre oranlar'!AK$3</f>
        <v>0</v>
      </c>
      <c r="AI184">
        <f>'Kullanılan gübre'!AI184*'Gübre oranlar'!AL$3</f>
        <v>0</v>
      </c>
      <c r="AJ184">
        <f>'Kullanılan gübre'!AJ184*'Gübre oranlar'!AM$3</f>
        <v>0</v>
      </c>
      <c r="AK184">
        <f>'Kullanılan gübre'!AK184*'Gübre oranlar'!AN$3</f>
        <v>0</v>
      </c>
      <c r="AL184">
        <f>'Kullanılan gübre'!AL184*'Gübre oranlar'!AO$3</f>
        <v>0</v>
      </c>
      <c r="AM184">
        <f>'Kullanılan gübre'!AM184*'Gübre oranlar'!AP$3</f>
        <v>0</v>
      </c>
      <c r="AN184">
        <f>'Kullanılan gübre'!AN184*'Gübre oranlar'!AQ$3</f>
        <v>0</v>
      </c>
      <c r="AO184">
        <f>'Kullanılan gübre'!AO184*'Gübre oranlar'!AR$3</f>
        <v>0</v>
      </c>
      <c r="AP184">
        <f>'Kullanılan gübre'!AP184*'Gübre oranlar'!AS$3</f>
        <v>0</v>
      </c>
      <c r="AQ184">
        <f>'Kullanılan gübre'!AQ184*'Gübre oranlar'!AT$3</f>
        <v>0</v>
      </c>
      <c r="AR184">
        <f>'Kullanılan gübre'!AR184*'Gübre oranlar'!AU$3</f>
        <v>0</v>
      </c>
      <c r="AS184">
        <f>'Kullanılan gübre'!AS184*'Gübre oranlar'!AV$3</f>
        <v>1.2</v>
      </c>
      <c r="AT184">
        <f>'Kullanılan gübre'!AT184*'Gübre oranlar'!AW$3</f>
        <v>0</v>
      </c>
      <c r="AU184">
        <f>'Kullanılan gübre'!AU184*'Gübre oranlar'!AX$3</f>
        <v>0</v>
      </c>
      <c r="AV184">
        <f>'Kullanılan gübre'!AV184*'Gübre oranlar'!AY$3</f>
        <v>0</v>
      </c>
      <c r="AW184">
        <f t="shared" si="2"/>
        <v>1910.1200000000001</v>
      </c>
    </row>
    <row r="185" spans="1:49" x14ac:dyDescent="0.25">
      <c r="A185" t="str">
        <f>'Kullanılan gübre'!A185</f>
        <v>BA</v>
      </c>
      <c r="B185" t="str">
        <f>'Kullanılan gübre'!B185</f>
        <v>ANTALYA</v>
      </c>
      <c r="C185" t="str">
        <f>'Kullanılan gübre'!C185</f>
        <v>ELMALI</v>
      </c>
      <c r="D185">
        <f>'Kullanılan gübre'!D185</f>
        <v>2012</v>
      </c>
      <c r="E185">
        <f>'Kullanılan gübre'!E185*'Gübre oranlar'!H$3</f>
        <v>0</v>
      </c>
      <c r="F185">
        <f>'Kullanılan gübre'!F185*'Gübre oranlar'!I$3</f>
        <v>0</v>
      </c>
      <c r="G185">
        <f>'Kullanılan gübre'!G185*'Gübre oranlar'!J$3</f>
        <v>0</v>
      </c>
      <c r="H185">
        <f>'Kullanılan gübre'!H185*'Gübre oranlar'!K$3</f>
        <v>0</v>
      </c>
      <c r="I185">
        <f>'Kullanılan gübre'!I185*'Gübre oranlar'!L$3</f>
        <v>75.25</v>
      </c>
      <c r="J185">
        <f>'Kullanılan gübre'!J185*'Gübre oranlar'!M$3</f>
        <v>0</v>
      </c>
      <c r="K185">
        <f>'Kullanılan gübre'!K185*'Gübre oranlar'!N$3</f>
        <v>234.4</v>
      </c>
      <c r="L185">
        <f>'Kullanılan gübre'!L185*'Gübre oranlar'!O$3</f>
        <v>11</v>
      </c>
      <c r="M185">
        <f>'Kullanılan gübre'!M185*'Gübre oranlar'!P$3</f>
        <v>96.149999999999991</v>
      </c>
      <c r="N185">
        <f>'Kullanılan gübre'!N185*'Gübre oranlar'!Q$3</f>
        <v>25.349999999999998</v>
      </c>
      <c r="O185">
        <f>'Kullanılan gübre'!O185*'Gübre oranlar'!R$3</f>
        <v>0</v>
      </c>
      <c r="P185">
        <f>'Kullanılan gübre'!P185*'Gübre oranlar'!S$3</f>
        <v>0</v>
      </c>
      <c r="Q185">
        <f>'Kullanılan gübre'!Q185*'Gübre oranlar'!T$3</f>
        <v>160.79999999999998</v>
      </c>
      <c r="R185">
        <f>'Kullanılan gübre'!R185*'Gübre oranlar'!U$3</f>
        <v>0</v>
      </c>
      <c r="S185">
        <f>'Kullanılan gübre'!S185*'Gübre oranlar'!V$3</f>
        <v>0</v>
      </c>
      <c r="T185">
        <f>'Kullanılan gübre'!T185*'Gübre oranlar'!W$3</f>
        <v>0</v>
      </c>
      <c r="U185">
        <f>'Kullanılan gübre'!U185*'Gübre oranlar'!X$3</f>
        <v>1</v>
      </c>
      <c r="V185">
        <f>'Kullanılan gübre'!V185*'Gübre oranlar'!Y$3</f>
        <v>0</v>
      </c>
      <c r="W185">
        <f>'Kullanılan gübre'!W185*'Gübre oranlar'!Z$3</f>
        <v>0</v>
      </c>
      <c r="X185">
        <f>'Kullanılan gübre'!X185*'Gübre oranlar'!AA$3</f>
        <v>0</v>
      </c>
      <c r="Y185">
        <f>'Kullanılan gübre'!Y185*'Gübre oranlar'!AB$3</f>
        <v>0</v>
      </c>
      <c r="Z185">
        <f>'Kullanılan gübre'!Z185*'Gübre oranlar'!AC$3</f>
        <v>0</v>
      </c>
      <c r="AA185">
        <f>'Kullanılan gübre'!AA185*'Gübre oranlar'!AD$3</f>
        <v>0</v>
      </c>
      <c r="AB185">
        <f>'Kullanılan gübre'!AB185*'Gübre oranlar'!AE$3</f>
        <v>0.61</v>
      </c>
      <c r="AC185">
        <f>'Kullanılan gübre'!AC185*'Gübre oranlar'!AF$3</f>
        <v>0</v>
      </c>
      <c r="AD185">
        <f>'Kullanılan gübre'!AD185*'Gübre oranlar'!AG$3</f>
        <v>0</v>
      </c>
      <c r="AE185">
        <f>'Kullanılan gübre'!AE185*'Gübre oranlar'!AH$3</f>
        <v>0</v>
      </c>
      <c r="AF185">
        <f>'Kullanılan gübre'!AF185*'Gübre oranlar'!AI$3</f>
        <v>0</v>
      </c>
      <c r="AG185">
        <f>'Kullanılan gübre'!AG185*'Gübre oranlar'!AJ$3</f>
        <v>0</v>
      </c>
      <c r="AH185">
        <f>'Kullanılan gübre'!AH185*'Gübre oranlar'!AK$3</f>
        <v>0</v>
      </c>
      <c r="AI185">
        <f>'Kullanılan gübre'!AI185*'Gübre oranlar'!AL$3</f>
        <v>0</v>
      </c>
      <c r="AJ185">
        <f>'Kullanılan gübre'!AJ185*'Gübre oranlar'!AM$3</f>
        <v>0</v>
      </c>
      <c r="AK185">
        <f>'Kullanılan gübre'!AK185*'Gübre oranlar'!AN$3</f>
        <v>0</v>
      </c>
      <c r="AL185">
        <f>'Kullanılan gübre'!AL185*'Gübre oranlar'!AO$3</f>
        <v>0</v>
      </c>
      <c r="AM185">
        <f>'Kullanılan gübre'!AM185*'Gübre oranlar'!AP$3</f>
        <v>0</v>
      </c>
      <c r="AN185">
        <f>'Kullanılan gübre'!AN185*'Gübre oranlar'!AQ$3</f>
        <v>0</v>
      </c>
      <c r="AO185">
        <f>'Kullanılan gübre'!AO185*'Gübre oranlar'!AR$3</f>
        <v>0</v>
      </c>
      <c r="AP185">
        <f>'Kullanılan gübre'!AP185*'Gübre oranlar'!AS$3</f>
        <v>0</v>
      </c>
      <c r="AQ185">
        <f>'Kullanılan gübre'!AQ185*'Gübre oranlar'!AT$3</f>
        <v>0</v>
      </c>
      <c r="AR185">
        <f>'Kullanılan gübre'!AR185*'Gübre oranlar'!AU$3</f>
        <v>0</v>
      </c>
      <c r="AS185">
        <f>'Kullanılan gübre'!AS185*'Gübre oranlar'!AV$3</f>
        <v>0</v>
      </c>
      <c r="AT185">
        <f>'Kullanılan gübre'!AT185*'Gübre oranlar'!AW$3</f>
        <v>0</v>
      </c>
      <c r="AU185">
        <f>'Kullanılan gübre'!AU185*'Gübre oranlar'!AX$3</f>
        <v>0</v>
      </c>
      <c r="AV185">
        <f>'Kullanılan gübre'!AV185*'Gübre oranlar'!AY$3</f>
        <v>0</v>
      </c>
      <c r="AW185">
        <f t="shared" si="2"/>
        <v>604.55999999999995</v>
      </c>
    </row>
    <row r="186" spans="1:49" x14ac:dyDescent="0.25">
      <c r="A186" t="str">
        <f>'Kullanılan gübre'!A186</f>
        <v>BA</v>
      </c>
      <c r="B186" t="str">
        <f>'Kullanılan gübre'!B186</f>
        <v>ANTALYA</v>
      </c>
      <c r="C186" t="str">
        <f>'Kullanılan gübre'!C186</f>
        <v>KEMER</v>
      </c>
      <c r="D186">
        <f>'Kullanılan gübre'!D186</f>
        <v>2013</v>
      </c>
      <c r="E186">
        <f>'Kullanılan gübre'!E186*'Gübre oranlar'!H$3</f>
        <v>0</v>
      </c>
      <c r="F186">
        <f>'Kullanılan gübre'!F186*'Gübre oranlar'!I$3</f>
        <v>0</v>
      </c>
      <c r="G186">
        <f>'Kullanılan gübre'!G186*'Gübre oranlar'!J$3</f>
        <v>0</v>
      </c>
      <c r="H186">
        <f>'Kullanılan gübre'!H186*'Gübre oranlar'!K$3</f>
        <v>0</v>
      </c>
      <c r="I186">
        <f>'Kullanılan gübre'!I186*'Gübre oranlar'!L$3</f>
        <v>0.43</v>
      </c>
      <c r="J186">
        <f>'Kullanılan gübre'!J186*'Gübre oranlar'!M$3</f>
        <v>0</v>
      </c>
      <c r="K186">
        <f>'Kullanılan gübre'!K186*'Gübre oranlar'!N$3</f>
        <v>1.4000000000000001</v>
      </c>
      <c r="L186">
        <f>'Kullanılan gübre'!L186*'Gübre oranlar'!O$3</f>
        <v>0</v>
      </c>
      <c r="M186">
        <f>'Kullanılan gübre'!M186*'Gübre oranlar'!P$3</f>
        <v>25.8</v>
      </c>
      <c r="N186">
        <f>'Kullanılan gübre'!N186*'Gübre oranlar'!Q$3</f>
        <v>0.44999999999999996</v>
      </c>
      <c r="O186">
        <f>'Kullanılan gübre'!O186*'Gübre oranlar'!R$3</f>
        <v>0</v>
      </c>
      <c r="P186">
        <f>'Kullanılan gübre'!P186*'Gübre oranlar'!S$3</f>
        <v>0</v>
      </c>
      <c r="Q186">
        <f>'Kullanılan gübre'!Q186*'Gübre oranlar'!T$3</f>
        <v>0</v>
      </c>
      <c r="R186">
        <f>'Kullanılan gübre'!R186*'Gübre oranlar'!U$3</f>
        <v>0</v>
      </c>
      <c r="S186">
        <f>'Kullanılan gübre'!S186*'Gübre oranlar'!V$3</f>
        <v>0</v>
      </c>
      <c r="T186">
        <f>'Kullanılan gübre'!T186*'Gübre oranlar'!W$3</f>
        <v>0</v>
      </c>
      <c r="U186">
        <f>'Kullanılan gübre'!U186*'Gübre oranlar'!X$3</f>
        <v>0</v>
      </c>
      <c r="V186">
        <f>'Kullanılan gübre'!V186*'Gübre oranlar'!Y$3</f>
        <v>0</v>
      </c>
      <c r="W186">
        <f>'Kullanılan gübre'!W186*'Gübre oranlar'!Z$3</f>
        <v>0</v>
      </c>
      <c r="X186">
        <f>'Kullanılan gübre'!X186*'Gübre oranlar'!AA$3</f>
        <v>0</v>
      </c>
      <c r="Y186">
        <f>'Kullanılan gübre'!Y186*'Gübre oranlar'!AB$3</f>
        <v>0</v>
      </c>
      <c r="Z186">
        <f>'Kullanılan gübre'!Z186*'Gübre oranlar'!AC$3</f>
        <v>0</v>
      </c>
      <c r="AA186">
        <f>'Kullanılan gübre'!AA186*'Gübre oranlar'!AD$3</f>
        <v>0</v>
      </c>
      <c r="AB186">
        <f>'Kullanılan gübre'!AB186*'Gübre oranlar'!AE$3</f>
        <v>0</v>
      </c>
      <c r="AC186">
        <f>'Kullanılan gübre'!AC186*'Gübre oranlar'!AF$3</f>
        <v>0</v>
      </c>
      <c r="AD186">
        <f>'Kullanılan gübre'!AD186*'Gübre oranlar'!AG$3</f>
        <v>0</v>
      </c>
      <c r="AE186">
        <f>'Kullanılan gübre'!AE186*'Gübre oranlar'!AH$3</f>
        <v>0</v>
      </c>
      <c r="AF186">
        <f>'Kullanılan gübre'!AF186*'Gübre oranlar'!AI$3</f>
        <v>0</v>
      </c>
      <c r="AG186">
        <f>'Kullanılan gübre'!AG186*'Gübre oranlar'!AJ$3</f>
        <v>0</v>
      </c>
      <c r="AH186">
        <f>'Kullanılan gübre'!AH186*'Gübre oranlar'!AK$3</f>
        <v>0</v>
      </c>
      <c r="AI186">
        <f>'Kullanılan gübre'!AI186*'Gübre oranlar'!AL$3</f>
        <v>0</v>
      </c>
      <c r="AJ186">
        <f>'Kullanılan gübre'!AJ186*'Gübre oranlar'!AM$3</f>
        <v>0</v>
      </c>
      <c r="AK186">
        <f>'Kullanılan gübre'!AK186*'Gübre oranlar'!AN$3</f>
        <v>0</v>
      </c>
      <c r="AL186">
        <f>'Kullanılan gübre'!AL186*'Gübre oranlar'!AO$3</f>
        <v>0</v>
      </c>
      <c r="AM186">
        <f>'Kullanılan gübre'!AM186*'Gübre oranlar'!AP$3</f>
        <v>0</v>
      </c>
      <c r="AN186">
        <f>'Kullanılan gübre'!AN186*'Gübre oranlar'!AQ$3</f>
        <v>0</v>
      </c>
      <c r="AO186">
        <f>'Kullanılan gübre'!AO186*'Gübre oranlar'!AR$3</f>
        <v>0</v>
      </c>
      <c r="AP186">
        <f>'Kullanılan gübre'!AP186*'Gübre oranlar'!AS$3</f>
        <v>0</v>
      </c>
      <c r="AQ186">
        <f>'Kullanılan gübre'!AQ186*'Gübre oranlar'!AT$3</f>
        <v>0</v>
      </c>
      <c r="AR186">
        <f>'Kullanılan gübre'!AR186*'Gübre oranlar'!AU$3</f>
        <v>0</v>
      </c>
      <c r="AS186">
        <f>'Kullanılan gübre'!AS186*'Gübre oranlar'!AV$3</f>
        <v>0</v>
      </c>
      <c r="AT186">
        <f>'Kullanılan gübre'!AT186*'Gübre oranlar'!AW$3</f>
        <v>0</v>
      </c>
      <c r="AU186">
        <f>'Kullanılan gübre'!AU186*'Gübre oranlar'!AX$3</f>
        <v>0</v>
      </c>
      <c r="AV186">
        <f>'Kullanılan gübre'!AV186*'Gübre oranlar'!AY$3</f>
        <v>0</v>
      </c>
      <c r="AW186">
        <f t="shared" si="2"/>
        <v>28.080000000000002</v>
      </c>
    </row>
    <row r="187" spans="1:49" x14ac:dyDescent="0.25">
      <c r="A187" t="str">
        <f>'Kullanılan gübre'!A187</f>
        <v>BA</v>
      </c>
      <c r="B187" t="str">
        <f>'Kullanılan gübre'!B187</f>
        <v>ANTALYA</v>
      </c>
      <c r="C187" t="str">
        <f>'Kullanılan gübre'!C187</f>
        <v>KUMLUCA</v>
      </c>
      <c r="D187">
        <f>'Kullanılan gübre'!D187</f>
        <v>2013</v>
      </c>
      <c r="E187">
        <f>'Kullanılan gübre'!E187*'Gübre oranlar'!H$3</f>
        <v>0</v>
      </c>
      <c r="F187">
        <f>'Kullanılan gübre'!F187*'Gübre oranlar'!I$3</f>
        <v>0</v>
      </c>
      <c r="G187">
        <f>'Kullanılan gübre'!G187*'Gübre oranlar'!J$3</f>
        <v>0</v>
      </c>
      <c r="H187">
        <f>'Kullanılan gübre'!H187*'Gübre oranlar'!K$3</f>
        <v>0</v>
      </c>
      <c r="I187">
        <f>'Kullanılan gübre'!I187*'Gübre oranlar'!L$3</f>
        <v>33.54</v>
      </c>
      <c r="J187">
        <f>'Kullanılan gübre'!J187*'Gübre oranlar'!M$3</f>
        <v>0</v>
      </c>
      <c r="K187">
        <f>'Kullanılan gübre'!K187*'Gübre oranlar'!N$3</f>
        <v>39.800000000000004</v>
      </c>
      <c r="L187">
        <f>'Kullanılan gübre'!L187*'Gübre oranlar'!O$3</f>
        <v>0.2</v>
      </c>
      <c r="M187">
        <f>'Kullanılan gübre'!M187*'Gübre oranlar'!P$3</f>
        <v>11.549999999999999</v>
      </c>
      <c r="N187">
        <f>'Kullanılan gübre'!N187*'Gübre oranlar'!Q$3</f>
        <v>400.5</v>
      </c>
      <c r="O187">
        <f>'Kullanılan gübre'!O187*'Gübre oranlar'!R$3</f>
        <v>0</v>
      </c>
      <c r="P187">
        <f>'Kullanılan gübre'!P187*'Gübre oranlar'!S$3</f>
        <v>0</v>
      </c>
      <c r="Q187">
        <f>'Kullanılan gübre'!Q187*'Gübre oranlar'!T$3</f>
        <v>0</v>
      </c>
      <c r="R187">
        <f>'Kullanılan gübre'!R187*'Gübre oranlar'!U$3</f>
        <v>0</v>
      </c>
      <c r="S187">
        <f>'Kullanılan gübre'!S187*'Gübre oranlar'!V$3</f>
        <v>0</v>
      </c>
      <c r="T187">
        <f>'Kullanılan gübre'!T187*'Gübre oranlar'!W$3</f>
        <v>0</v>
      </c>
      <c r="U187">
        <f>'Kullanılan gübre'!U187*'Gübre oranlar'!X$3</f>
        <v>3.45</v>
      </c>
      <c r="V187">
        <f>'Kullanılan gübre'!V187*'Gübre oranlar'!Y$3</f>
        <v>0</v>
      </c>
      <c r="W187">
        <f>'Kullanılan gübre'!W187*'Gübre oranlar'!Z$3</f>
        <v>0</v>
      </c>
      <c r="X187">
        <f>'Kullanılan gübre'!X187*'Gübre oranlar'!AA$3</f>
        <v>28</v>
      </c>
      <c r="Y187">
        <f>'Kullanılan gübre'!Y187*'Gübre oranlar'!AB$3</f>
        <v>0</v>
      </c>
      <c r="Z187">
        <f>'Kullanılan gübre'!Z187*'Gübre oranlar'!AC$3</f>
        <v>0</v>
      </c>
      <c r="AA187">
        <f>'Kullanılan gübre'!AA187*'Gübre oranlar'!AD$3</f>
        <v>0</v>
      </c>
      <c r="AB187">
        <f>'Kullanılan gübre'!AB187*'Gübre oranlar'!AE$3</f>
        <v>0</v>
      </c>
      <c r="AC187">
        <f>'Kullanılan gübre'!AC187*'Gübre oranlar'!AF$3</f>
        <v>0</v>
      </c>
      <c r="AD187">
        <f>'Kullanılan gübre'!AD187*'Gübre oranlar'!AG$3</f>
        <v>0</v>
      </c>
      <c r="AE187">
        <f>'Kullanılan gübre'!AE187*'Gübre oranlar'!AH$3</f>
        <v>0</v>
      </c>
      <c r="AF187">
        <f>'Kullanılan gübre'!AF187*'Gübre oranlar'!AI$3</f>
        <v>0</v>
      </c>
      <c r="AG187">
        <f>'Kullanılan gübre'!AG187*'Gübre oranlar'!AJ$3</f>
        <v>0</v>
      </c>
      <c r="AH187">
        <f>'Kullanılan gübre'!AH187*'Gübre oranlar'!AK$3</f>
        <v>0</v>
      </c>
      <c r="AI187">
        <f>'Kullanılan gübre'!AI187*'Gübre oranlar'!AL$3</f>
        <v>0</v>
      </c>
      <c r="AJ187">
        <f>'Kullanılan gübre'!AJ187*'Gübre oranlar'!AM$3</f>
        <v>0</v>
      </c>
      <c r="AK187">
        <f>'Kullanılan gübre'!AK187*'Gübre oranlar'!AN$3</f>
        <v>0</v>
      </c>
      <c r="AL187">
        <f>'Kullanılan gübre'!AL187*'Gübre oranlar'!AO$3</f>
        <v>0</v>
      </c>
      <c r="AM187">
        <f>'Kullanılan gübre'!AM187*'Gübre oranlar'!AP$3</f>
        <v>0</v>
      </c>
      <c r="AN187">
        <f>'Kullanılan gübre'!AN187*'Gübre oranlar'!AQ$3</f>
        <v>0</v>
      </c>
      <c r="AO187">
        <f>'Kullanılan gübre'!AO187*'Gübre oranlar'!AR$3</f>
        <v>0</v>
      </c>
      <c r="AP187">
        <f>'Kullanılan gübre'!AP187*'Gübre oranlar'!AS$3</f>
        <v>0</v>
      </c>
      <c r="AQ187">
        <f>'Kullanılan gübre'!AQ187*'Gübre oranlar'!AT$3</f>
        <v>0</v>
      </c>
      <c r="AR187">
        <f>'Kullanılan gübre'!AR187*'Gübre oranlar'!AU$3</f>
        <v>0</v>
      </c>
      <c r="AS187">
        <f>'Kullanılan gübre'!AS187*'Gübre oranlar'!AV$3</f>
        <v>0</v>
      </c>
      <c r="AT187">
        <f>'Kullanılan gübre'!AT187*'Gübre oranlar'!AW$3</f>
        <v>0</v>
      </c>
      <c r="AU187">
        <f>'Kullanılan gübre'!AU187*'Gübre oranlar'!AX$3</f>
        <v>0</v>
      </c>
      <c r="AV187">
        <f>'Kullanılan gübre'!AV187*'Gübre oranlar'!AY$3</f>
        <v>0</v>
      </c>
      <c r="AW187">
        <f t="shared" si="2"/>
        <v>517.04</v>
      </c>
    </row>
    <row r="188" spans="1:49" x14ac:dyDescent="0.25">
      <c r="A188" t="str">
        <f>'Kullanılan gübre'!A188</f>
        <v>BA</v>
      </c>
      <c r="B188" t="str">
        <f>'Kullanılan gübre'!B188</f>
        <v>ANTALYA</v>
      </c>
      <c r="C188" t="str">
        <f>'Kullanılan gübre'!C188</f>
        <v>FINIKE</v>
      </c>
      <c r="D188">
        <f>'Kullanılan gübre'!D188</f>
        <v>2013</v>
      </c>
      <c r="E188">
        <f>'Kullanılan gübre'!E188*'Gübre oranlar'!H$3</f>
        <v>0</v>
      </c>
      <c r="F188">
        <f>'Kullanılan gübre'!F188*'Gübre oranlar'!I$3</f>
        <v>0</v>
      </c>
      <c r="G188">
        <f>'Kullanılan gübre'!G188*'Gübre oranlar'!J$3</f>
        <v>0</v>
      </c>
      <c r="H188">
        <f>'Kullanılan gübre'!H188*'Gübre oranlar'!K$3</f>
        <v>0</v>
      </c>
      <c r="I188">
        <f>'Kullanılan gübre'!I188*'Gübre oranlar'!L$3</f>
        <v>0</v>
      </c>
      <c r="J188">
        <f>'Kullanılan gübre'!J188*'Gübre oranlar'!M$3</f>
        <v>0</v>
      </c>
      <c r="K188">
        <f>'Kullanılan gübre'!K188*'Gübre oranlar'!N$3</f>
        <v>6.4</v>
      </c>
      <c r="L188">
        <f>'Kullanılan gübre'!L188*'Gübre oranlar'!O$3</f>
        <v>0</v>
      </c>
      <c r="M188">
        <f>'Kullanılan gübre'!M188*'Gübre oranlar'!P$3</f>
        <v>44.4</v>
      </c>
      <c r="N188">
        <f>'Kullanılan gübre'!N188*'Gübre oranlar'!Q$3</f>
        <v>94.649999999999991</v>
      </c>
      <c r="O188">
        <f>'Kullanılan gübre'!O188*'Gübre oranlar'!R$3</f>
        <v>0</v>
      </c>
      <c r="P188">
        <f>'Kullanılan gübre'!P188*'Gübre oranlar'!S$3</f>
        <v>0</v>
      </c>
      <c r="Q188">
        <f>'Kullanılan gübre'!Q188*'Gübre oranlar'!T$3</f>
        <v>0</v>
      </c>
      <c r="R188">
        <f>'Kullanılan gübre'!R188*'Gübre oranlar'!U$3</f>
        <v>0</v>
      </c>
      <c r="S188">
        <f>'Kullanılan gübre'!S188*'Gübre oranlar'!V$3</f>
        <v>0</v>
      </c>
      <c r="T188">
        <f>'Kullanılan gübre'!T188*'Gübre oranlar'!W$3</f>
        <v>0</v>
      </c>
      <c r="U188">
        <f>'Kullanılan gübre'!U188*'Gübre oranlar'!X$3</f>
        <v>1.1500000000000001</v>
      </c>
      <c r="V188">
        <f>'Kullanılan gübre'!V188*'Gübre oranlar'!Y$3</f>
        <v>0</v>
      </c>
      <c r="W188">
        <f>'Kullanılan gübre'!W188*'Gübre oranlar'!Z$3</f>
        <v>0</v>
      </c>
      <c r="X188">
        <f>'Kullanılan gübre'!X188*'Gübre oranlar'!AA$3</f>
        <v>0</v>
      </c>
      <c r="Y188">
        <f>'Kullanılan gübre'!Y188*'Gübre oranlar'!AB$3</f>
        <v>0</v>
      </c>
      <c r="Z188">
        <f>'Kullanılan gübre'!Z188*'Gübre oranlar'!AC$3</f>
        <v>0</v>
      </c>
      <c r="AA188">
        <f>'Kullanılan gübre'!AA188*'Gübre oranlar'!AD$3</f>
        <v>0</v>
      </c>
      <c r="AB188">
        <f>'Kullanılan gübre'!AB188*'Gübre oranlar'!AE$3</f>
        <v>6.1</v>
      </c>
      <c r="AC188">
        <f>'Kullanılan gübre'!AC188*'Gübre oranlar'!AF$3</f>
        <v>0</v>
      </c>
      <c r="AD188">
        <f>'Kullanılan gübre'!AD188*'Gübre oranlar'!AG$3</f>
        <v>0</v>
      </c>
      <c r="AE188">
        <f>'Kullanılan gübre'!AE188*'Gübre oranlar'!AH$3</f>
        <v>0</v>
      </c>
      <c r="AF188">
        <f>'Kullanılan gübre'!AF188*'Gübre oranlar'!AI$3</f>
        <v>0</v>
      </c>
      <c r="AG188">
        <f>'Kullanılan gübre'!AG188*'Gübre oranlar'!AJ$3</f>
        <v>0</v>
      </c>
      <c r="AH188">
        <f>'Kullanılan gübre'!AH188*'Gübre oranlar'!AK$3</f>
        <v>0</v>
      </c>
      <c r="AI188">
        <f>'Kullanılan gübre'!AI188*'Gübre oranlar'!AL$3</f>
        <v>0</v>
      </c>
      <c r="AJ188">
        <f>'Kullanılan gübre'!AJ188*'Gübre oranlar'!AM$3</f>
        <v>0</v>
      </c>
      <c r="AK188">
        <f>'Kullanılan gübre'!AK188*'Gübre oranlar'!AN$3</f>
        <v>0</v>
      </c>
      <c r="AL188">
        <f>'Kullanılan gübre'!AL188*'Gübre oranlar'!AO$3</f>
        <v>0</v>
      </c>
      <c r="AM188">
        <f>'Kullanılan gübre'!AM188*'Gübre oranlar'!AP$3</f>
        <v>0</v>
      </c>
      <c r="AN188">
        <f>'Kullanılan gübre'!AN188*'Gübre oranlar'!AQ$3</f>
        <v>0</v>
      </c>
      <c r="AO188">
        <f>'Kullanılan gübre'!AO188*'Gübre oranlar'!AR$3</f>
        <v>0</v>
      </c>
      <c r="AP188">
        <f>'Kullanılan gübre'!AP188*'Gübre oranlar'!AS$3</f>
        <v>0</v>
      </c>
      <c r="AQ188">
        <f>'Kullanılan gübre'!AQ188*'Gübre oranlar'!AT$3</f>
        <v>0</v>
      </c>
      <c r="AR188">
        <f>'Kullanılan gübre'!AR188*'Gübre oranlar'!AU$3</f>
        <v>0</v>
      </c>
      <c r="AS188">
        <f>'Kullanılan gübre'!AS188*'Gübre oranlar'!AV$3</f>
        <v>0</v>
      </c>
      <c r="AT188">
        <f>'Kullanılan gübre'!AT188*'Gübre oranlar'!AW$3</f>
        <v>0</v>
      </c>
      <c r="AU188">
        <f>'Kullanılan gübre'!AU188*'Gübre oranlar'!AX$3</f>
        <v>0</v>
      </c>
      <c r="AV188">
        <f>'Kullanılan gübre'!AV188*'Gübre oranlar'!AY$3</f>
        <v>0</v>
      </c>
      <c r="AW188">
        <f t="shared" si="2"/>
        <v>152.69999999999999</v>
      </c>
    </row>
    <row r="189" spans="1:49" x14ac:dyDescent="0.25">
      <c r="A189" t="str">
        <f>'Kullanılan gübre'!A189</f>
        <v>BA</v>
      </c>
      <c r="B189" t="str">
        <f>'Kullanılan gübre'!B189</f>
        <v>ANTALYA</v>
      </c>
      <c r="C189" t="str">
        <f>'Kullanılan gübre'!C189</f>
        <v>DEMRE</v>
      </c>
      <c r="D189">
        <f>'Kullanılan gübre'!D189</f>
        <v>2013</v>
      </c>
      <c r="E189">
        <f>'Kullanılan gübre'!E189*'Gübre oranlar'!H$3</f>
        <v>0</v>
      </c>
      <c r="F189">
        <f>'Kullanılan gübre'!F189*'Gübre oranlar'!I$3</f>
        <v>0</v>
      </c>
      <c r="G189">
        <f>'Kullanılan gübre'!G189*'Gübre oranlar'!J$3</f>
        <v>0</v>
      </c>
      <c r="H189">
        <f>'Kullanılan gübre'!H189*'Gübre oranlar'!K$3</f>
        <v>0</v>
      </c>
      <c r="I189">
        <f>'Kullanılan gübre'!I189*'Gübre oranlar'!L$3</f>
        <v>5.59</v>
      </c>
      <c r="J189">
        <f>'Kullanılan gübre'!J189*'Gübre oranlar'!M$3</f>
        <v>0</v>
      </c>
      <c r="K189">
        <f>'Kullanılan gübre'!K189*'Gübre oranlar'!N$3</f>
        <v>14.4</v>
      </c>
      <c r="L189">
        <f>'Kullanılan gübre'!L189*'Gübre oranlar'!O$3</f>
        <v>0.2</v>
      </c>
      <c r="M189">
        <f>'Kullanılan gübre'!M189*'Gübre oranlar'!P$3</f>
        <v>5.55</v>
      </c>
      <c r="N189">
        <f>'Kullanılan gübre'!N189*'Gübre oranlar'!Q$3</f>
        <v>10.5</v>
      </c>
      <c r="O189">
        <f>'Kullanılan gübre'!O189*'Gübre oranlar'!R$3</f>
        <v>0</v>
      </c>
      <c r="P189">
        <f>'Kullanılan gübre'!P189*'Gübre oranlar'!S$3</f>
        <v>0</v>
      </c>
      <c r="Q189">
        <f>'Kullanılan gübre'!Q189*'Gübre oranlar'!T$3</f>
        <v>0</v>
      </c>
      <c r="R189">
        <f>'Kullanılan gübre'!R189*'Gübre oranlar'!U$3</f>
        <v>0</v>
      </c>
      <c r="S189">
        <f>'Kullanılan gübre'!S189*'Gübre oranlar'!V$3</f>
        <v>0</v>
      </c>
      <c r="T189">
        <f>'Kullanılan gübre'!T189*'Gübre oranlar'!W$3</f>
        <v>0</v>
      </c>
      <c r="U189">
        <f>'Kullanılan gübre'!U189*'Gübre oranlar'!X$3</f>
        <v>2.85</v>
      </c>
      <c r="V189">
        <f>'Kullanılan gübre'!V189*'Gübre oranlar'!Y$3</f>
        <v>0</v>
      </c>
      <c r="W189">
        <f>'Kullanılan gübre'!W189*'Gübre oranlar'!Z$3</f>
        <v>0</v>
      </c>
      <c r="X189">
        <f>'Kullanılan gübre'!X189*'Gübre oranlar'!AA$3</f>
        <v>0</v>
      </c>
      <c r="Y189">
        <f>'Kullanılan gübre'!Y189*'Gübre oranlar'!AB$3</f>
        <v>0</v>
      </c>
      <c r="Z189">
        <f>'Kullanılan gübre'!Z189*'Gübre oranlar'!AC$3</f>
        <v>0</v>
      </c>
      <c r="AA189">
        <f>'Kullanılan gübre'!AA189*'Gübre oranlar'!AD$3</f>
        <v>0</v>
      </c>
      <c r="AB189">
        <f>'Kullanılan gübre'!AB189*'Gübre oranlar'!AE$3</f>
        <v>45.14</v>
      </c>
      <c r="AC189">
        <f>'Kullanılan gübre'!AC189*'Gübre oranlar'!AF$3</f>
        <v>0</v>
      </c>
      <c r="AD189">
        <f>'Kullanılan gübre'!AD189*'Gübre oranlar'!AG$3</f>
        <v>0</v>
      </c>
      <c r="AE189">
        <f>'Kullanılan gübre'!AE189*'Gübre oranlar'!AH$3</f>
        <v>0</v>
      </c>
      <c r="AF189">
        <f>'Kullanılan gübre'!AF189*'Gübre oranlar'!AI$3</f>
        <v>0</v>
      </c>
      <c r="AG189">
        <f>'Kullanılan gübre'!AG189*'Gübre oranlar'!AJ$3</f>
        <v>0</v>
      </c>
      <c r="AH189">
        <f>'Kullanılan gübre'!AH189*'Gübre oranlar'!AK$3</f>
        <v>0</v>
      </c>
      <c r="AI189">
        <f>'Kullanılan gübre'!AI189*'Gübre oranlar'!AL$3</f>
        <v>0</v>
      </c>
      <c r="AJ189">
        <f>'Kullanılan gübre'!AJ189*'Gübre oranlar'!AM$3</f>
        <v>0</v>
      </c>
      <c r="AK189">
        <f>'Kullanılan gübre'!AK189*'Gübre oranlar'!AN$3</f>
        <v>0</v>
      </c>
      <c r="AL189">
        <f>'Kullanılan gübre'!AL189*'Gübre oranlar'!AO$3</f>
        <v>0</v>
      </c>
      <c r="AM189">
        <f>'Kullanılan gübre'!AM189*'Gübre oranlar'!AP$3</f>
        <v>0</v>
      </c>
      <c r="AN189">
        <f>'Kullanılan gübre'!AN189*'Gübre oranlar'!AQ$3</f>
        <v>0</v>
      </c>
      <c r="AO189">
        <f>'Kullanılan gübre'!AO189*'Gübre oranlar'!AR$3</f>
        <v>0</v>
      </c>
      <c r="AP189">
        <f>'Kullanılan gübre'!AP189*'Gübre oranlar'!AS$3</f>
        <v>0</v>
      </c>
      <c r="AQ189">
        <f>'Kullanılan gübre'!AQ189*'Gübre oranlar'!AT$3</f>
        <v>0</v>
      </c>
      <c r="AR189">
        <f>'Kullanılan gübre'!AR189*'Gübre oranlar'!AU$3</f>
        <v>0</v>
      </c>
      <c r="AS189">
        <f>'Kullanılan gübre'!AS189*'Gübre oranlar'!AV$3</f>
        <v>0</v>
      </c>
      <c r="AT189">
        <f>'Kullanılan gübre'!AT189*'Gübre oranlar'!AW$3</f>
        <v>0</v>
      </c>
      <c r="AU189">
        <f>'Kullanılan gübre'!AU189*'Gübre oranlar'!AX$3</f>
        <v>0</v>
      </c>
      <c r="AV189">
        <f>'Kullanılan gübre'!AV189*'Gübre oranlar'!AY$3</f>
        <v>0</v>
      </c>
      <c r="AW189">
        <f t="shared" si="2"/>
        <v>84.23</v>
      </c>
    </row>
    <row r="190" spans="1:49" x14ac:dyDescent="0.25">
      <c r="A190" t="str">
        <f>'Kullanılan gübre'!A190</f>
        <v>BA</v>
      </c>
      <c r="B190" t="str">
        <f>'Kullanılan gübre'!B190</f>
        <v>ANTALYA</v>
      </c>
      <c r="C190" t="str">
        <f>'Kullanılan gübre'!C190</f>
        <v>KAS</v>
      </c>
      <c r="D190">
        <f>'Kullanılan gübre'!D190</f>
        <v>2013</v>
      </c>
      <c r="E190">
        <f>'Kullanılan gübre'!E190*'Gübre oranlar'!H$3</f>
        <v>0</v>
      </c>
      <c r="F190">
        <f>'Kullanılan gübre'!F190*'Gübre oranlar'!I$3</f>
        <v>0</v>
      </c>
      <c r="G190">
        <f>'Kullanılan gübre'!G190*'Gübre oranlar'!J$3</f>
        <v>0</v>
      </c>
      <c r="H190">
        <f>'Kullanılan gübre'!H190*'Gübre oranlar'!K$3</f>
        <v>0</v>
      </c>
      <c r="I190">
        <f>'Kullanılan gübre'!I190*'Gübre oranlar'!L$3</f>
        <v>29.669999999999998</v>
      </c>
      <c r="J190">
        <f>'Kullanılan gübre'!J190*'Gübre oranlar'!M$3</f>
        <v>0</v>
      </c>
      <c r="K190">
        <f>'Kullanılan gübre'!K190*'Gübre oranlar'!N$3</f>
        <v>20.200000000000003</v>
      </c>
      <c r="L190">
        <f>'Kullanılan gübre'!L190*'Gübre oranlar'!O$3</f>
        <v>32.200000000000003</v>
      </c>
      <c r="M190">
        <f>'Kullanılan gübre'!M190*'Gübre oranlar'!P$3</f>
        <v>38.549999999999997</v>
      </c>
      <c r="N190">
        <f>'Kullanılan gübre'!N190*'Gübre oranlar'!Q$3</f>
        <v>7.5</v>
      </c>
      <c r="O190">
        <f>'Kullanılan gübre'!O190*'Gübre oranlar'!R$3</f>
        <v>0</v>
      </c>
      <c r="P190">
        <f>'Kullanılan gübre'!P190*'Gübre oranlar'!S$3</f>
        <v>0</v>
      </c>
      <c r="Q190">
        <f>'Kullanılan gübre'!Q190*'Gübre oranlar'!T$3</f>
        <v>0</v>
      </c>
      <c r="R190">
        <f>'Kullanılan gübre'!R190*'Gübre oranlar'!U$3</f>
        <v>0</v>
      </c>
      <c r="S190">
        <f>'Kullanılan gübre'!S190*'Gübre oranlar'!V$3</f>
        <v>0</v>
      </c>
      <c r="T190">
        <f>'Kullanılan gübre'!T190*'Gübre oranlar'!W$3</f>
        <v>0</v>
      </c>
      <c r="U190">
        <f>'Kullanılan gübre'!U190*'Gübre oranlar'!X$3</f>
        <v>0</v>
      </c>
      <c r="V190">
        <f>'Kullanılan gübre'!V190*'Gübre oranlar'!Y$3</f>
        <v>0</v>
      </c>
      <c r="W190">
        <f>'Kullanılan gübre'!W190*'Gübre oranlar'!Z$3</f>
        <v>0</v>
      </c>
      <c r="X190">
        <f>'Kullanılan gübre'!X190*'Gübre oranlar'!AA$3</f>
        <v>0</v>
      </c>
      <c r="Y190">
        <f>'Kullanılan gübre'!Y190*'Gübre oranlar'!AB$3</f>
        <v>0</v>
      </c>
      <c r="Z190">
        <f>'Kullanılan gübre'!Z190*'Gübre oranlar'!AC$3</f>
        <v>0</v>
      </c>
      <c r="AA190">
        <f>'Kullanılan gübre'!AA190*'Gübre oranlar'!AD$3</f>
        <v>0</v>
      </c>
      <c r="AB190">
        <f>'Kullanılan gübre'!AB190*'Gübre oranlar'!AE$3</f>
        <v>0</v>
      </c>
      <c r="AC190">
        <f>'Kullanılan gübre'!AC190*'Gübre oranlar'!AF$3</f>
        <v>0</v>
      </c>
      <c r="AD190">
        <f>'Kullanılan gübre'!AD190*'Gübre oranlar'!AG$3</f>
        <v>0</v>
      </c>
      <c r="AE190">
        <f>'Kullanılan gübre'!AE190*'Gübre oranlar'!AH$3</f>
        <v>0</v>
      </c>
      <c r="AF190">
        <f>'Kullanılan gübre'!AF190*'Gübre oranlar'!AI$3</f>
        <v>0</v>
      </c>
      <c r="AG190">
        <f>'Kullanılan gübre'!AG190*'Gübre oranlar'!AJ$3</f>
        <v>0</v>
      </c>
      <c r="AH190">
        <f>'Kullanılan gübre'!AH190*'Gübre oranlar'!AK$3</f>
        <v>0</v>
      </c>
      <c r="AI190">
        <f>'Kullanılan gübre'!AI190*'Gübre oranlar'!AL$3</f>
        <v>0</v>
      </c>
      <c r="AJ190">
        <f>'Kullanılan gübre'!AJ190*'Gübre oranlar'!AM$3</f>
        <v>0</v>
      </c>
      <c r="AK190">
        <f>'Kullanılan gübre'!AK190*'Gübre oranlar'!AN$3</f>
        <v>0</v>
      </c>
      <c r="AL190">
        <f>'Kullanılan gübre'!AL190*'Gübre oranlar'!AO$3</f>
        <v>0</v>
      </c>
      <c r="AM190">
        <f>'Kullanılan gübre'!AM190*'Gübre oranlar'!AP$3</f>
        <v>0</v>
      </c>
      <c r="AN190">
        <f>'Kullanılan gübre'!AN190*'Gübre oranlar'!AQ$3</f>
        <v>0</v>
      </c>
      <c r="AO190">
        <f>'Kullanılan gübre'!AO190*'Gübre oranlar'!AR$3</f>
        <v>0</v>
      </c>
      <c r="AP190">
        <f>'Kullanılan gübre'!AP190*'Gübre oranlar'!AS$3</f>
        <v>0</v>
      </c>
      <c r="AQ190">
        <f>'Kullanılan gübre'!AQ190*'Gübre oranlar'!AT$3</f>
        <v>0</v>
      </c>
      <c r="AR190">
        <f>'Kullanılan gübre'!AR190*'Gübre oranlar'!AU$3</f>
        <v>0</v>
      </c>
      <c r="AS190">
        <f>'Kullanılan gübre'!AS190*'Gübre oranlar'!AV$3</f>
        <v>0</v>
      </c>
      <c r="AT190">
        <f>'Kullanılan gübre'!AT190*'Gübre oranlar'!AW$3</f>
        <v>0</v>
      </c>
      <c r="AU190">
        <f>'Kullanılan gübre'!AU190*'Gübre oranlar'!AX$3</f>
        <v>0</v>
      </c>
      <c r="AV190">
        <f>'Kullanılan gübre'!AV190*'Gübre oranlar'!AY$3</f>
        <v>0</v>
      </c>
      <c r="AW190">
        <f t="shared" si="2"/>
        <v>128.12</v>
      </c>
    </row>
    <row r="191" spans="1:49" x14ac:dyDescent="0.25">
      <c r="A191" t="str">
        <f>'Kullanılan gübre'!A191</f>
        <v>BA</v>
      </c>
      <c r="B191" t="str">
        <f>'Kullanılan gübre'!B191</f>
        <v>ANTALYA</v>
      </c>
      <c r="C191" t="str">
        <f>'Kullanılan gübre'!C191</f>
        <v>KORKUTELI</v>
      </c>
      <c r="D191">
        <f>'Kullanılan gübre'!D191</f>
        <v>2013</v>
      </c>
      <c r="E191">
        <f>'Kullanılan gübre'!E191*'Gübre oranlar'!H$3</f>
        <v>0</v>
      </c>
      <c r="F191">
        <f>'Kullanılan gübre'!F191*'Gübre oranlar'!I$3</f>
        <v>0</v>
      </c>
      <c r="G191">
        <f>'Kullanılan gübre'!G191*'Gübre oranlar'!J$3</f>
        <v>0</v>
      </c>
      <c r="H191">
        <f>'Kullanılan gübre'!H191*'Gübre oranlar'!K$3</f>
        <v>0</v>
      </c>
      <c r="I191">
        <f>'Kullanılan gübre'!I191*'Gübre oranlar'!L$3</f>
        <v>52.46</v>
      </c>
      <c r="J191">
        <f>'Kullanılan gübre'!J191*'Gübre oranlar'!M$3</f>
        <v>0</v>
      </c>
      <c r="K191">
        <f>'Kullanılan gübre'!K191*'Gübre oranlar'!N$3</f>
        <v>1257.4000000000001</v>
      </c>
      <c r="L191">
        <f>'Kullanılan gübre'!L191*'Gübre oranlar'!O$3</f>
        <v>81.600000000000009</v>
      </c>
      <c r="M191">
        <f>'Kullanılan gübre'!M191*'Gübre oranlar'!P$3</f>
        <v>224.1</v>
      </c>
      <c r="N191">
        <f>'Kullanılan gübre'!N191*'Gübre oranlar'!Q$3</f>
        <v>127.94999999999999</v>
      </c>
      <c r="O191">
        <f>'Kullanılan gübre'!O191*'Gübre oranlar'!R$3</f>
        <v>0</v>
      </c>
      <c r="P191">
        <f>'Kullanılan gübre'!P191*'Gübre oranlar'!S$3</f>
        <v>0</v>
      </c>
      <c r="Q191">
        <f>'Kullanılan gübre'!Q191*'Gübre oranlar'!T$3</f>
        <v>62.699999999999996</v>
      </c>
      <c r="R191">
        <f>'Kullanılan gübre'!R191*'Gübre oranlar'!U$3</f>
        <v>0</v>
      </c>
      <c r="S191">
        <f>'Kullanılan gübre'!S191*'Gübre oranlar'!V$3</f>
        <v>0</v>
      </c>
      <c r="T191">
        <f>'Kullanılan gübre'!T191*'Gübre oranlar'!W$3</f>
        <v>0</v>
      </c>
      <c r="U191">
        <f>'Kullanılan gübre'!U191*'Gübre oranlar'!X$3</f>
        <v>7.65</v>
      </c>
      <c r="V191">
        <f>'Kullanılan gübre'!V191*'Gübre oranlar'!Y$3</f>
        <v>0</v>
      </c>
      <c r="W191">
        <f>'Kullanılan gübre'!W191*'Gübre oranlar'!Z$3</f>
        <v>0</v>
      </c>
      <c r="X191">
        <f>'Kullanılan gübre'!X191*'Gübre oranlar'!AA$3</f>
        <v>7.6000000000000005</v>
      </c>
      <c r="Y191">
        <f>'Kullanılan gübre'!Y191*'Gübre oranlar'!AB$3</f>
        <v>0</v>
      </c>
      <c r="Z191">
        <f>'Kullanılan gübre'!Z191*'Gübre oranlar'!AC$3</f>
        <v>0</v>
      </c>
      <c r="AA191">
        <f>'Kullanılan gübre'!AA191*'Gübre oranlar'!AD$3</f>
        <v>0</v>
      </c>
      <c r="AB191">
        <f>'Kullanılan gübre'!AB191*'Gübre oranlar'!AE$3</f>
        <v>8.5399999999999991</v>
      </c>
      <c r="AC191">
        <f>'Kullanılan gübre'!AC191*'Gübre oranlar'!AF$3</f>
        <v>0</v>
      </c>
      <c r="AD191">
        <f>'Kullanılan gübre'!AD191*'Gübre oranlar'!AG$3</f>
        <v>0</v>
      </c>
      <c r="AE191">
        <f>'Kullanılan gübre'!AE191*'Gübre oranlar'!AH$3</f>
        <v>0</v>
      </c>
      <c r="AF191">
        <f>'Kullanılan gübre'!AF191*'Gübre oranlar'!AI$3</f>
        <v>0</v>
      </c>
      <c r="AG191">
        <f>'Kullanılan gübre'!AG191*'Gübre oranlar'!AJ$3</f>
        <v>0</v>
      </c>
      <c r="AH191">
        <f>'Kullanılan gübre'!AH191*'Gübre oranlar'!AK$3</f>
        <v>36.480000000000004</v>
      </c>
      <c r="AI191">
        <f>'Kullanılan gübre'!AI191*'Gübre oranlar'!AL$3</f>
        <v>0</v>
      </c>
      <c r="AJ191">
        <f>'Kullanılan gübre'!AJ191*'Gübre oranlar'!AM$3</f>
        <v>0</v>
      </c>
      <c r="AK191">
        <f>'Kullanılan gübre'!AK191*'Gübre oranlar'!AN$3</f>
        <v>0</v>
      </c>
      <c r="AL191">
        <f>'Kullanılan gübre'!AL191*'Gübre oranlar'!AO$3</f>
        <v>0</v>
      </c>
      <c r="AM191">
        <f>'Kullanılan gübre'!AM191*'Gübre oranlar'!AP$3</f>
        <v>0</v>
      </c>
      <c r="AN191">
        <f>'Kullanılan gübre'!AN191*'Gübre oranlar'!AQ$3</f>
        <v>0</v>
      </c>
      <c r="AO191">
        <f>'Kullanılan gübre'!AO191*'Gübre oranlar'!AR$3</f>
        <v>0</v>
      </c>
      <c r="AP191">
        <f>'Kullanılan gübre'!AP191*'Gübre oranlar'!AS$3</f>
        <v>0</v>
      </c>
      <c r="AQ191">
        <f>'Kullanılan gübre'!AQ191*'Gübre oranlar'!AT$3</f>
        <v>0</v>
      </c>
      <c r="AR191">
        <f>'Kullanılan gübre'!AR191*'Gübre oranlar'!AU$3</f>
        <v>0</v>
      </c>
      <c r="AS191">
        <f>'Kullanılan gübre'!AS191*'Gübre oranlar'!AV$3</f>
        <v>24.96</v>
      </c>
      <c r="AT191">
        <f>'Kullanılan gübre'!AT191*'Gübre oranlar'!AW$3</f>
        <v>0</v>
      </c>
      <c r="AU191">
        <f>'Kullanılan gübre'!AU191*'Gübre oranlar'!AX$3</f>
        <v>0</v>
      </c>
      <c r="AV191">
        <f>'Kullanılan gübre'!AV191*'Gübre oranlar'!AY$3</f>
        <v>0</v>
      </c>
      <c r="AW191">
        <f t="shared" si="2"/>
        <v>1891.44</v>
      </c>
    </row>
    <row r="192" spans="1:49" x14ac:dyDescent="0.25">
      <c r="A192" t="str">
        <f>'Kullanılan gübre'!A192</f>
        <v>BA</v>
      </c>
      <c r="B192" t="str">
        <f>'Kullanılan gübre'!B192</f>
        <v>ANTALYA</v>
      </c>
      <c r="C192" t="str">
        <f>'Kullanılan gübre'!C192</f>
        <v>ELMALI</v>
      </c>
      <c r="D192">
        <f>'Kullanılan gübre'!D192</f>
        <v>2013</v>
      </c>
      <c r="E192">
        <f>'Kullanılan gübre'!E192*'Gübre oranlar'!H$3</f>
        <v>0</v>
      </c>
      <c r="F192">
        <f>'Kullanılan gübre'!F192*'Gübre oranlar'!I$3</f>
        <v>0</v>
      </c>
      <c r="G192">
        <f>'Kullanılan gübre'!G192*'Gübre oranlar'!J$3</f>
        <v>0</v>
      </c>
      <c r="H192">
        <f>'Kullanılan gübre'!H192*'Gübre oranlar'!K$3</f>
        <v>0</v>
      </c>
      <c r="I192">
        <f>'Kullanılan gübre'!I192*'Gübre oranlar'!L$3</f>
        <v>35.26</v>
      </c>
      <c r="J192">
        <f>'Kullanılan gübre'!J192*'Gübre oranlar'!M$3</f>
        <v>0</v>
      </c>
      <c r="K192">
        <f>'Kullanılan gübre'!K192*'Gübre oranlar'!N$3</f>
        <v>250.60000000000002</v>
      </c>
      <c r="L192">
        <f>'Kullanılan gübre'!L192*'Gübre oranlar'!O$3</f>
        <v>12.200000000000001</v>
      </c>
      <c r="M192">
        <f>'Kullanılan gübre'!M192*'Gübre oranlar'!P$3</f>
        <v>59.099999999999994</v>
      </c>
      <c r="N192">
        <f>'Kullanılan gübre'!N192*'Gübre oranlar'!Q$3</f>
        <v>62.55</v>
      </c>
      <c r="O192">
        <f>'Kullanılan gübre'!O192*'Gübre oranlar'!R$3</f>
        <v>0</v>
      </c>
      <c r="P192">
        <f>'Kullanılan gübre'!P192*'Gübre oranlar'!S$3</f>
        <v>0</v>
      </c>
      <c r="Q192">
        <f>'Kullanılan gübre'!Q192*'Gübre oranlar'!T$3</f>
        <v>184.5</v>
      </c>
      <c r="R192">
        <f>'Kullanılan gübre'!R192*'Gübre oranlar'!U$3</f>
        <v>0</v>
      </c>
      <c r="S192">
        <f>'Kullanılan gübre'!S192*'Gübre oranlar'!V$3</f>
        <v>0</v>
      </c>
      <c r="T192">
        <f>'Kullanılan gübre'!T192*'Gübre oranlar'!W$3</f>
        <v>0</v>
      </c>
      <c r="U192">
        <f>'Kullanılan gübre'!U192*'Gübre oranlar'!X$3</f>
        <v>0</v>
      </c>
      <c r="V192">
        <f>'Kullanılan gübre'!V192*'Gübre oranlar'!Y$3</f>
        <v>0</v>
      </c>
      <c r="W192">
        <f>'Kullanılan gübre'!W192*'Gübre oranlar'!Z$3</f>
        <v>0</v>
      </c>
      <c r="X192">
        <f>'Kullanılan gübre'!X192*'Gübre oranlar'!AA$3</f>
        <v>0</v>
      </c>
      <c r="Y192">
        <f>'Kullanılan gübre'!Y192*'Gübre oranlar'!AB$3</f>
        <v>0</v>
      </c>
      <c r="Z192">
        <f>'Kullanılan gübre'!Z192*'Gübre oranlar'!AC$3</f>
        <v>0</v>
      </c>
      <c r="AA192">
        <f>'Kullanılan gübre'!AA192*'Gübre oranlar'!AD$3</f>
        <v>0</v>
      </c>
      <c r="AB192">
        <f>'Kullanılan gübre'!AB192*'Gübre oranlar'!AE$3</f>
        <v>0</v>
      </c>
      <c r="AC192">
        <f>'Kullanılan gübre'!AC192*'Gübre oranlar'!AF$3</f>
        <v>0</v>
      </c>
      <c r="AD192">
        <f>'Kullanılan gübre'!AD192*'Gübre oranlar'!AG$3</f>
        <v>0</v>
      </c>
      <c r="AE192">
        <f>'Kullanılan gübre'!AE192*'Gübre oranlar'!AH$3</f>
        <v>0</v>
      </c>
      <c r="AF192">
        <f>'Kullanılan gübre'!AF192*'Gübre oranlar'!AI$3</f>
        <v>0</v>
      </c>
      <c r="AG192">
        <f>'Kullanılan gübre'!AG192*'Gübre oranlar'!AJ$3</f>
        <v>0</v>
      </c>
      <c r="AH192">
        <f>'Kullanılan gübre'!AH192*'Gübre oranlar'!AK$3</f>
        <v>0</v>
      </c>
      <c r="AI192">
        <f>'Kullanılan gübre'!AI192*'Gübre oranlar'!AL$3</f>
        <v>0</v>
      </c>
      <c r="AJ192">
        <f>'Kullanılan gübre'!AJ192*'Gübre oranlar'!AM$3</f>
        <v>0</v>
      </c>
      <c r="AK192">
        <f>'Kullanılan gübre'!AK192*'Gübre oranlar'!AN$3</f>
        <v>0</v>
      </c>
      <c r="AL192">
        <f>'Kullanılan gübre'!AL192*'Gübre oranlar'!AO$3</f>
        <v>0</v>
      </c>
      <c r="AM192">
        <f>'Kullanılan gübre'!AM192*'Gübre oranlar'!AP$3</f>
        <v>0</v>
      </c>
      <c r="AN192">
        <f>'Kullanılan gübre'!AN192*'Gübre oranlar'!AQ$3</f>
        <v>0</v>
      </c>
      <c r="AO192">
        <f>'Kullanılan gübre'!AO192*'Gübre oranlar'!AR$3</f>
        <v>0</v>
      </c>
      <c r="AP192">
        <f>'Kullanılan gübre'!AP192*'Gübre oranlar'!AS$3</f>
        <v>0</v>
      </c>
      <c r="AQ192">
        <f>'Kullanılan gübre'!AQ192*'Gübre oranlar'!AT$3</f>
        <v>0</v>
      </c>
      <c r="AR192">
        <f>'Kullanılan gübre'!AR192*'Gübre oranlar'!AU$3</f>
        <v>0</v>
      </c>
      <c r="AS192">
        <f>'Kullanılan gübre'!AS192*'Gübre oranlar'!AV$3</f>
        <v>0</v>
      </c>
      <c r="AT192">
        <f>'Kullanılan gübre'!AT192*'Gübre oranlar'!AW$3</f>
        <v>0</v>
      </c>
      <c r="AU192">
        <f>'Kullanılan gübre'!AU192*'Gübre oranlar'!AX$3</f>
        <v>0</v>
      </c>
      <c r="AV192">
        <f>'Kullanılan gübre'!AV192*'Gübre oranlar'!AY$3</f>
        <v>0</v>
      </c>
      <c r="AW192">
        <f t="shared" si="2"/>
        <v>604.21</v>
      </c>
    </row>
    <row r="193" spans="1:49" x14ac:dyDescent="0.25">
      <c r="A193" t="str">
        <f>'Kullanılan gübre'!A193</f>
        <v>BA</v>
      </c>
      <c r="B193" t="str">
        <f>'Kullanılan gübre'!B193</f>
        <v>ANTALYA</v>
      </c>
      <c r="C193" t="str">
        <f>'Kullanılan gübre'!C193</f>
        <v>KEMER</v>
      </c>
      <c r="D193">
        <f>'Kullanılan gübre'!D193</f>
        <v>2014</v>
      </c>
      <c r="E193">
        <f>'Kullanılan gübre'!E193*'Gübre oranlar'!H$3</f>
        <v>0</v>
      </c>
      <c r="F193">
        <f>'Kullanılan gübre'!F193*'Gübre oranlar'!I$3</f>
        <v>0</v>
      </c>
      <c r="G193">
        <f>'Kullanılan gübre'!G193*'Gübre oranlar'!J$3</f>
        <v>0</v>
      </c>
      <c r="H193">
        <f>'Kullanılan gübre'!H193*'Gübre oranlar'!K$3</f>
        <v>0</v>
      </c>
      <c r="I193">
        <f>'Kullanılan gübre'!I193*'Gübre oranlar'!L$3</f>
        <v>0.86</v>
      </c>
      <c r="J193">
        <f>'Kullanılan gübre'!J193*'Gübre oranlar'!M$3</f>
        <v>0</v>
      </c>
      <c r="K193">
        <f>'Kullanılan gübre'!K193*'Gübre oranlar'!N$3</f>
        <v>0.8</v>
      </c>
      <c r="L193">
        <f>'Kullanılan gübre'!L193*'Gübre oranlar'!O$3</f>
        <v>0</v>
      </c>
      <c r="M193">
        <f>'Kullanılan gübre'!M193*'Gübre oranlar'!P$3</f>
        <v>3.9</v>
      </c>
      <c r="N193">
        <f>'Kullanılan gübre'!N193*'Gübre oranlar'!Q$3</f>
        <v>28.799999999999997</v>
      </c>
      <c r="O193">
        <f>'Kullanılan gübre'!O193*'Gübre oranlar'!R$3</f>
        <v>0</v>
      </c>
      <c r="P193">
        <f>'Kullanılan gübre'!P193*'Gübre oranlar'!S$3</f>
        <v>0</v>
      </c>
      <c r="Q193">
        <f>'Kullanılan gübre'!Q193*'Gübre oranlar'!T$3</f>
        <v>0</v>
      </c>
      <c r="R193">
        <f>'Kullanılan gübre'!R193*'Gübre oranlar'!U$3</f>
        <v>0</v>
      </c>
      <c r="S193">
        <f>'Kullanılan gübre'!S193*'Gübre oranlar'!V$3</f>
        <v>0</v>
      </c>
      <c r="T193">
        <f>'Kullanılan gübre'!T193*'Gübre oranlar'!W$3</f>
        <v>0</v>
      </c>
      <c r="U193">
        <f>'Kullanılan gübre'!U193*'Gübre oranlar'!X$3</f>
        <v>0</v>
      </c>
      <c r="V193">
        <f>'Kullanılan gübre'!V193*'Gübre oranlar'!Y$3</f>
        <v>0</v>
      </c>
      <c r="W193">
        <f>'Kullanılan gübre'!W193*'Gübre oranlar'!Z$3</f>
        <v>0</v>
      </c>
      <c r="X193">
        <f>'Kullanılan gübre'!X193*'Gübre oranlar'!AA$3</f>
        <v>0</v>
      </c>
      <c r="Y193">
        <f>'Kullanılan gübre'!Y193*'Gübre oranlar'!AB$3</f>
        <v>0</v>
      </c>
      <c r="Z193">
        <f>'Kullanılan gübre'!Z193*'Gübre oranlar'!AC$3</f>
        <v>0</v>
      </c>
      <c r="AA193">
        <f>'Kullanılan gübre'!AA193*'Gübre oranlar'!AD$3</f>
        <v>0</v>
      </c>
      <c r="AB193">
        <f>'Kullanılan gübre'!AB193*'Gübre oranlar'!AE$3</f>
        <v>0</v>
      </c>
      <c r="AC193">
        <f>'Kullanılan gübre'!AC193*'Gübre oranlar'!AF$3</f>
        <v>0</v>
      </c>
      <c r="AD193">
        <f>'Kullanılan gübre'!AD193*'Gübre oranlar'!AG$3</f>
        <v>0</v>
      </c>
      <c r="AE193">
        <f>'Kullanılan gübre'!AE193*'Gübre oranlar'!AH$3</f>
        <v>0</v>
      </c>
      <c r="AF193">
        <f>'Kullanılan gübre'!AF193*'Gübre oranlar'!AI$3</f>
        <v>0</v>
      </c>
      <c r="AG193">
        <f>'Kullanılan gübre'!AG193*'Gübre oranlar'!AJ$3</f>
        <v>0</v>
      </c>
      <c r="AH193">
        <f>'Kullanılan gübre'!AH193*'Gübre oranlar'!AK$3</f>
        <v>0</v>
      </c>
      <c r="AI193">
        <f>'Kullanılan gübre'!AI193*'Gübre oranlar'!AL$3</f>
        <v>0</v>
      </c>
      <c r="AJ193">
        <f>'Kullanılan gübre'!AJ193*'Gübre oranlar'!AM$3</f>
        <v>0</v>
      </c>
      <c r="AK193">
        <f>'Kullanılan gübre'!AK193*'Gübre oranlar'!AN$3</f>
        <v>0</v>
      </c>
      <c r="AL193">
        <f>'Kullanılan gübre'!AL193*'Gübre oranlar'!AO$3</f>
        <v>0</v>
      </c>
      <c r="AM193">
        <f>'Kullanılan gübre'!AM193*'Gübre oranlar'!AP$3</f>
        <v>0</v>
      </c>
      <c r="AN193">
        <f>'Kullanılan gübre'!AN193*'Gübre oranlar'!AQ$3</f>
        <v>0</v>
      </c>
      <c r="AO193">
        <f>'Kullanılan gübre'!AO193*'Gübre oranlar'!AR$3</f>
        <v>0</v>
      </c>
      <c r="AP193">
        <f>'Kullanılan gübre'!AP193*'Gübre oranlar'!AS$3</f>
        <v>0</v>
      </c>
      <c r="AQ193">
        <f>'Kullanılan gübre'!AQ193*'Gübre oranlar'!AT$3</f>
        <v>0</v>
      </c>
      <c r="AR193">
        <f>'Kullanılan gübre'!AR193*'Gübre oranlar'!AU$3</f>
        <v>0</v>
      </c>
      <c r="AS193">
        <f>'Kullanılan gübre'!AS193*'Gübre oranlar'!AV$3</f>
        <v>0</v>
      </c>
      <c r="AT193">
        <f>'Kullanılan gübre'!AT193*'Gübre oranlar'!AW$3</f>
        <v>0</v>
      </c>
      <c r="AU193">
        <f>'Kullanılan gübre'!AU193*'Gübre oranlar'!AX$3</f>
        <v>0</v>
      </c>
      <c r="AV193">
        <f>'Kullanılan gübre'!AV193*'Gübre oranlar'!AY$3</f>
        <v>0</v>
      </c>
      <c r="AW193">
        <f t="shared" si="2"/>
        <v>34.36</v>
      </c>
    </row>
    <row r="194" spans="1:49" x14ac:dyDescent="0.25">
      <c r="A194" t="str">
        <f>'Kullanılan gübre'!A194</f>
        <v>BA</v>
      </c>
      <c r="B194" t="str">
        <f>'Kullanılan gübre'!B194</f>
        <v>ANTALYA</v>
      </c>
      <c r="C194" t="str">
        <f>'Kullanılan gübre'!C194</f>
        <v>KUMLUCA</v>
      </c>
      <c r="D194">
        <f>'Kullanılan gübre'!D194</f>
        <v>2014</v>
      </c>
      <c r="E194">
        <f>'Kullanılan gübre'!E194*'Gübre oranlar'!H$3</f>
        <v>0</v>
      </c>
      <c r="F194">
        <f>'Kullanılan gübre'!F194*'Gübre oranlar'!I$3</f>
        <v>0</v>
      </c>
      <c r="G194">
        <f>'Kullanılan gübre'!G194*'Gübre oranlar'!J$3</f>
        <v>0</v>
      </c>
      <c r="H194">
        <f>'Kullanılan gübre'!H194*'Gübre oranlar'!K$3</f>
        <v>0</v>
      </c>
      <c r="I194">
        <f>'Kullanılan gübre'!I194*'Gübre oranlar'!L$3</f>
        <v>16.77</v>
      </c>
      <c r="J194">
        <f>'Kullanılan gübre'!J194*'Gübre oranlar'!M$3</f>
        <v>0</v>
      </c>
      <c r="K194">
        <f>'Kullanılan gübre'!K194*'Gübre oranlar'!N$3</f>
        <v>22.400000000000002</v>
      </c>
      <c r="L194">
        <f>'Kullanılan gübre'!L194*'Gübre oranlar'!O$3</f>
        <v>19.200000000000003</v>
      </c>
      <c r="M194">
        <f>'Kullanılan gübre'!M194*'Gübre oranlar'!P$3</f>
        <v>49.199999999999996</v>
      </c>
      <c r="N194">
        <f>'Kullanılan gübre'!N194*'Gübre oranlar'!Q$3</f>
        <v>225.15</v>
      </c>
      <c r="O194">
        <f>'Kullanılan gübre'!O194*'Gübre oranlar'!R$3</f>
        <v>0</v>
      </c>
      <c r="P194">
        <f>'Kullanılan gübre'!P194*'Gübre oranlar'!S$3</f>
        <v>0</v>
      </c>
      <c r="Q194">
        <f>'Kullanılan gübre'!Q194*'Gübre oranlar'!T$3</f>
        <v>0</v>
      </c>
      <c r="R194">
        <f>'Kullanılan gübre'!R194*'Gübre oranlar'!U$3</f>
        <v>0</v>
      </c>
      <c r="S194">
        <f>'Kullanılan gübre'!S194*'Gübre oranlar'!V$3</f>
        <v>0</v>
      </c>
      <c r="T194">
        <f>'Kullanılan gübre'!T194*'Gübre oranlar'!W$3</f>
        <v>0</v>
      </c>
      <c r="U194">
        <f>'Kullanılan gübre'!U194*'Gübre oranlar'!X$3</f>
        <v>2.9000000000000004</v>
      </c>
      <c r="V194">
        <f>'Kullanılan gübre'!V194*'Gübre oranlar'!Y$3</f>
        <v>0</v>
      </c>
      <c r="W194">
        <f>'Kullanılan gübre'!W194*'Gübre oranlar'!Z$3</f>
        <v>0</v>
      </c>
      <c r="X194">
        <f>'Kullanılan gübre'!X194*'Gübre oranlar'!AA$3</f>
        <v>10</v>
      </c>
      <c r="Y194">
        <f>'Kullanılan gübre'!Y194*'Gübre oranlar'!AB$3</f>
        <v>0</v>
      </c>
      <c r="Z194">
        <f>'Kullanılan gübre'!Z194*'Gübre oranlar'!AC$3</f>
        <v>0</v>
      </c>
      <c r="AA194">
        <f>'Kullanılan gübre'!AA194*'Gübre oranlar'!AD$3</f>
        <v>0</v>
      </c>
      <c r="AB194">
        <f>'Kullanılan gübre'!AB194*'Gübre oranlar'!AE$3</f>
        <v>0</v>
      </c>
      <c r="AC194">
        <f>'Kullanılan gübre'!AC194*'Gübre oranlar'!AF$3</f>
        <v>0</v>
      </c>
      <c r="AD194">
        <f>'Kullanılan gübre'!AD194*'Gübre oranlar'!AG$3</f>
        <v>0</v>
      </c>
      <c r="AE194">
        <f>'Kullanılan gübre'!AE194*'Gübre oranlar'!AH$3</f>
        <v>0</v>
      </c>
      <c r="AF194">
        <f>'Kullanılan gübre'!AF194*'Gübre oranlar'!AI$3</f>
        <v>0</v>
      </c>
      <c r="AG194">
        <f>'Kullanılan gübre'!AG194*'Gübre oranlar'!AJ$3</f>
        <v>0</v>
      </c>
      <c r="AH194">
        <f>'Kullanılan gübre'!AH194*'Gübre oranlar'!AK$3</f>
        <v>0</v>
      </c>
      <c r="AI194">
        <f>'Kullanılan gübre'!AI194*'Gübre oranlar'!AL$3</f>
        <v>0</v>
      </c>
      <c r="AJ194">
        <f>'Kullanılan gübre'!AJ194*'Gübre oranlar'!AM$3</f>
        <v>0</v>
      </c>
      <c r="AK194">
        <f>'Kullanılan gübre'!AK194*'Gübre oranlar'!AN$3</f>
        <v>0</v>
      </c>
      <c r="AL194">
        <f>'Kullanılan gübre'!AL194*'Gübre oranlar'!AO$3</f>
        <v>0</v>
      </c>
      <c r="AM194">
        <f>'Kullanılan gübre'!AM194*'Gübre oranlar'!AP$3</f>
        <v>0</v>
      </c>
      <c r="AN194">
        <f>'Kullanılan gübre'!AN194*'Gübre oranlar'!AQ$3</f>
        <v>0</v>
      </c>
      <c r="AO194">
        <f>'Kullanılan gübre'!AO194*'Gübre oranlar'!AR$3</f>
        <v>0</v>
      </c>
      <c r="AP194">
        <f>'Kullanılan gübre'!AP194*'Gübre oranlar'!AS$3</f>
        <v>0</v>
      </c>
      <c r="AQ194">
        <f>'Kullanılan gübre'!AQ194*'Gübre oranlar'!AT$3</f>
        <v>0</v>
      </c>
      <c r="AR194">
        <f>'Kullanılan gübre'!AR194*'Gübre oranlar'!AU$3</f>
        <v>0</v>
      </c>
      <c r="AS194">
        <f>'Kullanılan gübre'!AS194*'Gübre oranlar'!AV$3</f>
        <v>0</v>
      </c>
      <c r="AT194">
        <f>'Kullanılan gübre'!AT194*'Gübre oranlar'!AW$3</f>
        <v>0</v>
      </c>
      <c r="AU194">
        <f>'Kullanılan gübre'!AU194*'Gübre oranlar'!AX$3</f>
        <v>0</v>
      </c>
      <c r="AV194">
        <f>'Kullanılan gübre'!AV194*'Gübre oranlar'!AY$3</f>
        <v>0</v>
      </c>
      <c r="AW194">
        <f t="shared" si="2"/>
        <v>345.62</v>
      </c>
    </row>
    <row r="195" spans="1:49" x14ac:dyDescent="0.25">
      <c r="A195" t="str">
        <f>'Kullanılan gübre'!A195</f>
        <v>BA</v>
      </c>
      <c r="B195" t="str">
        <f>'Kullanılan gübre'!B195</f>
        <v>ANTALYA</v>
      </c>
      <c r="C195" t="str">
        <f>'Kullanılan gübre'!C195</f>
        <v>FINIKE</v>
      </c>
      <c r="D195">
        <f>'Kullanılan gübre'!D195</f>
        <v>2014</v>
      </c>
      <c r="E195">
        <f>'Kullanılan gübre'!E195*'Gübre oranlar'!H$3</f>
        <v>0</v>
      </c>
      <c r="F195">
        <f>'Kullanılan gübre'!F195*'Gübre oranlar'!I$3</f>
        <v>0</v>
      </c>
      <c r="G195">
        <f>'Kullanılan gübre'!G195*'Gübre oranlar'!J$3</f>
        <v>0</v>
      </c>
      <c r="H195">
        <f>'Kullanılan gübre'!H195*'Gübre oranlar'!K$3</f>
        <v>0</v>
      </c>
      <c r="I195">
        <f>'Kullanılan gübre'!I195*'Gübre oranlar'!L$3</f>
        <v>7.31</v>
      </c>
      <c r="J195">
        <f>'Kullanılan gübre'!J195*'Gübre oranlar'!M$3</f>
        <v>0</v>
      </c>
      <c r="K195">
        <f>'Kullanılan gübre'!K195*'Gübre oranlar'!N$3</f>
        <v>11.600000000000001</v>
      </c>
      <c r="L195">
        <f>'Kullanılan gübre'!L195*'Gübre oranlar'!O$3</f>
        <v>0</v>
      </c>
      <c r="M195">
        <f>'Kullanılan gübre'!M195*'Gübre oranlar'!P$3</f>
        <v>109.5</v>
      </c>
      <c r="N195">
        <f>'Kullanılan gübre'!N195*'Gübre oranlar'!Q$3</f>
        <v>68.849999999999994</v>
      </c>
      <c r="O195">
        <f>'Kullanılan gübre'!O195*'Gübre oranlar'!R$3</f>
        <v>0</v>
      </c>
      <c r="P195">
        <f>'Kullanılan gübre'!P195*'Gübre oranlar'!S$3</f>
        <v>0</v>
      </c>
      <c r="Q195">
        <f>'Kullanılan gübre'!Q195*'Gübre oranlar'!T$3</f>
        <v>43.8</v>
      </c>
      <c r="R195">
        <f>'Kullanılan gübre'!R195*'Gübre oranlar'!U$3</f>
        <v>0</v>
      </c>
      <c r="S195">
        <f>'Kullanılan gübre'!S195*'Gübre oranlar'!V$3</f>
        <v>0</v>
      </c>
      <c r="T195">
        <f>'Kullanılan gübre'!T195*'Gübre oranlar'!W$3</f>
        <v>0</v>
      </c>
      <c r="U195">
        <f>'Kullanılan gübre'!U195*'Gübre oranlar'!X$3</f>
        <v>2.15</v>
      </c>
      <c r="V195">
        <f>'Kullanılan gübre'!V195*'Gübre oranlar'!Y$3</f>
        <v>0</v>
      </c>
      <c r="W195">
        <f>'Kullanılan gübre'!W195*'Gübre oranlar'!Z$3</f>
        <v>0</v>
      </c>
      <c r="X195">
        <f>'Kullanılan gübre'!X195*'Gübre oranlar'!AA$3</f>
        <v>37.4</v>
      </c>
      <c r="Y195">
        <f>'Kullanılan gübre'!Y195*'Gübre oranlar'!AB$3</f>
        <v>0</v>
      </c>
      <c r="Z195">
        <f>'Kullanılan gübre'!Z195*'Gübre oranlar'!AC$3</f>
        <v>0</v>
      </c>
      <c r="AA195">
        <f>'Kullanılan gübre'!AA195*'Gübre oranlar'!AD$3</f>
        <v>0</v>
      </c>
      <c r="AB195">
        <f>'Kullanılan gübre'!AB195*'Gübre oranlar'!AE$3</f>
        <v>29.89</v>
      </c>
      <c r="AC195">
        <f>'Kullanılan gübre'!AC195*'Gübre oranlar'!AF$3</f>
        <v>0</v>
      </c>
      <c r="AD195">
        <f>'Kullanılan gübre'!AD195*'Gübre oranlar'!AG$3</f>
        <v>0</v>
      </c>
      <c r="AE195">
        <f>'Kullanılan gübre'!AE195*'Gübre oranlar'!AH$3</f>
        <v>16.25</v>
      </c>
      <c r="AF195">
        <f>'Kullanılan gübre'!AF195*'Gübre oranlar'!AI$3</f>
        <v>0</v>
      </c>
      <c r="AG195">
        <f>'Kullanılan gübre'!AG195*'Gübre oranlar'!AJ$3</f>
        <v>0</v>
      </c>
      <c r="AH195">
        <f>'Kullanılan gübre'!AH195*'Gübre oranlar'!AK$3</f>
        <v>35.840000000000003</v>
      </c>
      <c r="AI195">
        <f>'Kullanılan gübre'!AI195*'Gübre oranlar'!AL$3</f>
        <v>0</v>
      </c>
      <c r="AJ195">
        <f>'Kullanılan gübre'!AJ195*'Gübre oranlar'!AM$3</f>
        <v>0</v>
      </c>
      <c r="AK195">
        <f>'Kullanılan gübre'!AK195*'Gübre oranlar'!AN$3</f>
        <v>21.76</v>
      </c>
      <c r="AL195">
        <f>'Kullanılan gübre'!AL195*'Gübre oranlar'!AO$3</f>
        <v>0</v>
      </c>
      <c r="AM195">
        <f>'Kullanılan gübre'!AM195*'Gübre oranlar'!AP$3</f>
        <v>0</v>
      </c>
      <c r="AN195">
        <f>'Kullanılan gübre'!AN195*'Gübre oranlar'!AQ$3</f>
        <v>0</v>
      </c>
      <c r="AO195">
        <f>'Kullanılan gübre'!AO195*'Gübre oranlar'!AR$3</f>
        <v>0</v>
      </c>
      <c r="AP195">
        <f>'Kullanılan gübre'!AP195*'Gübre oranlar'!AS$3</f>
        <v>0</v>
      </c>
      <c r="AQ195">
        <f>'Kullanılan gübre'!AQ195*'Gübre oranlar'!AT$3</f>
        <v>0</v>
      </c>
      <c r="AR195">
        <f>'Kullanılan gübre'!AR195*'Gübre oranlar'!AU$3</f>
        <v>0</v>
      </c>
      <c r="AS195">
        <f>'Kullanılan gübre'!AS195*'Gübre oranlar'!AV$3</f>
        <v>45.6</v>
      </c>
      <c r="AT195">
        <f>'Kullanılan gübre'!AT195*'Gübre oranlar'!AW$3</f>
        <v>11.040000000000001</v>
      </c>
      <c r="AU195">
        <f>'Kullanılan gübre'!AU195*'Gübre oranlar'!AX$3</f>
        <v>0</v>
      </c>
      <c r="AV195">
        <f>'Kullanılan gübre'!AV195*'Gübre oranlar'!AY$3</f>
        <v>0</v>
      </c>
      <c r="AW195">
        <f t="shared" ref="AW195:AW258" si="3">SUM(E195:AV195)</f>
        <v>440.99000000000007</v>
      </c>
    </row>
    <row r="196" spans="1:49" x14ac:dyDescent="0.25">
      <c r="A196" t="str">
        <f>'Kullanılan gübre'!A196</f>
        <v>BA</v>
      </c>
      <c r="B196" t="str">
        <f>'Kullanılan gübre'!B196</f>
        <v>ANTALYA</v>
      </c>
      <c r="C196" t="str">
        <f>'Kullanılan gübre'!C196</f>
        <v>DEMRE</v>
      </c>
      <c r="D196">
        <f>'Kullanılan gübre'!D196</f>
        <v>2014</v>
      </c>
      <c r="E196">
        <f>'Kullanılan gübre'!E196*'Gübre oranlar'!H$3</f>
        <v>0</v>
      </c>
      <c r="F196">
        <f>'Kullanılan gübre'!F196*'Gübre oranlar'!I$3</f>
        <v>0</v>
      </c>
      <c r="G196">
        <f>'Kullanılan gübre'!G196*'Gübre oranlar'!J$3</f>
        <v>0</v>
      </c>
      <c r="H196">
        <f>'Kullanılan gübre'!H196*'Gübre oranlar'!K$3</f>
        <v>0</v>
      </c>
      <c r="I196">
        <f>'Kullanılan gübre'!I196*'Gübre oranlar'!L$3</f>
        <v>2.15</v>
      </c>
      <c r="J196">
        <f>'Kullanılan gübre'!J196*'Gübre oranlar'!M$3</f>
        <v>0</v>
      </c>
      <c r="K196">
        <f>'Kullanılan gübre'!K196*'Gübre oranlar'!N$3</f>
        <v>4.8000000000000007</v>
      </c>
      <c r="L196">
        <f>'Kullanılan gübre'!L196*'Gübre oranlar'!O$3</f>
        <v>0</v>
      </c>
      <c r="M196">
        <f>'Kullanılan gübre'!M196*'Gübre oranlar'!P$3</f>
        <v>0</v>
      </c>
      <c r="N196">
        <f>'Kullanılan gübre'!N196*'Gübre oranlar'!Q$3</f>
        <v>13.65</v>
      </c>
      <c r="O196">
        <f>'Kullanılan gübre'!O196*'Gübre oranlar'!R$3</f>
        <v>0</v>
      </c>
      <c r="P196">
        <f>'Kullanılan gübre'!P196*'Gübre oranlar'!S$3</f>
        <v>0</v>
      </c>
      <c r="Q196">
        <f>'Kullanılan gübre'!Q196*'Gübre oranlar'!T$3</f>
        <v>0</v>
      </c>
      <c r="R196">
        <f>'Kullanılan gübre'!R196*'Gübre oranlar'!U$3</f>
        <v>0</v>
      </c>
      <c r="S196">
        <f>'Kullanılan gübre'!S196*'Gübre oranlar'!V$3</f>
        <v>0</v>
      </c>
      <c r="T196">
        <f>'Kullanılan gübre'!T196*'Gübre oranlar'!W$3</f>
        <v>0</v>
      </c>
      <c r="U196">
        <f>'Kullanılan gübre'!U196*'Gübre oranlar'!X$3</f>
        <v>1.2000000000000002</v>
      </c>
      <c r="V196">
        <f>'Kullanılan gübre'!V196*'Gübre oranlar'!Y$3</f>
        <v>0</v>
      </c>
      <c r="W196">
        <f>'Kullanılan gübre'!W196*'Gübre oranlar'!Z$3</f>
        <v>0</v>
      </c>
      <c r="X196">
        <f>'Kullanılan gübre'!X196*'Gübre oranlar'!AA$3</f>
        <v>0</v>
      </c>
      <c r="Y196">
        <f>'Kullanılan gübre'!Y196*'Gübre oranlar'!AB$3</f>
        <v>0</v>
      </c>
      <c r="Z196">
        <f>'Kullanılan gübre'!Z196*'Gübre oranlar'!AC$3</f>
        <v>0</v>
      </c>
      <c r="AA196">
        <f>'Kullanılan gübre'!AA196*'Gübre oranlar'!AD$3</f>
        <v>0</v>
      </c>
      <c r="AB196">
        <f>'Kullanılan gübre'!AB196*'Gübre oranlar'!AE$3</f>
        <v>17.079999999999998</v>
      </c>
      <c r="AC196">
        <f>'Kullanılan gübre'!AC196*'Gübre oranlar'!AF$3</f>
        <v>0</v>
      </c>
      <c r="AD196">
        <f>'Kullanılan gübre'!AD196*'Gübre oranlar'!AG$3</f>
        <v>0</v>
      </c>
      <c r="AE196">
        <f>'Kullanılan gübre'!AE196*'Gübre oranlar'!AH$3</f>
        <v>0</v>
      </c>
      <c r="AF196">
        <f>'Kullanılan gübre'!AF196*'Gübre oranlar'!AI$3</f>
        <v>0</v>
      </c>
      <c r="AG196">
        <f>'Kullanılan gübre'!AG196*'Gübre oranlar'!AJ$3</f>
        <v>0</v>
      </c>
      <c r="AH196">
        <f>'Kullanılan gübre'!AH196*'Gübre oranlar'!AK$3</f>
        <v>0</v>
      </c>
      <c r="AI196">
        <f>'Kullanılan gübre'!AI196*'Gübre oranlar'!AL$3</f>
        <v>0</v>
      </c>
      <c r="AJ196">
        <f>'Kullanılan gübre'!AJ196*'Gübre oranlar'!AM$3</f>
        <v>0</v>
      </c>
      <c r="AK196">
        <f>'Kullanılan gübre'!AK196*'Gübre oranlar'!AN$3</f>
        <v>0</v>
      </c>
      <c r="AL196">
        <f>'Kullanılan gübre'!AL196*'Gübre oranlar'!AO$3</f>
        <v>0</v>
      </c>
      <c r="AM196">
        <f>'Kullanılan gübre'!AM196*'Gübre oranlar'!AP$3</f>
        <v>0</v>
      </c>
      <c r="AN196">
        <f>'Kullanılan gübre'!AN196*'Gübre oranlar'!AQ$3</f>
        <v>0</v>
      </c>
      <c r="AO196">
        <f>'Kullanılan gübre'!AO196*'Gübre oranlar'!AR$3</f>
        <v>0</v>
      </c>
      <c r="AP196">
        <f>'Kullanılan gübre'!AP196*'Gübre oranlar'!AS$3</f>
        <v>0</v>
      </c>
      <c r="AQ196">
        <f>'Kullanılan gübre'!AQ196*'Gübre oranlar'!AT$3</f>
        <v>0</v>
      </c>
      <c r="AR196">
        <f>'Kullanılan gübre'!AR196*'Gübre oranlar'!AU$3</f>
        <v>0</v>
      </c>
      <c r="AS196">
        <f>'Kullanılan gübre'!AS196*'Gübre oranlar'!AV$3</f>
        <v>0</v>
      </c>
      <c r="AT196">
        <f>'Kullanılan gübre'!AT196*'Gübre oranlar'!AW$3</f>
        <v>0</v>
      </c>
      <c r="AU196">
        <f>'Kullanılan gübre'!AU196*'Gübre oranlar'!AX$3</f>
        <v>0</v>
      </c>
      <c r="AV196">
        <f>'Kullanılan gübre'!AV196*'Gübre oranlar'!AY$3</f>
        <v>0</v>
      </c>
      <c r="AW196">
        <f t="shared" si="3"/>
        <v>38.879999999999995</v>
      </c>
    </row>
    <row r="197" spans="1:49" x14ac:dyDescent="0.25">
      <c r="A197" t="str">
        <f>'Kullanılan gübre'!A197</f>
        <v>BA</v>
      </c>
      <c r="B197" t="str">
        <f>'Kullanılan gübre'!B197</f>
        <v>ANTALYA</v>
      </c>
      <c r="C197" t="str">
        <f>'Kullanılan gübre'!C197</f>
        <v>KAS</v>
      </c>
      <c r="D197">
        <f>'Kullanılan gübre'!D197</f>
        <v>2014</v>
      </c>
      <c r="E197">
        <f>'Kullanılan gübre'!E197*'Gübre oranlar'!H$3</f>
        <v>0</v>
      </c>
      <c r="F197">
        <f>'Kullanılan gübre'!F197*'Gübre oranlar'!I$3</f>
        <v>0</v>
      </c>
      <c r="G197">
        <f>'Kullanılan gübre'!G197*'Gübre oranlar'!J$3</f>
        <v>0</v>
      </c>
      <c r="H197">
        <f>'Kullanılan gübre'!H197*'Gübre oranlar'!K$3</f>
        <v>0</v>
      </c>
      <c r="I197">
        <f>'Kullanılan gübre'!I197*'Gübre oranlar'!L$3</f>
        <v>10.75</v>
      </c>
      <c r="J197">
        <f>'Kullanılan gübre'!J197*'Gübre oranlar'!M$3</f>
        <v>0</v>
      </c>
      <c r="K197">
        <f>'Kullanılan gübre'!K197*'Gübre oranlar'!N$3</f>
        <v>7.6000000000000005</v>
      </c>
      <c r="L197">
        <f>'Kullanılan gübre'!L197*'Gübre oranlar'!O$3</f>
        <v>12.8</v>
      </c>
      <c r="M197">
        <f>'Kullanılan gübre'!M197*'Gübre oranlar'!P$3</f>
        <v>13.5</v>
      </c>
      <c r="N197">
        <f>'Kullanılan gübre'!N197*'Gübre oranlar'!Q$3</f>
        <v>12.15</v>
      </c>
      <c r="O197">
        <f>'Kullanılan gübre'!O197*'Gübre oranlar'!R$3</f>
        <v>0</v>
      </c>
      <c r="P197">
        <f>'Kullanılan gübre'!P197*'Gübre oranlar'!S$3</f>
        <v>0</v>
      </c>
      <c r="Q197">
        <f>'Kullanılan gübre'!Q197*'Gübre oranlar'!T$3</f>
        <v>0</v>
      </c>
      <c r="R197">
        <f>'Kullanılan gübre'!R197*'Gübre oranlar'!U$3</f>
        <v>0</v>
      </c>
      <c r="S197">
        <f>'Kullanılan gübre'!S197*'Gübre oranlar'!V$3</f>
        <v>0</v>
      </c>
      <c r="T197">
        <f>'Kullanılan gübre'!T197*'Gübre oranlar'!W$3</f>
        <v>0</v>
      </c>
      <c r="U197">
        <f>'Kullanılan gübre'!U197*'Gübre oranlar'!X$3</f>
        <v>0</v>
      </c>
      <c r="V197">
        <f>'Kullanılan gübre'!V197*'Gübre oranlar'!Y$3</f>
        <v>0</v>
      </c>
      <c r="W197">
        <f>'Kullanılan gübre'!W197*'Gübre oranlar'!Z$3</f>
        <v>0</v>
      </c>
      <c r="X197">
        <f>'Kullanılan gübre'!X197*'Gübre oranlar'!AA$3</f>
        <v>0</v>
      </c>
      <c r="Y197">
        <f>'Kullanılan gübre'!Y197*'Gübre oranlar'!AB$3</f>
        <v>0</v>
      </c>
      <c r="Z197">
        <f>'Kullanılan gübre'!Z197*'Gübre oranlar'!AC$3</f>
        <v>0</v>
      </c>
      <c r="AA197">
        <f>'Kullanılan gübre'!AA197*'Gübre oranlar'!AD$3</f>
        <v>0</v>
      </c>
      <c r="AB197">
        <f>'Kullanılan gübre'!AB197*'Gübre oranlar'!AE$3</f>
        <v>0</v>
      </c>
      <c r="AC197">
        <f>'Kullanılan gübre'!AC197*'Gübre oranlar'!AF$3</f>
        <v>0</v>
      </c>
      <c r="AD197">
        <f>'Kullanılan gübre'!AD197*'Gübre oranlar'!AG$3</f>
        <v>0</v>
      </c>
      <c r="AE197">
        <f>'Kullanılan gübre'!AE197*'Gübre oranlar'!AH$3</f>
        <v>0</v>
      </c>
      <c r="AF197">
        <f>'Kullanılan gübre'!AF197*'Gübre oranlar'!AI$3</f>
        <v>0</v>
      </c>
      <c r="AG197">
        <f>'Kullanılan gübre'!AG197*'Gübre oranlar'!AJ$3</f>
        <v>0</v>
      </c>
      <c r="AH197">
        <f>'Kullanılan gübre'!AH197*'Gübre oranlar'!AK$3</f>
        <v>0</v>
      </c>
      <c r="AI197">
        <f>'Kullanılan gübre'!AI197*'Gübre oranlar'!AL$3</f>
        <v>0</v>
      </c>
      <c r="AJ197">
        <f>'Kullanılan gübre'!AJ197*'Gübre oranlar'!AM$3</f>
        <v>0</v>
      </c>
      <c r="AK197">
        <f>'Kullanılan gübre'!AK197*'Gübre oranlar'!AN$3</f>
        <v>0</v>
      </c>
      <c r="AL197">
        <f>'Kullanılan gübre'!AL197*'Gübre oranlar'!AO$3</f>
        <v>0</v>
      </c>
      <c r="AM197">
        <f>'Kullanılan gübre'!AM197*'Gübre oranlar'!AP$3</f>
        <v>0</v>
      </c>
      <c r="AN197">
        <f>'Kullanılan gübre'!AN197*'Gübre oranlar'!AQ$3</f>
        <v>0</v>
      </c>
      <c r="AO197">
        <f>'Kullanılan gübre'!AO197*'Gübre oranlar'!AR$3</f>
        <v>0</v>
      </c>
      <c r="AP197">
        <f>'Kullanılan gübre'!AP197*'Gübre oranlar'!AS$3</f>
        <v>0</v>
      </c>
      <c r="AQ197">
        <f>'Kullanılan gübre'!AQ197*'Gübre oranlar'!AT$3</f>
        <v>0</v>
      </c>
      <c r="AR197">
        <f>'Kullanılan gübre'!AR197*'Gübre oranlar'!AU$3</f>
        <v>0</v>
      </c>
      <c r="AS197">
        <f>'Kullanılan gübre'!AS197*'Gübre oranlar'!AV$3</f>
        <v>0</v>
      </c>
      <c r="AT197">
        <f>'Kullanılan gübre'!AT197*'Gübre oranlar'!AW$3</f>
        <v>0</v>
      </c>
      <c r="AU197">
        <f>'Kullanılan gübre'!AU197*'Gübre oranlar'!AX$3</f>
        <v>0</v>
      </c>
      <c r="AV197">
        <f>'Kullanılan gübre'!AV197*'Gübre oranlar'!AY$3</f>
        <v>0</v>
      </c>
      <c r="AW197">
        <f t="shared" si="3"/>
        <v>56.800000000000004</v>
      </c>
    </row>
    <row r="198" spans="1:49" x14ac:dyDescent="0.25">
      <c r="A198" t="str">
        <f>'Kullanılan gübre'!A198</f>
        <v>BA</v>
      </c>
      <c r="B198" t="str">
        <f>'Kullanılan gübre'!B198</f>
        <v>ANTALYA</v>
      </c>
      <c r="C198" t="str">
        <f>'Kullanılan gübre'!C198</f>
        <v>KORKUTELI</v>
      </c>
      <c r="D198">
        <f>'Kullanılan gübre'!D198</f>
        <v>2014</v>
      </c>
      <c r="E198">
        <f>'Kullanılan gübre'!E198*'Gübre oranlar'!H$3</f>
        <v>0</v>
      </c>
      <c r="F198">
        <f>'Kullanılan gübre'!F198*'Gübre oranlar'!I$3</f>
        <v>0</v>
      </c>
      <c r="G198">
        <f>'Kullanılan gübre'!G198*'Gübre oranlar'!J$3</f>
        <v>0</v>
      </c>
      <c r="H198">
        <f>'Kullanılan gübre'!H198*'Gübre oranlar'!K$3</f>
        <v>0</v>
      </c>
      <c r="I198">
        <f>'Kullanılan gübre'!I198*'Gübre oranlar'!L$3</f>
        <v>37.839999999999996</v>
      </c>
      <c r="J198">
        <f>'Kullanılan gübre'!J198*'Gübre oranlar'!M$3</f>
        <v>0</v>
      </c>
      <c r="K198">
        <f>'Kullanılan gübre'!K198*'Gübre oranlar'!N$3</f>
        <v>1443.8000000000002</v>
      </c>
      <c r="L198">
        <f>'Kullanılan gübre'!L198*'Gübre oranlar'!O$3</f>
        <v>84.4</v>
      </c>
      <c r="M198">
        <f>'Kullanılan gübre'!M198*'Gübre oranlar'!P$3</f>
        <v>152.69999999999999</v>
      </c>
      <c r="N198">
        <f>'Kullanılan gübre'!N198*'Gübre oranlar'!Q$3</f>
        <v>91.35</v>
      </c>
      <c r="O198">
        <f>'Kullanılan gübre'!O198*'Gübre oranlar'!R$3</f>
        <v>0</v>
      </c>
      <c r="P198">
        <f>'Kullanılan gübre'!P198*'Gübre oranlar'!S$3</f>
        <v>0</v>
      </c>
      <c r="Q198">
        <f>'Kullanılan gübre'!Q198*'Gübre oranlar'!T$3</f>
        <v>15.6</v>
      </c>
      <c r="R198">
        <f>'Kullanılan gübre'!R198*'Gübre oranlar'!U$3</f>
        <v>0</v>
      </c>
      <c r="S198">
        <f>'Kullanılan gübre'!S198*'Gübre oranlar'!V$3</f>
        <v>0</v>
      </c>
      <c r="T198">
        <f>'Kullanılan gübre'!T198*'Gübre oranlar'!W$3</f>
        <v>0</v>
      </c>
      <c r="U198">
        <f>'Kullanılan gübre'!U198*'Gübre oranlar'!X$3</f>
        <v>6.9</v>
      </c>
      <c r="V198">
        <f>'Kullanılan gübre'!V198*'Gübre oranlar'!Y$3</f>
        <v>0</v>
      </c>
      <c r="W198">
        <f>'Kullanılan gübre'!W198*'Gübre oranlar'!Z$3</f>
        <v>0</v>
      </c>
      <c r="X198">
        <f>'Kullanılan gübre'!X198*'Gübre oranlar'!AA$3</f>
        <v>3.8000000000000003</v>
      </c>
      <c r="Y198">
        <f>'Kullanılan gübre'!Y198*'Gübre oranlar'!AB$3</f>
        <v>0</v>
      </c>
      <c r="Z198">
        <f>'Kullanılan gübre'!Z198*'Gübre oranlar'!AC$3</f>
        <v>0</v>
      </c>
      <c r="AA198">
        <f>'Kullanılan gübre'!AA198*'Gübre oranlar'!AD$3</f>
        <v>0</v>
      </c>
      <c r="AB198">
        <f>'Kullanılan gübre'!AB198*'Gübre oranlar'!AE$3</f>
        <v>17.079999999999998</v>
      </c>
      <c r="AC198">
        <f>'Kullanılan gübre'!AC198*'Gübre oranlar'!AF$3</f>
        <v>0</v>
      </c>
      <c r="AD198">
        <f>'Kullanılan gübre'!AD198*'Gübre oranlar'!AG$3</f>
        <v>0</v>
      </c>
      <c r="AE198">
        <f>'Kullanılan gübre'!AE198*'Gübre oranlar'!AH$3</f>
        <v>0.5</v>
      </c>
      <c r="AF198">
        <f>'Kullanılan gübre'!AF198*'Gübre oranlar'!AI$3</f>
        <v>0</v>
      </c>
      <c r="AG198">
        <f>'Kullanılan gübre'!AG198*'Gübre oranlar'!AJ$3</f>
        <v>0</v>
      </c>
      <c r="AH198">
        <f>'Kullanılan gübre'!AH198*'Gübre oranlar'!AK$3</f>
        <v>31.36</v>
      </c>
      <c r="AI198">
        <f>'Kullanılan gübre'!AI198*'Gübre oranlar'!AL$3</f>
        <v>0</v>
      </c>
      <c r="AJ198">
        <f>'Kullanılan gübre'!AJ198*'Gübre oranlar'!AM$3</f>
        <v>0</v>
      </c>
      <c r="AK198">
        <f>'Kullanılan gübre'!AK198*'Gübre oranlar'!AN$3</f>
        <v>88.320000000000007</v>
      </c>
      <c r="AL198">
        <f>'Kullanılan gübre'!AL198*'Gübre oranlar'!AO$3</f>
        <v>0</v>
      </c>
      <c r="AM198">
        <f>'Kullanılan gübre'!AM198*'Gübre oranlar'!AP$3</f>
        <v>0</v>
      </c>
      <c r="AN198">
        <f>'Kullanılan gübre'!AN198*'Gübre oranlar'!AQ$3</f>
        <v>0</v>
      </c>
      <c r="AO198">
        <f>'Kullanılan gübre'!AO198*'Gübre oranlar'!AR$3</f>
        <v>0</v>
      </c>
      <c r="AP198">
        <f>'Kullanılan gübre'!AP198*'Gübre oranlar'!AS$3</f>
        <v>0</v>
      </c>
      <c r="AQ198">
        <f>'Kullanılan gübre'!AQ198*'Gübre oranlar'!AT$3</f>
        <v>0</v>
      </c>
      <c r="AR198">
        <f>'Kullanılan gübre'!AR198*'Gübre oranlar'!AU$3</f>
        <v>0</v>
      </c>
      <c r="AS198">
        <f>'Kullanılan gübre'!AS198*'Gübre oranlar'!AV$3</f>
        <v>49.68</v>
      </c>
      <c r="AT198">
        <f>'Kullanılan gübre'!AT198*'Gübre oranlar'!AW$3</f>
        <v>22.88</v>
      </c>
      <c r="AU198">
        <f>'Kullanılan gübre'!AU198*'Gübre oranlar'!AX$3</f>
        <v>0</v>
      </c>
      <c r="AV198">
        <f>'Kullanılan gübre'!AV198*'Gübre oranlar'!AY$3</f>
        <v>0</v>
      </c>
      <c r="AW198">
        <f t="shared" si="3"/>
        <v>2046.21</v>
      </c>
    </row>
    <row r="199" spans="1:49" x14ac:dyDescent="0.25">
      <c r="A199" t="str">
        <f>'Kullanılan gübre'!A199</f>
        <v>BA</v>
      </c>
      <c r="B199" t="str">
        <f>'Kullanılan gübre'!B199</f>
        <v>ANTALYA</v>
      </c>
      <c r="C199" t="str">
        <f>'Kullanılan gübre'!C199</f>
        <v>ELMALI</v>
      </c>
      <c r="D199">
        <f>'Kullanılan gübre'!D199</f>
        <v>2014</v>
      </c>
      <c r="E199">
        <f>'Kullanılan gübre'!E199*'Gübre oranlar'!H$3</f>
        <v>0</v>
      </c>
      <c r="F199">
        <f>'Kullanılan gübre'!F199*'Gübre oranlar'!I$3</f>
        <v>0</v>
      </c>
      <c r="G199">
        <f>'Kullanılan gübre'!G199*'Gübre oranlar'!J$3</f>
        <v>0</v>
      </c>
      <c r="H199">
        <f>'Kullanılan gübre'!H199*'Gübre oranlar'!K$3</f>
        <v>0</v>
      </c>
      <c r="I199">
        <f>'Kullanılan gübre'!I199*'Gübre oranlar'!L$3</f>
        <v>50.74</v>
      </c>
      <c r="J199">
        <f>'Kullanılan gübre'!J199*'Gübre oranlar'!M$3</f>
        <v>0</v>
      </c>
      <c r="K199">
        <f>'Kullanılan gübre'!K199*'Gübre oranlar'!N$3</f>
        <v>227.20000000000002</v>
      </c>
      <c r="L199">
        <f>'Kullanılan gübre'!L199*'Gübre oranlar'!O$3</f>
        <v>31.6</v>
      </c>
      <c r="M199">
        <f>'Kullanılan gübre'!M199*'Gübre oranlar'!P$3</f>
        <v>65.25</v>
      </c>
      <c r="N199">
        <f>'Kullanılan gübre'!N199*'Gübre oranlar'!Q$3</f>
        <v>71.25</v>
      </c>
      <c r="O199">
        <f>'Kullanılan gübre'!O199*'Gübre oranlar'!R$3</f>
        <v>0</v>
      </c>
      <c r="P199">
        <f>'Kullanılan gübre'!P199*'Gübre oranlar'!S$3</f>
        <v>0</v>
      </c>
      <c r="Q199">
        <f>'Kullanılan gübre'!Q199*'Gübre oranlar'!T$3</f>
        <v>12.9</v>
      </c>
      <c r="R199">
        <f>'Kullanılan gübre'!R199*'Gübre oranlar'!U$3</f>
        <v>0</v>
      </c>
      <c r="S199">
        <f>'Kullanılan gübre'!S199*'Gübre oranlar'!V$3</f>
        <v>0</v>
      </c>
      <c r="T199">
        <f>'Kullanılan gübre'!T199*'Gübre oranlar'!W$3</f>
        <v>0</v>
      </c>
      <c r="U199">
        <f>'Kullanılan gübre'!U199*'Gübre oranlar'!X$3</f>
        <v>0</v>
      </c>
      <c r="V199">
        <f>'Kullanılan gübre'!V199*'Gübre oranlar'!Y$3</f>
        <v>0</v>
      </c>
      <c r="W199">
        <f>'Kullanılan gübre'!W199*'Gübre oranlar'!Z$3</f>
        <v>0</v>
      </c>
      <c r="X199">
        <f>'Kullanılan gübre'!X199*'Gübre oranlar'!AA$3</f>
        <v>0</v>
      </c>
      <c r="Y199">
        <f>'Kullanılan gübre'!Y199*'Gübre oranlar'!AB$3</f>
        <v>0</v>
      </c>
      <c r="Z199">
        <f>'Kullanılan gübre'!Z199*'Gübre oranlar'!AC$3</f>
        <v>0</v>
      </c>
      <c r="AA199">
        <f>'Kullanılan gübre'!AA199*'Gübre oranlar'!AD$3</f>
        <v>0</v>
      </c>
      <c r="AB199">
        <f>'Kullanılan gübre'!AB199*'Gübre oranlar'!AE$3</f>
        <v>0</v>
      </c>
      <c r="AC199">
        <f>'Kullanılan gübre'!AC199*'Gübre oranlar'!AF$3</f>
        <v>0</v>
      </c>
      <c r="AD199">
        <f>'Kullanılan gübre'!AD199*'Gübre oranlar'!AG$3</f>
        <v>0</v>
      </c>
      <c r="AE199">
        <f>'Kullanılan gübre'!AE199*'Gübre oranlar'!AH$3</f>
        <v>0</v>
      </c>
      <c r="AF199">
        <f>'Kullanılan gübre'!AF199*'Gübre oranlar'!AI$3</f>
        <v>0</v>
      </c>
      <c r="AG199">
        <f>'Kullanılan gübre'!AG199*'Gübre oranlar'!AJ$3</f>
        <v>0</v>
      </c>
      <c r="AH199">
        <f>'Kullanılan gübre'!AH199*'Gübre oranlar'!AK$3</f>
        <v>0</v>
      </c>
      <c r="AI199">
        <f>'Kullanılan gübre'!AI199*'Gübre oranlar'!AL$3</f>
        <v>0</v>
      </c>
      <c r="AJ199">
        <f>'Kullanılan gübre'!AJ199*'Gübre oranlar'!AM$3</f>
        <v>0</v>
      </c>
      <c r="AK199">
        <f>'Kullanılan gübre'!AK199*'Gübre oranlar'!AN$3</f>
        <v>0</v>
      </c>
      <c r="AL199">
        <f>'Kullanılan gübre'!AL199*'Gübre oranlar'!AO$3</f>
        <v>0</v>
      </c>
      <c r="AM199">
        <f>'Kullanılan gübre'!AM199*'Gübre oranlar'!AP$3</f>
        <v>0</v>
      </c>
      <c r="AN199">
        <f>'Kullanılan gübre'!AN199*'Gübre oranlar'!AQ$3</f>
        <v>0</v>
      </c>
      <c r="AO199">
        <f>'Kullanılan gübre'!AO199*'Gübre oranlar'!AR$3</f>
        <v>0</v>
      </c>
      <c r="AP199">
        <f>'Kullanılan gübre'!AP199*'Gübre oranlar'!AS$3</f>
        <v>0</v>
      </c>
      <c r="AQ199">
        <f>'Kullanılan gübre'!AQ199*'Gübre oranlar'!AT$3</f>
        <v>0</v>
      </c>
      <c r="AR199">
        <f>'Kullanılan gübre'!AR199*'Gübre oranlar'!AU$3</f>
        <v>0</v>
      </c>
      <c r="AS199">
        <f>'Kullanılan gübre'!AS199*'Gübre oranlar'!AV$3</f>
        <v>0</v>
      </c>
      <c r="AT199">
        <f>'Kullanılan gübre'!AT199*'Gübre oranlar'!AW$3</f>
        <v>0</v>
      </c>
      <c r="AU199">
        <f>'Kullanılan gübre'!AU199*'Gübre oranlar'!AX$3</f>
        <v>0</v>
      </c>
      <c r="AV199">
        <f>'Kullanılan gübre'!AV199*'Gübre oranlar'!AY$3</f>
        <v>0</v>
      </c>
      <c r="AW199">
        <f t="shared" si="3"/>
        <v>458.94</v>
      </c>
    </row>
    <row r="200" spans="1:49" x14ac:dyDescent="0.25">
      <c r="A200" t="str">
        <f>'Kullanılan gübre'!A200</f>
        <v>BA</v>
      </c>
      <c r="B200" t="str">
        <f>'Kullanılan gübre'!B200</f>
        <v>ANTALYA</v>
      </c>
      <c r="C200" t="str">
        <f>'Kullanılan gübre'!C200</f>
        <v>KEMER</v>
      </c>
      <c r="D200">
        <f>'Kullanılan gübre'!D200</f>
        <v>2015</v>
      </c>
      <c r="E200">
        <f>'Kullanılan gübre'!E200*'Gübre oranlar'!H$3</f>
        <v>0</v>
      </c>
      <c r="F200">
        <f>'Kullanılan gübre'!F200*'Gübre oranlar'!I$3</f>
        <v>0</v>
      </c>
      <c r="G200">
        <f>'Kullanılan gübre'!G200*'Gübre oranlar'!J$3</f>
        <v>0</v>
      </c>
      <c r="H200">
        <f>'Kullanılan gübre'!H200*'Gübre oranlar'!K$3</f>
        <v>0</v>
      </c>
      <c r="I200">
        <f>'Kullanılan gübre'!I200*'Gübre oranlar'!L$3</f>
        <v>0.86</v>
      </c>
      <c r="J200">
        <f>'Kullanılan gübre'!J200*'Gübre oranlar'!M$3</f>
        <v>0</v>
      </c>
      <c r="K200">
        <f>'Kullanılan gübre'!K200*'Gübre oranlar'!N$3</f>
        <v>1.6</v>
      </c>
      <c r="L200">
        <f>'Kullanılan gübre'!L200*'Gübre oranlar'!O$3</f>
        <v>0</v>
      </c>
      <c r="M200">
        <f>'Kullanılan gübre'!M200*'Gübre oranlar'!P$3</f>
        <v>0.15</v>
      </c>
      <c r="N200">
        <f>'Kullanılan gübre'!N200*'Gübre oranlar'!Q$3</f>
        <v>12.299999999999999</v>
      </c>
      <c r="O200">
        <f>'Kullanılan gübre'!O200*'Gübre oranlar'!R$3</f>
        <v>0</v>
      </c>
      <c r="P200">
        <f>'Kullanılan gübre'!P200*'Gübre oranlar'!S$3</f>
        <v>0</v>
      </c>
      <c r="Q200">
        <f>'Kullanılan gübre'!Q200*'Gübre oranlar'!T$3</f>
        <v>0</v>
      </c>
      <c r="R200">
        <f>'Kullanılan gübre'!R200*'Gübre oranlar'!U$3</f>
        <v>0</v>
      </c>
      <c r="S200">
        <f>'Kullanılan gübre'!S200*'Gübre oranlar'!V$3</f>
        <v>0</v>
      </c>
      <c r="T200">
        <f>'Kullanılan gübre'!T200*'Gübre oranlar'!W$3</f>
        <v>0</v>
      </c>
      <c r="U200">
        <f>'Kullanılan gübre'!U200*'Gübre oranlar'!X$3</f>
        <v>0</v>
      </c>
      <c r="V200">
        <f>'Kullanılan gübre'!V200*'Gübre oranlar'!Y$3</f>
        <v>0</v>
      </c>
      <c r="W200">
        <f>'Kullanılan gübre'!W200*'Gübre oranlar'!Z$3</f>
        <v>0</v>
      </c>
      <c r="X200">
        <f>'Kullanılan gübre'!X200*'Gübre oranlar'!AA$3</f>
        <v>0</v>
      </c>
      <c r="Y200">
        <f>'Kullanılan gübre'!Y200*'Gübre oranlar'!AB$3</f>
        <v>0</v>
      </c>
      <c r="Z200">
        <f>'Kullanılan gübre'!Z200*'Gübre oranlar'!AC$3</f>
        <v>0</v>
      </c>
      <c r="AA200">
        <f>'Kullanılan gübre'!AA200*'Gübre oranlar'!AD$3</f>
        <v>0</v>
      </c>
      <c r="AB200">
        <f>'Kullanılan gübre'!AB200*'Gübre oranlar'!AE$3</f>
        <v>0</v>
      </c>
      <c r="AC200">
        <f>'Kullanılan gübre'!AC200*'Gübre oranlar'!AF$3</f>
        <v>0</v>
      </c>
      <c r="AD200">
        <f>'Kullanılan gübre'!AD200*'Gübre oranlar'!AG$3</f>
        <v>0</v>
      </c>
      <c r="AE200">
        <f>'Kullanılan gübre'!AE200*'Gübre oranlar'!AH$3</f>
        <v>0</v>
      </c>
      <c r="AF200">
        <f>'Kullanılan gübre'!AF200*'Gübre oranlar'!AI$3</f>
        <v>0</v>
      </c>
      <c r="AG200">
        <f>'Kullanılan gübre'!AG200*'Gübre oranlar'!AJ$3</f>
        <v>0</v>
      </c>
      <c r="AH200">
        <f>'Kullanılan gübre'!AH200*'Gübre oranlar'!AK$3</f>
        <v>0</v>
      </c>
      <c r="AI200">
        <f>'Kullanılan gübre'!AI200*'Gübre oranlar'!AL$3</f>
        <v>0</v>
      </c>
      <c r="AJ200">
        <f>'Kullanılan gübre'!AJ200*'Gübre oranlar'!AM$3</f>
        <v>0</v>
      </c>
      <c r="AK200">
        <f>'Kullanılan gübre'!AK200*'Gübre oranlar'!AN$3</f>
        <v>0</v>
      </c>
      <c r="AL200">
        <f>'Kullanılan gübre'!AL200*'Gübre oranlar'!AO$3</f>
        <v>0</v>
      </c>
      <c r="AM200">
        <f>'Kullanılan gübre'!AM200*'Gübre oranlar'!AP$3</f>
        <v>0</v>
      </c>
      <c r="AN200">
        <f>'Kullanılan gübre'!AN200*'Gübre oranlar'!AQ$3</f>
        <v>0</v>
      </c>
      <c r="AO200">
        <f>'Kullanılan gübre'!AO200*'Gübre oranlar'!AR$3</f>
        <v>0</v>
      </c>
      <c r="AP200">
        <f>'Kullanılan gübre'!AP200*'Gübre oranlar'!AS$3</f>
        <v>0</v>
      </c>
      <c r="AQ200">
        <f>'Kullanılan gübre'!AQ200*'Gübre oranlar'!AT$3</f>
        <v>0</v>
      </c>
      <c r="AR200">
        <f>'Kullanılan gübre'!AR200*'Gübre oranlar'!AU$3</f>
        <v>0</v>
      </c>
      <c r="AS200">
        <f>'Kullanılan gübre'!AS200*'Gübre oranlar'!AV$3</f>
        <v>0</v>
      </c>
      <c r="AT200">
        <f>'Kullanılan gübre'!AT200*'Gübre oranlar'!AW$3</f>
        <v>0</v>
      </c>
      <c r="AU200">
        <f>'Kullanılan gübre'!AU200*'Gübre oranlar'!AX$3</f>
        <v>0</v>
      </c>
      <c r="AV200">
        <f>'Kullanılan gübre'!AV200*'Gübre oranlar'!AY$3</f>
        <v>0</v>
      </c>
      <c r="AW200">
        <f t="shared" si="3"/>
        <v>14.909999999999998</v>
      </c>
    </row>
    <row r="201" spans="1:49" x14ac:dyDescent="0.25">
      <c r="A201" t="str">
        <f>'Kullanılan gübre'!A201</f>
        <v>BA</v>
      </c>
      <c r="B201" t="str">
        <f>'Kullanılan gübre'!B201</f>
        <v>ANTALYA</v>
      </c>
      <c r="C201" t="str">
        <f>'Kullanılan gübre'!C201</f>
        <v>KUMLUCA</v>
      </c>
      <c r="D201">
        <f>'Kullanılan gübre'!D201</f>
        <v>2015</v>
      </c>
      <c r="E201">
        <f>'Kullanılan gübre'!E201*'Gübre oranlar'!H$3</f>
        <v>0</v>
      </c>
      <c r="F201">
        <f>'Kullanılan gübre'!F201*'Gübre oranlar'!I$3</f>
        <v>0</v>
      </c>
      <c r="G201">
        <f>'Kullanılan gübre'!G201*'Gübre oranlar'!J$3</f>
        <v>0</v>
      </c>
      <c r="H201">
        <f>'Kullanılan gübre'!H201*'Gübre oranlar'!K$3</f>
        <v>0</v>
      </c>
      <c r="I201">
        <f>'Kullanılan gübre'!I201*'Gübre oranlar'!L$3</f>
        <v>0</v>
      </c>
      <c r="J201">
        <f>'Kullanılan gübre'!J201*'Gübre oranlar'!M$3</f>
        <v>0</v>
      </c>
      <c r="K201">
        <f>'Kullanılan gübre'!K201*'Gübre oranlar'!N$3</f>
        <v>39.400000000000006</v>
      </c>
      <c r="L201">
        <f>'Kullanılan gübre'!L201*'Gübre oranlar'!O$3</f>
        <v>15</v>
      </c>
      <c r="M201">
        <f>'Kullanılan gübre'!M201*'Gübre oranlar'!P$3</f>
        <v>65.399999999999991</v>
      </c>
      <c r="N201">
        <f>'Kullanılan gübre'!N201*'Gübre oranlar'!Q$3</f>
        <v>196.65</v>
      </c>
      <c r="O201">
        <f>'Kullanılan gübre'!O201*'Gübre oranlar'!R$3</f>
        <v>0</v>
      </c>
      <c r="P201">
        <f>'Kullanılan gübre'!P201*'Gübre oranlar'!S$3</f>
        <v>0</v>
      </c>
      <c r="Q201">
        <f>'Kullanılan gübre'!Q201*'Gübre oranlar'!T$3</f>
        <v>0</v>
      </c>
      <c r="R201">
        <f>'Kullanılan gübre'!R201*'Gübre oranlar'!U$3</f>
        <v>0</v>
      </c>
      <c r="S201">
        <f>'Kullanılan gübre'!S201*'Gübre oranlar'!V$3</f>
        <v>0</v>
      </c>
      <c r="T201">
        <f>'Kullanılan gübre'!T201*'Gübre oranlar'!W$3</f>
        <v>0</v>
      </c>
      <c r="U201">
        <f>'Kullanılan gübre'!U201*'Gübre oranlar'!X$3</f>
        <v>4.3500000000000005</v>
      </c>
      <c r="V201">
        <f>'Kullanılan gübre'!V201*'Gübre oranlar'!Y$3</f>
        <v>0</v>
      </c>
      <c r="W201">
        <f>'Kullanılan gübre'!W201*'Gübre oranlar'!Z$3</f>
        <v>0</v>
      </c>
      <c r="X201">
        <f>'Kullanılan gübre'!X201*'Gübre oranlar'!AA$3</f>
        <v>4</v>
      </c>
      <c r="Y201">
        <f>'Kullanılan gübre'!Y201*'Gübre oranlar'!AB$3</f>
        <v>0</v>
      </c>
      <c r="Z201">
        <f>'Kullanılan gübre'!Z201*'Gübre oranlar'!AC$3</f>
        <v>0</v>
      </c>
      <c r="AA201">
        <f>'Kullanılan gübre'!AA201*'Gübre oranlar'!AD$3</f>
        <v>0</v>
      </c>
      <c r="AB201">
        <f>'Kullanılan gübre'!AB201*'Gübre oranlar'!AE$3</f>
        <v>0</v>
      </c>
      <c r="AC201">
        <f>'Kullanılan gübre'!AC201*'Gübre oranlar'!AF$3</f>
        <v>0</v>
      </c>
      <c r="AD201">
        <f>'Kullanılan gübre'!AD201*'Gübre oranlar'!AG$3</f>
        <v>0</v>
      </c>
      <c r="AE201">
        <f>'Kullanılan gübre'!AE201*'Gübre oranlar'!AH$3</f>
        <v>0</v>
      </c>
      <c r="AF201">
        <f>'Kullanılan gübre'!AF201*'Gübre oranlar'!AI$3</f>
        <v>0</v>
      </c>
      <c r="AG201">
        <f>'Kullanılan gübre'!AG201*'Gübre oranlar'!AJ$3</f>
        <v>0</v>
      </c>
      <c r="AH201">
        <f>'Kullanılan gübre'!AH201*'Gübre oranlar'!AK$3</f>
        <v>0</v>
      </c>
      <c r="AI201">
        <f>'Kullanılan gübre'!AI201*'Gübre oranlar'!AL$3</f>
        <v>0</v>
      </c>
      <c r="AJ201">
        <f>'Kullanılan gübre'!AJ201*'Gübre oranlar'!AM$3</f>
        <v>0</v>
      </c>
      <c r="AK201">
        <f>'Kullanılan gübre'!AK201*'Gübre oranlar'!AN$3</f>
        <v>0</v>
      </c>
      <c r="AL201">
        <f>'Kullanılan gübre'!AL201*'Gübre oranlar'!AO$3</f>
        <v>0</v>
      </c>
      <c r="AM201">
        <f>'Kullanılan gübre'!AM201*'Gübre oranlar'!AP$3</f>
        <v>0</v>
      </c>
      <c r="AN201">
        <f>'Kullanılan gübre'!AN201*'Gübre oranlar'!AQ$3</f>
        <v>0</v>
      </c>
      <c r="AO201">
        <f>'Kullanılan gübre'!AO201*'Gübre oranlar'!AR$3</f>
        <v>0</v>
      </c>
      <c r="AP201">
        <f>'Kullanılan gübre'!AP201*'Gübre oranlar'!AS$3</f>
        <v>0</v>
      </c>
      <c r="AQ201">
        <f>'Kullanılan gübre'!AQ201*'Gübre oranlar'!AT$3</f>
        <v>0</v>
      </c>
      <c r="AR201">
        <f>'Kullanılan gübre'!AR201*'Gübre oranlar'!AU$3</f>
        <v>0</v>
      </c>
      <c r="AS201">
        <f>'Kullanılan gübre'!AS201*'Gübre oranlar'!AV$3</f>
        <v>0</v>
      </c>
      <c r="AT201">
        <f>'Kullanılan gübre'!AT201*'Gübre oranlar'!AW$3</f>
        <v>0</v>
      </c>
      <c r="AU201">
        <f>'Kullanılan gübre'!AU201*'Gübre oranlar'!AX$3</f>
        <v>0</v>
      </c>
      <c r="AV201">
        <f>'Kullanılan gübre'!AV201*'Gübre oranlar'!AY$3</f>
        <v>0</v>
      </c>
      <c r="AW201">
        <f t="shared" si="3"/>
        <v>324.8</v>
      </c>
    </row>
    <row r="202" spans="1:49" x14ac:dyDescent="0.25">
      <c r="A202" t="str">
        <f>'Kullanılan gübre'!A202</f>
        <v>BA</v>
      </c>
      <c r="B202" t="str">
        <f>'Kullanılan gübre'!B202</f>
        <v>ANTALYA</v>
      </c>
      <c r="C202" t="str">
        <f>'Kullanılan gübre'!C202</f>
        <v>FINIKE</v>
      </c>
      <c r="D202">
        <f>'Kullanılan gübre'!D202</f>
        <v>2015</v>
      </c>
      <c r="E202">
        <f>'Kullanılan gübre'!E202*'Gübre oranlar'!H$3</f>
        <v>0</v>
      </c>
      <c r="F202">
        <f>'Kullanılan gübre'!F202*'Gübre oranlar'!I$3</f>
        <v>0</v>
      </c>
      <c r="G202">
        <f>'Kullanılan gübre'!G202*'Gübre oranlar'!J$3</f>
        <v>0</v>
      </c>
      <c r="H202">
        <f>'Kullanılan gübre'!H202*'Gübre oranlar'!K$3</f>
        <v>0</v>
      </c>
      <c r="I202">
        <f>'Kullanılan gübre'!I202*'Gübre oranlar'!L$3</f>
        <v>11.61</v>
      </c>
      <c r="J202">
        <f>'Kullanılan gübre'!J202*'Gübre oranlar'!M$3</f>
        <v>0</v>
      </c>
      <c r="K202">
        <f>'Kullanılan gübre'!K202*'Gübre oranlar'!N$3</f>
        <v>6.2</v>
      </c>
      <c r="L202">
        <f>'Kullanılan gübre'!L202*'Gübre oranlar'!O$3</f>
        <v>0</v>
      </c>
      <c r="M202">
        <f>'Kullanılan gübre'!M202*'Gübre oranlar'!P$3</f>
        <v>94.5</v>
      </c>
      <c r="N202">
        <f>'Kullanılan gübre'!N202*'Gübre oranlar'!Q$3</f>
        <v>69.3</v>
      </c>
      <c r="O202">
        <f>'Kullanılan gübre'!O202*'Gübre oranlar'!R$3</f>
        <v>0</v>
      </c>
      <c r="P202">
        <f>'Kullanılan gübre'!P202*'Gübre oranlar'!S$3</f>
        <v>0</v>
      </c>
      <c r="Q202">
        <f>'Kullanılan gübre'!Q202*'Gübre oranlar'!T$3</f>
        <v>74.399999999999991</v>
      </c>
      <c r="R202">
        <f>'Kullanılan gübre'!R202*'Gübre oranlar'!U$3</f>
        <v>0</v>
      </c>
      <c r="S202">
        <f>'Kullanılan gübre'!S202*'Gübre oranlar'!V$3</f>
        <v>0</v>
      </c>
      <c r="T202">
        <f>'Kullanılan gübre'!T202*'Gübre oranlar'!W$3</f>
        <v>0</v>
      </c>
      <c r="U202">
        <f>'Kullanılan gübre'!U202*'Gübre oranlar'!X$3</f>
        <v>2.6</v>
      </c>
      <c r="V202">
        <f>'Kullanılan gübre'!V202*'Gübre oranlar'!Y$3</f>
        <v>0</v>
      </c>
      <c r="W202">
        <f>'Kullanılan gübre'!W202*'Gübre oranlar'!Z$3</f>
        <v>0</v>
      </c>
      <c r="X202">
        <f>'Kullanılan gübre'!X202*'Gübre oranlar'!AA$3</f>
        <v>56.6</v>
      </c>
      <c r="Y202">
        <f>'Kullanılan gübre'!Y202*'Gübre oranlar'!AB$3</f>
        <v>0</v>
      </c>
      <c r="Z202">
        <f>'Kullanılan gübre'!Z202*'Gübre oranlar'!AC$3</f>
        <v>0</v>
      </c>
      <c r="AA202">
        <f>'Kullanılan gübre'!AA202*'Gübre oranlar'!AD$3</f>
        <v>0</v>
      </c>
      <c r="AB202">
        <f>'Kullanılan gübre'!AB202*'Gübre oranlar'!AE$3</f>
        <v>32.94</v>
      </c>
      <c r="AC202">
        <f>'Kullanılan gübre'!AC202*'Gübre oranlar'!AF$3</f>
        <v>0</v>
      </c>
      <c r="AD202">
        <f>'Kullanılan gübre'!AD202*'Gübre oranlar'!AG$3</f>
        <v>0</v>
      </c>
      <c r="AE202">
        <f>'Kullanılan gübre'!AE202*'Gübre oranlar'!AH$3</f>
        <v>19</v>
      </c>
      <c r="AF202">
        <f>'Kullanılan gübre'!AF202*'Gübre oranlar'!AI$3</f>
        <v>0</v>
      </c>
      <c r="AG202">
        <f>'Kullanılan gübre'!AG202*'Gübre oranlar'!AJ$3</f>
        <v>0</v>
      </c>
      <c r="AH202">
        <f>'Kullanılan gübre'!AH202*'Gübre oranlar'!AK$3</f>
        <v>27.84</v>
      </c>
      <c r="AI202">
        <f>'Kullanılan gübre'!AI202*'Gübre oranlar'!AL$3</f>
        <v>0</v>
      </c>
      <c r="AJ202">
        <f>'Kullanılan gübre'!AJ202*'Gübre oranlar'!AM$3</f>
        <v>0</v>
      </c>
      <c r="AK202">
        <f>'Kullanılan gübre'!AK202*'Gübre oranlar'!AN$3</f>
        <v>0</v>
      </c>
      <c r="AL202">
        <f>'Kullanılan gübre'!AL202*'Gübre oranlar'!AO$3</f>
        <v>0</v>
      </c>
      <c r="AM202">
        <f>'Kullanılan gübre'!AM202*'Gübre oranlar'!AP$3</f>
        <v>0</v>
      </c>
      <c r="AN202">
        <f>'Kullanılan gübre'!AN202*'Gübre oranlar'!AQ$3</f>
        <v>0</v>
      </c>
      <c r="AO202">
        <f>'Kullanılan gübre'!AO202*'Gübre oranlar'!AR$3</f>
        <v>0</v>
      </c>
      <c r="AP202">
        <f>'Kullanılan gübre'!AP202*'Gübre oranlar'!AS$3</f>
        <v>0</v>
      </c>
      <c r="AQ202">
        <f>'Kullanılan gübre'!AQ202*'Gübre oranlar'!AT$3</f>
        <v>0</v>
      </c>
      <c r="AR202">
        <f>'Kullanılan gübre'!AR202*'Gübre oranlar'!AU$3</f>
        <v>0</v>
      </c>
      <c r="AS202">
        <f>'Kullanılan gübre'!AS202*'Gübre oranlar'!AV$3</f>
        <v>51.12</v>
      </c>
      <c r="AT202">
        <f>'Kullanılan gübre'!AT202*'Gübre oranlar'!AW$3</f>
        <v>32.64</v>
      </c>
      <c r="AU202">
        <f>'Kullanılan gübre'!AU202*'Gübre oranlar'!AX$3</f>
        <v>0</v>
      </c>
      <c r="AV202">
        <f>'Kullanılan gübre'!AV202*'Gübre oranlar'!AY$3</f>
        <v>0</v>
      </c>
      <c r="AW202">
        <f t="shared" si="3"/>
        <v>478.75</v>
      </c>
    </row>
    <row r="203" spans="1:49" x14ac:dyDescent="0.25">
      <c r="A203" t="str">
        <f>'Kullanılan gübre'!A203</f>
        <v>BA</v>
      </c>
      <c r="B203" t="str">
        <f>'Kullanılan gübre'!B203</f>
        <v>ANTALYA</v>
      </c>
      <c r="C203" t="str">
        <f>'Kullanılan gübre'!C203</f>
        <v>DEMRE</v>
      </c>
      <c r="D203">
        <f>'Kullanılan gübre'!D203</f>
        <v>2015</v>
      </c>
      <c r="E203">
        <f>'Kullanılan gübre'!E203*'Gübre oranlar'!H$3</f>
        <v>0</v>
      </c>
      <c r="F203">
        <f>'Kullanılan gübre'!F203*'Gübre oranlar'!I$3</f>
        <v>0</v>
      </c>
      <c r="G203">
        <f>'Kullanılan gübre'!G203*'Gübre oranlar'!J$3</f>
        <v>0</v>
      </c>
      <c r="H203">
        <f>'Kullanılan gübre'!H203*'Gübre oranlar'!K$3</f>
        <v>0</v>
      </c>
      <c r="I203">
        <f>'Kullanılan gübre'!I203*'Gübre oranlar'!L$3</f>
        <v>0.86</v>
      </c>
      <c r="J203">
        <f>'Kullanılan gübre'!J203*'Gübre oranlar'!M$3</f>
        <v>0</v>
      </c>
      <c r="K203">
        <f>'Kullanılan gübre'!K203*'Gübre oranlar'!N$3</f>
        <v>1</v>
      </c>
      <c r="L203">
        <f>'Kullanılan gübre'!L203*'Gübre oranlar'!O$3</f>
        <v>0</v>
      </c>
      <c r="M203">
        <f>'Kullanılan gübre'!M203*'Gübre oranlar'!P$3</f>
        <v>1.05</v>
      </c>
      <c r="N203">
        <f>'Kullanılan gübre'!N203*'Gübre oranlar'!Q$3</f>
        <v>9.6</v>
      </c>
      <c r="O203">
        <f>'Kullanılan gübre'!O203*'Gübre oranlar'!R$3</f>
        <v>0</v>
      </c>
      <c r="P203">
        <f>'Kullanılan gübre'!P203*'Gübre oranlar'!S$3</f>
        <v>0</v>
      </c>
      <c r="Q203">
        <f>'Kullanılan gübre'!Q203*'Gübre oranlar'!T$3</f>
        <v>0</v>
      </c>
      <c r="R203">
        <f>'Kullanılan gübre'!R203*'Gübre oranlar'!U$3</f>
        <v>0</v>
      </c>
      <c r="S203">
        <f>'Kullanılan gübre'!S203*'Gübre oranlar'!V$3</f>
        <v>0</v>
      </c>
      <c r="T203">
        <f>'Kullanılan gübre'!T203*'Gübre oranlar'!W$3</f>
        <v>0</v>
      </c>
      <c r="U203">
        <f>'Kullanılan gübre'!U203*'Gübre oranlar'!X$3</f>
        <v>0.05</v>
      </c>
      <c r="V203">
        <f>'Kullanılan gübre'!V203*'Gübre oranlar'!Y$3</f>
        <v>0</v>
      </c>
      <c r="W203">
        <f>'Kullanılan gübre'!W203*'Gübre oranlar'!Z$3</f>
        <v>0</v>
      </c>
      <c r="X203">
        <f>'Kullanılan gübre'!X203*'Gübre oranlar'!AA$3</f>
        <v>3</v>
      </c>
      <c r="Y203">
        <f>'Kullanılan gübre'!Y203*'Gübre oranlar'!AB$3</f>
        <v>0</v>
      </c>
      <c r="Z203">
        <f>'Kullanılan gübre'!Z203*'Gübre oranlar'!AC$3</f>
        <v>0</v>
      </c>
      <c r="AA203">
        <f>'Kullanılan gübre'!AA203*'Gübre oranlar'!AD$3</f>
        <v>0</v>
      </c>
      <c r="AB203">
        <f>'Kullanılan gübre'!AB203*'Gübre oranlar'!AE$3</f>
        <v>43.92</v>
      </c>
      <c r="AC203">
        <f>'Kullanılan gübre'!AC203*'Gübre oranlar'!AF$3</f>
        <v>0</v>
      </c>
      <c r="AD203">
        <f>'Kullanılan gübre'!AD203*'Gübre oranlar'!AG$3</f>
        <v>0</v>
      </c>
      <c r="AE203">
        <f>'Kullanılan gübre'!AE203*'Gübre oranlar'!AH$3</f>
        <v>0</v>
      </c>
      <c r="AF203">
        <f>'Kullanılan gübre'!AF203*'Gübre oranlar'!AI$3</f>
        <v>0</v>
      </c>
      <c r="AG203">
        <f>'Kullanılan gübre'!AG203*'Gübre oranlar'!AJ$3</f>
        <v>0</v>
      </c>
      <c r="AH203">
        <f>'Kullanılan gübre'!AH203*'Gübre oranlar'!AK$3</f>
        <v>0</v>
      </c>
      <c r="AI203">
        <f>'Kullanılan gübre'!AI203*'Gübre oranlar'!AL$3</f>
        <v>0</v>
      </c>
      <c r="AJ203">
        <f>'Kullanılan gübre'!AJ203*'Gübre oranlar'!AM$3</f>
        <v>0</v>
      </c>
      <c r="AK203">
        <f>'Kullanılan gübre'!AK203*'Gübre oranlar'!AN$3</f>
        <v>0</v>
      </c>
      <c r="AL203">
        <f>'Kullanılan gübre'!AL203*'Gübre oranlar'!AO$3</f>
        <v>0</v>
      </c>
      <c r="AM203">
        <f>'Kullanılan gübre'!AM203*'Gübre oranlar'!AP$3</f>
        <v>0</v>
      </c>
      <c r="AN203">
        <f>'Kullanılan gübre'!AN203*'Gübre oranlar'!AQ$3</f>
        <v>0</v>
      </c>
      <c r="AO203">
        <f>'Kullanılan gübre'!AO203*'Gübre oranlar'!AR$3</f>
        <v>0</v>
      </c>
      <c r="AP203">
        <f>'Kullanılan gübre'!AP203*'Gübre oranlar'!AS$3</f>
        <v>0</v>
      </c>
      <c r="AQ203">
        <f>'Kullanılan gübre'!AQ203*'Gübre oranlar'!AT$3</f>
        <v>0</v>
      </c>
      <c r="AR203">
        <f>'Kullanılan gübre'!AR203*'Gübre oranlar'!AU$3</f>
        <v>0</v>
      </c>
      <c r="AS203">
        <f>'Kullanılan gübre'!AS203*'Gübre oranlar'!AV$3</f>
        <v>0</v>
      </c>
      <c r="AT203">
        <f>'Kullanılan gübre'!AT203*'Gübre oranlar'!AW$3</f>
        <v>0</v>
      </c>
      <c r="AU203">
        <f>'Kullanılan gübre'!AU203*'Gübre oranlar'!AX$3</f>
        <v>0</v>
      </c>
      <c r="AV203">
        <f>'Kullanılan gübre'!AV203*'Gübre oranlar'!AY$3</f>
        <v>0</v>
      </c>
      <c r="AW203">
        <f t="shared" si="3"/>
        <v>59.480000000000004</v>
      </c>
    </row>
    <row r="204" spans="1:49" x14ac:dyDescent="0.25">
      <c r="A204" t="str">
        <f>'Kullanılan gübre'!A204</f>
        <v>BA</v>
      </c>
      <c r="B204" t="str">
        <f>'Kullanılan gübre'!B204</f>
        <v>ANTALYA</v>
      </c>
      <c r="C204" t="str">
        <f>'Kullanılan gübre'!C204</f>
        <v>KAS</v>
      </c>
      <c r="D204">
        <f>'Kullanılan gübre'!D204</f>
        <v>2015</v>
      </c>
      <c r="E204">
        <f>'Kullanılan gübre'!E204*'Gübre oranlar'!H$3</f>
        <v>0</v>
      </c>
      <c r="F204">
        <f>'Kullanılan gübre'!F204*'Gübre oranlar'!I$3</f>
        <v>0</v>
      </c>
      <c r="G204">
        <f>'Kullanılan gübre'!G204*'Gübre oranlar'!J$3</f>
        <v>0</v>
      </c>
      <c r="H204">
        <f>'Kullanılan gübre'!H204*'Gübre oranlar'!K$3</f>
        <v>0</v>
      </c>
      <c r="I204">
        <f>'Kullanılan gübre'!I204*'Gübre oranlar'!L$3</f>
        <v>12.04</v>
      </c>
      <c r="J204">
        <f>'Kullanılan gübre'!J204*'Gübre oranlar'!M$3</f>
        <v>0</v>
      </c>
      <c r="K204">
        <f>'Kullanılan gübre'!K204*'Gübre oranlar'!N$3</f>
        <v>6.4</v>
      </c>
      <c r="L204">
        <f>'Kullanılan gübre'!L204*'Gübre oranlar'!O$3</f>
        <v>18.600000000000001</v>
      </c>
      <c r="M204">
        <f>'Kullanılan gübre'!M204*'Gübre oranlar'!P$3</f>
        <v>10.95</v>
      </c>
      <c r="N204">
        <f>'Kullanılan gübre'!N204*'Gübre oranlar'!Q$3</f>
        <v>18</v>
      </c>
      <c r="O204">
        <f>'Kullanılan gübre'!O204*'Gübre oranlar'!R$3</f>
        <v>0</v>
      </c>
      <c r="P204">
        <f>'Kullanılan gübre'!P204*'Gübre oranlar'!S$3</f>
        <v>0</v>
      </c>
      <c r="Q204">
        <f>'Kullanılan gübre'!Q204*'Gübre oranlar'!T$3</f>
        <v>0</v>
      </c>
      <c r="R204">
        <f>'Kullanılan gübre'!R204*'Gübre oranlar'!U$3</f>
        <v>0</v>
      </c>
      <c r="S204">
        <f>'Kullanılan gübre'!S204*'Gübre oranlar'!V$3</f>
        <v>0</v>
      </c>
      <c r="T204">
        <f>'Kullanılan gübre'!T204*'Gübre oranlar'!W$3</f>
        <v>0</v>
      </c>
      <c r="U204">
        <f>'Kullanılan gübre'!U204*'Gübre oranlar'!X$3</f>
        <v>0</v>
      </c>
      <c r="V204">
        <f>'Kullanılan gübre'!V204*'Gübre oranlar'!Y$3</f>
        <v>0</v>
      </c>
      <c r="W204">
        <f>'Kullanılan gübre'!W204*'Gübre oranlar'!Z$3</f>
        <v>0</v>
      </c>
      <c r="X204">
        <f>'Kullanılan gübre'!X204*'Gübre oranlar'!AA$3</f>
        <v>0</v>
      </c>
      <c r="Y204">
        <f>'Kullanılan gübre'!Y204*'Gübre oranlar'!AB$3</f>
        <v>0</v>
      </c>
      <c r="Z204">
        <f>'Kullanılan gübre'!Z204*'Gübre oranlar'!AC$3</f>
        <v>0</v>
      </c>
      <c r="AA204">
        <f>'Kullanılan gübre'!AA204*'Gübre oranlar'!AD$3</f>
        <v>0</v>
      </c>
      <c r="AB204">
        <f>'Kullanılan gübre'!AB204*'Gübre oranlar'!AE$3</f>
        <v>0</v>
      </c>
      <c r="AC204">
        <f>'Kullanılan gübre'!AC204*'Gübre oranlar'!AF$3</f>
        <v>0</v>
      </c>
      <c r="AD204">
        <f>'Kullanılan gübre'!AD204*'Gübre oranlar'!AG$3</f>
        <v>0</v>
      </c>
      <c r="AE204">
        <f>'Kullanılan gübre'!AE204*'Gübre oranlar'!AH$3</f>
        <v>0</v>
      </c>
      <c r="AF204">
        <f>'Kullanılan gübre'!AF204*'Gübre oranlar'!AI$3</f>
        <v>0</v>
      </c>
      <c r="AG204">
        <f>'Kullanılan gübre'!AG204*'Gübre oranlar'!AJ$3</f>
        <v>0</v>
      </c>
      <c r="AH204">
        <f>'Kullanılan gübre'!AH204*'Gübre oranlar'!AK$3</f>
        <v>0</v>
      </c>
      <c r="AI204">
        <f>'Kullanılan gübre'!AI204*'Gübre oranlar'!AL$3</f>
        <v>0</v>
      </c>
      <c r="AJ204">
        <f>'Kullanılan gübre'!AJ204*'Gübre oranlar'!AM$3</f>
        <v>0</v>
      </c>
      <c r="AK204">
        <f>'Kullanılan gübre'!AK204*'Gübre oranlar'!AN$3</f>
        <v>0</v>
      </c>
      <c r="AL204">
        <f>'Kullanılan gübre'!AL204*'Gübre oranlar'!AO$3</f>
        <v>0</v>
      </c>
      <c r="AM204">
        <f>'Kullanılan gübre'!AM204*'Gübre oranlar'!AP$3</f>
        <v>0</v>
      </c>
      <c r="AN204">
        <f>'Kullanılan gübre'!AN204*'Gübre oranlar'!AQ$3</f>
        <v>0</v>
      </c>
      <c r="AO204">
        <f>'Kullanılan gübre'!AO204*'Gübre oranlar'!AR$3</f>
        <v>0</v>
      </c>
      <c r="AP204">
        <f>'Kullanılan gübre'!AP204*'Gübre oranlar'!AS$3</f>
        <v>0</v>
      </c>
      <c r="AQ204">
        <f>'Kullanılan gübre'!AQ204*'Gübre oranlar'!AT$3</f>
        <v>0</v>
      </c>
      <c r="AR204">
        <f>'Kullanılan gübre'!AR204*'Gübre oranlar'!AU$3</f>
        <v>0</v>
      </c>
      <c r="AS204">
        <f>'Kullanılan gübre'!AS204*'Gübre oranlar'!AV$3</f>
        <v>0</v>
      </c>
      <c r="AT204">
        <f>'Kullanılan gübre'!AT204*'Gübre oranlar'!AW$3</f>
        <v>0</v>
      </c>
      <c r="AU204">
        <f>'Kullanılan gübre'!AU204*'Gübre oranlar'!AX$3</f>
        <v>0</v>
      </c>
      <c r="AV204">
        <f>'Kullanılan gübre'!AV204*'Gübre oranlar'!AY$3</f>
        <v>0</v>
      </c>
      <c r="AW204">
        <f t="shared" si="3"/>
        <v>65.989999999999995</v>
      </c>
    </row>
    <row r="205" spans="1:49" x14ac:dyDescent="0.25">
      <c r="A205" t="str">
        <f>'Kullanılan gübre'!A205</f>
        <v>BA</v>
      </c>
      <c r="B205" t="str">
        <f>'Kullanılan gübre'!B205</f>
        <v>ANTALYA</v>
      </c>
      <c r="C205" t="str">
        <f>'Kullanılan gübre'!C205</f>
        <v>KORKUTELI</v>
      </c>
      <c r="D205">
        <f>'Kullanılan gübre'!D205</f>
        <v>2015</v>
      </c>
      <c r="E205">
        <f>'Kullanılan gübre'!E205*'Gübre oranlar'!H$3</f>
        <v>0</v>
      </c>
      <c r="F205">
        <f>'Kullanılan gübre'!F205*'Gübre oranlar'!I$3</f>
        <v>0</v>
      </c>
      <c r="G205">
        <f>'Kullanılan gübre'!G205*'Gübre oranlar'!J$3</f>
        <v>0</v>
      </c>
      <c r="H205">
        <f>'Kullanılan gübre'!H205*'Gübre oranlar'!K$3</f>
        <v>0</v>
      </c>
      <c r="I205">
        <f>'Kullanılan gübre'!I205*'Gübre oranlar'!L$3</f>
        <v>29.669999999999998</v>
      </c>
      <c r="J205">
        <f>'Kullanılan gübre'!J205*'Gübre oranlar'!M$3</f>
        <v>0</v>
      </c>
      <c r="K205">
        <f>'Kullanılan gübre'!K205*'Gübre oranlar'!N$3</f>
        <v>1030.4000000000001</v>
      </c>
      <c r="L205">
        <f>'Kullanılan gübre'!L205*'Gübre oranlar'!O$3</f>
        <v>66.600000000000009</v>
      </c>
      <c r="M205">
        <f>'Kullanılan gübre'!M205*'Gübre oranlar'!P$3</f>
        <v>191.54999999999998</v>
      </c>
      <c r="N205">
        <f>'Kullanılan gübre'!N205*'Gübre oranlar'!Q$3</f>
        <v>101.25</v>
      </c>
      <c r="O205">
        <f>'Kullanılan gübre'!O205*'Gübre oranlar'!R$3</f>
        <v>0</v>
      </c>
      <c r="P205">
        <f>'Kullanılan gübre'!P205*'Gübre oranlar'!S$3</f>
        <v>0</v>
      </c>
      <c r="Q205">
        <f>'Kullanılan gübre'!Q205*'Gübre oranlar'!T$3</f>
        <v>44.4</v>
      </c>
      <c r="R205">
        <f>'Kullanılan gübre'!R205*'Gübre oranlar'!U$3</f>
        <v>0</v>
      </c>
      <c r="S205">
        <f>'Kullanılan gübre'!S205*'Gübre oranlar'!V$3</f>
        <v>0</v>
      </c>
      <c r="T205">
        <f>'Kullanılan gübre'!T205*'Gübre oranlar'!W$3</f>
        <v>0</v>
      </c>
      <c r="U205">
        <f>'Kullanılan gübre'!U205*'Gübre oranlar'!X$3</f>
        <v>9.25</v>
      </c>
      <c r="V205">
        <f>'Kullanılan gübre'!V205*'Gübre oranlar'!Y$3</f>
        <v>0</v>
      </c>
      <c r="W205">
        <f>'Kullanılan gübre'!W205*'Gübre oranlar'!Z$3</f>
        <v>0</v>
      </c>
      <c r="X205">
        <f>'Kullanılan gübre'!X205*'Gübre oranlar'!AA$3</f>
        <v>31.400000000000002</v>
      </c>
      <c r="Y205">
        <f>'Kullanılan gübre'!Y205*'Gübre oranlar'!AB$3</f>
        <v>0</v>
      </c>
      <c r="Z205">
        <f>'Kullanılan gübre'!Z205*'Gübre oranlar'!AC$3</f>
        <v>0</v>
      </c>
      <c r="AA205">
        <f>'Kullanılan gübre'!AA205*'Gübre oranlar'!AD$3</f>
        <v>0</v>
      </c>
      <c r="AB205">
        <f>'Kullanılan gübre'!AB205*'Gübre oranlar'!AE$3</f>
        <v>17.690000000000001</v>
      </c>
      <c r="AC205">
        <f>'Kullanılan gübre'!AC205*'Gübre oranlar'!AF$3</f>
        <v>0</v>
      </c>
      <c r="AD205">
        <f>'Kullanılan gübre'!AD205*'Gübre oranlar'!AG$3</f>
        <v>0</v>
      </c>
      <c r="AE205">
        <f>'Kullanılan gübre'!AE205*'Gübre oranlar'!AH$3</f>
        <v>32.5</v>
      </c>
      <c r="AF205">
        <f>'Kullanılan gübre'!AF205*'Gübre oranlar'!AI$3</f>
        <v>0</v>
      </c>
      <c r="AG205">
        <f>'Kullanılan gübre'!AG205*'Gübre oranlar'!AJ$3</f>
        <v>0</v>
      </c>
      <c r="AH205">
        <f>'Kullanılan gübre'!AH205*'Gübre oranlar'!AK$3</f>
        <v>87.04</v>
      </c>
      <c r="AI205">
        <f>'Kullanılan gübre'!AI205*'Gübre oranlar'!AL$3</f>
        <v>0</v>
      </c>
      <c r="AJ205">
        <f>'Kullanılan gübre'!AJ205*'Gübre oranlar'!AM$3</f>
        <v>0</v>
      </c>
      <c r="AK205">
        <f>'Kullanılan gübre'!AK205*'Gübre oranlar'!AN$3</f>
        <v>0</v>
      </c>
      <c r="AL205">
        <f>'Kullanılan gübre'!AL205*'Gübre oranlar'!AO$3</f>
        <v>0</v>
      </c>
      <c r="AM205">
        <f>'Kullanılan gübre'!AM205*'Gübre oranlar'!AP$3</f>
        <v>0</v>
      </c>
      <c r="AN205">
        <f>'Kullanılan gübre'!AN205*'Gübre oranlar'!AQ$3</f>
        <v>0</v>
      </c>
      <c r="AO205">
        <f>'Kullanılan gübre'!AO205*'Gübre oranlar'!AR$3</f>
        <v>0</v>
      </c>
      <c r="AP205">
        <f>'Kullanılan gübre'!AP205*'Gübre oranlar'!AS$3</f>
        <v>0</v>
      </c>
      <c r="AQ205">
        <f>'Kullanılan gübre'!AQ205*'Gübre oranlar'!AT$3</f>
        <v>0</v>
      </c>
      <c r="AR205">
        <f>'Kullanılan gübre'!AR205*'Gübre oranlar'!AU$3</f>
        <v>0</v>
      </c>
      <c r="AS205">
        <f>'Kullanılan gübre'!AS205*'Gübre oranlar'!AV$3</f>
        <v>12.959999999999999</v>
      </c>
      <c r="AT205">
        <f>'Kullanılan gübre'!AT205*'Gübre oranlar'!AW$3</f>
        <v>30.88</v>
      </c>
      <c r="AU205">
        <f>'Kullanılan gübre'!AU205*'Gübre oranlar'!AX$3</f>
        <v>0</v>
      </c>
      <c r="AV205">
        <f>'Kullanılan gübre'!AV205*'Gübre oranlar'!AY$3</f>
        <v>0</v>
      </c>
      <c r="AW205">
        <f t="shared" si="3"/>
        <v>1685.5900000000004</v>
      </c>
    </row>
    <row r="206" spans="1:49" x14ac:dyDescent="0.25">
      <c r="A206" t="str">
        <f>'Kullanılan gübre'!A206</f>
        <v>BA</v>
      </c>
      <c r="B206" t="str">
        <f>'Kullanılan gübre'!B206</f>
        <v>ANTALYA</v>
      </c>
      <c r="C206" t="str">
        <f>'Kullanılan gübre'!C206</f>
        <v>ELMALI</v>
      </c>
      <c r="D206">
        <f>'Kullanılan gübre'!D206</f>
        <v>2015</v>
      </c>
      <c r="E206">
        <f>'Kullanılan gübre'!E206*'Gübre oranlar'!H$3</f>
        <v>0</v>
      </c>
      <c r="F206">
        <f>'Kullanılan gübre'!F206*'Gübre oranlar'!I$3</f>
        <v>0</v>
      </c>
      <c r="G206">
        <f>'Kullanılan gübre'!G206*'Gübre oranlar'!J$3</f>
        <v>0</v>
      </c>
      <c r="H206">
        <f>'Kullanılan gübre'!H206*'Gübre oranlar'!K$3</f>
        <v>0</v>
      </c>
      <c r="I206">
        <f>'Kullanılan gübre'!I206*'Gübre oranlar'!L$3</f>
        <v>37.409999999999997</v>
      </c>
      <c r="J206">
        <f>'Kullanılan gübre'!J206*'Gübre oranlar'!M$3</f>
        <v>0</v>
      </c>
      <c r="K206">
        <f>'Kullanılan gübre'!K206*'Gübre oranlar'!N$3</f>
        <v>158.80000000000001</v>
      </c>
      <c r="L206">
        <f>'Kullanılan gübre'!L206*'Gübre oranlar'!O$3</f>
        <v>9.4</v>
      </c>
      <c r="M206">
        <f>'Kullanılan gübre'!M206*'Gübre oranlar'!P$3</f>
        <v>51.3</v>
      </c>
      <c r="N206">
        <f>'Kullanılan gübre'!N206*'Gübre oranlar'!Q$3</f>
        <v>55.65</v>
      </c>
      <c r="O206">
        <f>'Kullanılan gübre'!O206*'Gübre oranlar'!R$3</f>
        <v>0</v>
      </c>
      <c r="P206">
        <f>'Kullanılan gübre'!P206*'Gübre oranlar'!S$3</f>
        <v>0</v>
      </c>
      <c r="Q206">
        <f>'Kullanılan gübre'!Q206*'Gübre oranlar'!T$3</f>
        <v>180</v>
      </c>
      <c r="R206">
        <f>'Kullanılan gübre'!R206*'Gübre oranlar'!U$3</f>
        <v>0</v>
      </c>
      <c r="S206">
        <f>'Kullanılan gübre'!S206*'Gübre oranlar'!V$3</f>
        <v>0</v>
      </c>
      <c r="T206">
        <f>'Kullanılan gübre'!T206*'Gübre oranlar'!W$3</f>
        <v>0</v>
      </c>
      <c r="U206">
        <f>'Kullanılan gübre'!U206*'Gübre oranlar'!X$3</f>
        <v>0</v>
      </c>
      <c r="V206">
        <f>'Kullanılan gübre'!V206*'Gübre oranlar'!Y$3</f>
        <v>0</v>
      </c>
      <c r="W206">
        <f>'Kullanılan gübre'!W206*'Gübre oranlar'!Z$3</f>
        <v>0</v>
      </c>
      <c r="X206">
        <f>'Kullanılan gübre'!X206*'Gübre oranlar'!AA$3</f>
        <v>0</v>
      </c>
      <c r="Y206">
        <f>'Kullanılan gübre'!Y206*'Gübre oranlar'!AB$3</f>
        <v>0</v>
      </c>
      <c r="Z206">
        <f>'Kullanılan gübre'!Z206*'Gübre oranlar'!AC$3</f>
        <v>0</v>
      </c>
      <c r="AA206">
        <f>'Kullanılan gübre'!AA206*'Gübre oranlar'!AD$3</f>
        <v>0</v>
      </c>
      <c r="AB206">
        <f>'Kullanılan gübre'!AB206*'Gübre oranlar'!AE$3</f>
        <v>0</v>
      </c>
      <c r="AC206">
        <f>'Kullanılan gübre'!AC206*'Gübre oranlar'!AF$3</f>
        <v>0</v>
      </c>
      <c r="AD206">
        <f>'Kullanılan gübre'!AD206*'Gübre oranlar'!AG$3</f>
        <v>0</v>
      </c>
      <c r="AE206">
        <f>'Kullanılan gübre'!AE206*'Gübre oranlar'!AH$3</f>
        <v>0</v>
      </c>
      <c r="AF206">
        <f>'Kullanılan gübre'!AF206*'Gübre oranlar'!AI$3</f>
        <v>0</v>
      </c>
      <c r="AG206">
        <f>'Kullanılan gübre'!AG206*'Gübre oranlar'!AJ$3</f>
        <v>0</v>
      </c>
      <c r="AH206">
        <f>'Kullanılan gübre'!AH206*'Gübre oranlar'!AK$3</f>
        <v>8</v>
      </c>
      <c r="AI206">
        <f>'Kullanılan gübre'!AI206*'Gübre oranlar'!AL$3</f>
        <v>0</v>
      </c>
      <c r="AJ206">
        <f>'Kullanılan gübre'!AJ206*'Gübre oranlar'!AM$3</f>
        <v>0</v>
      </c>
      <c r="AK206">
        <f>'Kullanılan gübre'!AK206*'Gübre oranlar'!AN$3</f>
        <v>0</v>
      </c>
      <c r="AL206">
        <f>'Kullanılan gübre'!AL206*'Gübre oranlar'!AO$3</f>
        <v>0</v>
      </c>
      <c r="AM206">
        <f>'Kullanılan gübre'!AM206*'Gübre oranlar'!AP$3</f>
        <v>0</v>
      </c>
      <c r="AN206">
        <f>'Kullanılan gübre'!AN206*'Gübre oranlar'!AQ$3</f>
        <v>0</v>
      </c>
      <c r="AO206">
        <f>'Kullanılan gübre'!AO206*'Gübre oranlar'!AR$3</f>
        <v>0</v>
      </c>
      <c r="AP206">
        <f>'Kullanılan gübre'!AP206*'Gübre oranlar'!AS$3</f>
        <v>0</v>
      </c>
      <c r="AQ206">
        <f>'Kullanılan gübre'!AQ206*'Gübre oranlar'!AT$3</f>
        <v>0</v>
      </c>
      <c r="AR206">
        <f>'Kullanılan gübre'!AR206*'Gübre oranlar'!AU$3</f>
        <v>0</v>
      </c>
      <c r="AS206">
        <f>'Kullanılan gübre'!AS206*'Gübre oranlar'!AV$3</f>
        <v>0</v>
      </c>
      <c r="AT206">
        <f>'Kullanılan gübre'!AT206*'Gübre oranlar'!AW$3</f>
        <v>0</v>
      </c>
      <c r="AU206">
        <f>'Kullanılan gübre'!AU206*'Gübre oranlar'!AX$3</f>
        <v>0</v>
      </c>
      <c r="AV206">
        <f>'Kullanılan gübre'!AV206*'Gübre oranlar'!AY$3</f>
        <v>0</v>
      </c>
      <c r="AW206">
        <f t="shared" si="3"/>
        <v>500.56</v>
      </c>
    </row>
    <row r="207" spans="1:49" x14ac:dyDescent="0.25">
      <c r="A207" t="str">
        <f>'Kullanılan gübre'!A207</f>
        <v>BA</v>
      </c>
      <c r="B207" t="str">
        <f>'Kullanılan gübre'!B207</f>
        <v>ANTALYA</v>
      </c>
      <c r="C207" t="str">
        <f>'Kullanılan gübre'!C207</f>
        <v>KEMER</v>
      </c>
      <c r="D207">
        <f>'Kullanılan gübre'!D207</f>
        <v>2016</v>
      </c>
      <c r="E207">
        <f>'Kullanılan gübre'!E207*'Gübre oranlar'!H$3</f>
        <v>0</v>
      </c>
      <c r="F207">
        <f>'Kullanılan gübre'!F207*'Gübre oranlar'!I$3</f>
        <v>0</v>
      </c>
      <c r="G207">
        <f>'Kullanılan gübre'!G207*'Gübre oranlar'!J$3</f>
        <v>0</v>
      </c>
      <c r="H207">
        <f>'Kullanılan gübre'!H207*'Gübre oranlar'!K$3</f>
        <v>0</v>
      </c>
      <c r="I207">
        <f>'Kullanılan gübre'!I207*'Gübre oranlar'!L$3</f>
        <v>0</v>
      </c>
      <c r="J207">
        <f>'Kullanılan gübre'!J207*'Gübre oranlar'!M$3</f>
        <v>0</v>
      </c>
      <c r="K207">
        <f>'Kullanılan gübre'!K207*'Gübre oranlar'!N$3</f>
        <v>2.4000000000000004</v>
      </c>
      <c r="L207">
        <f>'Kullanılan gübre'!L207*'Gübre oranlar'!O$3</f>
        <v>0</v>
      </c>
      <c r="M207">
        <f>'Kullanılan gübre'!M207*'Gübre oranlar'!P$3</f>
        <v>0.15</v>
      </c>
      <c r="N207">
        <f>'Kullanılan gübre'!N207*'Gübre oranlar'!Q$3</f>
        <v>13.799999999999999</v>
      </c>
      <c r="O207">
        <f>'Kullanılan gübre'!O207*'Gübre oranlar'!R$3</f>
        <v>0</v>
      </c>
      <c r="P207">
        <f>'Kullanılan gübre'!P207*'Gübre oranlar'!S$3</f>
        <v>0</v>
      </c>
      <c r="Q207">
        <f>'Kullanılan gübre'!Q207*'Gübre oranlar'!T$3</f>
        <v>0</v>
      </c>
      <c r="R207">
        <f>'Kullanılan gübre'!R207*'Gübre oranlar'!U$3</f>
        <v>0</v>
      </c>
      <c r="S207">
        <f>'Kullanılan gübre'!S207*'Gübre oranlar'!V$3</f>
        <v>0</v>
      </c>
      <c r="T207">
        <f>'Kullanılan gübre'!T207*'Gübre oranlar'!W$3</f>
        <v>0</v>
      </c>
      <c r="U207">
        <f>'Kullanılan gübre'!U207*'Gübre oranlar'!X$3</f>
        <v>0</v>
      </c>
      <c r="V207">
        <f>'Kullanılan gübre'!V207*'Gübre oranlar'!Y$3</f>
        <v>0</v>
      </c>
      <c r="W207">
        <f>'Kullanılan gübre'!W207*'Gübre oranlar'!Z$3</f>
        <v>0</v>
      </c>
      <c r="X207">
        <f>'Kullanılan gübre'!X207*'Gübre oranlar'!AA$3</f>
        <v>0</v>
      </c>
      <c r="Y207">
        <f>'Kullanılan gübre'!Y207*'Gübre oranlar'!AB$3</f>
        <v>0</v>
      </c>
      <c r="Z207">
        <f>'Kullanılan gübre'!Z207*'Gübre oranlar'!AC$3</f>
        <v>0</v>
      </c>
      <c r="AA207">
        <f>'Kullanılan gübre'!AA207*'Gübre oranlar'!AD$3</f>
        <v>0</v>
      </c>
      <c r="AB207">
        <f>'Kullanılan gübre'!AB207*'Gübre oranlar'!AE$3</f>
        <v>0</v>
      </c>
      <c r="AC207">
        <f>'Kullanılan gübre'!AC207*'Gübre oranlar'!AF$3</f>
        <v>0</v>
      </c>
      <c r="AD207">
        <f>'Kullanılan gübre'!AD207*'Gübre oranlar'!AG$3</f>
        <v>0</v>
      </c>
      <c r="AE207">
        <f>'Kullanılan gübre'!AE207*'Gübre oranlar'!AH$3</f>
        <v>0</v>
      </c>
      <c r="AF207">
        <f>'Kullanılan gübre'!AF207*'Gübre oranlar'!AI$3</f>
        <v>0</v>
      </c>
      <c r="AG207">
        <f>'Kullanılan gübre'!AG207*'Gübre oranlar'!AJ$3</f>
        <v>0</v>
      </c>
      <c r="AH207">
        <f>'Kullanılan gübre'!AH207*'Gübre oranlar'!AK$3</f>
        <v>0</v>
      </c>
      <c r="AI207">
        <f>'Kullanılan gübre'!AI207*'Gübre oranlar'!AL$3</f>
        <v>0</v>
      </c>
      <c r="AJ207">
        <f>'Kullanılan gübre'!AJ207*'Gübre oranlar'!AM$3</f>
        <v>0</v>
      </c>
      <c r="AK207">
        <f>'Kullanılan gübre'!AK207*'Gübre oranlar'!AN$3</f>
        <v>0</v>
      </c>
      <c r="AL207">
        <f>'Kullanılan gübre'!AL207*'Gübre oranlar'!AO$3</f>
        <v>0</v>
      </c>
      <c r="AM207">
        <f>'Kullanılan gübre'!AM207*'Gübre oranlar'!AP$3</f>
        <v>0</v>
      </c>
      <c r="AN207">
        <f>'Kullanılan gübre'!AN207*'Gübre oranlar'!AQ$3</f>
        <v>0</v>
      </c>
      <c r="AO207">
        <f>'Kullanılan gübre'!AO207*'Gübre oranlar'!AR$3</f>
        <v>0</v>
      </c>
      <c r="AP207">
        <f>'Kullanılan gübre'!AP207*'Gübre oranlar'!AS$3</f>
        <v>0</v>
      </c>
      <c r="AQ207">
        <f>'Kullanılan gübre'!AQ207*'Gübre oranlar'!AT$3</f>
        <v>0</v>
      </c>
      <c r="AR207">
        <f>'Kullanılan gübre'!AR207*'Gübre oranlar'!AU$3</f>
        <v>0</v>
      </c>
      <c r="AS207">
        <f>'Kullanılan gübre'!AS207*'Gübre oranlar'!AV$3</f>
        <v>0</v>
      </c>
      <c r="AT207">
        <f>'Kullanılan gübre'!AT207*'Gübre oranlar'!AW$3</f>
        <v>0</v>
      </c>
      <c r="AU207">
        <f>'Kullanılan gübre'!AU207*'Gübre oranlar'!AX$3</f>
        <v>0</v>
      </c>
      <c r="AV207">
        <f>'Kullanılan gübre'!AV207*'Gübre oranlar'!AY$3</f>
        <v>0</v>
      </c>
      <c r="AW207">
        <f t="shared" si="3"/>
        <v>16.349999999999998</v>
      </c>
    </row>
    <row r="208" spans="1:49" x14ac:dyDescent="0.25">
      <c r="A208" t="str">
        <f>'Kullanılan gübre'!A208</f>
        <v>BA</v>
      </c>
      <c r="B208" t="str">
        <f>'Kullanılan gübre'!B208</f>
        <v>ANTALYA</v>
      </c>
      <c r="C208" t="str">
        <f>'Kullanılan gübre'!C208</f>
        <v>KUMLUCA</v>
      </c>
      <c r="D208">
        <f>'Kullanılan gübre'!D208</f>
        <v>2016</v>
      </c>
      <c r="E208">
        <f>'Kullanılan gübre'!E208*'Gübre oranlar'!H$3</f>
        <v>0</v>
      </c>
      <c r="F208">
        <f>'Kullanılan gübre'!F208*'Gübre oranlar'!I$3</f>
        <v>0</v>
      </c>
      <c r="G208">
        <f>'Kullanılan gübre'!G208*'Gübre oranlar'!J$3</f>
        <v>0</v>
      </c>
      <c r="H208">
        <f>'Kullanılan gübre'!H208*'Gübre oranlar'!K$3</f>
        <v>0</v>
      </c>
      <c r="I208">
        <f>'Kullanılan gübre'!I208*'Gübre oranlar'!L$3</f>
        <v>1.29</v>
      </c>
      <c r="J208">
        <f>'Kullanılan gübre'!J208*'Gübre oranlar'!M$3</f>
        <v>0</v>
      </c>
      <c r="K208">
        <f>'Kullanılan gübre'!K208*'Gübre oranlar'!N$3</f>
        <v>15.4</v>
      </c>
      <c r="L208">
        <f>'Kullanılan gübre'!L208*'Gübre oranlar'!O$3</f>
        <v>0</v>
      </c>
      <c r="M208">
        <f>'Kullanılan gübre'!M208*'Gübre oranlar'!P$3</f>
        <v>203.4</v>
      </c>
      <c r="N208">
        <f>'Kullanılan gübre'!N208*'Gübre oranlar'!Q$3</f>
        <v>64.349999999999994</v>
      </c>
      <c r="O208">
        <f>'Kullanılan gübre'!O208*'Gübre oranlar'!R$3</f>
        <v>0</v>
      </c>
      <c r="P208">
        <f>'Kullanılan gübre'!P208*'Gübre oranlar'!S$3</f>
        <v>0</v>
      </c>
      <c r="Q208">
        <f>'Kullanılan gübre'!Q208*'Gübre oranlar'!T$3</f>
        <v>187.79999999999998</v>
      </c>
      <c r="R208">
        <f>'Kullanılan gübre'!R208*'Gübre oranlar'!U$3</f>
        <v>0</v>
      </c>
      <c r="S208">
        <f>'Kullanılan gübre'!S208*'Gübre oranlar'!V$3</f>
        <v>0</v>
      </c>
      <c r="T208">
        <f>'Kullanılan gübre'!T208*'Gübre oranlar'!W$3</f>
        <v>0</v>
      </c>
      <c r="U208">
        <f>'Kullanılan gübre'!U208*'Gübre oranlar'!X$3</f>
        <v>40.1</v>
      </c>
      <c r="V208">
        <f>'Kullanılan gübre'!V208*'Gübre oranlar'!Y$3</f>
        <v>0</v>
      </c>
      <c r="W208">
        <f>'Kullanılan gübre'!W208*'Gübre oranlar'!Z$3</f>
        <v>0</v>
      </c>
      <c r="X208">
        <f>'Kullanılan gübre'!X208*'Gübre oranlar'!AA$3</f>
        <v>142.6</v>
      </c>
      <c r="Y208">
        <f>'Kullanılan gübre'!Y208*'Gübre oranlar'!AB$3</f>
        <v>0</v>
      </c>
      <c r="Z208">
        <f>'Kullanılan gübre'!Z208*'Gübre oranlar'!AC$3</f>
        <v>0</v>
      </c>
      <c r="AA208">
        <f>'Kullanılan gübre'!AA208*'Gübre oranlar'!AD$3</f>
        <v>0</v>
      </c>
      <c r="AB208">
        <f>'Kullanılan gübre'!AB208*'Gübre oranlar'!AE$3</f>
        <v>156.16</v>
      </c>
      <c r="AC208">
        <f>'Kullanılan gübre'!AC208*'Gübre oranlar'!AF$3</f>
        <v>0</v>
      </c>
      <c r="AD208">
        <f>'Kullanılan gübre'!AD208*'Gübre oranlar'!AG$3</f>
        <v>0</v>
      </c>
      <c r="AE208">
        <f>'Kullanılan gübre'!AE208*'Gübre oranlar'!AH$3</f>
        <v>31</v>
      </c>
      <c r="AF208">
        <f>'Kullanılan gübre'!AF208*'Gübre oranlar'!AI$3</f>
        <v>0</v>
      </c>
      <c r="AG208">
        <f>'Kullanılan gübre'!AG208*'Gübre oranlar'!AJ$3</f>
        <v>0</v>
      </c>
      <c r="AH208">
        <f>'Kullanılan gübre'!AH208*'Gübre oranlar'!AK$3</f>
        <v>40.32</v>
      </c>
      <c r="AI208">
        <f>'Kullanılan gübre'!AI208*'Gübre oranlar'!AL$3</f>
        <v>0</v>
      </c>
      <c r="AJ208">
        <f>'Kullanılan gübre'!AJ208*'Gübre oranlar'!AM$3</f>
        <v>0</v>
      </c>
      <c r="AK208">
        <f>'Kullanılan gübre'!AK208*'Gübre oranlar'!AN$3</f>
        <v>0</v>
      </c>
      <c r="AL208">
        <f>'Kullanılan gübre'!AL208*'Gübre oranlar'!AO$3</f>
        <v>0</v>
      </c>
      <c r="AM208">
        <f>'Kullanılan gübre'!AM208*'Gübre oranlar'!AP$3</f>
        <v>0</v>
      </c>
      <c r="AN208">
        <f>'Kullanılan gübre'!AN208*'Gübre oranlar'!AQ$3</f>
        <v>0</v>
      </c>
      <c r="AO208">
        <f>'Kullanılan gübre'!AO208*'Gübre oranlar'!AR$3</f>
        <v>0</v>
      </c>
      <c r="AP208">
        <f>'Kullanılan gübre'!AP208*'Gübre oranlar'!AS$3</f>
        <v>0</v>
      </c>
      <c r="AQ208">
        <f>'Kullanılan gübre'!AQ208*'Gübre oranlar'!AT$3</f>
        <v>0</v>
      </c>
      <c r="AR208">
        <f>'Kullanılan gübre'!AR208*'Gübre oranlar'!AU$3</f>
        <v>0</v>
      </c>
      <c r="AS208">
        <f>'Kullanılan gübre'!AS208*'Gübre oranlar'!AV$3</f>
        <v>202.56</v>
      </c>
      <c r="AT208">
        <f>'Kullanılan gübre'!AT208*'Gübre oranlar'!AW$3</f>
        <v>171.68</v>
      </c>
      <c r="AU208">
        <f>'Kullanılan gübre'!AU208*'Gübre oranlar'!AX$3</f>
        <v>0</v>
      </c>
      <c r="AV208">
        <f>'Kullanılan gübre'!AV208*'Gübre oranlar'!AY$3</f>
        <v>0</v>
      </c>
      <c r="AW208">
        <f t="shared" si="3"/>
        <v>1256.6600000000001</v>
      </c>
    </row>
    <row r="209" spans="1:49" x14ac:dyDescent="0.25">
      <c r="A209" t="str">
        <f>'Kullanılan gübre'!A209</f>
        <v>BA</v>
      </c>
      <c r="B209" t="str">
        <f>'Kullanılan gübre'!B209</f>
        <v>ANTALYA</v>
      </c>
      <c r="C209" t="str">
        <f>'Kullanılan gübre'!C209</f>
        <v>FINIKE</v>
      </c>
      <c r="D209">
        <f>'Kullanılan gübre'!D209</f>
        <v>2016</v>
      </c>
      <c r="E209">
        <f>'Kullanılan gübre'!E209*'Gübre oranlar'!H$3</f>
        <v>0</v>
      </c>
      <c r="F209">
        <f>'Kullanılan gübre'!F209*'Gübre oranlar'!I$3</f>
        <v>0</v>
      </c>
      <c r="G209">
        <f>'Kullanılan gübre'!G209*'Gübre oranlar'!J$3</f>
        <v>0</v>
      </c>
      <c r="H209">
        <f>'Kullanılan gübre'!H209*'Gübre oranlar'!K$3</f>
        <v>0</v>
      </c>
      <c r="I209">
        <f>'Kullanılan gübre'!I209*'Gübre oranlar'!L$3</f>
        <v>11.61</v>
      </c>
      <c r="J209">
        <f>'Kullanılan gübre'!J209*'Gübre oranlar'!M$3</f>
        <v>0</v>
      </c>
      <c r="K209">
        <f>'Kullanılan gübre'!K209*'Gübre oranlar'!N$3</f>
        <v>19.600000000000001</v>
      </c>
      <c r="L209">
        <f>'Kullanılan gübre'!L209*'Gübre oranlar'!O$3</f>
        <v>0</v>
      </c>
      <c r="M209">
        <f>'Kullanılan gübre'!M209*'Gübre oranlar'!P$3</f>
        <v>58.199999999999996</v>
      </c>
      <c r="N209">
        <f>'Kullanılan gübre'!N209*'Gübre oranlar'!Q$3</f>
        <v>95.7</v>
      </c>
      <c r="O209">
        <f>'Kullanılan gübre'!O209*'Gübre oranlar'!R$3</f>
        <v>0</v>
      </c>
      <c r="P209">
        <f>'Kullanılan gübre'!P209*'Gübre oranlar'!S$3</f>
        <v>0</v>
      </c>
      <c r="Q209">
        <f>'Kullanılan gübre'!Q209*'Gübre oranlar'!T$3</f>
        <v>78.599999999999994</v>
      </c>
      <c r="R209">
        <f>'Kullanılan gübre'!R209*'Gübre oranlar'!U$3</f>
        <v>0</v>
      </c>
      <c r="S209">
        <f>'Kullanılan gübre'!S209*'Gübre oranlar'!V$3</f>
        <v>0</v>
      </c>
      <c r="T209">
        <f>'Kullanılan gübre'!T209*'Gübre oranlar'!W$3</f>
        <v>0</v>
      </c>
      <c r="U209">
        <f>'Kullanılan gübre'!U209*'Gübre oranlar'!X$3</f>
        <v>6.75</v>
      </c>
      <c r="V209">
        <f>'Kullanılan gübre'!V209*'Gübre oranlar'!Y$3</f>
        <v>0</v>
      </c>
      <c r="W209">
        <f>'Kullanılan gübre'!W209*'Gübre oranlar'!Z$3</f>
        <v>0</v>
      </c>
      <c r="X209">
        <f>'Kullanılan gübre'!X209*'Gübre oranlar'!AA$3</f>
        <v>24.200000000000003</v>
      </c>
      <c r="Y209">
        <f>'Kullanılan gübre'!Y209*'Gübre oranlar'!AB$3</f>
        <v>0</v>
      </c>
      <c r="Z209">
        <f>'Kullanılan gübre'!Z209*'Gübre oranlar'!AC$3</f>
        <v>0</v>
      </c>
      <c r="AA209">
        <f>'Kullanılan gübre'!AA209*'Gübre oranlar'!AD$3</f>
        <v>0</v>
      </c>
      <c r="AB209">
        <f>'Kullanılan gübre'!AB209*'Gübre oranlar'!AE$3</f>
        <v>44.53</v>
      </c>
      <c r="AC209">
        <f>'Kullanılan gübre'!AC209*'Gübre oranlar'!AF$3</f>
        <v>0</v>
      </c>
      <c r="AD209">
        <f>'Kullanılan gübre'!AD209*'Gübre oranlar'!AG$3</f>
        <v>0</v>
      </c>
      <c r="AE209">
        <f>'Kullanılan gübre'!AE209*'Gübre oranlar'!AH$3</f>
        <v>53</v>
      </c>
      <c r="AF209">
        <f>'Kullanılan gübre'!AF209*'Gübre oranlar'!AI$3</f>
        <v>0</v>
      </c>
      <c r="AG209">
        <f>'Kullanılan gübre'!AG209*'Gübre oranlar'!AJ$3</f>
        <v>0</v>
      </c>
      <c r="AH209">
        <f>'Kullanılan gübre'!AH209*'Gübre oranlar'!AK$3</f>
        <v>72.64</v>
      </c>
      <c r="AI209">
        <f>'Kullanılan gübre'!AI209*'Gübre oranlar'!AL$3</f>
        <v>0</v>
      </c>
      <c r="AJ209">
        <f>'Kullanılan gübre'!AJ209*'Gübre oranlar'!AM$3</f>
        <v>0</v>
      </c>
      <c r="AK209">
        <f>'Kullanılan gübre'!AK209*'Gübre oranlar'!AN$3</f>
        <v>0</v>
      </c>
      <c r="AL209">
        <f>'Kullanılan gübre'!AL209*'Gübre oranlar'!AO$3</f>
        <v>0</v>
      </c>
      <c r="AM209">
        <f>'Kullanılan gübre'!AM209*'Gübre oranlar'!AP$3</f>
        <v>0</v>
      </c>
      <c r="AN209">
        <f>'Kullanılan gübre'!AN209*'Gübre oranlar'!AQ$3</f>
        <v>0</v>
      </c>
      <c r="AO209">
        <f>'Kullanılan gübre'!AO209*'Gübre oranlar'!AR$3</f>
        <v>0</v>
      </c>
      <c r="AP209">
        <f>'Kullanılan gübre'!AP209*'Gübre oranlar'!AS$3</f>
        <v>0</v>
      </c>
      <c r="AQ209">
        <f>'Kullanılan gübre'!AQ209*'Gübre oranlar'!AT$3</f>
        <v>0</v>
      </c>
      <c r="AR209">
        <f>'Kullanılan gübre'!AR209*'Gübre oranlar'!AU$3</f>
        <v>0</v>
      </c>
      <c r="AS209">
        <f>'Kullanılan gübre'!AS209*'Gübre oranlar'!AV$3</f>
        <v>109.44</v>
      </c>
      <c r="AT209">
        <f>'Kullanılan gübre'!AT209*'Gübre oranlar'!AW$3</f>
        <v>9.6</v>
      </c>
      <c r="AU209">
        <f>'Kullanılan gübre'!AU209*'Gübre oranlar'!AX$3</f>
        <v>0</v>
      </c>
      <c r="AV209">
        <f>'Kullanılan gübre'!AV209*'Gübre oranlar'!AY$3</f>
        <v>0</v>
      </c>
      <c r="AW209">
        <f t="shared" si="3"/>
        <v>583.87</v>
      </c>
    </row>
    <row r="210" spans="1:49" x14ac:dyDescent="0.25">
      <c r="A210" t="str">
        <f>'Kullanılan gübre'!A210</f>
        <v>BA</v>
      </c>
      <c r="B210" t="str">
        <f>'Kullanılan gübre'!B210</f>
        <v>ANTALYA</v>
      </c>
      <c r="C210" t="str">
        <f>'Kullanılan gübre'!C210</f>
        <v>DEMRE</v>
      </c>
      <c r="D210">
        <f>'Kullanılan gübre'!D210</f>
        <v>2016</v>
      </c>
      <c r="E210">
        <f>'Kullanılan gübre'!E210*'Gübre oranlar'!H$3</f>
        <v>0</v>
      </c>
      <c r="F210">
        <f>'Kullanılan gübre'!F210*'Gübre oranlar'!I$3</f>
        <v>0</v>
      </c>
      <c r="G210">
        <f>'Kullanılan gübre'!G210*'Gübre oranlar'!J$3</f>
        <v>0</v>
      </c>
      <c r="H210">
        <f>'Kullanılan gübre'!H210*'Gübre oranlar'!K$3</f>
        <v>0</v>
      </c>
      <c r="I210">
        <f>'Kullanılan gübre'!I210*'Gübre oranlar'!L$3</f>
        <v>0.43</v>
      </c>
      <c r="J210">
        <f>'Kullanılan gübre'!J210*'Gübre oranlar'!M$3</f>
        <v>0</v>
      </c>
      <c r="K210">
        <f>'Kullanılan gübre'!K210*'Gübre oranlar'!N$3</f>
        <v>12.4</v>
      </c>
      <c r="L210">
        <f>'Kullanılan gübre'!L210*'Gübre oranlar'!O$3</f>
        <v>0</v>
      </c>
      <c r="M210">
        <f>'Kullanılan gübre'!M210*'Gübre oranlar'!P$3</f>
        <v>4.2</v>
      </c>
      <c r="N210">
        <f>'Kullanılan gübre'!N210*'Gübre oranlar'!Q$3</f>
        <v>14.25</v>
      </c>
      <c r="O210">
        <f>'Kullanılan gübre'!O210*'Gübre oranlar'!R$3</f>
        <v>0</v>
      </c>
      <c r="P210">
        <f>'Kullanılan gübre'!P210*'Gübre oranlar'!S$3</f>
        <v>0</v>
      </c>
      <c r="Q210">
        <f>'Kullanılan gübre'!Q210*'Gübre oranlar'!T$3</f>
        <v>0</v>
      </c>
      <c r="R210">
        <f>'Kullanılan gübre'!R210*'Gübre oranlar'!U$3</f>
        <v>0</v>
      </c>
      <c r="S210">
        <f>'Kullanılan gübre'!S210*'Gübre oranlar'!V$3</f>
        <v>0</v>
      </c>
      <c r="T210">
        <f>'Kullanılan gübre'!T210*'Gübre oranlar'!W$3</f>
        <v>0</v>
      </c>
      <c r="U210">
        <f>'Kullanılan gübre'!U210*'Gübre oranlar'!X$3</f>
        <v>0.55000000000000004</v>
      </c>
      <c r="V210">
        <f>'Kullanılan gübre'!V210*'Gübre oranlar'!Y$3</f>
        <v>0</v>
      </c>
      <c r="W210">
        <f>'Kullanılan gübre'!W210*'Gübre oranlar'!Z$3</f>
        <v>0</v>
      </c>
      <c r="X210">
        <f>'Kullanılan gübre'!X210*'Gübre oranlar'!AA$3</f>
        <v>0</v>
      </c>
      <c r="Y210">
        <f>'Kullanılan gübre'!Y210*'Gübre oranlar'!AB$3</f>
        <v>0</v>
      </c>
      <c r="Z210">
        <f>'Kullanılan gübre'!Z210*'Gübre oranlar'!AC$3</f>
        <v>0</v>
      </c>
      <c r="AA210">
        <f>'Kullanılan gübre'!AA210*'Gübre oranlar'!AD$3</f>
        <v>0</v>
      </c>
      <c r="AB210">
        <f>'Kullanılan gübre'!AB210*'Gübre oranlar'!AE$3</f>
        <v>29.28</v>
      </c>
      <c r="AC210">
        <f>'Kullanılan gübre'!AC210*'Gübre oranlar'!AF$3</f>
        <v>0</v>
      </c>
      <c r="AD210">
        <f>'Kullanılan gübre'!AD210*'Gübre oranlar'!AG$3</f>
        <v>0</v>
      </c>
      <c r="AE210">
        <f>'Kullanılan gübre'!AE210*'Gübre oranlar'!AH$3</f>
        <v>0</v>
      </c>
      <c r="AF210">
        <f>'Kullanılan gübre'!AF210*'Gübre oranlar'!AI$3</f>
        <v>0</v>
      </c>
      <c r="AG210">
        <f>'Kullanılan gübre'!AG210*'Gübre oranlar'!AJ$3</f>
        <v>0</v>
      </c>
      <c r="AH210">
        <f>'Kullanılan gübre'!AH210*'Gübre oranlar'!AK$3</f>
        <v>0</v>
      </c>
      <c r="AI210">
        <f>'Kullanılan gübre'!AI210*'Gübre oranlar'!AL$3</f>
        <v>0</v>
      </c>
      <c r="AJ210">
        <f>'Kullanılan gübre'!AJ210*'Gübre oranlar'!AM$3</f>
        <v>0</v>
      </c>
      <c r="AK210">
        <f>'Kullanılan gübre'!AK210*'Gübre oranlar'!AN$3</f>
        <v>0</v>
      </c>
      <c r="AL210">
        <f>'Kullanılan gübre'!AL210*'Gübre oranlar'!AO$3</f>
        <v>0</v>
      </c>
      <c r="AM210">
        <f>'Kullanılan gübre'!AM210*'Gübre oranlar'!AP$3</f>
        <v>0</v>
      </c>
      <c r="AN210">
        <f>'Kullanılan gübre'!AN210*'Gübre oranlar'!AQ$3</f>
        <v>0</v>
      </c>
      <c r="AO210">
        <f>'Kullanılan gübre'!AO210*'Gübre oranlar'!AR$3</f>
        <v>0</v>
      </c>
      <c r="AP210">
        <f>'Kullanılan gübre'!AP210*'Gübre oranlar'!AS$3</f>
        <v>0</v>
      </c>
      <c r="AQ210">
        <f>'Kullanılan gübre'!AQ210*'Gübre oranlar'!AT$3</f>
        <v>0</v>
      </c>
      <c r="AR210">
        <f>'Kullanılan gübre'!AR210*'Gübre oranlar'!AU$3</f>
        <v>0</v>
      </c>
      <c r="AS210">
        <f>'Kullanılan gübre'!AS210*'Gübre oranlar'!AV$3</f>
        <v>0</v>
      </c>
      <c r="AT210">
        <f>'Kullanılan gübre'!AT210*'Gübre oranlar'!AW$3</f>
        <v>0</v>
      </c>
      <c r="AU210">
        <f>'Kullanılan gübre'!AU210*'Gübre oranlar'!AX$3</f>
        <v>0</v>
      </c>
      <c r="AV210">
        <f>'Kullanılan gübre'!AV210*'Gübre oranlar'!AY$3</f>
        <v>0</v>
      </c>
      <c r="AW210">
        <f t="shared" si="3"/>
        <v>61.11</v>
      </c>
    </row>
    <row r="211" spans="1:49" x14ac:dyDescent="0.25">
      <c r="A211" t="str">
        <f>'Kullanılan gübre'!A211</f>
        <v>BA</v>
      </c>
      <c r="B211" t="str">
        <f>'Kullanılan gübre'!B211</f>
        <v>ANTALYA</v>
      </c>
      <c r="C211" t="str">
        <f>'Kullanılan gübre'!C211</f>
        <v>KAS</v>
      </c>
      <c r="D211">
        <f>'Kullanılan gübre'!D211</f>
        <v>2016</v>
      </c>
      <c r="E211">
        <f>'Kullanılan gübre'!E211*'Gübre oranlar'!H$3</f>
        <v>0</v>
      </c>
      <c r="F211">
        <f>'Kullanılan gübre'!F211*'Gübre oranlar'!I$3</f>
        <v>0</v>
      </c>
      <c r="G211">
        <f>'Kullanılan gübre'!G211*'Gübre oranlar'!J$3</f>
        <v>0</v>
      </c>
      <c r="H211">
        <f>'Kullanılan gübre'!H211*'Gübre oranlar'!K$3</f>
        <v>0</v>
      </c>
      <c r="I211">
        <f>'Kullanılan gübre'!I211*'Gübre oranlar'!L$3</f>
        <v>0</v>
      </c>
      <c r="J211">
        <f>'Kullanılan gübre'!J211*'Gübre oranlar'!M$3</f>
        <v>0</v>
      </c>
      <c r="K211">
        <f>'Kullanılan gübre'!K211*'Gübre oranlar'!N$3</f>
        <v>2</v>
      </c>
      <c r="L211">
        <f>'Kullanılan gübre'!L211*'Gübre oranlar'!O$3</f>
        <v>0</v>
      </c>
      <c r="M211">
        <f>'Kullanılan gübre'!M211*'Gübre oranlar'!P$3</f>
        <v>2.25</v>
      </c>
      <c r="N211">
        <f>'Kullanılan gübre'!N211*'Gübre oranlar'!Q$3</f>
        <v>6.8999999999999995</v>
      </c>
      <c r="O211">
        <f>'Kullanılan gübre'!O211*'Gübre oranlar'!R$3</f>
        <v>0</v>
      </c>
      <c r="P211">
        <f>'Kullanılan gübre'!P211*'Gübre oranlar'!S$3</f>
        <v>0</v>
      </c>
      <c r="Q211">
        <f>'Kullanılan gübre'!Q211*'Gübre oranlar'!T$3</f>
        <v>0</v>
      </c>
      <c r="R211">
        <f>'Kullanılan gübre'!R211*'Gübre oranlar'!U$3</f>
        <v>0</v>
      </c>
      <c r="S211">
        <f>'Kullanılan gübre'!S211*'Gübre oranlar'!V$3</f>
        <v>0</v>
      </c>
      <c r="T211">
        <f>'Kullanılan gübre'!T211*'Gübre oranlar'!W$3</f>
        <v>0</v>
      </c>
      <c r="U211">
        <f>'Kullanılan gübre'!U211*'Gübre oranlar'!X$3</f>
        <v>4.1000000000000005</v>
      </c>
      <c r="V211">
        <f>'Kullanılan gübre'!V211*'Gübre oranlar'!Y$3</f>
        <v>0</v>
      </c>
      <c r="W211">
        <f>'Kullanılan gübre'!W211*'Gübre oranlar'!Z$3</f>
        <v>0</v>
      </c>
      <c r="X211">
        <f>'Kullanılan gübre'!X211*'Gübre oranlar'!AA$3</f>
        <v>7</v>
      </c>
      <c r="Y211">
        <f>'Kullanılan gübre'!Y211*'Gübre oranlar'!AB$3</f>
        <v>0</v>
      </c>
      <c r="Z211">
        <f>'Kullanılan gübre'!Z211*'Gübre oranlar'!AC$3</f>
        <v>0</v>
      </c>
      <c r="AA211">
        <f>'Kullanılan gübre'!AA211*'Gübre oranlar'!AD$3</f>
        <v>0</v>
      </c>
      <c r="AB211">
        <f>'Kullanılan gübre'!AB211*'Gübre oranlar'!AE$3</f>
        <v>0</v>
      </c>
      <c r="AC211">
        <f>'Kullanılan gübre'!AC211*'Gübre oranlar'!AF$3</f>
        <v>0</v>
      </c>
      <c r="AD211">
        <f>'Kullanılan gübre'!AD211*'Gübre oranlar'!AG$3</f>
        <v>0</v>
      </c>
      <c r="AE211">
        <f>'Kullanılan gübre'!AE211*'Gübre oranlar'!AH$3</f>
        <v>0</v>
      </c>
      <c r="AF211">
        <f>'Kullanılan gübre'!AF211*'Gübre oranlar'!AI$3</f>
        <v>0</v>
      </c>
      <c r="AG211">
        <f>'Kullanılan gübre'!AG211*'Gübre oranlar'!AJ$3</f>
        <v>0</v>
      </c>
      <c r="AH211">
        <f>'Kullanılan gübre'!AH211*'Gübre oranlar'!AK$3</f>
        <v>0</v>
      </c>
      <c r="AI211">
        <f>'Kullanılan gübre'!AI211*'Gübre oranlar'!AL$3</f>
        <v>0</v>
      </c>
      <c r="AJ211">
        <f>'Kullanılan gübre'!AJ211*'Gübre oranlar'!AM$3</f>
        <v>0</v>
      </c>
      <c r="AK211">
        <f>'Kullanılan gübre'!AK211*'Gübre oranlar'!AN$3</f>
        <v>0</v>
      </c>
      <c r="AL211">
        <f>'Kullanılan gübre'!AL211*'Gübre oranlar'!AO$3</f>
        <v>0</v>
      </c>
      <c r="AM211">
        <f>'Kullanılan gübre'!AM211*'Gübre oranlar'!AP$3</f>
        <v>0</v>
      </c>
      <c r="AN211">
        <f>'Kullanılan gübre'!AN211*'Gübre oranlar'!AQ$3</f>
        <v>0</v>
      </c>
      <c r="AO211">
        <f>'Kullanılan gübre'!AO211*'Gübre oranlar'!AR$3</f>
        <v>0</v>
      </c>
      <c r="AP211">
        <f>'Kullanılan gübre'!AP211*'Gübre oranlar'!AS$3</f>
        <v>0</v>
      </c>
      <c r="AQ211">
        <f>'Kullanılan gübre'!AQ211*'Gübre oranlar'!AT$3</f>
        <v>0</v>
      </c>
      <c r="AR211">
        <f>'Kullanılan gübre'!AR211*'Gübre oranlar'!AU$3</f>
        <v>0</v>
      </c>
      <c r="AS211">
        <f>'Kullanılan gübre'!AS211*'Gübre oranlar'!AV$3</f>
        <v>8.16</v>
      </c>
      <c r="AT211">
        <f>'Kullanılan gübre'!AT211*'Gübre oranlar'!AW$3</f>
        <v>0.48</v>
      </c>
      <c r="AU211">
        <f>'Kullanılan gübre'!AU211*'Gübre oranlar'!AX$3</f>
        <v>0</v>
      </c>
      <c r="AV211">
        <f>'Kullanılan gübre'!AV211*'Gübre oranlar'!AY$3</f>
        <v>0</v>
      </c>
      <c r="AW211">
        <f t="shared" si="3"/>
        <v>30.89</v>
      </c>
    </row>
    <row r="212" spans="1:49" x14ac:dyDescent="0.25">
      <c r="A212" t="str">
        <f>'Kullanılan gübre'!A212</f>
        <v>BA</v>
      </c>
      <c r="B212" t="str">
        <f>'Kullanılan gübre'!B212</f>
        <v>ANTALYA</v>
      </c>
      <c r="C212" t="str">
        <f>'Kullanılan gübre'!C212</f>
        <v>KORKUTELI</v>
      </c>
      <c r="D212">
        <f>'Kullanılan gübre'!D212</f>
        <v>2016</v>
      </c>
      <c r="E212">
        <f>'Kullanılan gübre'!E212*'Gübre oranlar'!H$3</f>
        <v>0</v>
      </c>
      <c r="F212">
        <f>'Kullanılan gübre'!F212*'Gübre oranlar'!I$3</f>
        <v>0</v>
      </c>
      <c r="G212">
        <f>'Kullanılan gübre'!G212*'Gübre oranlar'!J$3</f>
        <v>0</v>
      </c>
      <c r="H212">
        <f>'Kullanılan gübre'!H212*'Gübre oranlar'!K$3</f>
        <v>0</v>
      </c>
      <c r="I212">
        <f>'Kullanılan gübre'!I212*'Gübre oranlar'!L$3</f>
        <v>12.47</v>
      </c>
      <c r="J212">
        <f>'Kullanılan gübre'!J212*'Gübre oranlar'!M$3</f>
        <v>0</v>
      </c>
      <c r="K212">
        <f>'Kullanılan gübre'!K212*'Gübre oranlar'!N$3</f>
        <v>1037.8</v>
      </c>
      <c r="L212">
        <f>'Kullanılan gübre'!L212*'Gübre oranlar'!O$3</f>
        <v>39.6</v>
      </c>
      <c r="M212">
        <f>'Kullanılan gübre'!M212*'Gübre oranlar'!P$3</f>
        <v>96.75</v>
      </c>
      <c r="N212">
        <f>'Kullanılan gübre'!N212*'Gübre oranlar'!Q$3</f>
        <v>123.3</v>
      </c>
      <c r="O212">
        <f>'Kullanılan gübre'!O212*'Gübre oranlar'!R$3</f>
        <v>0</v>
      </c>
      <c r="P212">
        <f>'Kullanılan gübre'!P212*'Gübre oranlar'!S$3</f>
        <v>0</v>
      </c>
      <c r="Q212">
        <f>'Kullanılan gübre'!Q212*'Gübre oranlar'!T$3</f>
        <v>0</v>
      </c>
      <c r="R212">
        <f>'Kullanılan gübre'!R212*'Gübre oranlar'!U$3</f>
        <v>0</v>
      </c>
      <c r="S212">
        <f>'Kullanılan gübre'!S212*'Gübre oranlar'!V$3</f>
        <v>0</v>
      </c>
      <c r="T212">
        <f>'Kullanılan gübre'!T212*'Gübre oranlar'!W$3</f>
        <v>0</v>
      </c>
      <c r="U212">
        <f>'Kullanılan gübre'!U212*'Gübre oranlar'!X$3</f>
        <v>20.700000000000003</v>
      </c>
      <c r="V212">
        <f>'Kullanılan gübre'!V212*'Gübre oranlar'!Y$3</f>
        <v>0</v>
      </c>
      <c r="W212">
        <f>'Kullanılan gübre'!W212*'Gübre oranlar'!Z$3</f>
        <v>0</v>
      </c>
      <c r="X212">
        <f>'Kullanılan gübre'!X212*'Gübre oranlar'!AA$3</f>
        <v>6.4</v>
      </c>
      <c r="Y212">
        <f>'Kullanılan gübre'!Y212*'Gübre oranlar'!AB$3</f>
        <v>0</v>
      </c>
      <c r="Z212">
        <f>'Kullanılan gübre'!Z212*'Gübre oranlar'!AC$3</f>
        <v>0</v>
      </c>
      <c r="AA212">
        <f>'Kullanılan gübre'!AA212*'Gübre oranlar'!AD$3</f>
        <v>0</v>
      </c>
      <c r="AB212">
        <f>'Kullanılan gübre'!AB212*'Gübre oranlar'!AE$3</f>
        <v>16.47</v>
      </c>
      <c r="AC212">
        <f>'Kullanılan gübre'!AC212*'Gübre oranlar'!AF$3</f>
        <v>0</v>
      </c>
      <c r="AD212">
        <f>'Kullanılan gübre'!AD212*'Gübre oranlar'!AG$3</f>
        <v>0</v>
      </c>
      <c r="AE212">
        <f>'Kullanılan gübre'!AE212*'Gübre oranlar'!AH$3</f>
        <v>7</v>
      </c>
      <c r="AF212">
        <f>'Kullanılan gübre'!AF212*'Gübre oranlar'!AI$3</f>
        <v>0</v>
      </c>
      <c r="AG212">
        <f>'Kullanılan gübre'!AG212*'Gübre oranlar'!AJ$3</f>
        <v>0</v>
      </c>
      <c r="AH212">
        <f>'Kullanılan gübre'!AH212*'Gübre oranlar'!AK$3</f>
        <v>203.84</v>
      </c>
      <c r="AI212">
        <f>'Kullanılan gübre'!AI212*'Gübre oranlar'!AL$3</f>
        <v>0</v>
      </c>
      <c r="AJ212">
        <f>'Kullanılan gübre'!AJ212*'Gübre oranlar'!AM$3</f>
        <v>0</v>
      </c>
      <c r="AK212">
        <f>'Kullanılan gübre'!AK212*'Gübre oranlar'!AN$3</f>
        <v>0</v>
      </c>
      <c r="AL212">
        <f>'Kullanılan gübre'!AL212*'Gübre oranlar'!AO$3</f>
        <v>0</v>
      </c>
      <c r="AM212">
        <f>'Kullanılan gübre'!AM212*'Gübre oranlar'!AP$3</f>
        <v>0</v>
      </c>
      <c r="AN212">
        <f>'Kullanılan gübre'!AN212*'Gübre oranlar'!AQ$3</f>
        <v>0</v>
      </c>
      <c r="AO212">
        <f>'Kullanılan gübre'!AO212*'Gübre oranlar'!AR$3</f>
        <v>0</v>
      </c>
      <c r="AP212">
        <f>'Kullanılan gübre'!AP212*'Gübre oranlar'!AS$3</f>
        <v>0</v>
      </c>
      <c r="AQ212">
        <f>'Kullanılan gübre'!AQ212*'Gübre oranlar'!AT$3</f>
        <v>0</v>
      </c>
      <c r="AR212">
        <f>'Kullanılan gübre'!AR212*'Gübre oranlar'!AU$3</f>
        <v>0</v>
      </c>
      <c r="AS212">
        <f>'Kullanılan gübre'!AS212*'Gübre oranlar'!AV$3</f>
        <v>39.839999999999996</v>
      </c>
      <c r="AT212">
        <f>'Kullanılan gübre'!AT212*'Gübre oranlar'!AW$3</f>
        <v>8.9600000000000009</v>
      </c>
      <c r="AU212">
        <f>'Kullanılan gübre'!AU212*'Gübre oranlar'!AX$3</f>
        <v>0</v>
      </c>
      <c r="AV212">
        <f>'Kullanılan gübre'!AV212*'Gübre oranlar'!AY$3</f>
        <v>0</v>
      </c>
      <c r="AW212">
        <f t="shared" si="3"/>
        <v>1613.1299999999999</v>
      </c>
    </row>
    <row r="213" spans="1:49" x14ac:dyDescent="0.25">
      <c r="A213" t="str">
        <f>'Kullanılan gübre'!A213</f>
        <v>BA</v>
      </c>
      <c r="B213" t="str">
        <f>'Kullanılan gübre'!B213</f>
        <v>ANTALYA</v>
      </c>
      <c r="C213" t="str">
        <f>'Kullanılan gübre'!C213</f>
        <v>ELMALI</v>
      </c>
      <c r="D213">
        <f>'Kullanılan gübre'!D213</f>
        <v>2016</v>
      </c>
      <c r="E213">
        <f>'Kullanılan gübre'!E213*'Gübre oranlar'!H$3</f>
        <v>0</v>
      </c>
      <c r="F213">
        <f>'Kullanılan gübre'!F213*'Gübre oranlar'!I$3</f>
        <v>0</v>
      </c>
      <c r="G213">
        <f>'Kullanılan gübre'!G213*'Gübre oranlar'!J$3</f>
        <v>0</v>
      </c>
      <c r="H213">
        <f>'Kullanılan gübre'!H213*'Gübre oranlar'!K$3</f>
        <v>0</v>
      </c>
      <c r="I213">
        <f>'Kullanılan gübre'!I213*'Gübre oranlar'!L$3</f>
        <v>27.95</v>
      </c>
      <c r="J213">
        <f>'Kullanılan gübre'!J213*'Gübre oranlar'!M$3</f>
        <v>0</v>
      </c>
      <c r="K213">
        <f>'Kullanılan gübre'!K213*'Gübre oranlar'!N$3</f>
        <v>248</v>
      </c>
      <c r="L213">
        <f>'Kullanılan gübre'!L213*'Gübre oranlar'!O$3</f>
        <v>31.6</v>
      </c>
      <c r="M213">
        <f>'Kullanılan gübre'!M213*'Gübre oranlar'!P$3</f>
        <v>106.64999999999999</v>
      </c>
      <c r="N213">
        <f>'Kullanılan gübre'!N213*'Gübre oranlar'!Q$3</f>
        <v>100.64999999999999</v>
      </c>
      <c r="O213">
        <f>'Kullanılan gübre'!O213*'Gübre oranlar'!R$3</f>
        <v>0</v>
      </c>
      <c r="P213">
        <f>'Kullanılan gübre'!P213*'Gübre oranlar'!S$3</f>
        <v>0</v>
      </c>
      <c r="Q213">
        <f>'Kullanılan gübre'!Q213*'Gübre oranlar'!T$3</f>
        <v>213.6</v>
      </c>
      <c r="R213">
        <f>'Kullanılan gübre'!R213*'Gübre oranlar'!U$3</f>
        <v>0</v>
      </c>
      <c r="S213">
        <f>'Kullanılan gübre'!S213*'Gübre oranlar'!V$3</f>
        <v>0</v>
      </c>
      <c r="T213">
        <f>'Kullanılan gübre'!T213*'Gübre oranlar'!W$3</f>
        <v>0</v>
      </c>
      <c r="U213">
        <f>'Kullanılan gübre'!U213*'Gübre oranlar'!X$3</f>
        <v>1.1000000000000001</v>
      </c>
      <c r="V213">
        <f>'Kullanılan gübre'!V213*'Gübre oranlar'!Y$3</f>
        <v>0</v>
      </c>
      <c r="W213">
        <f>'Kullanılan gübre'!W213*'Gübre oranlar'!Z$3</f>
        <v>0</v>
      </c>
      <c r="X213">
        <f>'Kullanılan gübre'!X213*'Gübre oranlar'!AA$3</f>
        <v>16.8</v>
      </c>
      <c r="Y213">
        <f>'Kullanılan gübre'!Y213*'Gübre oranlar'!AB$3</f>
        <v>0</v>
      </c>
      <c r="Z213">
        <f>'Kullanılan gübre'!Z213*'Gübre oranlar'!AC$3</f>
        <v>0</v>
      </c>
      <c r="AA213">
        <f>'Kullanılan gübre'!AA213*'Gübre oranlar'!AD$3</f>
        <v>0</v>
      </c>
      <c r="AB213">
        <f>'Kullanılan gübre'!AB213*'Gübre oranlar'!AE$3</f>
        <v>39.04</v>
      </c>
      <c r="AC213">
        <f>'Kullanılan gübre'!AC213*'Gübre oranlar'!AF$3</f>
        <v>0</v>
      </c>
      <c r="AD213">
        <f>'Kullanılan gübre'!AD213*'Gübre oranlar'!AG$3</f>
        <v>0</v>
      </c>
      <c r="AE213">
        <f>'Kullanılan gübre'!AE213*'Gübre oranlar'!AH$3</f>
        <v>4</v>
      </c>
      <c r="AF213">
        <f>'Kullanılan gübre'!AF213*'Gübre oranlar'!AI$3</f>
        <v>0</v>
      </c>
      <c r="AG213">
        <f>'Kullanılan gübre'!AG213*'Gübre oranlar'!AJ$3</f>
        <v>0</v>
      </c>
      <c r="AH213">
        <f>'Kullanılan gübre'!AH213*'Gübre oranlar'!AK$3</f>
        <v>4.8</v>
      </c>
      <c r="AI213">
        <f>'Kullanılan gübre'!AI213*'Gübre oranlar'!AL$3</f>
        <v>0</v>
      </c>
      <c r="AJ213">
        <f>'Kullanılan gübre'!AJ213*'Gübre oranlar'!AM$3</f>
        <v>0</v>
      </c>
      <c r="AK213">
        <f>'Kullanılan gübre'!AK213*'Gübre oranlar'!AN$3</f>
        <v>0</v>
      </c>
      <c r="AL213">
        <f>'Kullanılan gübre'!AL213*'Gübre oranlar'!AO$3</f>
        <v>0</v>
      </c>
      <c r="AM213">
        <f>'Kullanılan gübre'!AM213*'Gübre oranlar'!AP$3</f>
        <v>0</v>
      </c>
      <c r="AN213">
        <f>'Kullanılan gübre'!AN213*'Gübre oranlar'!AQ$3</f>
        <v>0</v>
      </c>
      <c r="AO213">
        <f>'Kullanılan gübre'!AO213*'Gübre oranlar'!AR$3</f>
        <v>0</v>
      </c>
      <c r="AP213">
        <f>'Kullanılan gübre'!AP213*'Gübre oranlar'!AS$3</f>
        <v>0</v>
      </c>
      <c r="AQ213">
        <f>'Kullanılan gübre'!AQ213*'Gübre oranlar'!AT$3</f>
        <v>0</v>
      </c>
      <c r="AR213">
        <f>'Kullanılan gübre'!AR213*'Gübre oranlar'!AU$3</f>
        <v>0</v>
      </c>
      <c r="AS213">
        <f>'Kullanılan gübre'!AS213*'Gübre oranlar'!AV$3</f>
        <v>35.76</v>
      </c>
      <c r="AT213">
        <f>'Kullanılan gübre'!AT213*'Gübre oranlar'!AW$3</f>
        <v>0</v>
      </c>
      <c r="AU213">
        <f>'Kullanılan gübre'!AU213*'Gübre oranlar'!AX$3</f>
        <v>0</v>
      </c>
      <c r="AV213">
        <f>'Kullanılan gübre'!AV213*'Gübre oranlar'!AY$3</f>
        <v>0</v>
      </c>
      <c r="AW213">
        <f t="shared" si="3"/>
        <v>829.94999999999993</v>
      </c>
    </row>
    <row r="214" spans="1:49" x14ac:dyDescent="0.25">
      <c r="A214" t="str">
        <f>'Kullanılan gübre'!A214</f>
        <v>BA</v>
      </c>
      <c r="B214" t="str">
        <f>'Kullanılan gübre'!B214</f>
        <v>ANTALYA</v>
      </c>
      <c r="C214" t="str">
        <f>'Kullanılan gübre'!C214</f>
        <v>KEMER</v>
      </c>
      <c r="D214">
        <f>'Kullanılan gübre'!D214</f>
        <v>2017</v>
      </c>
      <c r="E214">
        <f>'Kullanılan gübre'!E214*'Gübre oranlar'!H$3</f>
        <v>0</v>
      </c>
      <c r="F214">
        <f>'Kullanılan gübre'!F214*'Gübre oranlar'!I$3</f>
        <v>0</v>
      </c>
      <c r="G214">
        <f>'Kullanılan gübre'!G214*'Gübre oranlar'!J$3</f>
        <v>0</v>
      </c>
      <c r="H214">
        <f>'Kullanılan gübre'!H214*'Gübre oranlar'!K$3</f>
        <v>0</v>
      </c>
      <c r="I214">
        <f>'Kullanılan gübre'!I214*'Gübre oranlar'!L$3</f>
        <v>0</v>
      </c>
      <c r="J214">
        <f>'Kullanılan gübre'!J214*'Gübre oranlar'!M$3</f>
        <v>0</v>
      </c>
      <c r="K214">
        <f>'Kullanılan gübre'!K214*'Gübre oranlar'!N$3</f>
        <v>6.6000000000000005</v>
      </c>
      <c r="L214">
        <f>'Kullanılan gübre'!L214*'Gübre oranlar'!O$3</f>
        <v>0</v>
      </c>
      <c r="M214">
        <f>'Kullanılan gübre'!M214*'Gübre oranlar'!P$3</f>
        <v>0</v>
      </c>
      <c r="N214">
        <f>'Kullanılan gübre'!N214*'Gübre oranlar'!Q$3</f>
        <v>17.099999999999998</v>
      </c>
      <c r="O214">
        <f>'Kullanılan gübre'!O214*'Gübre oranlar'!R$3</f>
        <v>0</v>
      </c>
      <c r="P214">
        <f>'Kullanılan gübre'!P214*'Gübre oranlar'!S$3</f>
        <v>0</v>
      </c>
      <c r="Q214">
        <f>'Kullanılan gübre'!Q214*'Gübre oranlar'!T$3</f>
        <v>0</v>
      </c>
      <c r="R214">
        <f>'Kullanılan gübre'!R214*'Gübre oranlar'!U$3</f>
        <v>0</v>
      </c>
      <c r="S214">
        <f>'Kullanılan gübre'!S214*'Gübre oranlar'!V$3</f>
        <v>0</v>
      </c>
      <c r="T214">
        <f>'Kullanılan gübre'!T214*'Gübre oranlar'!W$3</f>
        <v>0</v>
      </c>
      <c r="U214">
        <f>'Kullanılan gübre'!U214*'Gübre oranlar'!X$3</f>
        <v>0</v>
      </c>
      <c r="V214">
        <f>'Kullanılan gübre'!V214*'Gübre oranlar'!Y$3</f>
        <v>0</v>
      </c>
      <c r="W214">
        <f>'Kullanılan gübre'!W214*'Gübre oranlar'!Z$3</f>
        <v>0</v>
      </c>
      <c r="X214">
        <f>'Kullanılan gübre'!X214*'Gübre oranlar'!AA$3</f>
        <v>0</v>
      </c>
      <c r="Y214">
        <f>'Kullanılan gübre'!Y214*'Gübre oranlar'!AB$3</f>
        <v>0</v>
      </c>
      <c r="Z214">
        <f>'Kullanılan gübre'!Z214*'Gübre oranlar'!AC$3</f>
        <v>0</v>
      </c>
      <c r="AA214">
        <f>'Kullanılan gübre'!AA214*'Gübre oranlar'!AD$3</f>
        <v>0</v>
      </c>
      <c r="AB214">
        <f>'Kullanılan gübre'!AB214*'Gübre oranlar'!AE$3</f>
        <v>0</v>
      </c>
      <c r="AC214">
        <f>'Kullanılan gübre'!AC214*'Gübre oranlar'!AF$3</f>
        <v>0</v>
      </c>
      <c r="AD214">
        <f>'Kullanılan gübre'!AD214*'Gübre oranlar'!AG$3</f>
        <v>0</v>
      </c>
      <c r="AE214">
        <f>'Kullanılan gübre'!AE214*'Gübre oranlar'!AH$3</f>
        <v>0</v>
      </c>
      <c r="AF214">
        <f>'Kullanılan gübre'!AF214*'Gübre oranlar'!AI$3</f>
        <v>0</v>
      </c>
      <c r="AG214">
        <f>'Kullanılan gübre'!AG214*'Gübre oranlar'!AJ$3</f>
        <v>0</v>
      </c>
      <c r="AH214">
        <f>'Kullanılan gübre'!AH214*'Gübre oranlar'!AK$3</f>
        <v>0</v>
      </c>
      <c r="AI214">
        <f>'Kullanılan gübre'!AI214*'Gübre oranlar'!AL$3</f>
        <v>0</v>
      </c>
      <c r="AJ214">
        <f>'Kullanılan gübre'!AJ214*'Gübre oranlar'!AM$3</f>
        <v>0</v>
      </c>
      <c r="AK214">
        <f>'Kullanılan gübre'!AK214*'Gübre oranlar'!AN$3</f>
        <v>0</v>
      </c>
      <c r="AL214">
        <f>'Kullanılan gübre'!AL214*'Gübre oranlar'!AO$3</f>
        <v>0</v>
      </c>
      <c r="AM214">
        <f>'Kullanılan gübre'!AM214*'Gübre oranlar'!AP$3</f>
        <v>0</v>
      </c>
      <c r="AN214">
        <f>'Kullanılan gübre'!AN214*'Gübre oranlar'!AQ$3</f>
        <v>0</v>
      </c>
      <c r="AO214">
        <f>'Kullanılan gübre'!AO214*'Gübre oranlar'!AR$3</f>
        <v>0</v>
      </c>
      <c r="AP214">
        <f>'Kullanılan gübre'!AP214*'Gübre oranlar'!AS$3</f>
        <v>0</v>
      </c>
      <c r="AQ214">
        <f>'Kullanılan gübre'!AQ214*'Gübre oranlar'!AT$3</f>
        <v>0</v>
      </c>
      <c r="AR214">
        <f>'Kullanılan gübre'!AR214*'Gübre oranlar'!AU$3</f>
        <v>0</v>
      </c>
      <c r="AS214">
        <f>'Kullanılan gübre'!AS214*'Gübre oranlar'!AV$3</f>
        <v>0</v>
      </c>
      <c r="AT214">
        <f>'Kullanılan gübre'!AT214*'Gübre oranlar'!AW$3</f>
        <v>0</v>
      </c>
      <c r="AU214">
        <f>'Kullanılan gübre'!AU214*'Gübre oranlar'!AX$3</f>
        <v>0</v>
      </c>
      <c r="AV214">
        <f>'Kullanılan gübre'!AV214*'Gübre oranlar'!AY$3</f>
        <v>0</v>
      </c>
      <c r="AW214">
        <f t="shared" si="3"/>
        <v>23.7</v>
      </c>
    </row>
    <row r="215" spans="1:49" x14ac:dyDescent="0.25">
      <c r="A215" t="str">
        <f>'Kullanılan gübre'!A215</f>
        <v>BA</v>
      </c>
      <c r="B215" t="str">
        <f>'Kullanılan gübre'!B215</f>
        <v>ANTALYA</v>
      </c>
      <c r="C215" t="str">
        <f>'Kullanılan gübre'!C215</f>
        <v>KUMLUCA</v>
      </c>
      <c r="D215">
        <f>'Kullanılan gübre'!D215</f>
        <v>2017</v>
      </c>
      <c r="E215">
        <f>'Kullanılan gübre'!E215*'Gübre oranlar'!H$3</f>
        <v>0</v>
      </c>
      <c r="F215">
        <f>'Kullanılan gübre'!F215*'Gübre oranlar'!I$3</f>
        <v>0</v>
      </c>
      <c r="G215">
        <f>'Kullanılan gübre'!G215*'Gübre oranlar'!J$3</f>
        <v>0</v>
      </c>
      <c r="H215">
        <f>'Kullanılan gübre'!H215*'Gübre oranlar'!K$3</f>
        <v>0</v>
      </c>
      <c r="I215">
        <f>'Kullanılan gübre'!I215*'Gübre oranlar'!L$3</f>
        <v>0</v>
      </c>
      <c r="J215">
        <f>'Kullanılan gübre'!J215*'Gübre oranlar'!M$3</f>
        <v>0</v>
      </c>
      <c r="K215">
        <f>'Kullanılan gübre'!K215*'Gübre oranlar'!N$3</f>
        <v>30.6</v>
      </c>
      <c r="L215">
        <f>'Kullanılan gübre'!L215*'Gübre oranlar'!O$3</f>
        <v>0</v>
      </c>
      <c r="M215">
        <f>'Kullanılan gübre'!M215*'Gübre oranlar'!P$3</f>
        <v>281.55</v>
      </c>
      <c r="N215">
        <f>'Kullanılan gübre'!N215*'Gübre oranlar'!Q$3</f>
        <v>47.55</v>
      </c>
      <c r="O215">
        <f>'Kullanılan gübre'!O215*'Gübre oranlar'!R$3</f>
        <v>0</v>
      </c>
      <c r="P215">
        <f>'Kullanılan gübre'!P215*'Gübre oranlar'!S$3</f>
        <v>0</v>
      </c>
      <c r="Q215">
        <f>'Kullanılan gübre'!Q215*'Gübre oranlar'!T$3</f>
        <v>65.099999999999994</v>
      </c>
      <c r="R215">
        <f>'Kullanılan gübre'!R215*'Gübre oranlar'!U$3</f>
        <v>0</v>
      </c>
      <c r="S215">
        <f>'Kullanılan gübre'!S215*'Gübre oranlar'!V$3</f>
        <v>0</v>
      </c>
      <c r="T215">
        <f>'Kullanılan gübre'!T215*'Gübre oranlar'!W$3</f>
        <v>0</v>
      </c>
      <c r="U215">
        <f>'Kullanılan gübre'!U215*'Gübre oranlar'!X$3</f>
        <v>63.550000000000004</v>
      </c>
      <c r="V215">
        <f>'Kullanılan gübre'!V215*'Gübre oranlar'!Y$3</f>
        <v>0</v>
      </c>
      <c r="W215">
        <f>'Kullanılan gübre'!W215*'Gübre oranlar'!Z$3</f>
        <v>63.599999999999994</v>
      </c>
      <c r="X215">
        <f>'Kullanılan gübre'!X215*'Gübre oranlar'!AA$3</f>
        <v>0</v>
      </c>
      <c r="Y215">
        <f>'Kullanılan gübre'!Y215*'Gübre oranlar'!AB$3</f>
        <v>0</v>
      </c>
      <c r="Z215">
        <f>'Kullanılan gübre'!Z215*'Gübre oranlar'!AC$3</f>
        <v>0</v>
      </c>
      <c r="AA215">
        <f>'Kullanılan gübre'!AA215*'Gübre oranlar'!AD$3</f>
        <v>0</v>
      </c>
      <c r="AB215">
        <f>'Kullanılan gübre'!AB215*'Gübre oranlar'!AE$3</f>
        <v>132.97999999999999</v>
      </c>
      <c r="AC215">
        <f>'Kullanılan gübre'!AC215*'Gübre oranlar'!AF$3</f>
        <v>0</v>
      </c>
      <c r="AD215">
        <f>'Kullanılan gübre'!AD215*'Gübre oranlar'!AG$3</f>
        <v>0</v>
      </c>
      <c r="AE215">
        <f>'Kullanılan gübre'!AE215*'Gübre oranlar'!AH$3</f>
        <v>9</v>
      </c>
      <c r="AF215">
        <f>'Kullanılan gübre'!AF215*'Gübre oranlar'!AI$3</f>
        <v>0</v>
      </c>
      <c r="AG215">
        <f>'Kullanılan gübre'!AG215*'Gübre oranlar'!AJ$3</f>
        <v>0</v>
      </c>
      <c r="AH215">
        <f>'Kullanılan gübre'!AH215*'Gübre oranlar'!AK$3</f>
        <v>72.960000000000008</v>
      </c>
      <c r="AI215">
        <f>'Kullanılan gübre'!AI215*'Gübre oranlar'!AL$3</f>
        <v>82.4</v>
      </c>
      <c r="AJ215">
        <f>'Kullanılan gübre'!AJ215*'Gübre oranlar'!AM$3</f>
        <v>23.25</v>
      </c>
      <c r="AK215">
        <f>'Kullanılan gübre'!AK215*'Gübre oranlar'!AN$3</f>
        <v>0</v>
      </c>
      <c r="AL215">
        <f>'Kullanılan gübre'!AL215*'Gübre oranlar'!AO$3</f>
        <v>0</v>
      </c>
      <c r="AM215">
        <f>'Kullanılan gübre'!AM215*'Gübre oranlar'!AP$3</f>
        <v>0</v>
      </c>
      <c r="AN215">
        <f>'Kullanılan gübre'!AN215*'Gübre oranlar'!AQ$3</f>
        <v>0</v>
      </c>
      <c r="AO215">
        <f>'Kullanılan gübre'!AO215*'Gübre oranlar'!AR$3</f>
        <v>0</v>
      </c>
      <c r="AP215">
        <f>'Kullanılan gübre'!AP215*'Gübre oranlar'!AS$3</f>
        <v>0</v>
      </c>
      <c r="AQ215">
        <f>'Kullanılan gübre'!AQ215*'Gübre oranlar'!AT$3</f>
        <v>0</v>
      </c>
      <c r="AR215">
        <f>'Kullanılan gübre'!AR215*'Gübre oranlar'!AU$3</f>
        <v>0</v>
      </c>
      <c r="AS215">
        <f>'Kullanılan gübre'!AS215*'Gübre oranlar'!AV$3</f>
        <v>0</v>
      </c>
      <c r="AT215">
        <f>'Kullanılan gübre'!AT215*'Gübre oranlar'!AW$3</f>
        <v>0</v>
      </c>
      <c r="AU215">
        <f>'Kullanılan gübre'!AU215*'Gübre oranlar'!AX$3</f>
        <v>0</v>
      </c>
      <c r="AV215">
        <f>'Kullanılan gübre'!AV215*'Gübre oranlar'!AY$3</f>
        <v>0</v>
      </c>
      <c r="AW215">
        <f t="shared" si="3"/>
        <v>872.54000000000008</v>
      </c>
    </row>
    <row r="216" spans="1:49" x14ac:dyDescent="0.25">
      <c r="A216" t="str">
        <f>'Kullanılan gübre'!A216</f>
        <v>BA</v>
      </c>
      <c r="B216" t="str">
        <f>'Kullanılan gübre'!B216</f>
        <v>ANTALYA</v>
      </c>
      <c r="C216" t="str">
        <f>'Kullanılan gübre'!C216</f>
        <v>FINIKE</v>
      </c>
      <c r="D216">
        <f>'Kullanılan gübre'!D216</f>
        <v>2017</v>
      </c>
      <c r="E216">
        <f>'Kullanılan gübre'!E216*'Gübre oranlar'!H$3</f>
        <v>0</v>
      </c>
      <c r="F216">
        <f>'Kullanılan gübre'!F216*'Gübre oranlar'!I$3</f>
        <v>0</v>
      </c>
      <c r="G216">
        <f>'Kullanılan gübre'!G216*'Gübre oranlar'!J$3</f>
        <v>0</v>
      </c>
      <c r="H216">
        <f>'Kullanılan gübre'!H216*'Gübre oranlar'!K$3</f>
        <v>0</v>
      </c>
      <c r="I216">
        <f>'Kullanılan gübre'!I216*'Gübre oranlar'!L$3</f>
        <v>28.38</v>
      </c>
      <c r="J216">
        <f>'Kullanılan gübre'!J216*'Gübre oranlar'!M$3</f>
        <v>0</v>
      </c>
      <c r="K216">
        <f>'Kullanılan gübre'!K216*'Gübre oranlar'!N$3</f>
        <v>10.200000000000001</v>
      </c>
      <c r="L216">
        <f>'Kullanılan gübre'!L216*'Gübre oranlar'!O$3</f>
        <v>0</v>
      </c>
      <c r="M216">
        <f>'Kullanılan gübre'!M216*'Gübre oranlar'!P$3</f>
        <v>28.5</v>
      </c>
      <c r="N216">
        <f>'Kullanılan gübre'!N216*'Gübre oranlar'!Q$3</f>
        <v>75.899999999999991</v>
      </c>
      <c r="O216">
        <f>'Kullanılan gübre'!O216*'Gübre oranlar'!R$3</f>
        <v>0</v>
      </c>
      <c r="P216">
        <f>'Kullanılan gübre'!P216*'Gübre oranlar'!S$3</f>
        <v>0</v>
      </c>
      <c r="Q216">
        <f>'Kullanılan gübre'!Q216*'Gübre oranlar'!T$3</f>
        <v>48.6</v>
      </c>
      <c r="R216">
        <f>'Kullanılan gübre'!R216*'Gübre oranlar'!U$3</f>
        <v>0</v>
      </c>
      <c r="S216">
        <f>'Kullanılan gübre'!S216*'Gübre oranlar'!V$3</f>
        <v>0</v>
      </c>
      <c r="T216">
        <f>'Kullanılan gübre'!T216*'Gübre oranlar'!W$3</f>
        <v>0</v>
      </c>
      <c r="U216">
        <f>'Kullanılan gübre'!U216*'Gübre oranlar'!X$3</f>
        <v>20.100000000000001</v>
      </c>
      <c r="V216">
        <f>'Kullanılan gübre'!V216*'Gübre oranlar'!Y$3</f>
        <v>0</v>
      </c>
      <c r="W216">
        <f>'Kullanılan gübre'!W216*'Gübre oranlar'!Z$3</f>
        <v>100.32</v>
      </c>
      <c r="X216">
        <f>'Kullanılan gübre'!X216*'Gübre oranlar'!AA$3</f>
        <v>0</v>
      </c>
      <c r="Y216">
        <f>'Kullanılan gübre'!Y216*'Gübre oranlar'!AB$3</f>
        <v>0</v>
      </c>
      <c r="Z216">
        <f>'Kullanılan gübre'!Z216*'Gübre oranlar'!AC$3</f>
        <v>0</v>
      </c>
      <c r="AA216">
        <f>'Kullanılan gübre'!AA216*'Gübre oranlar'!AD$3</f>
        <v>0</v>
      </c>
      <c r="AB216">
        <f>'Kullanılan gübre'!AB216*'Gübre oranlar'!AE$3</f>
        <v>37.82</v>
      </c>
      <c r="AC216">
        <f>'Kullanılan gübre'!AC216*'Gübre oranlar'!AF$3</f>
        <v>0</v>
      </c>
      <c r="AD216">
        <f>'Kullanılan gübre'!AD216*'Gübre oranlar'!AG$3</f>
        <v>0</v>
      </c>
      <c r="AE216">
        <f>'Kullanılan gübre'!AE216*'Gübre oranlar'!AH$3</f>
        <v>33.75</v>
      </c>
      <c r="AF216">
        <f>'Kullanılan gübre'!AF216*'Gübre oranlar'!AI$3</f>
        <v>0</v>
      </c>
      <c r="AG216">
        <f>'Kullanılan gübre'!AG216*'Gübre oranlar'!AJ$3</f>
        <v>0</v>
      </c>
      <c r="AH216">
        <f>'Kullanılan gübre'!AH216*'Gübre oranlar'!AK$3</f>
        <v>7.04</v>
      </c>
      <c r="AI216">
        <f>'Kullanılan gübre'!AI216*'Gübre oranlar'!AL$3</f>
        <v>25.8</v>
      </c>
      <c r="AJ216">
        <f>'Kullanılan gübre'!AJ216*'Gübre oranlar'!AM$3</f>
        <v>1.75</v>
      </c>
      <c r="AK216">
        <f>'Kullanılan gübre'!AK216*'Gübre oranlar'!AN$3</f>
        <v>0</v>
      </c>
      <c r="AL216">
        <f>'Kullanılan gübre'!AL216*'Gübre oranlar'!AO$3</f>
        <v>0</v>
      </c>
      <c r="AM216">
        <f>'Kullanılan gübre'!AM216*'Gübre oranlar'!AP$3</f>
        <v>0</v>
      </c>
      <c r="AN216">
        <f>'Kullanılan gübre'!AN216*'Gübre oranlar'!AQ$3</f>
        <v>0</v>
      </c>
      <c r="AO216">
        <f>'Kullanılan gübre'!AO216*'Gübre oranlar'!AR$3</f>
        <v>0</v>
      </c>
      <c r="AP216">
        <f>'Kullanılan gübre'!AP216*'Gübre oranlar'!AS$3</f>
        <v>0</v>
      </c>
      <c r="AQ216">
        <f>'Kullanılan gübre'!AQ216*'Gübre oranlar'!AT$3</f>
        <v>0</v>
      </c>
      <c r="AR216">
        <f>'Kullanılan gübre'!AR216*'Gübre oranlar'!AU$3</f>
        <v>0</v>
      </c>
      <c r="AS216">
        <f>'Kullanılan gübre'!AS216*'Gübre oranlar'!AV$3</f>
        <v>0</v>
      </c>
      <c r="AT216">
        <f>'Kullanılan gübre'!AT216*'Gübre oranlar'!AW$3</f>
        <v>0</v>
      </c>
      <c r="AU216">
        <f>'Kullanılan gübre'!AU216*'Gübre oranlar'!AX$3</f>
        <v>0</v>
      </c>
      <c r="AV216">
        <f>'Kullanılan gübre'!AV216*'Gübre oranlar'!AY$3</f>
        <v>0</v>
      </c>
      <c r="AW216">
        <f t="shared" si="3"/>
        <v>418.16</v>
      </c>
    </row>
    <row r="217" spans="1:49" x14ac:dyDescent="0.25">
      <c r="A217" t="str">
        <f>'Kullanılan gübre'!A217</f>
        <v>BA</v>
      </c>
      <c r="B217" t="str">
        <f>'Kullanılan gübre'!B217</f>
        <v>ANTALYA</v>
      </c>
      <c r="C217" t="str">
        <f>'Kullanılan gübre'!C217</f>
        <v>DEMRE</v>
      </c>
      <c r="D217">
        <f>'Kullanılan gübre'!D217</f>
        <v>2017</v>
      </c>
      <c r="E217">
        <f>'Kullanılan gübre'!E217*'Gübre oranlar'!H$3</f>
        <v>0</v>
      </c>
      <c r="F217">
        <f>'Kullanılan gübre'!F217*'Gübre oranlar'!I$3</f>
        <v>0</v>
      </c>
      <c r="G217">
        <f>'Kullanılan gübre'!G217*'Gübre oranlar'!J$3</f>
        <v>0</v>
      </c>
      <c r="H217">
        <f>'Kullanılan gübre'!H217*'Gübre oranlar'!K$3</f>
        <v>0</v>
      </c>
      <c r="I217">
        <f>'Kullanılan gübre'!I217*'Gübre oranlar'!L$3</f>
        <v>0</v>
      </c>
      <c r="J217">
        <f>'Kullanılan gübre'!J217*'Gübre oranlar'!M$3</f>
        <v>0</v>
      </c>
      <c r="K217">
        <f>'Kullanılan gübre'!K217*'Gübre oranlar'!N$3</f>
        <v>0</v>
      </c>
      <c r="L217">
        <f>'Kullanılan gübre'!L217*'Gübre oranlar'!O$3</f>
        <v>0</v>
      </c>
      <c r="M217">
        <f>'Kullanılan gübre'!M217*'Gübre oranlar'!P$3</f>
        <v>0</v>
      </c>
      <c r="N217">
        <f>'Kullanılan gübre'!N217*'Gübre oranlar'!Q$3</f>
        <v>20.399999999999999</v>
      </c>
      <c r="O217">
        <f>'Kullanılan gübre'!O217*'Gübre oranlar'!R$3</f>
        <v>0</v>
      </c>
      <c r="P217">
        <f>'Kullanılan gübre'!P217*'Gübre oranlar'!S$3</f>
        <v>0</v>
      </c>
      <c r="Q217">
        <f>'Kullanılan gübre'!Q217*'Gübre oranlar'!T$3</f>
        <v>0</v>
      </c>
      <c r="R217">
        <f>'Kullanılan gübre'!R217*'Gübre oranlar'!U$3</f>
        <v>0</v>
      </c>
      <c r="S217">
        <f>'Kullanılan gübre'!S217*'Gübre oranlar'!V$3</f>
        <v>0</v>
      </c>
      <c r="T217">
        <f>'Kullanılan gübre'!T217*'Gübre oranlar'!W$3</f>
        <v>0</v>
      </c>
      <c r="U217">
        <f>'Kullanılan gübre'!U217*'Gübre oranlar'!X$3</f>
        <v>0</v>
      </c>
      <c r="V217">
        <f>'Kullanılan gübre'!V217*'Gübre oranlar'!Y$3</f>
        <v>0</v>
      </c>
      <c r="W217">
        <f>'Kullanılan gübre'!W217*'Gübre oranlar'!Z$3</f>
        <v>0</v>
      </c>
      <c r="X217">
        <f>'Kullanılan gübre'!X217*'Gübre oranlar'!AA$3</f>
        <v>0</v>
      </c>
      <c r="Y217">
        <f>'Kullanılan gübre'!Y217*'Gübre oranlar'!AB$3</f>
        <v>0</v>
      </c>
      <c r="Z217">
        <f>'Kullanılan gübre'!Z217*'Gübre oranlar'!AC$3</f>
        <v>0</v>
      </c>
      <c r="AA217">
        <f>'Kullanılan gübre'!AA217*'Gübre oranlar'!AD$3</f>
        <v>0</v>
      </c>
      <c r="AB217">
        <f>'Kullanılan gübre'!AB217*'Gübre oranlar'!AE$3</f>
        <v>12.2</v>
      </c>
      <c r="AC217">
        <f>'Kullanılan gübre'!AC217*'Gübre oranlar'!AF$3</f>
        <v>0</v>
      </c>
      <c r="AD217">
        <f>'Kullanılan gübre'!AD217*'Gübre oranlar'!AG$3</f>
        <v>0</v>
      </c>
      <c r="AE217">
        <f>'Kullanılan gübre'!AE217*'Gübre oranlar'!AH$3</f>
        <v>0</v>
      </c>
      <c r="AF217">
        <f>'Kullanılan gübre'!AF217*'Gübre oranlar'!AI$3</f>
        <v>0</v>
      </c>
      <c r="AG217">
        <f>'Kullanılan gübre'!AG217*'Gübre oranlar'!AJ$3</f>
        <v>0</v>
      </c>
      <c r="AH217">
        <f>'Kullanılan gübre'!AH217*'Gübre oranlar'!AK$3</f>
        <v>0</v>
      </c>
      <c r="AI217">
        <f>'Kullanılan gübre'!AI217*'Gübre oranlar'!AL$3</f>
        <v>0</v>
      </c>
      <c r="AJ217">
        <f>'Kullanılan gübre'!AJ217*'Gübre oranlar'!AM$3</f>
        <v>0</v>
      </c>
      <c r="AK217">
        <f>'Kullanılan gübre'!AK217*'Gübre oranlar'!AN$3</f>
        <v>0</v>
      </c>
      <c r="AL217">
        <f>'Kullanılan gübre'!AL217*'Gübre oranlar'!AO$3</f>
        <v>0</v>
      </c>
      <c r="AM217">
        <f>'Kullanılan gübre'!AM217*'Gübre oranlar'!AP$3</f>
        <v>0</v>
      </c>
      <c r="AN217">
        <f>'Kullanılan gübre'!AN217*'Gübre oranlar'!AQ$3</f>
        <v>0</v>
      </c>
      <c r="AO217">
        <f>'Kullanılan gübre'!AO217*'Gübre oranlar'!AR$3</f>
        <v>0</v>
      </c>
      <c r="AP217">
        <f>'Kullanılan gübre'!AP217*'Gübre oranlar'!AS$3</f>
        <v>0</v>
      </c>
      <c r="AQ217">
        <f>'Kullanılan gübre'!AQ217*'Gübre oranlar'!AT$3</f>
        <v>0</v>
      </c>
      <c r="AR217">
        <f>'Kullanılan gübre'!AR217*'Gübre oranlar'!AU$3</f>
        <v>0</v>
      </c>
      <c r="AS217">
        <f>'Kullanılan gübre'!AS217*'Gübre oranlar'!AV$3</f>
        <v>0</v>
      </c>
      <c r="AT217">
        <f>'Kullanılan gübre'!AT217*'Gübre oranlar'!AW$3</f>
        <v>0</v>
      </c>
      <c r="AU217">
        <f>'Kullanılan gübre'!AU217*'Gübre oranlar'!AX$3</f>
        <v>0</v>
      </c>
      <c r="AV217">
        <f>'Kullanılan gübre'!AV217*'Gübre oranlar'!AY$3</f>
        <v>0</v>
      </c>
      <c r="AW217">
        <f t="shared" si="3"/>
        <v>32.599999999999994</v>
      </c>
    </row>
    <row r="218" spans="1:49" x14ac:dyDescent="0.25">
      <c r="A218" t="str">
        <f>'Kullanılan gübre'!A218</f>
        <v>BA</v>
      </c>
      <c r="B218" t="str">
        <f>'Kullanılan gübre'!B218</f>
        <v>ANTALYA</v>
      </c>
      <c r="C218" t="str">
        <f>'Kullanılan gübre'!C218</f>
        <v>KAS</v>
      </c>
      <c r="D218">
        <f>'Kullanılan gübre'!D218</f>
        <v>2017</v>
      </c>
      <c r="E218">
        <f>'Kullanılan gübre'!E218*'Gübre oranlar'!H$3</f>
        <v>0</v>
      </c>
      <c r="F218">
        <f>'Kullanılan gübre'!F218*'Gübre oranlar'!I$3</f>
        <v>0</v>
      </c>
      <c r="G218">
        <f>'Kullanılan gübre'!G218*'Gübre oranlar'!J$3</f>
        <v>0</v>
      </c>
      <c r="H218">
        <f>'Kullanılan gübre'!H218*'Gübre oranlar'!K$3</f>
        <v>0</v>
      </c>
      <c r="I218">
        <f>'Kullanılan gübre'!I218*'Gübre oranlar'!L$3</f>
        <v>0</v>
      </c>
      <c r="J218">
        <f>'Kullanılan gübre'!J218*'Gübre oranlar'!M$3</f>
        <v>0</v>
      </c>
      <c r="K218">
        <f>'Kullanılan gübre'!K218*'Gübre oranlar'!N$3</f>
        <v>7.2</v>
      </c>
      <c r="L218">
        <f>'Kullanılan gübre'!L218*'Gübre oranlar'!O$3</f>
        <v>0</v>
      </c>
      <c r="M218">
        <f>'Kullanılan gübre'!M218*'Gübre oranlar'!P$3</f>
        <v>12.15</v>
      </c>
      <c r="N218">
        <f>'Kullanılan gübre'!N218*'Gübre oranlar'!Q$3</f>
        <v>6.45</v>
      </c>
      <c r="O218">
        <f>'Kullanılan gübre'!O218*'Gübre oranlar'!R$3</f>
        <v>0</v>
      </c>
      <c r="P218">
        <f>'Kullanılan gübre'!P218*'Gübre oranlar'!S$3</f>
        <v>0</v>
      </c>
      <c r="Q218">
        <f>'Kullanılan gübre'!Q218*'Gübre oranlar'!T$3</f>
        <v>45</v>
      </c>
      <c r="R218">
        <f>'Kullanılan gübre'!R218*'Gübre oranlar'!U$3</f>
        <v>0</v>
      </c>
      <c r="S218">
        <f>'Kullanılan gübre'!S218*'Gübre oranlar'!V$3</f>
        <v>0</v>
      </c>
      <c r="T218">
        <f>'Kullanılan gübre'!T218*'Gübre oranlar'!W$3</f>
        <v>0</v>
      </c>
      <c r="U218">
        <f>'Kullanılan gübre'!U218*'Gübre oranlar'!X$3</f>
        <v>15.15</v>
      </c>
      <c r="V218">
        <f>'Kullanılan gübre'!V218*'Gübre oranlar'!Y$3</f>
        <v>0</v>
      </c>
      <c r="W218">
        <f>'Kullanılan gübre'!W218*'Gübre oranlar'!Z$3</f>
        <v>26.64</v>
      </c>
      <c r="X218">
        <f>'Kullanılan gübre'!X218*'Gübre oranlar'!AA$3</f>
        <v>0</v>
      </c>
      <c r="Y218">
        <f>'Kullanılan gübre'!Y218*'Gübre oranlar'!AB$3</f>
        <v>0</v>
      </c>
      <c r="Z218">
        <f>'Kullanılan gübre'!Z218*'Gübre oranlar'!AC$3</f>
        <v>0</v>
      </c>
      <c r="AA218">
        <f>'Kullanılan gübre'!AA218*'Gübre oranlar'!AD$3</f>
        <v>0</v>
      </c>
      <c r="AB218">
        <f>'Kullanılan gübre'!AB218*'Gübre oranlar'!AE$3</f>
        <v>22.57</v>
      </c>
      <c r="AC218">
        <f>'Kullanılan gübre'!AC218*'Gübre oranlar'!AF$3</f>
        <v>0</v>
      </c>
      <c r="AD218">
        <f>'Kullanılan gübre'!AD218*'Gübre oranlar'!AG$3</f>
        <v>0</v>
      </c>
      <c r="AE218">
        <f>'Kullanılan gübre'!AE218*'Gübre oranlar'!AH$3</f>
        <v>17.5</v>
      </c>
      <c r="AF218">
        <f>'Kullanılan gübre'!AF218*'Gübre oranlar'!AI$3</f>
        <v>0</v>
      </c>
      <c r="AG218">
        <f>'Kullanılan gübre'!AG218*'Gübre oranlar'!AJ$3</f>
        <v>0</v>
      </c>
      <c r="AH218">
        <f>'Kullanılan gübre'!AH218*'Gübre oranlar'!AK$3</f>
        <v>7.68</v>
      </c>
      <c r="AI218">
        <f>'Kullanılan gübre'!AI218*'Gübre oranlar'!AL$3</f>
        <v>14.700000000000001</v>
      </c>
      <c r="AJ218">
        <f>'Kullanılan gübre'!AJ218*'Gübre oranlar'!AM$3</f>
        <v>10.75</v>
      </c>
      <c r="AK218">
        <f>'Kullanılan gübre'!AK218*'Gübre oranlar'!AN$3</f>
        <v>0</v>
      </c>
      <c r="AL218">
        <f>'Kullanılan gübre'!AL218*'Gübre oranlar'!AO$3</f>
        <v>0</v>
      </c>
      <c r="AM218">
        <f>'Kullanılan gübre'!AM218*'Gübre oranlar'!AP$3</f>
        <v>0</v>
      </c>
      <c r="AN218">
        <f>'Kullanılan gübre'!AN218*'Gübre oranlar'!AQ$3</f>
        <v>0</v>
      </c>
      <c r="AO218">
        <f>'Kullanılan gübre'!AO218*'Gübre oranlar'!AR$3</f>
        <v>0</v>
      </c>
      <c r="AP218">
        <f>'Kullanılan gübre'!AP218*'Gübre oranlar'!AS$3</f>
        <v>0</v>
      </c>
      <c r="AQ218">
        <f>'Kullanılan gübre'!AQ218*'Gübre oranlar'!AT$3</f>
        <v>0</v>
      </c>
      <c r="AR218">
        <f>'Kullanılan gübre'!AR218*'Gübre oranlar'!AU$3</f>
        <v>0</v>
      </c>
      <c r="AS218">
        <f>'Kullanılan gübre'!AS218*'Gübre oranlar'!AV$3</f>
        <v>0</v>
      </c>
      <c r="AT218">
        <f>'Kullanılan gübre'!AT218*'Gübre oranlar'!AW$3</f>
        <v>0</v>
      </c>
      <c r="AU218">
        <f>'Kullanılan gübre'!AU218*'Gübre oranlar'!AX$3</f>
        <v>0</v>
      </c>
      <c r="AV218">
        <f>'Kullanılan gübre'!AV218*'Gübre oranlar'!AY$3</f>
        <v>0</v>
      </c>
      <c r="AW218">
        <f t="shared" si="3"/>
        <v>185.79</v>
      </c>
    </row>
    <row r="219" spans="1:49" x14ac:dyDescent="0.25">
      <c r="A219" t="str">
        <f>'Kullanılan gübre'!A219</f>
        <v>BA</v>
      </c>
      <c r="B219" t="str">
        <f>'Kullanılan gübre'!B219</f>
        <v>ANTALYA</v>
      </c>
      <c r="C219" t="str">
        <f>'Kullanılan gübre'!C219</f>
        <v>KORKUTELI</v>
      </c>
      <c r="D219">
        <f>'Kullanılan gübre'!D219</f>
        <v>2017</v>
      </c>
      <c r="E219">
        <f>'Kullanılan gübre'!E219*'Gübre oranlar'!H$3</f>
        <v>0</v>
      </c>
      <c r="F219">
        <f>'Kullanılan gübre'!F219*'Gübre oranlar'!I$3</f>
        <v>0</v>
      </c>
      <c r="G219">
        <f>'Kullanılan gübre'!G219*'Gübre oranlar'!J$3</f>
        <v>0</v>
      </c>
      <c r="H219">
        <f>'Kullanılan gübre'!H219*'Gübre oranlar'!K$3</f>
        <v>0</v>
      </c>
      <c r="I219">
        <f>'Kullanılan gübre'!I219*'Gübre oranlar'!L$3</f>
        <v>46.01</v>
      </c>
      <c r="J219">
        <f>'Kullanılan gübre'!J219*'Gübre oranlar'!M$3</f>
        <v>0</v>
      </c>
      <c r="K219">
        <f>'Kullanılan gübre'!K219*'Gübre oranlar'!N$3</f>
        <v>1401.4</v>
      </c>
      <c r="L219">
        <f>'Kullanılan gübre'!L219*'Gübre oranlar'!O$3</f>
        <v>42.6</v>
      </c>
      <c r="M219">
        <f>'Kullanılan gübre'!M219*'Gübre oranlar'!P$3</f>
        <v>179.1</v>
      </c>
      <c r="N219">
        <f>'Kullanılan gübre'!N219*'Gübre oranlar'!Q$3</f>
        <v>125.85</v>
      </c>
      <c r="O219">
        <f>'Kullanılan gübre'!O219*'Gübre oranlar'!R$3</f>
        <v>0</v>
      </c>
      <c r="P219">
        <f>'Kullanılan gübre'!P219*'Gübre oranlar'!S$3</f>
        <v>0</v>
      </c>
      <c r="Q219">
        <f>'Kullanılan gübre'!Q219*'Gübre oranlar'!T$3</f>
        <v>0</v>
      </c>
      <c r="R219">
        <f>'Kullanılan gübre'!R219*'Gübre oranlar'!U$3</f>
        <v>0</v>
      </c>
      <c r="S219">
        <f>'Kullanılan gübre'!S219*'Gübre oranlar'!V$3</f>
        <v>0</v>
      </c>
      <c r="T219">
        <f>'Kullanılan gübre'!T219*'Gübre oranlar'!W$3</f>
        <v>0</v>
      </c>
      <c r="U219">
        <f>'Kullanılan gübre'!U219*'Gübre oranlar'!X$3</f>
        <v>19.650000000000002</v>
      </c>
      <c r="V219">
        <f>'Kullanılan gübre'!V219*'Gübre oranlar'!Y$3</f>
        <v>0</v>
      </c>
      <c r="W219">
        <f>'Kullanılan gübre'!W219*'Gübre oranlar'!Z$3</f>
        <v>88.32</v>
      </c>
      <c r="X219">
        <f>'Kullanılan gübre'!X219*'Gübre oranlar'!AA$3</f>
        <v>0</v>
      </c>
      <c r="Y219">
        <f>'Kullanılan gübre'!Y219*'Gübre oranlar'!AB$3</f>
        <v>0</v>
      </c>
      <c r="Z219">
        <f>'Kullanılan gübre'!Z219*'Gübre oranlar'!AC$3</f>
        <v>0</v>
      </c>
      <c r="AA219">
        <f>'Kullanılan gübre'!AA219*'Gübre oranlar'!AD$3</f>
        <v>0</v>
      </c>
      <c r="AB219">
        <f>'Kullanılan gübre'!AB219*'Gübre oranlar'!AE$3</f>
        <v>16.47</v>
      </c>
      <c r="AC219">
        <f>'Kullanılan gübre'!AC219*'Gübre oranlar'!AF$3</f>
        <v>0</v>
      </c>
      <c r="AD219">
        <f>'Kullanılan gübre'!AD219*'Gübre oranlar'!AG$3</f>
        <v>0</v>
      </c>
      <c r="AE219">
        <f>'Kullanılan gübre'!AE219*'Gübre oranlar'!AH$3</f>
        <v>22.5</v>
      </c>
      <c r="AF219">
        <f>'Kullanılan gübre'!AF219*'Gübre oranlar'!AI$3</f>
        <v>0</v>
      </c>
      <c r="AG219">
        <f>'Kullanılan gübre'!AG219*'Gübre oranlar'!AJ$3</f>
        <v>0</v>
      </c>
      <c r="AH219">
        <f>'Kullanılan gübre'!AH219*'Gübre oranlar'!AK$3</f>
        <v>89.92</v>
      </c>
      <c r="AI219">
        <f>'Kullanılan gübre'!AI219*'Gübre oranlar'!AL$3</f>
        <v>19.600000000000001</v>
      </c>
      <c r="AJ219">
        <f>'Kullanılan gübre'!AJ219*'Gübre oranlar'!AM$3</f>
        <v>19.75</v>
      </c>
      <c r="AK219">
        <f>'Kullanılan gübre'!AK219*'Gübre oranlar'!AN$3</f>
        <v>0</v>
      </c>
      <c r="AL219">
        <f>'Kullanılan gübre'!AL219*'Gübre oranlar'!AO$3</f>
        <v>0</v>
      </c>
      <c r="AM219">
        <f>'Kullanılan gübre'!AM219*'Gübre oranlar'!AP$3</f>
        <v>0</v>
      </c>
      <c r="AN219">
        <f>'Kullanılan gübre'!AN219*'Gübre oranlar'!AQ$3</f>
        <v>0</v>
      </c>
      <c r="AO219">
        <f>'Kullanılan gübre'!AO219*'Gübre oranlar'!AR$3</f>
        <v>0</v>
      </c>
      <c r="AP219">
        <f>'Kullanılan gübre'!AP219*'Gübre oranlar'!AS$3</f>
        <v>0</v>
      </c>
      <c r="AQ219">
        <f>'Kullanılan gübre'!AQ219*'Gübre oranlar'!AT$3</f>
        <v>0</v>
      </c>
      <c r="AR219">
        <f>'Kullanılan gübre'!AR219*'Gübre oranlar'!AU$3</f>
        <v>0</v>
      </c>
      <c r="AS219">
        <f>'Kullanılan gübre'!AS219*'Gübre oranlar'!AV$3</f>
        <v>0</v>
      </c>
      <c r="AT219">
        <f>'Kullanılan gübre'!AT219*'Gübre oranlar'!AW$3</f>
        <v>0</v>
      </c>
      <c r="AU219">
        <f>'Kullanılan gübre'!AU219*'Gübre oranlar'!AX$3</f>
        <v>0</v>
      </c>
      <c r="AV219">
        <f>'Kullanılan gübre'!AV219*'Gübre oranlar'!AY$3</f>
        <v>0</v>
      </c>
      <c r="AW219">
        <f t="shared" si="3"/>
        <v>2071.17</v>
      </c>
    </row>
    <row r="220" spans="1:49" x14ac:dyDescent="0.25">
      <c r="A220" t="str">
        <f>'Kullanılan gübre'!A220</f>
        <v>BA</v>
      </c>
      <c r="B220" t="str">
        <f>'Kullanılan gübre'!B220</f>
        <v>ANTALYA</v>
      </c>
      <c r="C220" t="str">
        <f>'Kullanılan gübre'!C220</f>
        <v>ELMALI</v>
      </c>
      <c r="D220">
        <f>'Kullanılan gübre'!D220</f>
        <v>2017</v>
      </c>
      <c r="E220">
        <f>'Kullanılan gübre'!E220*'Gübre oranlar'!H$3</f>
        <v>0</v>
      </c>
      <c r="F220">
        <f>'Kullanılan gübre'!F220*'Gübre oranlar'!I$3</f>
        <v>0</v>
      </c>
      <c r="G220">
        <f>'Kullanılan gübre'!G220*'Gübre oranlar'!J$3</f>
        <v>0</v>
      </c>
      <c r="H220">
        <f>'Kullanılan gübre'!H220*'Gübre oranlar'!K$3</f>
        <v>0</v>
      </c>
      <c r="I220">
        <f>'Kullanılan gübre'!I220*'Gübre oranlar'!L$3</f>
        <v>49.019999999999996</v>
      </c>
      <c r="J220">
        <f>'Kullanılan gübre'!J220*'Gübre oranlar'!M$3</f>
        <v>0</v>
      </c>
      <c r="K220">
        <f>'Kullanılan gübre'!K220*'Gübre oranlar'!N$3</f>
        <v>274.2</v>
      </c>
      <c r="L220">
        <f>'Kullanılan gübre'!L220*'Gübre oranlar'!O$3</f>
        <v>39.6</v>
      </c>
      <c r="M220">
        <f>'Kullanılan gübre'!M220*'Gübre oranlar'!P$3</f>
        <v>57.75</v>
      </c>
      <c r="N220">
        <f>'Kullanılan gübre'!N220*'Gübre oranlar'!Q$3</f>
        <v>149.69999999999999</v>
      </c>
      <c r="O220">
        <f>'Kullanılan gübre'!O220*'Gübre oranlar'!R$3</f>
        <v>0</v>
      </c>
      <c r="P220">
        <f>'Kullanılan gübre'!P220*'Gübre oranlar'!S$3</f>
        <v>0</v>
      </c>
      <c r="Q220">
        <f>'Kullanılan gübre'!Q220*'Gübre oranlar'!T$3</f>
        <v>42.6</v>
      </c>
      <c r="R220">
        <f>'Kullanılan gübre'!R220*'Gübre oranlar'!U$3</f>
        <v>0</v>
      </c>
      <c r="S220">
        <f>'Kullanılan gübre'!S220*'Gübre oranlar'!V$3</f>
        <v>0</v>
      </c>
      <c r="T220">
        <f>'Kullanılan gübre'!T220*'Gübre oranlar'!W$3</f>
        <v>0</v>
      </c>
      <c r="U220">
        <f>'Kullanılan gübre'!U220*'Gübre oranlar'!X$3</f>
        <v>12.700000000000001</v>
      </c>
      <c r="V220">
        <f>'Kullanılan gübre'!V220*'Gübre oranlar'!Y$3</f>
        <v>0</v>
      </c>
      <c r="W220">
        <f>'Kullanılan gübre'!W220*'Gübre oranlar'!Z$3</f>
        <v>50.879999999999995</v>
      </c>
      <c r="X220">
        <f>'Kullanılan gübre'!X220*'Gübre oranlar'!AA$3</f>
        <v>0</v>
      </c>
      <c r="Y220">
        <f>'Kullanılan gübre'!Y220*'Gübre oranlar'!AB$3</f>
        <v>0</v>
      </c>
      <c r="Z220">
        <f>'Kullanılan gübre'!Z220*'Gübre oranlar'!AC$3</f>
        <v>0</v>
      </c>
      <c r="AA220">
        <f>'Kullanılan gübre'!AA220*'Gübre oranlar'!AD$3</f>
        <v>0</v>
      </c>
      <c r="AB220">
        <f>'Kullanılan gübre'!AB220*'Gübre oranlar'!AE$3</f>
        <v>87.84</v>
      </c>
      <c r="AC220">
        <f>'Kullanılan gübre'!AC220*'Gübre oranlar'!AF$3</f>
        <v>0</v>
      </c>
      <c r="AD220">
        <f>'Kullanılan gübre'!AD220*'Gübre oranlar'!AG$3</f>
        <v>0</v>
      </c>
      <c r="AE220">
        <f>'Kullanılan gübre'!AE220*'Gübre oranlar'!AH$3</f>
        <v>20</v>
      </c>
      <c r="AF220">
        <f>'Kullanılan gübre'!AF220*'Gübre oranlar'!AI$3</f>
        <v>0</v>
      </c>
      <c r="AG220">
        <f>'Kullanılan gübre'!AG220*'Gübre oranlar'!AJ$3</f>
        <v>0</v>
      </c>
      <c r="AH220">
        <f>'Kullanılan gübre'!AH220*'Gübre oranlar'!AK$3</f>
        <v>32.96</v>
      </c>
      <c r="AI220">
        <f>'Kullanılan gübre'!AI220*'Gübre oranlar'!AL$3</f>
        <v>11.700000000000001</v>
      </c>
      <c r="AJ220">
        <f>'Kullanılan gübre'!AJ220*'Gübre oranlar'!AM$3</f>
        <v>8.25</v>
      </c>
      <c r="AK220">
        <f>'Kullanılan gübre'!AK220*'Gübre oranlar'!AN$3</f>
        <v>0</v>
      </c>
      <c r="AL220">
        <f>'Kullanılan gübre'!AL220*'Gübre oranlar'!AO$3</f>
        <v>0</v>
      </c>
      <c r="AM220">
        <f>'Kullanılan gübre'!AM220*'Gübre oranlar'!AP$3</f>
        <v>0</v>
      </c>
      <c r="AN220">
        <f>'Kullanılan gübre'!AN220*'Gübre oranlar'!AQ$3</f>
        <v>0</v>
      </c>
      <c r="AO220">
        <f>'Kullanılan gübre'!AO220*'Gübre oranlar'!AR$3</f>
        <v>0</v>
      </c>
      <c r="AP220">
        <f>'Kullanılan gübre'!AP220*'Gübre oranlar'!AS$3</f>
        <v>0</v>
      </c>
      <c r="AQ220">
        <f>'Kullanılan gübre'!AQ220*'Gübre oranlar'!AT$3</f>
        <v>0</v>
      </c>
      <c r="AR220">
        <f>'Kullanılan gübre'!AR220*'Gübre oranlar'!AU$3</f>
        <v>0</v>
      </c>
      <c r="AS220">
        <f>'Kullanılan gübre'!AS220*'Gübre oranlar'!AV$3</f>
        <v>0</v>
      </c>
      <c r="AT220">
        <f>'Kullanılan gübre'!AT220*'Gübre oranlar'!AW$3</f>
        <v>0</v>
      </c>
      <c r="AU220">
        <f>'Kullanılan gübre'!AU220*'Gübre oranlar'!AX$3</f>
        <v>0</v>
      </c>
      <c r="AV220">
        <f>'Kullanılan gübre'!AV220*'Gübre oranlar'!AY$3</f>
        <v>0</v>
      </c>
      <c r="AW220">
        <f t="shared" si="3"/>
        <v>837.20000000000016</v>
      </c>
    </row>
    <row r="221" spans="1:49" x14ac:dyDescent="0.25">
      <c r="A221" t="str">
        <f>'Kullanılan gübre'!A221</f>
        <v>BA</v>
      </c>
      <c r="B221" t="str">
        <f>'Kullanılan gübre'!B221</f>
        <v>BURDUR</v>
      </c>
      <c r="C221" t="str">
        <f>'Kullanılan gübre'!C221</f>
        <v>YESILOVA</v>
      </c>
      <c r="D221">
        <f>'Kullanılan gübre'!D221</f>
        <v>2005</v>
      </c>
      <c r="E221">
        <f>'Kullanılan gübre'!E221*'Gübre oranlar'!H$3</f>
        <v>0</v>
      </c>
      <c r="F221">
        <f>'Kullanılan gübre'!F221*'Gübre oranlar'!I$3</f>
        <v>0</v>
      </c>
      <c r="G221">
        <f>'Kullanılan gübre'!G221*'Gübre oranlar'!J$3</f>
        <v>0</v>
      </c>
      <c r="H221">
        <f>'Kullanılan gübre'!H221*'Gübre oranlar'!K$3</f>
        <v>0</v>
      </c>
      <c r="I221">
        <f>'Kullanılan gübre'!I221*'Gübre oranlar'!L$3</f>
        <v>0</v>
      </c>
      <c r="J221">
        <f>'Kullanılan gübre'!J221*'Gübre oranlar'!M$3</f>
        <v>0</v>
      </c>
      <c r="K221">
        <f>'Kullanılan gübre'!K221*'Gübre oranlar'!N$3</f>
        <v>85.52000000000001</v>
      </c>
      <c r="L221">
        <f>'Kullanılan gübre'!L221*'Gübre oranlar'!O$3</f>
        <v>15.52</v>
      </c>
      <c r="M221">
        <f>'Kullanılan gübre'!M221*'Gübre oranlar'!P$3</f>
        <v>1.1399999999999999</v>
      </c>
      <c r="N221">
        <f>'Kullanılan gübre'!N221*'Gübre oranlar'!Q$3</f>
        <v>0.84</v>
      </c>
      <c r="O221">
        <f>'Kullanılan gübre'!O221*'Gübre oranlar'!R$3</f>
        <v>0</v>
      </c>
      <c r="P221">
        <f>'Kullanılan gübre'!P221*'Gübre oranlar'!S$3</f>
        <v>0</v>
      </c>
      <c r="Q221">
        <f>'Kullanılan gübre'!Q221*'Gübre oranlar'!T$3</f>
        <v>0</v>
      </c>
      <c r="R221">
        <f>'Kullanılan gübre'!R221*'Gübre oranlar'!U$3</f>
        <v>0</v>
      </c>
      <c r="S221">
        <f>'Kullanılan gübre'!S221*'Gübre oranlar'!V$3</f>
        <v>0</v>
      </c>
      <c r="T221">
        <f>'Kullanılan gübre'!T221*'Gübre oranlar'!W$3</f>
        <v>0</v>
      </c>
      <c r="U221">
        <f>'Kullanılan gübre'!U221*'Gübre oranlar'!X$3</f>
        <v>0</v>
      </c>
      <c r="V221">
        <f>'Kullanılan gübre'!V221*'Gübre oranlar'!Y$3</f>
        <v>0</v>
      </c>
      <c r="W221">
        <f>'Kullanılan gübre'!W221*'Gübre oranlar'!Z$3</f>
        <v>0</v>
      </c>
      <c r="X221">
        <f>'Kullanılan gübre'!X221*'Gübre oranlar'!AA$3</f>
        <v>0</v>
      </c>
      <c r="Y221">
        <f>'Kullanılan gübre'!Y221*'Gübre oranlar'!AB$3</f>
        <v>0</v>
      </c>
      <c r="Z221">
        <f>'Kullanılan gübre'!Z221*'Gübre oranlar'!AC$3</f>
        <v>0</v>
      </c>
      <c r="AA221">
        <f>'Kullanılan gübre'!AA221*'Gübre oranlar'!AD$3</f>
        <v>0</v>
      </c>
      <c r="AB221">
        <f>'Kullanılan gübre'!AB221*'Gübre oranlar'!AE$3</f>
        <v>0</v>
      </c>
      <c r="AC221">
        <f>'Kullanılan gübre'!AC221*'Gübre oranlar'!AF$3</f>
        <v>0</v>
      </c>
      <c r="AD221">
        <f>'Kullanılan gübre'!AD221*'Gübre oranlar'!AG$3</f>
        <v>0</v>
      </c>
      <c r="AE221">
        <f>'Kullanılan gübre'!AE221*'Gübre oranlar'!AH$3</f>
        <v>0</v>
      </c>
      <c r="AF221">
        <f>'Kullanılan gübre'!AF221*'Gübre oranlar'!AI$3</f>
        <v>0</v>
      </c>
      <c r="AG221">
        <f>'Kullanılan gübre'!AG221*'Gübre oranlar'!AJ$3</f>
        <v>0</v>
      </c>
      <c r="AH221">
        <f>'Kullanılan gübre'!AH221*'Gübre oranlar'!AK$3</f>
        <v>0</v>
      </c>
      <c r="AI221">
        <f>'Kullanılan gübre'!AI221*'Gübre oranlar'!AL$3</f>
        <v>0</v>
      </c>
      <c r="AJ221">
        <f>'Kullanılan gübre'!AJ221*'Gübre oranlar'!AM$3</f>
        <v>0</v>
      </c>
      <c r="AK221">
        <f>'Kullanılan gübre'!AK221*'Gübre oranlar'!AN$3</f>
        <v>0</v>
      </c>
      <c r="AL221">
        <f>'Kullanılan gübre'!AL221*'Gübre oranlar'!AO$3</f>
        <v>0</v>
      </c>
      <c r="AM221">
        <f>'Kullanılan gübre'!AM221*'Gübre oranlar'!AP$3</f>
        <v>0</v>
      </c>
      <c r="AN221">
        <f>'Kullanılan gübre'!AN221*'Gübre oranlar'!AQ$3</f>
        <v>0</v>
      </c>
      <c r="AO221">
        <f>'Kullanılan gübre'!AO221*'Gübre oranlar'!AR$3</f>
        <v>0</v>
      </c>
      <c r="AP221">
        <f>'Kullanılan gübre'!AP221*'Gübre oranlar'!AS$3</f>
        <v>0</v>
      </c>
      <c r="AQ221">
        <f>'Kullanılan gübre'!AQ221*'Gübre oranlar'!AT$3</f>
        <v>0</v>
      </c>
      <c r="AR221">
        <f>'Kullanılan gübre'!AR221*'Gübre oranlar'!AU$3</f>
        <v>0</v>
      </c>
      <c r="AS221">
        <f>'Kullanılan gübre'!AS221*'Gübre oranlar'!AV$3</f>
        <v>0</v>
      </c>
      <c r="AT221">
        <f>'Kullanılan gübre'!AT221*'Gübre oranlar'!AW$3</f>
        <v>0</v>
      </c>
      <c r="AU221">
        <f>'Kullanılan gübre'!AU221*'Gübre oranlar'!AX$3</f>
        <v>0</v>
      </c>
      <c r="AV221">
        <f>'Kullanılan gübre'!AV221*'Gübre oranlar'!AY$3</f>
        <v>0</v>
      </c>
      <c r="AW221">
        <f t="shared" si="3"/>
        <v>103.02000000000001</v>
      </c>
    </row>
    <row r="222" spans="1:49" x14ac:dyDescent="0.25">
      <c r="A222" t="str">
        <f>'Kullanılan gübre'!A222</f>
        <v>BA</v>
      </c>
      <c r="B222" t="str">
        <f>'Kullanılan gübre'!B222</f>
        <v>BURDUR</v>
      </c>
      <c r="C222" t="str">
        <f>'Kullanılan gübre'!C222</f>
        <v>YESILOVA</v>
      </c>
      <c r="D222">
        <f>'Kullanılan gübre'!D222</f>
        <v>2006</v>
      </c>
      <c r="E222">
        <f>'Kullanılan gübre'!E222*'Gübre oranlar'!H$3</f>
        <v>0</v>
      </c>
      <c r="F222">
        <f>'Kullanılan gübre'!F222*'Gübre oranlar'!I$3</f>
        <v>0</v>
      </c>
      <c r="G222">
        <f>'Kullanılan gübre'!G222*'Gübre oranlar'!J$3</f>
        <v>0</v>
      </c>
      <c r="H222">
        <f>'Kullanılan gübre'!H222*'Gübre oranlar'!K$3</f>
        <v>0</v>
      </c>
      <c r="I222">
        <f>'Kullanılan gübre'!I222*'Gübre oranlar'!L$3</f>
        <v>0</v>
      </c>
      <c r="J222">
        <f>'Kullanılan gübre'!J222*'Gübre oranlar'!M$3</f>
        <v>0</v>
      </c>
      <c r="K222">
        <f>'Kullanılan gübre'!K222*'Gübre oranlar'!N$3</f>
        <v>85.720000000000013</v>
      </c>
      <c r="L222">
        <f>'Kullanılan gübre'!L222*'Gübre oranlar'!O$3</f>
        <v>153.92000000000002</v>
      </c>
      <c r="M222">
        <f>'Kullanılan gübre'!M222*'Gübre oranlar'!P$3</f>
        <v>1.2899999999999998</v>
      </c>
      <c r="N222">
        <f>'Kullanılan gübre'!N222*'Gübre oranlar'!Q$3</f>
        <v>0.85499999999999998</v>
      </c>
      <c r="O222">
        <f>'Kullanılan gübre'!O222*'Gübre oranlar'!R$3</f>
        <v>0</v>
      </c>
      <c r="P222">
        <f>'Kullanılan gübre'!P222*'Gübre oranlar'!S$3</f>
        <v>0</v>
      </c>
      <c r="Q222">
        <f>'Kullanılan gübre'!Q222*'Gübre oranlar'!T$3</f>
        <v>0</v>
      </c>
      <c r="R222">
        <f>'Kullanılan gübre'!R222*'Gübre oranlar'!U$3</f>
        <v>0</v>
      </c>
      <c r="S222">
        <f>'Kullanılan gübre'!S222*'Gübre oranlar'!V$3</f>
        <v>0</v>
      </c>
      <c r="T222">
        <f>'Kullanılan gübre'!T222*'Gübre oranlar'!W$3</f>
        <v>0</v>
      </c>
      <c r="U222">
        <f>'Kullanılan gübre'!U222*'Gübre oranlar'!X$3</f>
        <v>0</v>
      </c>
      <c r="V222">
        <f>'Kullanılan gübre'!V222*'Gübre oranlar'!Y$3</f>
        <v>0</v>
      </c>
      <c r="W222">
        <f>'Kullanılan gübre'!W222*'Gübre oranlar'!Z$3</f>
        <v>0</v>
      </c>
      <c r="X222">
        <f>'Kullanılan gübre'!X222*'Gübre oranlar'!AA$3</f>
        <v>0</v>
      </c>
      <c r="Y222">
        <f>'Kullanılan gübre'!Y222*'Gübre oranlar'!AB$3</f>
        <v>0</v>
      </c>
      <c r="Z222">
        <f>'Kullanılan gübre'!Z222*'Gübre oranlar'!AC$3</f>
        <v>0</v>
      </c>
      <c r="AA222">
        <f>'Kullanılan gübre'!AA222*'Gübre oranlar'!AD$3</f>
        <v>0</v>
      </c>
      <c r="AB222">
        <f>'Kullanılan gübre'!AB222*'Gübre oranlar'!AE$3</f>
        <v>0</v>
      </c>
      <c r="AC222">
        <f>'Kullanılan gübre'!AC222*'Gübre oranlar'!AF$3</f>
        <v>0</v>
      </c>
      <c r="AD222">
        <f>'Kullanılan gübre'!AD222*'Gübre oranlar'!AG$3</f>
        <v>0</v>
      </c>
      <c r="AE222">
        <f>'Kullanılan gübre'!AE222*'Gübre oranlar'!AH$3</f>
        <v>0</v>
      </c>
      <c r="AF222">
        <f>'Kullanılan gübre'!AF222*'Gübre oranlar'!AI$3</f>
        <v>0</v>
      </c>
      <c r="AG222">
        <f>'Kullanılan gübre'!AG222*'Gübre oranlar'!AJ$3</f>
        <v>0</v>
      </c>
      <c r="AH222">
        <f>'Kullanılan gübre'!AH222*'Gübre oranlar'!AK$3</f>
        <v>0</v>
      </c>
      <c r="AI222">
        <f>'Kullanılan gübre'!AI222*'Gübre oranlar'!AL$3</f>
        <v>0</v>
      </c>
      <c r="AJ222">
        <f>'Kullanılan gübre'!AJ222*'Gübre oranlar'!AM$3</f>
        <v>0</v>
      </c>
      <c r="AK222">
        <f>'Kullanılan gübre'!AK222*'Gübre oranlar'!AN$3</f>
        <v>0</v>
      </c>
      <c r="AL222">
        <f>'Kullanılan gübre'!AL222*'Gübre oranlar'!AO$3</f>
        <v>0</v>
      </c>
      <c r="AM222">
        <f>'Kullanılan gübre'!AM222*'Gübre oranlar'!AP$3</f>
        <v>0</v>
      </c>
      <c r="AN222">
        <f>'Kullanılan gübre'!AN222*'Gübre oranlar'!AQ$3</f>
        <v>0</v>
      </c>
      <c r="AO222">
        <f>'Kullanılan gübre'!AO222*'Gübre oranlar'!AR$3</f>
        <v>0</v>
      </c>
      <c r="AP222">
        <f>'Kullanılan gübre'!AP222*'Gübre oranlar'!AS$3</f>
        <v>0</v>
      </c>
      <c r="AQ222">
        <f>'Kullanılan gübre'!AQ222*'Gübre oranlar'!AT$3</f>
        <v>0</v>
      </c>
      <c r="AR222">
        <f>'Kullanılan gübre'!AR222*'Gübre oranlar'!AU$3</f>
        <v>0</v>
      </c>
      <c r="AS222">
        <f>'Kullanılan gübre'!AS222*'Gübre oranlar'!AV$3</f>
        <v>0</v>
      </c>
      <c r="AT222">
        <f>'Kullanılan gübre'!AT222*'Gübre oranlar'!AW$3</f>
        <v>0</v>
      </c>
      <c r="AU222">
        <f>'Kullanılan gübre'!AU222*'Gübre oranlar'!AX$3</f>
        <v>0</v>
      </c>
      <c r="AV222">
        <f>'Kullanılan gübre'!AV222*'Gübre oranlar'!AY$3</f>
        <v>0</v>
      </c>
      <c r="AW222">
        <f t="shared" si="3"/>
        <v>241.78500000000003</v>
      </c>
    </row>
    <row r="223" spans="1:49" x14ac:dyDescent="0.25">
      <c r="A223" t="str">
        <f>'Kullanılan gübre'!A223</f>
        <v>BA</v>
      </c>
      <c r="B223" t="str">
        <f>'Kullanılan gübre'!B223</f>
        <v>BURDUR</v>
      </c>
      <c r="C223" t="str">
        <f>'Kullanılan gübre'!C223</f>
        <v>YESILOVA</v>
      </c>
      <c r="D223">
        <f>'Kullanılan gübre'!D223</f>
        <v>2007</v>
      </c>
      <c r="E223">
        <f>'Kullanılan gübre'!E223*'Gübre oranlar'!H$3</f>
        <v>0</v>
      </c>
      <c r="F223">
        <f>'Kullanılan gübre'!F223*'Gübre oranlar'!I$3</f>
        <v>0</v>
      </c>
      <c r="G223">
        <f>'Kullanılan gübre'!G223*'Gübre oranlar'!J$3</f>
        <v>0</v>
      </c>
      <c r="H223">
        <f>'Kullanılan gübre'!H223*'Gübre oranlar'!K$3</f>
        <v>0</v>
      </c>
      <c r="I223">
        <f>'Kullanılan gübre'!I223*'Gübre oranlar'!L$3</f>
        <v>0</v>
      </c>
      <c r="J223">
        <f>'Kullanılan gübre'!J223*'Gübre oranlar'!M$3</f>
        <v>0</v>
      </c>
      <c r="K223">
        <f>'Kullanılan gübre'!K223*'Gübre oranlar'!N$3</f>
        <v>85.320000000000007</v>
      </c>
      <c r="L223">
        <f>'Kullanılan gübre'!L223*'Gübre oranlar'!O$3</f>
        <v>153.88</v>
      </c>
      <c r="M223">
        <f>'Kullanılan gübre'!M223*'Gübre oranlar'!P$3</f>
        <v>0.98999999999999988</v>
      </c>
      <c r="N223">
        <f>'Kullanılan gübre'!N223*'Gübre oranlar'!Q$3</f>
        <v>0.87</v>
      </c>
      <c r="O223">
        <f>'Kullanılan gübre'!O223*'Gübre oranlar'!R$3</f>
        <v>0</v>
      </c>
      <c r="P223">
        <f>'Kullanılan gübre'!P223*'Gübre oranlar'!S$3</f>
        <v>0</v>
      </c>
      <c r="Q223">
        <f>'Kullanılan gübre'!Q223*'Gübre oranlar'!T$3</f>
        <v>0</v>
      </c>
      <c r="R223">
        <f>'Kullanılan gübre'!R223*'Gübre oranlar'!U$3</f>
        <v>0</v>
      </c>
      <c r="S223">
        <f>'Kullanılan gübre'!S223*'Gübre oranlar'!V$3</f>
        <v>0</v>
      </c>
      <c r="T223">
        <f>'Kullanılan gübre'!T223*'Gübre oranlar'!W$3</f>
        <v>0</v>
      </c>
      <c r="U223">
        <f>'Kullanılan gübre'!U223*'Gübre oranlar'!X$3</f>
        <v>0</v>
      </c>
      <c r="V223">
        <f>'Kullanılan gübre'!V223*'Gübre oranlar'!Y$3</f>
        <v>0</v>
      </c>
      <c r="W223">
        <f>'Kullanılan gübre'!W223*'Gübre oranlar'!Z$3</f>
        <v>0</v>
      </c>
      <c r="X223">
        <f>'Kullanılan gübre'!X223*'Gübre oranlar'!AA$3</f>
        <v>0</v>
      </c>
      <c r="Y223">
        <f>'Kullanılan gübre'!Y223*'Gübre oranlar'!AB$3</f>
        <v>0</v>
      </c>
      <c r="Z223">
        <f>'Kullanılan gübre'!Z223*'Gübre oranlar'!AC$3</f>
        <v>0</v>
      </c>
      <c r="AA223">
        <f>'Kullanılan gübre'!AA223*'Gübre oranlar'!AD$3</f>
        <v>0</v>
      </c>
      <c r="AB223">
        <f>'Kullanılan gübre'!AB223*'Gübre oranlar'!AE$3</f>
        <v>0</v>
      </c>
      <c r="AC223">
        <f>'Kullanılan gübre'!AC223*'Gübre oranlar'!AF$3</f>
        <v>0</v>
      </c>
      <c r="AD223">
        <f>'Kullanılan gübre'!AD223*'Gübre oranlar'!AG$3</f>
        <v>0</v>
      </c>
      <c r="AE223">
        <f>'Kullanılan gübre'!AE223*'Gübre oranlar'!AH$3</f>
        <v>0</v>
      </c>
      <c r="AF223">
        <f>'Kullanılan gübre'!AF223*'Gübre oranlar'!AI$3</f>
        <v>0</v>
      </c>
      <c r="AG223">
        <f>'Kullanılan gübre'!AG223*'Gübre oranlar'!AJ$3</f>
        <v>0</v>
      </c>
      <c r="AH223">
        <f>'Kullanılan gübre'!AH223*'Gübre oranlar'!AK$3</f>
        <v>0</v>
      </c>
      <c r="AI223">
        <f>'Kullanılan gübre'!AI223*'Gübre oranlar'!AL$3</f>
        <v>0</v>
      </c>
      <c r="AJ223">
        <f>'Kullanılan gübre'!AJ223*'Gübre oranlar'!AM$3</f>
        <v>0</v>
      </c>
      <c r="AK223">
        <f>'Kullanılan gübre'!AK223*'Gübre oranlar'!AN$3</f>
        <v>0</v>
      </c>
      <c r="AL223">
        <f>'Kullanılan gübre'!AL223*'Gübre oranlar'!AO$3</f>
        <v>0</v>
      </c>
      <c r="AM223">
        <f>'Kullanılan gübre'!AM223*'Gübre oranlar'!AP$3</f>
        <v>0</v>
      </c>
      <c r="AN223">
        <f>'Kullanılan gübre'!AN223*'Gübre oranlar'!AQ$3</f>
        <v>0</v>
      </c>
      <c r="AO223">
        <f>'Kullanılan gübre'!AO223*'Gübre oranlar'!AR$3</f>
        <v>0</v>
      </c>
      <c r="AP223">
        <f>'Kullanılan gübre'!AP223*'Gübre oranlar'!AS$3</f>
        <v>0</v>
      </c>
      <c r="AQ223">
        <f>'Kullanılan gübre'!AQ223*'Gübre oranlar'!AT$3</f>
        <v>0</v>
      </c>
      <c r="AR223">
        <f>'Kullanılan gübre'!AR223*'Gübre oranlar'!AU$3</f>
        <v>0</v>
      </c>
      <c r="AS223">
        <f>'Kullanılan gübre'!AS223*'Gübre oranlar'!AV$3</f>
        <v>0</v>
      </c>
      <c r="AT223">
        <f>'Kullanılan gübre'!AT223*'Gübre oranlar'!AW$3</f>
        <v>0</v>
      </c>
      <c r="AU223">
        <f>'Kullanılan gübre'!AU223*'Gübre oranlar'!AX$3</f>
        <v>0</v>
      </c>
      <c r="AV223">
        <f>'Kullanılan gübre'!AV223*'Gübre oranlar'!AY$3</f>
        <v>0</v>
      </c>
      <c r="AW223">
        <f t="shared" si="3"/>
        <v>241.06</v>
      </c>
    </row>
    <row r="224" spans="1:49" x14ac:dyDescent="0.25">
      <c r="A224" t="str">
        <f>'Kullanılan gübre'!A224</f>
        <v>BA</v>
      </c>
      <c r="B224" t="str">
        <f>'Kullanılan gübre'!B224</f>
        <v>BURDUR</v>
      </c>
      <c r="C224" t="str">
        <f>'Kullanılan gübre'!C224</f>
        <v>YESILOVA</v>
      </c>
      <c r="D224">
        <f>'Kullanılan gübre'!D224</f>
        <v>2008</v>
      </c>
      <c r="E224">
        <f>'Kullanılan gübre'!E224*'Gübre oranlar'!H$3</f>
        <v>0</v>
      </c>
      <c r="F224">
        <f>'Kullanılan gübre'!F224*'Gübre oranlar'!I$3</f>
        <v>0</v>
      </c>
      <c r="G224">
        <f>'Kullanılan gübre'!G224*'Gübre oranlar'!J$3</f>
        <v>0</v>
      </c>
      <c r="H224">
        <f>'Kullanılan gübre'!H224*'Gübre oranlar'!K$3</f>
        <v>0</v>
      </c>
      <c r="I224">
        <f>'Kullanılan gübre'!I224*'Gübre oranlar'!L$3</f>
        <v>0</v>
      </c>
      <c r="J224">
        <f>'Kullanılan gübre'!J224*'Gübre oranlar'!M$3</f>
        <v>0</v>
      </c>
      <c r="K224">
        <f>'Kullanılan gübre'!K224*'Gübre oranlar'!N$3</f>
        <v>85.38</v>
      </c>
      <c r="L224">
        <f>'Kullanılan gübre'!L224*'Gübre oranlar'!O$3</f>
        <v>153.88</v>
      </c>
      <c r="M224">
        <f>'Kullanılan gübre'!M224*'Gübre oranlar'!P$3</f>
        <v>1.0349999999999999</v>
      </c>
      <c r="N224">
        <f>'Kullanılan gübre'!N224*'Gübre oranlar'!Q$3</f>
        <v>0.73499999999999999</v>
      </c>
      <c r="O224">
        <f>'Kullanılan gübre'!O224*'Gübre oranlar'!R$3</f>
        <v>0</v>
      </c>
      <c r="P224">
        <f>'Kullanılan gübre'!P224*'Gübre oranlar'!S$3</f>
        <v>0</v>
      </c>
      <c r="Q224">
        <f>'Kullanılan gübre'!Q224*'Gübre oranlar'!T$3</f>
        <v>0</v>
      </c>
      <c r="R224">
        <f>'Kullanılan gübre'!R224*'Gübre oranlar'!U$3</f>
        <v>0</v>
      </c>
      <c r="S224">
        <f>'Kullanılan gübre'!S224*'Gübre oranlar'!V$3</f>
        <v>0</v>
      </c>
      <c r="T224">
        <f>'Kullanılan gübre'!T224*'Gübre oranlar'!W$3</f>
        <v>0</v>
      </c>
      <c r="U224">
        <f>'Kullanılan gübre'!U224*'Gübre oranlar'!X$3</f>
        <v>0</v>
      </c>
      <c r="V224">
        <f>'Kullanılan gübre'!V224*'Gübre oranlar'!Y$3</f>
        <v>0</v>
      </c>
      <c r="W224">
        <f>'Kullanılan gübre'!W224*'Gübre oranlar'!Z$3</f>
        <v>0</v>
      </c>
      <c r="X224">
        <f>'Kullanılan gübre'!X224*'Gübre oranlar'!AA$3</f>
        <v>0</v>
      </c>
      <c r="Y224">
        <f>'Kullanılan gübre'!Y224*'Gübre oranlar'!AB$3</f>
        <v>0</v>
      </c>
      <c r="Z224">
        <f>'Kullanılan gübre'!Z224*'Gübre oranlar'!AC$3</f>
        <v>0</v>
      </c>
      <c r="AA224">
        <f>'Kullanılan gübre'!AA224*'Gübre oranlar'!AD$3</f>
        <v>0</v>
      </c>
      <c r="AB224">
        <f>'Kullanılan gübre'!AB224*'Gübre oranlar'!AE$3</f>
        <v>0</v>
      </c>
      <c r="AC224">
        <f>'Kullanılan gübre'!AC224*'Gübre oranlar'!AF$3</f>
        <v>0</v>
      </c>
      <c r="AD224">
        <f>'Kullanılan gübre'!AD224*'Gübre oranlar'!AG$3</f>
        <v>0</v>
      </c>
      <c r="AE224">
        <f>'Kullanılan gübre'!AE224*'Gübre oranlar'!AH$3</f>
        <v>0</v>
      </c>
      <c r="AF224">
        <f>'Kullanılan gübre'!AF224*'Gübre oranlar'!AI$3</f>
        <v>0</v>
      </c>
      <c r="AG224">
        <f>'Kullanılan gübre'!AG224*'Gübre oranlar'!AJ$3</f>
        <v>0</v>
      </c>
      <c r="AH224">
        <f>'Kullanılan gübre'!AH224*'Gübre oranlar'!AK$3</f>
        <v>0</v>
      </c>
      <c r="AI224">
        <f>'Kullanılan gübre'!AI224*'Gübre oranlar'!AL$3</f>
        <v>0</v>
      </c>
      <c r="AJ224">
        <f>'Kullanılan gübre'!AJ224*'Gübre oranlar'!AM$3</f>
        <v>0</v>
      </c>
      <c r="AK224">
        <f>'Kullanılan gübre'!AK224*'Gübre oranlar'!AN$3</f>
        <v>0</v>
      </c>
      <c r="AL224">
        <f>'Kullanılan gübre'!AL224*'Gübre oranlar'!AO$3</f>
        <v>0</v>
      </c>
      <c r="AM224">
        <f>'Kullanılan gübre'!AM224*'Gübre oranlar'!AP$3</f>
        <v>0</v>
      </c>
      <c r="AN224">
        <f>'Kullanılan gübre'!AN224*'Gübre oranlar'!AQ$3</f>
        <v>0</v>
      </c>
      <c r="AO224">
        <f>'Kullanılan gübre'!AO224*'Gübre oranlar'!AR$3</f>
        <v>0</v>
      </c>
      <c r="AP224">
        <f>'Kullanılan gübre'!AP224*'Gübre oranlar'!AS$3</f>
        <v>0</v>
      </c>
      <c r="AQ224">
        <f>'Kullanılan gübre'!AQ224*'Gübre oranlar'!AT$3</f>
        <v>0</v>
      </c>
      <c r="AR224">
        <f>'Kullanılan gübre'!AR224*'Gübre oranlar'!AU$3</f>
        <v>0</v>
      </c>
      <c r="AS224">
        <f>'Kullanılan gübre'!AS224*'Gübre oranlar'!AV$3</f>
        <v>0</v>
      </c>
      <c r="AT224">
        <f>'Kullanılan gübre'!AT224*'Gübre oranlar'!AW$3</f>
        <v>0</v>
      </c>
      <c r="AU224">
        <f>'Kullanılan gübre'!AU224*'Gübre oranlar'!AX$3</f>
        <v>0</v>
      </c>
      <c r="AV224">
        <f>'Kullanılan gübre'!AV224*'Gübre oranlar'!AY$3</f>
        <v>0</v>
      </c>
      <c r="AW224">
        <f t="shared" si="3"/>
        <v>241.03</v>
      </c>
    </row>
    <row r="225" spans="1:49" x14ac:dyDescent="0.25">
      <c r="A225" t="str">
        <f>'Kullanılan gübre'!A225</f>
        <v>BA</v>
      </c>
      <c r="B225" t="str">
        <f>'Kullanılan gübre'!B225</f>
        <v>BURDUR</v>
      </c>
      <c r="C225" t="str">
        <f>'Kullanılan gübre'!C225</f>
        <v>YESILOVA</v>
      </c>
      <c r="D225">
        <f>'Kullanılan gübre'!D225</f>
        <v>2009</v>
      </c>
      <c r="E225">
        <f>'Kullanılan gübre'!E225*'Gübre oranlar'!H$3</f>
        <v>0</v>
      </c>
      <c r="F225">
        <f>'Kullanılan gübre'!F225*'Gübre oranlar'!I$3</f>
        <v>0</v>
      </c>
      <c r="G225">
        <f>'Kullanılan gübre'!G225*'Gübre oranlar'!J$3</f>
        <v>0</v>
      </c>
      <c r="H225">
        <f>'Kullanılan gübre'!H225*'Gübre oranlar'!K$3</f>
        <v>0</v>
      </c>
      <c r="I225">
        <f>'Kullanılan gübre'!I225*'Gübre oranlar'!L$3</f>
        <v>0</v>
      </c>
      <c r="J225">
        <f>'Kullanılan gübre'!J225*'Gübre oranlar'!M$3</f>
        <v>0</v>
      </c>
      <c r="K225">
        <f>'Kullanılan gübre'!K225*'Gübre oranlar'!N$3</f>
        <v>85.240000000000009</v>
      </c>
      <c r="L225">
        <f>'Kullanılan gübre'!L225*'Gübre oranlar'!O$3</f>
        <v>91.98</v>
      </c>
      <c r="M225">
        <f>'Kullanılan gübre'!M225*'Gübre oranlar'!P$3</f>
        <v>0.92999999999999994</v>
      </c>
      <c r="N225">
        <f>'Kullanılan gübre'!N225*'Gübre oranlar'!Q$3</f>
        <v>0.70499999999999996</v>
      </c>
      <c r="O225">
        <f>'Kullanılan gübre'!O225*'Gübre oranlar'!R$3</f>
        <v>0</v>
      </c>
      <c r="P225">
        <f>'Kullanılan gübre'!P225*'Gübre oranlar'!S$3</f>
        <v>0</v>
      </c>
      <c r="Q225">
        <f>'Kullanılan gübre'!Q225*'Gübre oranlar'!T$3</f>
        <v>0</v>
      </c>
      <c r="R225">
        <f>'Kullanılan gübre'!R225*'Gübre oranlar'!U$3</f>
        <v>0</v>
      </c>
      <c r="S225">
        <f>'Kullanılan gübre'!S225*'Gübre oranlar'!V$3</f>
        <v>0</v>
      </c>
      <c r="T225">
        <f>'Kullanılan gübre'!T225*'Gübre oranlar'!W$3</f>
        <v>0</v>
      </c>
      <c r="U225">
        <f>'Kullanılan gübre'!U225*'Gübre oranlar'!X$3</f>
        <v>0</v>
      </c>
      <c r="V225">
        <f>'Kullanılan gübre'!V225*'Gübre oranlar'!Y$3</f>
        <v>0</v>
      </c>
      <c r="W225">
        <f>'Kullanılan gübre'!W225*'Gübre oranlar'!Z$3</f>
        <v>0</v>
      </c>
      <c r="X225">
        <f>'Kullanılan gübre'!X225*'Gübre oranlar'!AA$3</f>
        <v>0</v>
      </c>
      <c r="Y225">
        <f>'Kullanılan gübre'!Y225*'Gübre oranlar'!AB$3</f>
        <v>0</v>
      </c>
      <c r="Z225">
        <f>'Kullanılan gübre'!Z225*'Gübre oranlar'!AC$3</f>
        <v>0</v>
      </c>
      <c r="AA225">
        <f>'Kullanılan gübre'!AA225*'Gübre oranlar'!AD$3</f>
        <v>0</v>
      </c>
      <c r="AB225">
        <f>'Kullanılan gübre'!AB225*'Gübre oranlar'!AE$3</f>
        <v>0</v>
      </c>
      <c r="AC225">
        <f>'Kullanılan gübre'!AC225*'Gübre oranlar'!AF$3</f>
        <v>0</v>
      </c>
      <c r="AD225">
        <f>'Kullanılan gübre'!AD225*'Gübre oranlar'!AG$3</f>
        <v>0</v>
      </c>
      <c r="AE225">
        <f>'Kullanılan gübre'!AE225*'Gübre oranlar'!AH$3</f>
        <v>0</v>
      </c>
      <c r="AF225">
        <f>'Kullanılan gübre'!AF225*'Gübre oranlar'!AI$3</f>
        <v>0</v>
      </c>
      <c r="AG225">
        <f>'Kullanılan gübre'!AG225*'Gübre oranlar'!AJ$3</f>
        <v>0</v>
      </c>
      <c r="AH225">
        <f>'Kullanılan gübre'!AH225*'Gübre oranlar'!AK$3</f>
        <v>0</v>
      </c>
      <c r="AI225">
        <f>'Kullanılan gübre'!AI225*'Gübre oranlar'!AL$3</f>
        <v>0</v>
      </c>
      <c r="AJ225">
        <f>'Kullanılan gübre'!AJ225*'Gübre oranlar'!AM$3</f>
        <v>0</v>
      </c>
      <c r="AK225">
        <f>'Kullanılan gübre'!AK225*'Gübre oranlar'!AN$3</f>
        <v>0</v>
      </c>
      <c r="AL225">
        <f>'Kullanılan gübre'!AL225*'Gübre oranlar'!AO$3</f>
        <v>0</v>
      </c>
      <c r="AM225">
        <f>'Kullanılan gübre'!AM225*'Gübre oranlar'!AP$3</f>
        <v>0</v>
      </c>
      <c r="AN225">
        <f>'Kullanılan gübre'!AN225*'Gübre oranlar'!AQ$3</f>
        <v>0</v>
      </c>
      <c r="AO225">
        <f>'Kullanılan gübre'!AO225*'Gübre oranlar'!AR$3</f>
        <v>0</v>
      </c>
      <c r="AP225">
        <f>'Kullanılan gübre'!AP225*'Gübre oranlar'!AS$3</f>
        <v>0</v>
      </c>
      <c r="AQ225">
        <f>'Kullanılan gübre'!AQ225*'Gübre oranlar'!AT$3</f>
        <v>0</v>
      </c>
      <c r="AR225">
        <f>'Kullanılan gübre'!AR225*'Gübre oranlar'!AU$3</f>
        <v>0</v>
      </c>
      <c r="AS225">
        <f>'Kullanılan gübre'!AS225*'Gübre oranlar'!AV$3</f>
        <v>0</v>
      </c>
      <c r="AT225">
        <f>'Kullanılan gübre'!AT225*'Gübre oranlar'!AW$3</f>
        <v>0</v>
      </c>
      <c r="AU225">
        <f>'Kullanılan gübre'!AU225*'Gübre oranlar'!AX$3</f>
        <v>0</v>
      </c>
      <c r="AV225">
        <f>'Kullanılan gübre'!AV225*'Gübre oranlar'!AY$3</f>
        <v>0</v>
      </c>
      <c r="AW225">
        <f t="shared" si="3"/>
        <v>178.85500000000005</v>
      </c>
    </row>
    <row r="226" spans="1:49" x14ac:dyDescent="0.25">
      <c r="A226" t="str">
        <f>'Kullanılan gübre'!A226</f>
        <v>BA</v>
      </c>
      <c r="B226" t="str">
        <f>'Kullanılan gübre'!B226</f>
        <v>BURDUR</v>
      </c>
      <c r="C226" t="str">
        <f>'Kullanılan gübre'!C226</f>
        <v>YESILOVA</v>
      </c>
      <c r="D226">
        <f>'Kullanılan gübre'!D226</f>
        <v>2010</v>
      </c>
      <c r="E226">
        <f>'Kullanılan gübre'!E226*'Gübre oranlar'!H$3</f>
        <v>0</v>
      </c>
      <c r="F226">
        <f>'Kullanılan gübre'!F226*'Gübre oranlar'!I$3</f>
        <v>0</v>
      </c>
      <c r="G226">
        <f>'Kullanılan gübre'!G226*'Gübre oranlar'!J$3</f>
        <v>0</v>
      </c>
      <c r="H226">
        <f>'Kullanılan gübre'!H226*'Gübre oranlar'!K$3</f>
        <v>0</v>
      </c>
      <c r="I226">
        <f>'Kullanılan gübre'!I226*'Gübre oranlar'!L$3</f>
        <v>0</v>
      </c>
      <c r="J226">
        <f>'Kullanılan gübre'!J226*'Gübre oranlar'!M$3</f>
        <v>0</v>
      </c>
      <c r="K226">
        <f>'Kullanılan gübre'!K226*'Gübre oranlar'!N$3</f>
        <v>85.18</v>
      </c>
      <c r="L226">
        <f>'Kullanılan gübre'!L226*'Gübre oranlar'!O$3</f>
        <v>153.18</v>
      </c>
      <c r="M226">
        <f>'Kullanılan gübre'!M226*'Gübre oranlar'!P$3</f>
        <v>0.92999999999999994</v>
      </c>
      <c r="N226">
        <f>'Kullanılan gübre'!N226*'Gübre oranlar'!Q$3</f>
        <v>0.72</v>
      </c>
      <c r="O226">
        <f>'Kullanılan gübre'!O226*'Gübre oranlar'!R$3</f>
        <v>0</v>
      </c>
      <c r="P226">
        <f>'Kullanılan gübre'!P226*'Gübre oranlar'!S$3</f>
        <v>0</v>
      </c>
      <c r="Q226">
        <f>'Kullanılan gübre'!Q226*'Gübre oranlar'!T$3</f>
        <v>0</v>
      </c>
      <c r="R226">
        <f>'Kullanılan gübre'!R226*'Gübre oranlar'!U$3</f>
        <v>0</v>
      </c>
      <c r="S226">
        <f>'Kullanılan gübre'!S226*'Gübre oranlar'!V$3</f>
        <v>0</v>
      </c>
      <c r="T226">
        <f>'Kullanılan gübre'!T226*'Gübre oranlar'!W$3</f>
        <v>0</v>
      </c>
      <c r="U226">
        <f>'Kullanılan gübre'!U226*'Gübre oranlar'!X$3</f>
        <v>0</v>
      </c>
      <c r="V226">
        <f>'Kullanılan gübre'!V226*'Gübre oranlar'!Y$3</f>
        <v>0</v>
      </c>
      <c r="W226">
        <f>'Kullanılan gübre'!W226*'Gübre oranlar'!Z$3</f>
        <v>0</v>
      </c>
      <c r="X226">
        <f>'Kullanılan gübre'!X226*'Gübre oranlar'!AA$3</f>
        <v>0</v>
      </c>
      <c r="Y226">
        <f>'Kullanılan gübre'!Y226*'Gübre oranlar'!AB$3</f>
        <v>0</v>
      </c>
      <c r="Z226">
        <f>'Kullanılan gübre'!Z226*'Gübre oranlar'!AC$3</f>
        <v>0</v>
      </c>
      <c r="AA226">
        <f>'Kullanılan gübre'!AA226*'Gübre oranlar'!AD$3</f>
        <v>0</v>
      </c>
      <c r="AB226">
        <f>'Kullanılan gübre'!AB226*'Gübre oranlar'!AE$3</f>
        <v>0</v>
      </c>
      <c r="AC226">
        <f>'Kullanılan gübre'!AC226*'Gübre oranlar'!AF$3</f>
        <v>0</v>
      </c>
      <c r="AD226">
        <f>'Kullanılan gübre'!AD226*'Gübre oranlar'!AG$3</f>
        <v>0</v>
      </c>
      <c r="AE226">
        <f>'Kullanılan gübre'!AE226*'Gübre oranlar'!AH$3</f>
        <v>0</v>
      </c>
      <c r="AF226">
        <f>'Kullanılan gübre'!AF226*'Gübre oranlar'!AI$3</f>
        <v>0</v>
      </c>
      <c r="AG226">
        <f>'Kullanılan gübre'!AG226*'Gübre oranlar'!AJ$3</f>
        <v>0</v>
      </c>
      <c r="AH226">
        <f>'Kullanılan gübre'!AH226*'Gübre oranlar'!AK$3</f>
        <v>0</v>
      </c>
      <c r="AI226">
        <f>'Kullanılan gübre'!AI226*'Gübre oranlar'!AL$3</f>
        <v>0</v>
      </c>
      <c r="AJ226">
        <f>'Kullanılan gübre'!AJ226*'Gübre oranlar'!AM$3</f>
        <v>0</v>
      </c>
      <c r="AK226">
        <f>'Kullanılan gübre'!AK226*'Gübre oranlar'!AN$3</f>
        <v>0</v>
      </c>
      <c r="AL226">
        <f>'Kullanılan gübre'!AL226*'Gübre oranlar'!AO$3</f>
        <v>0</v>
      </c>
      <c r="AM226">
        <f>'Kullanılan gübre'!AM226*'Gübre oranlar'!AP$3</f>
        <v>0</v>
      </c>
      <c r="AN226">
        <f>'Kullanılan gübre'!AN226*'Gübre oranlar'!AQ$3</f>
        <v>0</v>
      </c>
      <c r="AO226">
        <f>'Kullanılan gübre'!AO226*'Gübre oranlar'!AR$3</f>
        <v>0</v>
      </c>
      <c r="AP226">
        <f>'Kullanılan gübre'!AP226*'Gübre oranlar'!AS$3</f>
        <v>0</v>
      </c>
      <c r="AQ226">
        <f>'Kullanılan gübre'!AQ226*'Gübre oranlar'!AT$3</f>
        <v>0</v>
      </c>
      <c r="AR226">
        <f>'Kullanılan gübre'!AR226*'Gübre oranlar'!AU$3</f>
        <v>0</v>
      </c>
      <c r="AS226">
        <f>'Kullanılan gübre'!AS226*'Gübre oranlar'!AV$3</f>
        <v>0</v>
      </c>
      <c r="AT226">
        <f>'Kullanılan gübre'!AT226*'Gübre oranlar'!AW$3</f>
        <v>0</v>
      </c>
      <c r="AU226">
        <f>'Kullanılan gübre'!AU226*'Gübre oranlar'!AX$3</f>
        <v>0</v>
      </c>
      <c r="AV226">
        <f>'Kullanılan gübre'!AV226*'Gübre oranlar'!AY$3</f>
        <v>0</v>
      </c>
      <c r="AW226">
        <f t="shared" si="3"/>
        <v>240.01000000000002</v>
      </c>
    </row>
    <row r="227" spans="1:49" x14ac:dyDescent="0.25">
      <c r="A227" t="str">
        <f>'Kullanılan gübre'!A227</f>
        <v>BA</v>
      </c>
      <c r="B227" t="str">
        <f>'Kullanılan gübre'!B227</f>
        <v>BURDUR</v>
      </c>
      <c r="C227" t="str">
        <f>'Kullanılan gübre'!C227</f>
        <v>YESILOVA</v>
      </c>
      <c r="D227">
        <f>'Kullanılan gübre'!D227</f>
        <v>2011</v>
      </c>
      <c r="E227">
        <f>'Kullanılan gübre'!E227*'Gübre oranlar'!H$3</f>
        <v>0</v>
      </c>
      <c r="F227">
        <f>'Kullanılan gübre'!F227*'Gübre oranlar'!I$3</f>
        <v>0</v>
      </c>
      <c r="G227">
        <f>'Kullanılan gübre'!G227*'Gübre oranlar'!J$3</f>
        <v>0</v>
      </c>
      <c r="H227">
        <f>'Kullanılan gübre'!H227*'Gübre oranlar'!K$3</f>
        <v>0</v>
      </c>
      <c r="I227">
        <f>'Kullanılan gübre'!I227*'Gübre oranlar'!L$3</f>
        <v>0</v>
      </c>
      <c r="J227">
        <f>'Kullanılan gübre'!J227*'Gübre oranlar'!M$3</f>
        <v>0</v>
      </c>
      <c r="K227">
        <f>'Kullanılan gübre'!K227*'Gübre oranlar'!N$3</f>
        <v>85.52000000000001</v>
      </c>
      <c r="L227">
        <f>'Kullanılan gübre'!L227*'Gübre oranlar'!O$3</f>
        <v>152.97999999999999</v>
      </c>
      <c r="M227">
        <f>'Kullanılan gübre'!M227*'Gübre oranlar'!P$3</f>
        <v>1.1399999999999999</v>
      </c>
      <c r="N227">
        <f>'Kullanılan gübre'!N227*'Gübre oranlar'!Q$3</f>
        <v>0.81</v>
      </c>
      <c r="O227">
        <f>'Kullanılan gübre'!O227*'Gübre oranlar'!R$3</f>
        <v>0</v>
      </c>
      <c r="P227">
        <f>'Kullanılan gübre'!P227*'Gübre oranlar'!S$3</f>
        <v>0</v>
      </c>
      <c r="Q227">
        <f>'Kullanılan gübre'!Q227*'Gübre oranlar'!T$3</f>
        <v>0</v>
      </c>
      <c r="R227">
        <f>'Kullanılan gübre'!R227*'Gübre oranlar'!U$3</f>
        <v>0</v>
      </c>
      <c r="S227">
        <f>'Kullanılan gübre'!S227*'Gübre oranlar'!V$3</f>
        <v>0</v>
      </c>
      <c r="T227">
        <f>'Kullanılan gübre'!T227*'Gübre oranlar'!W$3</f>
        <v>0</v>
      </c>
      <c r="U227">
        <f>'Kullanılan gübre'!U227*'Gübre oranlar'!X$3</f>
        <v>0</v>
      </c>
      <c r="V227">
        <f>'Kullanılan gübre'!V227*'Gübre oranlar'!Y$3</f>
        <v>0</v>
      </c>
      <c r="W227">
        <f>'Kullanılan gübre'!W227*'Gübre oranlar'!Z$3</f>
        <v>0</v>
      </c>
      <c r="X227">
        <f>'Kullanılan gübre'!X227*'Gübre oranlar'!AA$3</f>
        <v>0</v>
      </c>
      <c r="Y227">
        <f>'Kullanılan gübre'!Y227*'Gübre oranlar'!AB$3</f>
        <v>0</v>
      </c>
      <c r="Z227">
        <f>'Kullanılan gübre'!Z227*'Gübre oranlar'!AC$3</f>
        <v>0</v>
      </c>
      <c r="AA227">
        <f>'Kullanılan gübre'!AA227*'Gübre oranlar'!AD$3</f>
        <v>0</v>
      </c>
      <c r="AB227">
        <f>'Kullanılan gübre'!AB227*'Gübre oranlar'!AE$3</f>
        <v>0</v>
      </c>
      <c r="AC227">
        <f>'Kullanılan gübre'!AC227*'Gübre oranlar'!AF$3</f>
        <v>0</v>
      </c>
      <c r="AD227">
        <f>'Kullanılan gübre'!AD227*'Gübre oranlar'!AG$3</f>
        <v>0</v>
      </c>
      <c r="AE227">
        <f>'Kullanılan gübre'!AE227*'Gübre oranlar'!AH$3</f>
        <v>0</v>
      </c>
      <c r="AF227">
        <f>'Kullanılan gübre'!AF227*'Gübre oranlar'!AI$3</f>
        <v>0</v>
      </c>
      <c r="AG227">
        <f>'Kullanılan gübre'!AG227*'Gübre oranlar'!AJ$3</f>
        <v>0</v>
      </c>
      <c r="AH227">
        <f>'Kullanılan gübre'!AH227*'Gübre oranlar'!AK$3</f>
        <v>0</v>
      </c>
      <c r="AI227">
        <f>'Kullanılan gübre'!AI227*'Gübre oranlar'!AL$3</f>
        <v>0</v>
      </c>
      <c r="AJ227">
        <f>'Kullanılan gübre'!AJ227*'Gübre oranlar'!AM$3</f>
        <v>0</v>
      </c>
      <c r="AK227">
        <f>'Kullanılan gübre'!AK227*'Gübre oranlar'!AN$3</f>
        <v>0</v>
      </c>
      <c r="AL227">
        <f>'Kullanılan gübre'!AL227*'Gübre oranlar'!AO$3</f>
        <v>0</v>
      </c>
      <c r="AM227">
        <f>'Kullanılan gübre'!AM227*'Gübre oranlar'!AP$3</f>
        <v>0</v>
      </c>
      <c r="AN227">
        <f>'Kullanılan gübre'!AN227*'Gübre oranlar'!AQ$3</f>
        <v>0</v>
      </c>
      <c r="AO227">
        <f>'Kullanılan gübre'!AO227*'Gübre oranlar'!AR$3</f>
        <v>0</v>
      </c>
      <c r="AP227">
        <f>'Kullanılan gübre'!AP227*'Gübre oranlar'!AS$3</f>
        <v>0</v>
      </c>
      <c r="AQ227">
        <f>'Kullanılan gübre'!AQ227*'Gübre oranlar'!AT$3</f>
        <v>0</v>
      </c>
      <c r="AR227">
        <f>'Kullanılan gübre'!AR227*'Gübre oranlar'!AU$3</f>
        <v>0</v>
      </c>
      <c r="AS227">
        <f>'Kullanılan gübre'!AS227*'Gübre oranlar'!AV$3</f>
        <v>0</v>
      </c>
      <c r="AT227">
        <f>'Kullanılan gübre'!AT227*'Gübre oranlar'!AW$3</f>
        <v>0</v>
      </c>
      <c r="AU227">
        <f>'Kullanılan gübre'!AU227*'Gübre oranlar'!AX$3</f>
        <v>0</v>
      </c>
      <c r="AV227">
        <f>'Kullanılan gübre'!AV227*'Gübre oranlar'!AY$3</f>
        <v>0</v>
      </c>
      <c r="AW227">
        <f t="shared" si="3"/>
        <v>240.45</v>
      </c>
    </row>
    <row r="228" spans="1:49" x14ac:dyDescent="0.25">
      <c r="A228" t="str">
        <f>'Kullanılan gübre'!A228</f>
        <v>BA</v>
      </c>
      <c r="B228" t="str">
        <f>'Kullanılan gübre'!B228</f>
        <v>BURDUR</v>
      </c>
      <c r="C228" t="str">
        <f>'Kullanılan gübre'!C228</f>
        <v>YESILOVA</v>
      </c>
      <c r="D228">
        <f>'Kullanılan gübre'!D228</f>
        <v>2012</v>
      </c>
      <c r="E228">
        <f>'Kullanılan gübre'!E228*'Gübre oranlar'!H$3</f>
        <v>0</v>
      </c>
      <c r="F228">
        <f>'Kullanılan gübre'!F228*'Gübre oranlar'!I$3</f>
        <v>0</v>
      </c>
      <c r="G228">
        <f>'Kullanılan gübre'!G228*'Gübre oranlar'!J$3</f>
        <v>0</v>
      </c>
      <c r="H228">
        <f>'Kullanılan gübre'!H228*'Gübre oranlar'!K$3</f>
        <v>0</v>
      </c>
      <c r="I228">
        <f>'Kullanılan gübre'!I228*'Gübre oranlar'!L$3</f>
        <v>0</v>
      </c>
      <c r="J228">
        <f>'Kullanılan gübre'!J228*'Gübre oranlar'!M$3</f>
        <v>0</v>
      </c>
      <c r="K228">
        <f>'Kullanılan gübre'!K228*'Gübre oranlar'!N$3</f>
        <v>85.52000000000001</v>
      </c>
      <c r="L228">
        <f>'Kullanılan gübre'!L228*'Gübre oranlar'!O$3</f>
        <v>151.84</v>
      </c>
      <c r="M228">
        <f>'Kullanılan gübre'!M228*'Gübre oranlar'!P$3</f>
        <v>1.1399999999999999</v>
      </c>
      <c r="N228">
        <f>'Kullanılan gübre'!N228*'Gübre oranlar'!Q$3</f>
        <v>0.84</v>
      </c>
      <c r="O228">
        <f>'Kullanılan gübre'!O228*'Gübre oranlar'!R$3</f>
        <v>0</v>
      </c>
      <c r="P228">
        <f>'Kullanılan gübre'!P228*'Gübre oranlar'!S$3</f>
        <v>0</v>
      </c>
      <c r="Q228">
        <f>'Kullanılan gübre'!Q228*'Gübre oranlar'!T$3</f>
        <v>0</v>
      </c>
      <c r="R228">
        <f>'Kullanılan gübre'!R228*'Gübre oranlar'!U$3</f>
        <v>0</v>
      </c>
      <c r="S228">
        <f>'Kullanılan gübre'!S228*'Gübre oranlar'!V$3</f>
        <v>0</v>
      </c>
      <c r="T228">
        <f>'Kullanılan gübre'!T228*'Gübre oranlar'!W$3</f>
        <v>0</v>
      </c>
      <c r="U228">
        <f>'Kullanılan gübre'!U228*'Gübre oranlar'!X$3</f>
        <v>0</v>
      </c>
      <c r="V228">
        <f>'Kullanılan gübre'!V228*'Gübre oranlar'!Y$3</f>
        <v>0</v>
      </c>
      <c r="W228">
        <f>'Kullanılan gübre'!W228*'Gübre oranlar'!Z$3</f>
        <v>0</v>
      </c>
      <c r="X228">
        <f>'Kullanılan gübre'!X228*'Gübre oranlar'!AA$3</f>
        <v>0</v>
      </c>
      <c r="Y228">
        <f>'Kullanılan gübre'!Y228*'Gübre oranlar'!AB$3</f>
        <v>0</v>
      </c>
      <c r="Z228">
        <f>'Kullanılan gübre'!Z228*'Gübre oranlar'!AC$3</f>
        <v>0</v>
      </c>
      <c r="AA228">
        <f>'Kullanılan gübre'!AA228*'Gübre oranlar'!AD$3</f>
        <v>0</v>
      </c>
      <c r="AB228">
        <f>'Kullanılan gübre'!AB228*'Gübre oranlar'!AE$3</f>
        <v>0</v>
      </c>
      <c r="AC228">
        <f>'Kullanılan gübre'!AC228*'Gübre oranlar'!AF$3</f>
        <v>0</v>
      </c>
      <c r="AD228">
        <f>'Kullanılan gübre'!AD228*'Gübre oranlar'!AG$3</f>
        <v>0</v>
      </c>
      <c r="AE228">
        <f>'Kullanılan gübre'!AE228*'Gübre oranlar'!AH$3</f>
        <v>0</v>
      </c>
      <c r="AF228">
        <f>'Kullanılan gübre'!AF228*'Gübre oranlar'!AI$3</f>
        <v>0</v>
      </c>
      <c r="AG228">
        <f>'Kullanılan gübre'!AG228*'Gübre oranlar'!AJ$3</f>
        <v>0</v>
      </c>
      <c r="AH228">
        <f>'Kullanılan gübre'!AH228*'Gübre oranlar'!AK$3</f>
        <v>0</v>
      </c>
      <c r="AI228">
        <f>'Kullanılan gübre'!AI228*'Gübre oranlar'!AL$3</f>
        <v>0</v>
      </c>
      <c r="AJ228">
        <f>'Kullanılan gübre'!AJ228*'Gübre oranlar'!AM$3</f>
        <v>0</v>
      </c>
      <c r="AK228">
        <f>'Kullanılan gübre'!AK228*'Gübre oranlar'!AN$3</f>
        <v>0</v>
      </c>
      <c r="AL228">
        <f>'Kullanılan gübre'!AL228*'Gübre oranlar'!AO$3</f>
        <v>0</v>
      </c>
      <c r="AM228">
        <f>'Kullanılan gübre'!AM228*'Gübre oranlar'!AP$3</f>
        <v>0</v>
      </c>
      <c r="AN228">
        <f>'Kullanılan gübre'!AN228*'Gübre oranlar'!AQ$3</f>
        <v>0</v>
      </c>
      <c r="AO228">
        <f>'Kullanılan gübre'!AO228*'Gübre oranlar'!AR$3</f>
        <v>0</v>
      </c>
      <c r="AP228">
        <f>'Kullanılan gübre'!AP228*'Gübre oranlar'!AS$3</f>
        <v>0</v>
      </c>
      <c r="AQ228">
        <f>'Kullanılan gübre'!AQ228*'Gübre oranlar'!AT$3</f>
        <v>0</v>
      </c>
      <c r="AR228">
        <f>'Kullanılan gübre'!AR228*'Gübre oranlar'!AU$3</f>
        <v>0</v>
      </c>
      <c r="AS228">
        <f>'Kullanılan gübre'!AS228*'Gübre oranlar'!AV$3</f>
        <v>0</v>
      </c>
      <c r="AT228">
        <f>'Kullanılan gübre'!AT228*'Gübre oranlar'!AW$3</f>
        <v>0</v>
      </c>
      <c r="AU228">
        <f>'Kullanılan gübre'!AU228*'Gübre oranlar'!AX$3</f>
        <v>0</v>
      </c>
      <c r="AV228">
        <f>'Kullanılan gübre'!AV228*'Gübre oranlar'!AY$3</f>
        <v>0</v>
      </c>
      <c r="AW228">
        <f t="shared" si="3"/>
        <v>239.34</v>
      </c>
    </row>
    <row r="229" spans="1:49" x14ac:dyDescent="0.25">
      <c r="A229" t="str">
        <f>'Kullanılan gübre'!A229</f>
        <v>BA</v>
      </c>
      <c r="B229" t="str">
        <f>'Kullanılan gübre'!B229</f>
        <v>BURDUR</v>
      </c>
      <c r="C229" t="str">
        <f>'Kullanılan gübre'!C229</f>
        <v>YESILOVA</v>
      </c>
      <c r="D229">
        <f>'Kullanılan gübre'!D229</f>
        <v>2013</v>
      </c>
      <c r="E229">
        <f>'Kullanılan gübre'!E229*'Gübre oranlar'!H$3</f>
        <v>0</v>
      </c>
      <c r="F229">
        <f>'Kullanılan gübre'!F229*'Gübre oranlar'!I$3</f>
        <v>0</v>
      </c>
      <c r="G229">
        <f>'Kullanılan gübre'!G229*'Gübre oranlar'!J$3</f>
        <v>0</v>
      </c>
      <c r="H229">
        <f>'Kullanılan gübre'!H229*'Gübre oranlar'!K$3</f>
        <v>0</v>
      </c>
      <c r="I229">
        <f>'Kullanılan gübre'!I229*'Gübre oranlar'!L$3</f>
        <v>0</v>
      </c>
      <c r="J229">
        <f>'Kullanılan gübre'!J229*'Gübre oranlar'!M$3</f>
        <v>0</v>
      </c>
      <c r="K229">
        <f>'Kullanılan gübre'!K229*'Gübre oranlar'!N$3</f>
        <v>85.52000000000001</v>
      </c>
      <c r="L229">
        <f>'Kullanılan gübre'!L229*'Gübre oranlar'!O$3</f>
        <v>151.47999999999999</v>
      </c>
      <c r="M229">
        <f>'Kullanılan gübre'!M229*'Gübre oranlar'!P$3</f>
        <v>1.1399999999999999</v>
      </c>
      <c r="N229">
        <f>'Kullanılan gübre'!N229*'Gübre oranlar'!Q$3</f>
        <v>0.73499999999999999</v>
      </c>
      <c r="O229">
        <f>'Kullanılan gübre'!O229*'Gübre oranlar'!R$3</f>
        <v>0</v>
      </c>
      <c r="P229">
        <f>'Kullanılan gübre'!P229*'Gübre oranlar'!S$3</f>
        <v>0</v>
      </c>
      <c r="Q229">
        <f>'Kullanılan gübre'!Q229*'Gübre oranlar'!T$3</f>
        <v>0</v>
      </c>
      <c r="R229">
        <f>'Kullanılan gübre'!R229*'Gübre oranlar'!U$3</f>
        <v>0</v>
      </c>
      <c r="S229">
        <f>'Kullanılan gübre'!S229*'Gübre oranlar'!V$3</f>
        <v>0</v>
      </c>
      <c r="T229">
        <f>'Kullanılan gübre'!T229*'Gübre oranlar'!W$3</f>
        <v>0</v>
      </c>
      <c r="U229">
        <f>'Kullanılan gübre'!U229*'Gübre oranlar'!X$3</f>
        <v>0</v>
      </c>
      <c r="V229">
        <f>'Kullanılan gübre'!V229*'Gübre oranlar'!Y$3</f>
        <v>0</v>
      </c>
      <c r="W229">
        <f>'Kullanılan gübre'!W229*'Gübre oranlar'!Z$3</f>
        <v>0</v>
      </c>
      <c r="X229">
        <f>'Kullanılan gübre'!X229*'Gübre oranlar'!AA$3</f>
        <v>0</v>
      </c>
      <c r="Y229">
        <f>'Kullanılan gübre'!Y229*'Gübre oranlar'!AB$3</f>
        <v>0</v>
      </c>
      <c r="Z229">
        <f>'Kullanılan gübre'!Z229*'Gübre oranlar'!AC$3</f>
        <v>0</v>
      </c>
      <c r="AA229">
        <f>'Kullanılan gübre'!AA229*'Gübre oranlar'!AD$3</f>
        <v>0</v>
      </c>
      <c r="AB229">
        <f>'Kullanılan gübre'!AB229*'Gübre oranlar'!AE$3</f>
        <v>0</v>
      </c>
      <c r="AC229">
        <f>'Kullanılan gübre'!AC229*'Gübre oranlar'!AF$3</f>
        <v>0</v>
      </c>
      <c r="AD229">
        <f>'Kullanılan gübre'!AD229*'Gübre oranlar'!AG$3</f>
        <v>0</v>
      </c>
      <c r="AE229">
        <f>'Kullanılan gübre'!AE229*'Gübre oranlar'!AH$3</f>
        <v>0</v>
      </c>
      <c r="AF229">
        <f>'Kullanılan gübre'!AF229*'Gübre oranlar'!AI$3</f>
        <v>0</v>
      </c>
      <c r="AG229">
        <f>'Kullanılan gübre'!AG229*'Gübre oranlar'!AJ$3</f>
        <v>0</v>
      </c>
      <c r="AH229">
        <f>'Kullanılan gübre'!AH229*'Gübre oranlar'!AK$3</f>
        <v>0</v>
      </c>
      <c r="AI229">
        <f>'Kullanılan gübre'!AI229*'Gübre oranlar'!AL$3</f>
        <v>0</v>
      </c>
      <c r="AJ229">
        <f>'Kullanılan gübre'!AJ229*'Gübre oranlar'!AM$3</f>
        <v>0</v>
      </c>
      <c r="AK229">
        <f>'Kullanılan gübre'!AK229*'Gübre oranlar'!AN$3</f>
        <v>0</v>
      </c>
      <c r="AL229">
        <f>'Kullanılan gübre'!AL229*'Gübre oranlar'!AO$3</f>
        <v>0</v>
      </c>
      <c r="AM229">
        <f>'Kullanılan gübre'!AM229*'Gübre oranlar'!AP$3</f>
        <v>0</v>
      </c>
      <c r="AN229">
        <f>'Kullanılan gübre'!AN229*'Gübre oranlar'!AQ$3</f>
        <v>0</v>
      </c>
      <c r="AO229">
        <f>'Kullanılan gübre'!AO229*'Gübre oranlar'!AR$3</f>
        <v>0</v>
      </c>
      <c r="AP229">
        <f>'Kullanılan gübre'!AP229*'Gübre oranlar'!AS$3</f>
        <v>0</v>
      </c>
      <c r="AQ229">
        <f>'Kullanılan gübre'!AQ229*'Gübre oranlar'!AT$3</f>
        <v>0</v>
      </c>
      <c r="AR229">
        <f>'Kullanılan gübre'!AR229*'Gübre oranlar'!AU$3</f>
        <v>0</v>
      </c>
      <c r="AS229">
        <f>'Kullanılan gübre'!AS229*'Gübre oranlar'!AV$3</f>
        <v>0</v>
      </c>
      <c r="AT229">
        <f>'Kullanılan gübre'!AT229*'Gübre oranlar'!AW$3</f>
        <v>0</v>
      </c>
      <c r="AU229">
        <f>'Kullanılan gübre'!AU229*'Gübre oranlar'!AX$3</f>
        <v>0</v>
      </c>
      <c r="AV229">
        <f>'Kullanılan gübre'!AV229*'Gübre oranlar'!AY$3</f>
        <v>0</v>
      </c>
      <c r="AW229">
        <f t="shared" si="3"/>
        <v>238.875</v>
      </c>
    </row>
    <row r="230" spans="1:49" x14ac:dyDescent="0.25">
      <c r="A230" t="str">
        <f>'Kullanılan gübre'!A230</f>
        <v>BA</v>
      </c>
      <c r="B230" t="str">
        <f>'Kullanılan gübre'!B230</f>
        <v>BURDUR</v>
      </c>
      <c r="C230" t="str">
        <f>'Kullanılan gübre'!C230</f>
        <v>YESILOVA</v>
      </c>
      <c r="D230">
        <f>'Kullanılan gübre'!D230</f>
        <v>2014</v>
      </c>
      <c r="E230">
        <f>'Kullanılan gübre'!E230*'Gübre oranlar'!H$3</f>
        <v>0</v>
      </c>
      <c r="F230">
        <f>'Kullanılan gübre'!F230*'Gübre oranlar'!I$3</f>
        <v>0</v>
      </c>
      <c r="G230">
        <f>'Kullanılan gübre'!G230*'Gübre oranlar'!J$3</f>
        <v>0</v>
      </c>
      <c r="H230">
        <f>'Kullanılan gübre'!H230*'Gübre oranlar'!K$3</f>
        <v>0</v>
      </c>
      <c r="I230">
        <f>'Kullanılan gübre'!I230*'Gübre oranlar'!L$3</f>
        <v>0</v>
      </c>
      <c r="J230">
        <f>'Kullanılan gübre'!J230*'Gübre oranlar'!M$3</f>
        <v>0</v>
      </c>
      <c r="K230">
        <f>'Kullanılan gübre'!K230*'Gübre oranlar'!N$3</f>
        <v>85.64</v>
      </c>
      <c r="L230">
        <f>'Kullanılan gübre'!L230*'Gübre oranlar'!O$3</f>
        <v>151.08000000000001</v>
      </c>
      <c r="M230">
        <f>'Kullanılan gübre'!M230*'Gübre oranlar'!P$3</f>
        <v>1.2299999999999998</v>
      </c>
      <c r="N230">
        <f>'Kullanılan gübre'!N230*'Gübre oranlar'!Q$3</f>
        <v>0.70499999999999996</v>
      </c>
      <c r="O230">
        <f>'Kullanılan gübre'!O230*'Gübre oranlar'!R$3</f>
        <v>0</v>
      </c>
      <c r="P230">
        <f>'Kullanılan gübre'!P230*'Gübre oranlar'!S$3</f>
        <v>0</v>
      </c>
      <c r="Q230">
        <f>'Kullanılan gübre'!Q230*'Gübre oranlar'!T$3</f>
        <v>0</v>
      </c>
      <c r="R230">
        <f>'Kullanılan gübre'!R230*'Gübre oranlar'!U$3</f>
        <v>0</v>
      </c>
      <c r="S230">
        <f>'Kullanılan gübre'!S230*'Gübre oranlar'!V$3</f>
        <v>0</v>
      </c>
      <c r="T230">
        <f>'Kullanılan gübre'!T230*'Gübre oranlar'!W$3</f>
        <v>0</v>
      </c>
      <c r="U230">
        <f>'Kullanılan gübre'!U230*'Gübre oranlar'!X$3</f>
        <v>0</v>
      </c>
      <c r="V230">
        <f>'Kullanılan gübre'!V230*'Gübre oranlar'!Y$3</f>
        <v>0</v>
      </c>
      <c r="W230">
        <f>'Kullanılan gübre'!W230*'Gübre oranlar'!Z$3</f>
        <v>0</v>
      </c>
      <c r="X230">
        <f>'Kullanılan gübre'!X230*'Gübre oranlar'!AA$3</f>
        <v>0</v>
      </c>
      <c r="Y230">
        <f>'Kullanılan gübre'!Y230*'Gübre oranlar'!AB$3</f>
        <v>0</v>
      </c>
      <c r="Z230">
        <f>'Kullanılan gübre'!Z230*'Gübre oranlar'!AC$3</f>
        <v>0</v>
      </c>
      <c r="AA230">
        <f>'Kullanılan gübre'!AA230*'Gübre oranlar'!AD$3</f>
        <v>0</v>
      </c>
      <c r="AB230">
        <f>'Kullanılan gübre'!AB230*'Gübre oranlar'!AE$3</f>
        <v>0</v>
      </c>
      <c r="AC230">
        <f>'Kullanılan gübre'!AC230*'Gübre oranlar'!AF$3</f>
        <v>0</v>
      </c>
      <c r="AD230">
        <f>'Kullanılan gübre'!AD230*'Gübre oranlar'!AG$3</f>
        <v>0</v>
      </c>
      <c r="AE230">
        <f>'Kullanılan gübre'!AE230*'Gübre oranlar'!AH$3</f>
        <v>0</v>
      </c>
      <c r="AF230">
        <f>'Kullanılan gübre'!AF230*'Gübre oranlar'!AI$3</f>
        <v>0</v>
      </c>
      <c r="AG230">
        <f>'Kullanılan gübre'!AG230*'Gübre oranlar'!AJ$3</f>
        <v>0</v>
      </c>
      <c r="AH230">
        <f>'Kullanılan gübre'!AH230*'Gübre oranlar'!AK$3</f>
        <v>0</v>
      </c>
      <c r="AI230">
        <f>'Kullanılan gübre'!AI230*'Gübre oranlar'!AL$3</f>
        <v>0</v>
      </c>
      <c r="AJ230">
        <f>'Kullanılan gübre'!AJ230*'Gübre oranlar'!AM$3</f>
        <v>0</v>
      </c>
      <c r="AK230">
        <f>'Kullanılan gübre'!AK230*'Gübre oranlar'!AN$3</f>
        <v>0</v>
      </c>
      <c r="AL230">
        <f>'Kullanılan gübre'!AL230*'Gübre oranlar'!AO$3</f>
        <v>0</v>
      </c>
      <c r="AM230">
        <f>'Kullanılan gübre'!AM230*'Gübre oranlar'!AP$3</f>
        <v>0</v>
      </c>
      <c r="AN230">
        <f>'Kullanılan gübre'!AN230*'Gübre oranlar'!AQ$3</f>
        <v>0</v>
      </c>
      <c r="AO230">
        <f>'Kullanılan gübre'!AO230*'Gübre oranlar'!AR$3</f>
        <v>0</v>
      </c>
      <c r="AP230">
        <f>'Kullanılan gübre'!AP230*'Gübre oranlar'!AS$3</f>
        <v>0</v>
      </c>
      <c r="AQ230">
        <f>'Kullanılan gübre'!AQ230*'Gübre oranlar'!AT$3</f>
        <v>0</v>
      </c>
      <c r="AR230">
        <f>'Kullanılan gübre'!AR230*'Gübre oranlar'!AU$3</f>
        <v>0</v>
      </c>
      <c r="AS230">
        <f>'Kullanılan gübre'!AS230*'Gübre oranlar'!AV$3</f>
        <v>0</v>
      </c>
      <c r="AT230">
        <f>'Kullanılan gübre'!AT230*'Gübre oranlar'!AW$3</f>
        <v>0</v>
      </c>
      <c r="AU230">
        <f>'Kullanılan gübre'!AU230*'Gübre oranlar'!AX$3</f>
        <v>0</v>
      </c>
      <c r="AV230">
        <f>'Kullanılan gübre'!AV230*'Gübre oranlar'!AY$3</f>
        <v>0</v>
      </c>
      <c r="AW230">
        <f t="shared" si="3"/>
        <v>238.65500000000003</v>
      </c>
    </row>
    <row r="231" spans="1:49" x14ac:dyDescent="0.25">
      <c r="A231" t="str">
        <f>'Kullanılan gübre'!A231</f>
        <v>BA</v>
      </c>
      <c r="B231" t="str">
        <f>'Kullanılan gübre'!B231</f>
        <v>BURDUR</v>
      </c>
      <c r="C231" t="str">
        <f>'Kullanılan gübre'!C231</f>
        <v>YESILOVA</v>
      </c>
      <c r="D231">
        <f>'Kullanılan gübre'!D231</f>
        <v>2015</v>
      </c>
      <c r="E231">
        <f>'Kullanılan gübre'!E231*'Gübre oranlar'!H$3</f>
        <v>0</v>
      </c>
      <c r="F231">
        <f>'Kullanılan gübre'!F231*'Gübre oranlar'!I$3</f>
        <v>0</v>
      </c>
      <c r="G231">
        <f>'Kullanılan gübre'!G231*'Gübre oranlar'!J$3</f>
        <v>0</v>
      </c>
      <c r="H231">
        <f>'Kullanılan gübre'!H231*'Gübre oranlar'!K$3</f>
        <v>0</v>
      </c>
      <c r="I231">
        <f>'Kullanılan gübre'!I231*'Gübre oranlar'!L$3</f>
        <v>0</v>
      </c>
      <c r="J231">
        <f>'Kullanılan gübre'!J231*'Gübre oranlar'!M$3</f>
        <v>0</v>
      </c>
      <c r="K231">
        <f>'Kullanılan gübre'!K231*'Gübre oranlar'!N$3</f>
        <v>85.920000000000016</v>
      </c>
      <c r="L231">
        <f>'Kullanılan gübre'!L231*'Gübre oranlar'!O$3</f>
        <v>150.47999999999999</v>
      </c>
      <c r="M231">
        <f>'Kullanılan gübre'!M231*'Gübre oranlar'!P$3</f>
        <v>1.44</v>
      </c>
      <c r="N231">
        <f>'Kullanılan gübre'!N231*'Gübre oranlar'!Q$3</f>
        <v>0.69</v>
      </c>
      <c r="O231">
        <f>'Kullanılan gübre'!O231*'Gübre oranlar'!R$3</f>
        <v>0</v>
      </c>
      <c r="P231">
        <f>'Kullanılan gübre'!P231*'Gübre oranlar'!S$3</f>
        <v>0</v>
      </c>
      <c r="Q231">
        <f>'Kullanılan gübre'!Q231*'Gübre oranlar'!T$3</f>
        <v>0</v>
      </c>
      <c r="R231">
        <f>'Kullanılan gübre'!R231*'Gübre oranlar'!U$3</f>
        <v>0</v>
      </c>
      <c r="S231">
        <f>'Kullanılan gübre'!S231*'Gübre oranlar'!V$3</f>
        <v>0</v>
      </c>
      <c r="T231">
        <f>'Kullanılan gübre'!T231*'Gübre oranlar'!W$3</f>
        <v>0</v>
      </c>
      <c r="U231">
        <f>'Kullanılan gübre'!U231*'Gübre oranlar'!X$3</f>
        <v>0</v>
      </c>
      <c r="V231">
        <f>'Kullanılan gübre'!V231*'Gübre oranlar'!Y$3</f>
        <v>0</v>
      </c>
      <c r="W231">
        <f>'Kullanılan gübre'!W231*'Gübre oranlar'!Z$3</f>
        <v>0</v>
      </c>
      <c r="X231">
        <f>'Kullanılan gübre'!X231*'Gübre oranlar'!AA$3</f>
        <v>0</v>
      </c>
      <c r="Y231">
        <f>'Kullanılan gübre'!Y231*'Gübre oranlar'!AB$3</f>
        <v>0</v>
      </c>
      <c r="Z231">
        <f>'Kullanılan gübre'!Z231*'Gübre oranlar'!AC$3</f>
        <v>0</v>
      </c>
      <c r="AA231">
        <f>'Kullanılan gübre'!AA231*'Gübre oranlar'!AD$3</f>
        <v>0</v>
      </c>
      <c r="AB231">
        <f>'Kullanılan gübre'!AB231*'Gübre oranlar'!AE$3</f>
        <v>0</v>
      </c>
      <c r="AC231">
        <f>'Kullanılan gübre'!AC231*'Gübre oranlar'!AF$3</f>
        <v>0</v>
      </c>
      <c r="AD231">
        <f>'Kullanılan gübre'!AD231*'Gübre oranlar'!AG$3</f>
        <v>0</v>
      </c>
      <c r="AE231">
        <f>'Kullanılan gübre'!AE231*'Gübre oranlar'!AH$3</f>
        <v>0</v>
      </c>
      <c r="AF231">
        <f>'Kullanılan gübre'!AF231*'Gübre oranlar'!AI$3</f>
        <v>0</v>
      </c>
      <c r="AG231">
        <f>'Kullanılan gübre'!AG231*'Gübre oranlar'!AJ$3</f>
        <v>0</v>
      </c>
      <c r="AH231">
        <f>'Kullanılan gübre'!AH231*'Gübre oranlar'!AK$3</f>
        <v>0</v>
      </c>
      <c r="AI231">
        <f>'Kullanılan gübre'!AI231*'Gübre oranlar'!AL$3</f>
        <v>0</v>
      </c>
      <c r="AJ231">
        <f>'Kullanılan gübre'!AJ231*'Gübre oranlar'!AM$3</f>
        <v>0</v>
      </c>
      <c r="AK231">
        <f>'Kullanılan gübre'!AK231*'Gübre oranlar'!AN$3</f>
        <v>0</v>
      </c>
      <c r="AL231">
        <f>'Kullanılan gübre'!AL231*'Gübre oranlar'!AO$3</f>
        <v>0</v>
      </c>
      <c r="AM231">
        <f>'Kullanılan gübre'!AM231*'Gübre oranlar'!AP$3</f>
        <v>0</v>
      </c>
      <c r="AN231">
        <f>'Kullanılan gübre'!AN231*'Gübre oranlar'!AQ$3</f>
        <v>0</v>
      </c>
      <c r="AO231">
        <f>'Kullanılan gübre'!AO231*'Gübre oranlar'!AR$3</f>
        <v>0</v>
      </c>
      <c r="AP231">
        <f>'Kullanılan gübre'!AP231*'Gübre oranlar'!AS$3</f>
        <v>0</v>
      </c>
      <c r="AQ231">
        <f>'Kullanılan gübre'!AQ231*'Gübre oranlar'!AT$3</f>
        <v>0</v>
      </c>
      <c r="AR231">
        <f>'Kullanılan gübre'!AR231*'Gübre oranlar'!AU$3</f>
        <v>0</v>
      </c>
      <c r="AS231">
        <f>'Kullanılan gübre'!AS231*'Gübre oranlar'!AV$3</f>
        <v>0</v>
      </c>
      <c r="AT231">
        <f>'Kullanılan gübre'!AT231*'Gübre oranlar'!AW$3</f>
        <v>0</v>
      </c>
      <c r="AU231">
        <f>'Kullanılan gübre'!AU231*'Gübre oranlar'!AX$3</f>
        <v>0</v>
      </c>
      <c r="AV231">
        <f>'Kullanılan gübre'!AV231*'Gübre oranlar'!AY$3</f>
        <v>0</v>
      </c>
      <c r="AW231">
        <f t="shared" si="3"/>
        <v>238.53</v>
      </c>
    </row>
    <row r="232" spans="1:49" x14ac:dyDescent="0.25">
      <c r="A232" t="str">
        <f>'Kullanılan gübre'!A232</f>
        <v>BA</v>
      </c>
      <c r="B232" t="str">
        <f>'Kullanılan gübre'!B232</f>
        <v>BURDUR</v>
      </c>
      <c r="C232" t="str">
        <f>'Kullanılan gübre'!C232</f>
        <v>YESILOVA</v>
      </c>
      <c r="D232">
        <f>'Kullanılan gübre'!D232</f>
        <v>2016</v>
      </c>
      <c r="E232">
        <f>'Kullanılan gübre'!E232*'Gübre oranlar'!H$3</f>
        <v>0</v>
      </c>
      <c r="F232">
        <f>'Kullanılan gübre'!F232*'Gübre oranlar'!I$3</f>
        <v>0</v>
      </c>
      <c r="G232">
        <f>'Kullanılan gübre'!G232*'Gübre oranlar'!J$3</f>
        <v>0</v>
      </c>
      <c r="H232">
        <f>'Kullanılan gübre'!H232*'Gübre oranlar'!K$3</f>
        <v>0</v>
      </c>
      <c r="I232">
        <f>'Kullanılan gübre'!I232*'Gübre oranlar'!L$3</f>
        <v>0</v>
      </c>
      <c r="J232">
        <f>'Kullanılan gübre'!J232*'Gübre oranlar'!M$3</f>
        <v>0</v>
      </c>
      <c r="K232">
        <f>'Kullanılan gübre'!K232*'Gübre oranlar'!N$3</f>
        <v>85.720000000000013</v>
      </c>
      <c r="L232">
        <f>'Kullanılan gübre'!L232*'Gübre oranlar'!O$3</f>
        <v>150.28</v>
      </c>
      <c r="M232">
        <f>'Kullanılan gübre'!M232*'Gübre oranlar'!P$3</f>
        <v>1.2899999999999998</v>
      </c>
      <c r="N232">
        <f>'Kullanılan gübre'!N232*'Gübre oranlar'!Q$3</f>
        <v>0.70499999999999996</v>
      </c>
      <c r="O232">
        <f>'Kullanılan gübre'!O232*'Gübre oranlar'!R$3</f>
        <v>0</v>
      </c>
      <c r="P232">
        <f>'Kullanılan gübre'!P232*'Gübre oranlar'!S$3</f>
        <v>0</v>
      </c>
      <c r="Q232">
        <f>'Kullanılan gübre'!Q232*'Gübre oranlar'!T$3</f>
        <v>0</v>
      </c>
      <c r="R232">
        <f>'Kullanılan gübre'!R232*'Gübre oranlar'!U$3</f>
        <v>0</v>
      </c>
      <c r="S232">
        <f>'Kullanılan gübre'!S232*'Gübre oranlar'!V$3</f>
        <v>0</v>
      </c>
      <c r="T232">
        <f>'Kullanılan gübre'!T232*'Gübre oranlar'!W$3</f>
        <v>0</v>
      </c>
      <c r="U232">
        <f>'Kullanılan gübre'!U232*'Gübre oranlar'!X$3</f>
        <v>0</v>
      </c>
      <c r="V232">
        <f>'Kullanılan gübre'!V232*'Gübre oranlar'!Y$3</f>
        <v>0</v>
      </c>
      <c r="W232">
        <f>'Kullanılan gübre'!W232*'Gübre oranlar'!Z$3</f>
        <v>0</v>
      </c>
      <c r="X232">
        <f>'Kullanılan gübre'!X232*'Gübre oranlar'!AA$3</f>
        <v>0</v>
      </c>
      <c r="Y232">
        <f>'Kullanılan gübre'!Y232*'Gübre oranlar'!AB$3</f>
        <v>0</v>
      </c>
      <c r="Z232">
        <f>'Kullanılan gübre'!Z232*'Gübre oranlar'!AC$3</f>
        <v>0</v>
      </c>
      <c r="AA232">
        <f>'Kullanılan gübre'!AA232*'Gübre oranlar'!AD$3</f>
        <v>0</v>
      </c>
      <c r="AB232">
        <f>'Kullanılan gübre'!AB232*'Gübre oranlar'!AE$3</f>
        <v>0</v>
      </c>
      <c r="AC232">
        <f>'Kullanılan gübre'!AC232*'Gübre oranlar'!AF$3</f>
        <v>0</v>
      </c>
      <c r="AD232">
        <f>'Kullanılan gübre'!AD232*'Gübre oranlar'!AG$3</f>
        <v>0</v>
      </c>
      <c r="AE232">
        <f>'Kullanılan gübre'!AE232*'Gübre oranlar'!AH$3</f>
        <v>0</v>
      </c>
      <c r="AF232">
        <f>'Kullanılan gübre'!AF232*'Gübre oranlar'!AI$3</f>
        <v>0</v>
      </c>
      <c r="AG232">
        <f>'Kullanılan gübre'!AG232*'Gübre oranlar'!AJ$3</f>
        <v>0</v>
      </c>
      <c r="AH232">
        <f>'Kullanılan gübre'!AH232*'Gübre oranlar'!AK$3</f>
        <v>0</v>
      </c>
      <c r="AI232">
        <f>'Kullanılan gübre'!AI232*'Gübre oranlar'!AL$3</f>
        <v>0</v>
      </c>
      <c r="AJ232">
        <f>'Kullanılan gübre'!AJ232*'Gübre oranlar'!AM$3</f>
        <v>0</v>
      </c>
      <c r="AK232">
        <f>'Kullanılan gübre'!AK232*'Gübre oranlar'!AN$3</f>
        <v>0</v>
      </c>
      <c r="AL232">
        <f>'Kullanılan gübre'!AL232*'Gübre oranlar'!AO$3</f>
        <v>0</v>
      </c>
      <c r="AM232">
        <f>'Kullanılan gübre'!AM232*'Gübre oranlar'!AP$3</f>
        <v>0</v>
      </c>
      <c r="AN232">
        <f>'Kullanılan gübre'!AN232*'Gübre oranlar'!AQ$3</f>
        <v>0</v>
      </c>
      <c r="AO232">
        <f>'Kullanılan gübre'!AO232*'Gübre oranlar'!AR$3</f>
        <v>0</v>
      </c>
      <c r="AP232">
        <f>'Kullanılan gübre'!AP232*'Gübre oranlar'!AS$3</f>
        <v>0</v>
      </c>
      <c r="AQ232">
        <f>'Kullanılan gübre'!AQ232*'Gübre oranlar'!AT$3</f>
        <v>0</v>
      </c>
      <c r="AR232">
        <f>'Kullanılan gübre'!AR232*'Gübre oranlar'!AU$3</f>
        <v>0</v>
      </c>
      <c r="AS232">
        <f>'Kullanılan gübre'!AS232*'Gübre oranlar'!AV$3</f>
        <v>0</v>
      </c>
      <c r="AT232">
        <f>'Kullanılan gübre'!AT232*'Gübre oranlar'!AW$3</f>
        <v>0</v>
      </c>
      <c r="AU232">
        <f>'Kullanılan gübre'!AU232*'Gübre oranlar'!AX$3</f>
        <v>0</v>
      </c>
      <c r="AV232">
        <f>'Kullanılan gübre'!AV232*'Gübre oranlar'!AY$3</f>
        <v>0</v>
      </c>
      <c r="AW232">
        <f t="shared" si="3"/>
        <v>237.995</v>
      </c>
    </row>
    <row r="233" spans="1:49" x14ac:dyDescent="0.25">
      <c r="A233" t="str">
        <f>'Kullanılan gübre'!A233</f>
        <v>BA</v>
      </c>
      <c r="B233" t="str">
        <f>'Kullanılan gübre'!B233</f>
        <v>BURDUR</v>
      </c>
      <c r="C233" t="str">
        <f>'Kullanılan gübre'!C233</f>
        <v>YESILOVA</v>
      </c>
      <c r="D233">
        <f>'Kullanılan gübre'!D233</f>
        <v>2017</v>
      </c>
      <c r="E233">
        <f>'Kullanılan gübre'!E233*'Gübre oranlar'!H$3</f>
        <v>0</v>
      </c>
      <c r="F233">
        <f>'Kullanılan gübre'!F233*'Gübre oranlar'!I$3</f>
        <v>0</v>
      </c>
      <c r="G233">
        <f>'Kullanılan gübre'!G233*'Gübre oranlar'!J$3</f>
        <v>0</v>
      </c>
      <c r="H233">
        <f>'Kullanılan gübre'!H233*'Gübre oranlar'!K$3</f>
        <v>0</v>
      </c>
      <c r="I233">
        <f>'Kullanılan gübre'!I233*'Gübre oranlar'!L$3</f>
        <v>0</v>
      </c>
      <c r="J233">
        <f>'Kullanılan gübre'!J233*'Gübre oranlar'!M$3</f>
        <v>0</v>
      </c>
      <c r="K233">
        <f>'Kullanılan gübre'!K233*'Gübre oranlar'!N$3</f>
        <v>85.52000000000001</v>
      </c>
      <c r="L233">
        <f>'Kullanılan gübre'!L233*'Gübre oranlar'!O$3</f>
        <v>150.92000000000002</v>
      </c>
      <c r="M233">
        <f>'Kullanılan gübre'!M233*'Gübre oranlar'!P$3</f>
        <v>1.1399999999999999</v>
      </c>
      <c r="N233">
        <f>'Kullanılan gübre'!N233*'Gübre oranlar'!Q$3</f>
        <v>0.72</v>
      </c>
      <c r="O233">
        <f>'Kullanılan gübre'!O233*'Gübre oranlar'!R$3</f>
        <v>0</v>
      </c>
      <c r="P233">
        <f>'Kullanılan gübre'!P233*'Gübre oranlar'!S$3</f>
        <v>0</v>
      </c>
      <c r="Q233">
        <f>'Kullanılan gübre'!Q233*'Gübre oranlar'!T$3</f>
        <v>0</v>
      </c>
      <c r="R233">
        <f>'Kullanılan gübre'!R233*'Gübre oranlar'!U$3</f>
        <v>0</v>
      </c>
      <c r="S233">
        <f>'Kullanılan gübre'!S233*'Gübre oranlar'!V$3</f>
        <v>0</v>
      </c>
      <c r="T233">
        <f>'Kullanılan gübre'!T233*'Gübre oranlar'!W$3</f>
        <v>0</v>
      </c>
      <c r="U233">
        <f>'Kullanılan gübre'!U233*'Gübre oranlar'!X$3</f>
        <v>0</v>
      </c>
      <c r="V233">
        <f>'Kullanılan gübre'!V233*'Gübre oranlar'!Y$3</f>
        <v>0</v>
      </c>
      <c r="W233">
        <f>'Kullanılan gübre'!W233*'Gübre oranlar'!Z$3</f>
        <v>0</v>
      </c>
      <c r="X233">
        <f>'Kullanılan gübre'!X233*'Gübre oranlar'!AA$3</f>
        <v>0</v>
      </c>
      <c r="Y233">
        <f>'Kullanılan gübre'!Y233*'Gübre oranlar'!AB$3</f>
        <v>0</v>
      </c>
      <c r="Z233">
        <f>'Kullanılan gübre'!Z233*'Gübre oranlar'!AC$3</f>
        <v>0</v>
      </c>
      <c r="AA233">
        <f>'Kullanılan gübre'!AA233*'Gübre oranlar'!AD$3</f>
        <v>0</v>
      </c>
      <c r="AB233">
        <f>'Kullanılan gübre'!AB233*'Gübre oranlar'!AE$3</f>
        <v>0</v>
      </c>
      <c r="AC233">
        <f>'Kullanılan gübre'!AC233*'Gübre oranlar'!AF$3</f>
        <v>0</v>
      </c>
      <c r="AD233">
        <f>'Kullanılan gübre'!AD233*'Gübre oranlar'!AG$3</f>
        <v>0</v>
      </c>
      <c r="AE233">
        <f>'Kullanılan gübre'!AE233*'Gübre oranlar'!AH$3</f>
        <v>0</v>
      </c>
      <c r="AF233">
        <f>'Kullanılan gübre'!AF233*'Gübre oranlar'!AI$3</f>
        <v>0</v>
      </c>
      <c r="AG233">
        <f>'Kullanılan gübre'!AG233*'Gübre oranlar'!AJ$3</f>
        <v>0</v>
      </c>
      <c r="AH233">
        <f>'Kullanılan gübre'!AH233*'Gübre oranlar'!AK$3</f>
        <v>0</v>
      </c>
      <c r="AI233">
        <f>'Kullanılan gübre'!AI233*'Gübre oranlar'!AL$3</f>
        <v>0</v>
      </c>
      <c r="AJ233">
        <f>'Kullanılan gübre'!AJ233*'Gübre oranlar'!AM$3</f>
        <v>0</v>
      </c>
      <c r="AK233">
        <f>'Kullanılan gübre'!AK233*'Gübre oranlar'!AN$3</f>
        <v>0</v>
      </c>
      <c r="AL233">
        <f>'Kullanılan gübre'!AL233*'Gübre oranlar'!AO$3</f>
        <v>0</v>
      </c>
      <c r="AM233">
        <f>'Kullanılan gübre'!AM233*'Gübre oranlar'!AP$3</f>
        <v>0</v>
      </c>
      <c r="AN233">
        <f>'Kullanılan gübre'!AN233*'Gübre oranlar'!AQ$3</f>
        <v>0</v>
      </c>
      <c r="AO233">
        <f>'Kullanılan gübre'!AO233*'Gübre oranlar'!AR$3</f>
        <v>0</v>
      </c>
      <c r="AP233">
        <f>'Kullanılan gübre'!AP233*'Gübre oranlar'!AS$3</f>
        <v>0</v>
      </c>
      <c r="AQ233">
        <f>'Kullanılan gübre'!AQ233*'Gübre oranlar'!AT$3</f>
        <v>0</v>
      </c>
      <c r="AR233">
        <f>'Kullanılan gübre'!AR233*'Gübre oranlar'!AU$3</f>
        <v>0</v>
      </c>
      <c r="AS233">
        <f>'Kullanılan gübre'!AS233*'Gübre oranlar'!AV$3</f>
        <v>0</v>
      </c>
      <c r="AT233">
        <f>'Kullanılan gübre'!AT233*'Gübre oranlar'!AW$3</f>
        <v>0</v>
      </c>
      <c r="AU233">
        <f>'Kullanılan gübre'!AU233*'Gübre oranlar'!AX$3</f>
        <v>0</v>
      </c>
      <c r="AV233">
        <f>'Kullanılan gübre'!AV233*'Gübre oranlar'!AY$3</f>
        <v>0</v>
      </c>
      <c r="AW233">
        <f t="shared" si="3"/>
        <v>238.3</v>
      </c>
    </row>
    <row r="234" spans="1:49" x14ac:dyDescent="0.25">
      <c r="A234" t="str">
        <f>'Kullanılan gübre'!A234</f>
        <v>BA</v>
      </c>
      <c r="B234" t="str">
        <f>'Kullanılan gübre'!B234</f>
        <v>BURDUR</v>
      </c>
      <c r="C234" t="str">
        <f>'Kullanılan gübre'!C234</f>
        <v>TEFENNI</v>
      </c>
      <c r="D234">
        <f>'Kullanılan gübre'!D234</f>
        <v>2014</v>
      </c>
      <c r="E234">
        <f>'Kullanılan gübre'!E234*'Gübre oranlar'!H$3</f>
        <v>0</v>
      </c>
      <c r="F234">
        <f>'Kullanılan gübre'!F234*'Gübre oranlar'!I$3</f>
        <v>0</v>
      </c>
      <c r="G234">
        <f>'Kullanılan gübre'!G234*'Gübre oranlar'!J$3</f>
        <v>0</v>
      </c>
      <c r="H234">
        <f>'Kullanılan gübre'!H234*'Gübre oranlar'!K$3</f>
        <v>0</v>
      </c>
      <c r="I234">
        <f>'Kullanılan gübre'!I234*'Gübre oranlar'!L$3</f>
        <v>0</v>
      </c>
      <c r="J234">
        <f>'Kullanılan gübre'!J234*'Gübre oranlar'!M$3</f>
        <v>0</v>
      </c>
      <c r="K234">
        <f>'Kullanılan gübre'!K234*'Gübre oranlar'!N$3</f>
        <v>65.02000000000001</v>
      </c>
      <c r="L234">
        <f>'Kullanılan gübre'!L234*'Gübre oranlar'!O$3</f>
        <v>108.4</v>
      </c>
      <c r="M234">
        <f>'Kullanılan gübre'!M234*'Gübre oranlar'!P$3</f>
        <v>1.2299999999999998</v>
      </c>
      <c r="N234">
        <f>'Kullanılan gübre'!N234*'Gübre oranlar'!Q$3</f>
        <v>0.70499999999999996</v>
      </c>
      <c r="O234">
        <f>'Kullanılan gübre'!O234*'Gübre oranlar'!R$3</f>
        <v>0</v>
      </c>
      <c r="P234">
        <f>'Kullanılan gübre'!P234*'Gübre oranlar'!S$3</f>
        <v>0</v>
      </c>
      <c r="Q234">
        <f>'Kullanılan gübre'!Q234*'Gübre oranlar'!T$3</f>
        <v>0</v>
      </c>
      <c r="R234">
        <f>'Kullanılan gübre'!R234*'Gübre oranlar'!U$3</f>
        <v>0</v>
      </c>
      <c r="S234">
        <f>'Kullanılan gübre'!S234*'Gübre oranlar'!V$3</f>
        <v>0</v>
      </c>
      <c r="T234">
        <f>'Kullanılan gübre'!T234*'Gübre oranlar'!W$3</f>
        <v>0</v>
      </c>
      <c r="U234">
        <f>'Kullanılan gübre'!U234*'Gübre oranlar'!X$3</f>
        <v>0</v>
      </c>
      <c r="V234">
        <f>'Kullanılan gübre'!V234*'Gübre oranlar'!Y$3</f>
        <v>0</v>
      </c>
      <c r="W234">
        <f>'Kullanılan gübre'!W234*'Gübre oranlar'!Z$3</f>
        <v>0</v>
      </c>
      <c r="X234">
        <f>'Kullanılan gübre'!X234*'Gübre oranlar'!AA$3</f>
        <v>0</v>
      </c>
      <c r="Y234">
        <f>'Kullanılan gübre'!Y234*'Gübre oranlar'!AB$3</f>
        <v>0</v>
      </c>
      <c r="Z234">
        <f>'Kullanılan gübre'!Z234*'Gübre oranlar'!AC$3</f>
        <v>0</v>
      </c>
      <c r="AA234">
        <f>'Kullanılan gübre'!AA234*'Gübre oranlar'!AD$3</f>
        <v>0</v>
      </c>
      <c r="AB234">
        <f>'Kullanılan gübre'!AB234*'Gübre oranlar'!AE$3</f>
        <v>0</v>
      </c>
      <c r="AC234">
        <f>'Kullanılan gübre'!AC234*'Gübre oranlar'!AF$3</f>
        <v>0</v>
      </c>
      <c r="AD234">
        <f>'Kullanılan gübre'!AD234*'Gübre oranlar'!AG$3</f>
        <v>0</v>
      </c>
      <c r="AE234">
        <f>'Kullanılan gübre'!AE234*'Gübre oranlar'!AH$3</f>
        <v>0</v>
      </c>
      <c r="AF234">
        <f>'Kullanılan gübre'!AF234*'Gübre oranlar'!AI$3</f>
        <v>0</v>
      </c>
      <c r="AG234">
        <f>'Kullanılan gübre'!AG234*'Gübre oranlar'!AJ$3</f>
        <v>0</v>
      </c>
      <c r="AH234">
        <f>'Kullanılan gübre'!AH234*'Gübre oranlar'!AK$3</f>
        <v>0</v>
      </c>
      <c r="AI234">
        <f>'Kullanılan gübre'!AI234*'Gübre oranlar'!AL$3</f>
        <v>0</v>
      </c>
      <c r="AJ234">
        <f>'Kullanılan gübre'!AJ234*'Gübre oranlar'!AM$3</f>
        <v>0</v>
      </c>
      <c r="AK234">
        <f>'Kullanılan gübre'!AK234*'Gübre oranlar'!AN$3</f>
        <v>0</v>
      </c>
      <c r="AL234">
        <f>'Kullanılan gübre'!AL234*'Gübre oranlar'!AO$3</f>
        <v>0</v>
      </c>
      <c r="AM234">
        <f>'Kullanılan gübre'!AM234*'Gübre oranlar'!AP$3</f>
        <v>0</v>
      </c>
      <c r="AN234">
        <f>'Kullanılan gübre'!AN234*'Gübre oranlar'!AQ$3</f>
        <v>0</v>
      </c>
      <c r="AO234">
        <f>'Kullanılan gübre'!AO234*'Gübre oranlar'!AR$3</f>
        <v>0</v>
      </c>
      <c r="AP234">
        <f>'Kullanılan gübre'!AP234*'Gübre oranlar'!AS$3</f>
        <v>0</v>
      </c>
      <c r="AQ234">
        <f>'Kullanılan gübre'!AQ234*'Gübre oranlar'!AT$3</f>
        <v>0</v>
      </c>
      <c r="AR234">
        <f>'Kullanılan gübre'!AR234*'Gübre oranlar'!AU$3</f>
        <v>0</v>
      </c>
      <c r="AS234">
        <f>'Kullanılan gübre'!AS234*'Gübre oranlar'!AV$3</f>
        <v>0</v>
      </c>
      <c r="AT234">
        <f>'Kullanılan gübre'!AT234*'Gübre oranlar'!AW$3</f>
        <v>0</v>
      </c>
      <c r="AU234">
        <f>'Kullanılan gübre'!AU234*'Gübre oranlar'!AX$3</f>
        <v>0</v>
      </c>
      <c r="AV234">
        <f>'Kullanılan gübre'!AV234*'Gübre oranlar'!AY$3</f>
        <v>0</v>
      </c>
      <c r="AW234">
        <f t="shared" si="3"/>
        <v>175.35500000000002</v>
      </c>
    </row>
    <row r="235" spans="1:49" x14ac:dyDescent="0.25">
      <c r="A235" t="str">
        <f>'Kullanılan gübre'!A235</f>
        <v>BA</v>
      </c>
      <c r="B235" t="str">
        <f>'Kullanılan gübre'!B235</f>
        <v>BURDUR</v>
      </c>
      <c r="C235" t="str">
        <f>'Kullanılan gübre'!C235</f>
        <v>TEFENNI</v>
      </c>
      <c r="D235">
        <f>'Kullanılan gübre'!D235</f>
        <v>2015</v>
      </c>
      <c r="E235">
        <f>'Kullanılan gübre'!E235*'Gübre oranlar'!H$3</f>
        <v>0</v>
      </c>
      <c r="F235">
        <f>'Kullanılan gübre'!F235*'Gübre oranlar'!I$3</f>
        <v>0</v>
      </c>
      <c r="G235">
        <f>'Kullanılan gübre'!G235*'Gübre oranlar'!J$3</f>
        <v>0</v>
      </c>
      <c r="H235">
        <f>'Kullanılan gübre'!H235*'Gübre oranlar'!K$3</f>
        <v>0</v>
      </c>
      <c r="I235">
        <f>'Kullanılan gübre'!I235*'Gübre oranlar'!L$3</f>
        <v>0</v>
      </c>
      <c r="J235">
        <f>'Kullanılan gübre'!J235*'Gübre oranlar'!M$3</f>
        <v>0</v>
      </c>
      <c r="K235">
        <f>'Kullanılan gübre'!K235*'Gübre oranlar'!N$3</f>
        <v>66.52000000000001</v>
      </c>
      <c r="L235">
        <f>'Kullanılan gübre'!L235*'Gübre oranlar'!O$3</f>
        <v>111.2</v>
      </c>
      <c r="M235">
        <f>'Kullanılan gübre'!M235*'Gübre oranlar'!P$3</f>
        <v>1.44</v>
      </c>
      <c r="N235">
        <f>'Kullanılan gübre'!N235*'Gübre oranlar'!Q$3</f>
        <v>0.69</v>
      </c>
      <c r="O235">
        <f>'Kullanılan gübre'!O235*'Gübre oranlar'!R$3</f>
        <v>0</v>
      </c>
      <c r="P235">
        <f>'Kullanılan gübre'!P235*'Gübre oranlar'!S$3</f>
        <v>0</v>
      </c>
      <c r="Q235">
        <f>'Kullanılan gübre'!Q235*'Gübre oranlar'!T$3</f>
        <v>0</v>
      </c>
      <c r="R235">
        <f>'Kullanılan gübre'!R235*'Gübre oranlar'!U$3</f>
        <v>0</v>
      </c>
      <c r="S235">
        <f>'Kullanılan gübre'!S235*'Gübre oranlar'!V$3</f>
        <v>0</v>
      </c>
      <c r="T235">
        <f>'Kullanılan gübre'!T235*'Gübre oranlar'!W$3</f>
        <v>0</v>
      </c>
      <c r="U235">
        <f>'Kullanılan gübre'!U235*'Gübre oranlar'!X$3</f>
        <v>0</v>
      </c>
      <c r="V235">
        <f>'Kullanılan gübre'!V235*'Gübre oranlar'!Y$3</f>
        <v>0</v>
      </c>
      <c r="W235">
        <f>'Kullanılan gübre'!W235*'Gübre oranlar'!Z$3</f>
        <v>0</v>
      </c>
      <c r="X235">
        <f>'Kullanılan gübre'!X235*'Gübre oranlar'!AA$3</f>
        <v>0</v>
      </c>
      <c r="Y235">
        <f>'Kullanılan gübre'!Y235*'Gübre oranlar'!AB$3</f>
        <v>0</v>
      </c>
      <c r="Z235">
        <f>'Kullanılan gübre'!Z235*'Gübre oranlar'!AC$3</f>
        <v>0</v>
      </c>
      <c r="AA235">
        <f>'Kullanılan gübre'!AA235*'Gübre oranlar'!AD$3</f>
        <v>0</v>
      </c>
      <c r="AB235">
        <f>'Kullanılan gübre'!AB235*'Gübre oranlar'!AE$3</f>
        <v>0</v>
      </c>
      <c r="AC235">
        <f>'Kullanılan gübre'!AC235*'Gübre oranlar'!AF$3</f>
        <v>0</v>
      </c>
      <c r="AD235">
        <f>'Kullanılan gübre'!AD235*'Gübre oranlar'!AG$3</f>
        <v>0</v>
      </c>
      <c r="AE235">
        <f>'Kullanılan gübre'!AE235*'Gübre oranlar'!AH$3</f>
        <v>0</v>
      </c>
      <c r="AF235">
        <f>'Kullanılan gübre'!AF235*'Gübre oranlar'!AI$3</f>
        <v>0</v>
      </c>
      <c r="AG235">
        <f>'Kullanılan gübre'!AG235*'Gübre oranlar'!AJ$3</f>
        <v>0</v>
      </c>
      <c r="AH235">
        <f>'Kullanılan gübre'!AH235*'Gübre oranlar'!AK$3</f>
        <v>0</v>
      </c>
      <c r="AI235">
        <f>'Kullanılan gübre'!AI235*'Gübre oranlar'!AL$3</f>
        <v>0</v>
      </c>
      <c r="AJ235">
        <f>'Kullanılan gübre'!AJ235*'Gübre oranlar'!AM$3</f>
        <v>0</v>
      </c>
      <c r="AK235">
        <f>'Kullanılan gübre'!AK235*'Gübre oranlar'!AN$3</f>
        <v>0</v>
      </c>
      <c r="AL235">
        <f>'Kullanılan gübre'!AL235*'Gübre oranlar'!AO$3</f>
        <v>0</v>
      </c>
      <c r="AM235">
        <f>'Kullanılan gübre'!AM235*'Gübre oranlar'!AP$3</f>
        <v>0</v>
      </c>
      <c r="AN235">
        <f>'Kullanılan gübre'!AN235*'Gübre oranlar'!AQ$3</f>
        <v>0</v>
      </c>
      <c r="AO235">
        <f>'Kullanılan gübre'!AO235*'Gübre oranlar'!AR$3</f>
        <v>0</v>
      </c>
      <c r="AP235">
        <f>'Kullanılan gübre'!AP235*'Gübre oranlar'!AS$3</f>
        <v>0</v>
      </c>
      <c r="AQ235">
        <f>'Kullanılan gübre'!AQ235*'Gübre oranlar'!AT$3</f>
        <v>0</v>
      </c>
      <c r="AR235">
        <f>'Kullanılan gübre'!AR235*'Gübre oranlar'!AU$3</f>
        <v>0</v>
      </c>
      <c r="AS235">
        <f>'Kullanılan gübre'!AS235*'Gübre oranlar'!AV$3</f>
        <v>0</v>
      </c>
      <c r="AT235">
        <f>'Kullanılan gübre'!AT235*'Gübre oranlar'!AW$3</f>
        <v>0</v>
      </c>
      <c r="AU235">
        <f>'Kullanılan gübre'!AU235*'Gübre oranlar'!AX$3</f>
        <v>0</v>
      </c>
      <c r="AV235">
        <f>'Kullanılan gübre'!AV235*'Gübre oranlar'!AY$3</f>
        <v>0</v>
      </c>
      <c r="AW235">
        <f t="shared" si="3"/>
        <v>179.85000000000002</v>
      </c>
    </row>
    <row r="236" spans="1:49" x14ac:dyDescent="0.25">
      <c r="A236" t="str">
        <f>'Kullanılan gübre'!A236</f>
        <v>BA</v>
      </c>
      <c r="B236" t="str">
        <f>'Kullanılan gübre'!B236</f>
        <v>BURDUR</v>
      </c>
      <c r="C236" t="str">
        <f>'Kullanılan gübre'!C236</f>
        <v>TEFENNI</v>
      </c>
      <c r="D236">
        <f>'Kullanılan gübre'!D236</f>
        <v>2016</v>
      </c>
      <c r="E236">
        <f>'Kullanılan gübre'!E236*'Gübre oranlar'!H$3</f>
        <v>0</v>
      </c>
      <c r="F236">
        <f>'Kullanılan gübre'!F236*'Gübre oranlar'!I$3</f>
        <v>0</v>
      </c>
      <c r="G236">
        <f>'Kullanılan gübre'!G236*'Gübre oranlar'!J$3</f>
        <v>0</v>
      </c>
      <c r="H236">
        <f>'Kullanılan gübre'!H236*'Gübre oranlar'!K$3</f>
        <v>0</v>
      </c>
      <c r="I236">
        <f>'Kullanılan gübre'!I236*'Gübre oranlar'!L$3</f>
        <v>0</v>
      </c>
      <c r="J236">
        <f>'Kullanılan gübre'!J236*'Gübre oranlar'!M$3</f>
        <v>0</v>
      </c>
      <c r="K236">
        <f>'Kullanılan gübre'!K236*'Gübre oranlar'!N$3</f>
        <v>57.820000000000007</v>
      </c>
      <c r="L236">
        <f>'Kullanılan gübre'!L236*'Gübre oranlar'!O$3</f>
        <v>97.800000000000011</v>
      </c>
      <c r="M236">
        <f>'Kullanılan gübre'!M236*'Gübre oranlar'!P$3</f>
        <v>1.2899999999999998</v>
      </c>
      <c r="N236">
        <f>'Kullanılan gübre'!N236*'Gübre oranlar'!Q$3</f>
        <v>0.70499999999999996</v>
      </c>
      <c r="O236">
        <f>'Kullanılan gübre'!O236*'Gübre oranlar'!R$3</f>
        <v>0</v>
      </c>
      <c r="P236">
        <f>'Kullanılan gübre'!P236*'Gübre oranlar'!S$3</f>
        <v>0</v>
      </c>
      <c r="Q236">
        <f>'Kullanılan gübre'!Q236*'Gübre oranlar'!T$3</f>
        <v>0</v>
      </c>
      <c r="R236">
        <f>'Kullanılan gübre'!R236*'Gübre oranlar'!U$3</f>
        <v>0</v>
      </c>
      <c r="S236">
        <f>'Kullanılan gübre'!S236*'Gübre oranlar'!V$3</f>
        <v>0</v>
      </c>
      <c r="T236">
        <f>'Kullanılan gübre'!T236*'Gübre oranlar'!W$3</f>
        <v>0</v>
      </c>
      <c r="U236">
        <f>'Kullanılan gübre'!U236*'Gübre oranlar'!X$3</f>
        <v>0</v>
      </c>
      <c r="V236">
        <f>'Kullanılan gübre'!V236*'Gübre oranlar'!Y$3</f>
        <v>0</v>
      </c>
      <c r="W236">
        <f>'Kullanılan gübre'!W236*'Gübre oranlar'!Z$3</f>
        <v>0</v>
      </c>
      <c r="X236">
        <f>'Kullanılan gübre'!X236*'Gübre oranlar'!AA$3</f>
        <v>0</v>
      </c>
      <c r="Y236">
        <f>'Kullanılan gübre'!Y236*'Gübre oranlar'!AB$3</f>
        <v>0</v>
      </c>
      <c r="Z236">
        <f>'Kullanılan gübre'!Z236*'Gübre oranlar'!AC$3</f>
        <v>0</v>
      </c>
      <c r="AA236">
        <f>'Kullanılan gübre'!AA236*'Gübre oranlar'!AD$3</f>
        <v>0</v>
      </c>
      <c r="AB236">
        <f>'Kullanılan gübre'!AB236*'Gübre oranlar'!AE$3</f>
        <v>0</v>
      </c>
      <c r="AC236">
        <f>'Kullanılan gübre'!AC236*'Gübre oranlar'!AF$3</f>
        <v>0</v>
      </c>
      <c r="AD236">
        <f>'Kullanılan gübre'!AD236*'Gübre oranlar'!AG$3</f>
        <v>0</v>
      </c>
      <c r="AE236">
        <f>'Kullanılan gübre'!AE236*'Gübre oranlar'!AH$3</f>
        <v>0</v>
      </c>
      <c r="AF236">
        <f>'Kullanılan gübre'!AF236*'Gübre oranlar'!AI$3</f>
        <v>0</v>
      </c>
      <c r="AG236">
        <f>'Kullanılan gübre'!AG236*'Gübre oranlar'!AJ$3</f>
        <v>0</v>
      </c>
      <c r="AH236">
        <f>'Kullanılan gübre'!AH236*'Gübre oranlar'!AK$3</f>
        <v>0</v>
      </c>
      <c r="AI236">
        <f>'Kullanılan gübre'!AI236*'Gübre oranlar'!AL$3</f>
        <v>0</v>
      </c>
      <c r="AJ236">
        <f>'Kullanılan gübre'!AJ236*'Gübre oranlar'!AM$3</f>
        <v>0</v>
      </c>
      <c r="AK236">
        <f>'Kullanılan gübre'!AK236*'Gübre oranlar'!AN$3</f>
        <v>0</v>
      </c>
      <c r="AL236">
        <f>'Kullanılan gübre'!AL236*'Gübre oranlar'!AO$3</f>
        <v>0</v>
      </c>
      <c r="AM236">
        <f>'Kullanılan gübre'!AM236*'Gübre oranlar'!AP$3</f>
        <v>0</v>
      </c>
      <c r="AN236">
        <f>'Kullanılan gübre'!AN236*'Gübre oranlar'!AQ$3</f>
        <v>0</v>
      </c>
      <c r="AO236">
        <f>'Kullanılan gübre'!AO236*'Gübre oranlar'!AR$3</f>
        <v>0</v>
      </c>
      <c r="AP236">
        <f>'Kullanılan gübre'!AP236*'Gübre oranlar'!AS$3</f>
        <v>0</v>
      </c>
      <c r="AQ236">
        <f>'Kullanılan gübre'!AQ236*'Gübre oranlar'!AT$3</f>
        <v>0</v>
      </c>
      <c r="AR236">
        <f>'Kullanılan gübre'!AR236*'Gübre oranlar'!AU$3</f>
        <v>0</v>
      </c>
      <c r="AS236">
        <f>'Kullanılan gübre'!AS236*'Gübre oranlar'!AV$3</f>
        <v>0</v>
      </c>
      <c r="AT236">
        <f>'Kullanılan gübre'!AT236*'Gübre oranlar'!AW$3</f>
        <v>0</v>
      </c>
      <c r="AU236">
        <f>'Kullanılan gübre'!AU236*'Gübre oranlar'!AX$3</f>
        <v>0</v>
      </c>
      <c r="AV236">
        <f>'Kullanılan gübre'!AV236*'Gübre oranlar'!AY$3</f>
        <v>0</v>
      </c>
      <c r="AW236">
        <f t="shared" si="3"/>
        <v>157.61500000000001</v>
      </c>
    </row>
    <row r="237" spans="1:49" x14ac:dyDescent="0.25">
      <c r="A237" t="str">
        <f>'Kullanılan gübre'!A237</f>
        <v>BA</v>
      </c>
      <c r="B237" t="str">
        <f>'Kullanılan gübre'!B237</f>
        <v>BURDUR</v>
      </c>
      <c r="C237" t="str">
        <f>'Kullanılan gübre'!C237</f>
        <v>TEFENNI</v>
      </c>
      <c r="D237">
        <f>'Kullanılan gübre'!D237</f>
        <v>2017</v>
      </c>
      <c r="E237">
        <f>'Kullanılan gübre'!E237*'Gübre oranlar'!H$3</f>
        <v>0</v>
      </c>
      <c r="F237">
        <f>'Kullanılan gübre'!F237*'Gübre oranlar'!I$3</f>
        <v>0</v>
      </c>
      <c r="G237">
        <f>'Kullanılan gübre'!G237*'Gübre oranlar'!J$3</f>
        <v>0</v>
      </c>
      <c r="H237">
        <f>'Kullanılan gübre'!H237*'Gübre oranlar'!K$3</f>
        <v>0</v>
      </c>
      <c r="I237">
        <f>'Kullanılan gübre'!I237*'Gübre oranlar'!L$3</f>
        <v>0</v>
      </c>
      <c r="J237">
        <f>'Kullanılan gübre'!J237*'Gübre oranlar'!M$3</f>
        <v>0</v>
      </c>
      <c r="K237">
        <f>'Kullanılan gübre'!K237*'Gübre oranlar'!N$3</f>
        <v>69.160000000000011</v>
      </c>
      <c r="L237">
        <f>'Kullanılan gübre'!L237*'Gübre oranlar'!O$3</f>
        <v>117.2</v>
      </c>
      <c r="M237">
        <f>'Kullanılan gübre'!M237*'Gübre oranlar'!P$3</f>
        <v>1.1399999999999999</v>
      </c>
      <c r="N237">
        <f>'Kullanılan gübre'!N237*'Gübre oranlar'!Q$3</f>
        <v>0.72</v>
      </c>
      <c r="O237">
        <f>'Kullanılan gübre'!O237*'Gübre oranlar'!R$3</f>
        <v>0</v>
      </c>
      <c r="P237">
        <f>'Kullanılan gübre'!P237*'Gübre oranlar'!S$3</f>
        <v>0</v>
      </c>
      <c r="Q237">
        <f>'Kullanılan gübre'!Q237*'Gübre oranlar'!T$3</f>
        <v>0</v>
      </c>
      <c r="R237">
        <f>'Kullanılan gübre'!R237*'Gübre oranlar'!U$3</f>
        <v>0</v>
      </c>
      <c r="S237">
        <f>'Kullanılan gübre'!S237*'Gübre oranlar'!V$3</f>
        <v>0</v>
      </c>
      <c r="T237">
        <f>'Kullanılan gübre'!T237*'Gübre oranlar'!W$3</f>
        <v>0</v>
      </c>
      <c r="U237">
        <f>'Kullanılan gübre'!U237*'Gübre oranlar'!X$3</f>
        <v>0</v>
      </c>
      <c r="V237">
        <f>'Kullanılan gübre'!V237*'Gübre oranlar'!Y$3</f>
        <v>0</v>
      </c>
      <c r="W237">
        <f>'Kullanılan gübre'!W237*'Gübre oranlar'!Z$3</f>
        <v>0</v>
      </c>
      <c r="X237">
        <f>'Kullanılan gübre'!X237*'Gübre oranlar'!AA$3</f>
        <v>0</v>
      </c>
      <c r="Y237">
        <f>'Kullanılan gübre'!Y237*'Gübre oranlar'!AB$3</f>
        <v>0</v>
      </c>
      <c r="Z237">
        <f>'Kullanılan gübre'!Z237*'Gübre oranlar'!AC$3</f>
        <v>0</v>
      </c>
      <c r="AA237">
        <f>'Kullanılan gübre'!AA237*'Gübre oranlar'!AD$3</f>
        <v>0</v>
      </c>
      <c r="AB237">
        <f>'Kullanılan gübre'!AB237*'Gübre oranlar'!AE$3</f>
        <v>0</v>
      </c>
      <c r="AC237">
        <f>'Kullanılan gübre'!AC237*'Gübre oranlar'!AF$3</f>
        <v>0</v>
      </c>
      <c r="AD237">
        <f>'Kullanılan gübre'!AD237*'Gübre oranlar'!AG$3</f>
        <v>0</v>
      </c>
      <c r="AE237">
        <f>'Kullanılan gübre'!AE237*'Gübre oranlar'!AH$3</f>
        <v>0</v>
      </c>
      <c r="AF237">
        <f>'Kullanılan gübre'!AF237*'Gübre oranlar'!AI$3</f>
        <v>0</v>
      </c>
      <c r="AG237">
        <f>'Kullanılan gübre'!AG237*'Gübre oranlar'!AJ$3</f>
        <v>0</v>
      </c>
      <c r="AH237">
        <f>'Kullanılan gübre'!AH237*'Gübre oranlar'!AK$3</f>
        <v>0</v>
      </c>
      <c r="AI237">
        <f>'Kullanılan gübre'!AI237*'Gübre oranlar'!AL$3</f>
        <v>0</v>
      </c>
      <c r="AJ237">
        <f>'Kullanılan gübre'!AJ237*'Gübre oranlar'!AM$3</f>
        <v>0</v>
      </c>
      <c r="AK237">
        <f>'Kullanılan gübre'!AK237*'Gübre oranlar'!AN$3</f>
        <v>0</v>
      </c>
      <c r="AL237">
        <f>'Kullanılan gübre'!AL237*'Gübre oranlar'!AO$3</f>
        <v>0</v>
      </c>
      <c r="AM237">
        <f>'Kullanılan gübre'!AM237*'Gübre oranlar'!AP$3</f>
        <v>0</v>
      </c>
      <c r="AN237">
        <f>'Kullanılan gübre'!AN237*'Gübre oranlar'!AQ$3</f>
        <v>0</v>
      </c>
      <c r="AO237">
        <f>'Kullanılan gübre'!AO237*'Gübre oranlar'!AR$3</f>
        <v>0</v>
      </c>
      <c r="AP237">
        <f>'Kullanılan gübre'!AP237*'Gübre oranlar'!AS$3</f>
        <v>0</v>
      </c>
      <c r="AQ237">
        <f>'Kullanılan gübre'!AQ237*'Gübre oranlar'!AT$3</f>
        <v>0</v>
      </c>
      <c r="AR237">
        <f>'Kullanılan gübre'!AR237*'Gübre oranlar'!AU$3</f>
        <v>0</v>
      </c>
      <c r="AS237">
        <f>'Kullanılan gübre'!AS237*'Gübre oranlar'!AV$3</f>
        <v>0</v>
      </c>
      <c r="AT237">
        <f>'Kullanılan gübre'!AT237*'Gübre oranlar'!AW$3</f>
        <v>0</v>
      </c>
      <c r="AU237">
        <f>'Kullanılan gübre'!AU237*'Gübre oranlar'!AX$3</f>
        <v>0</v>
      </c>
      <c r="AV237">
        <f>'Kullanılan gübre'!AV237*'Gübre oranlar'!AY$3</f>
        <v>0</v>
      </c>
      <c r="AW237">
        <f t="shared" si="3"/>
        <v>188.22</v>
      </c>
    </row>
    <row r="238" spans="1:49" x14ac:dyDescent="0.25">
      <c r="A238" t="str">
        <f>'Kullanılan gübre'!A238</f>
        <v>BA</v>
      </c>
      <c r="B238" t="str">
        <f>'Kullanılan gübre'!B238</f>
        <v>BURDUR</v>
      </c>
      <c r="C238" t="str">
        <f>'Kullanılan gübre'!C238</f>
        <v>CAVDIR</v>
      </c>
      <c r="D238">
        <f>'Kullanılan gübre'!D238</f>
        <v>2011</v>
      </c>
      <c r="E238">
        <f>'Kullanılan gübre'!E238*'Gübre oranlar'!H$3</f>
        <v>0</v>
      </c>
      <c r="F238">
        <f>'Kullanılan gübre'!F238*'Gübre oranlar'!I$3</f>
        <v>0</v>
      </c>
      <c r="G238">
        <f>'Kullanılan gübre'!G238*'Gübre oranlar'!J$3</f>
        <v>0</v>
      </c>
      <c r="H238">
        <f>'Kullanılan gübre'!H238*'Gübre oranlar'!K$3</f>
        <v>0</v>
      </c>
      <c r="I238">
        <f>'Kullanılan gübre'!I238*'Gübre oranlar'!L$3</f>
        <v>4.4935</v>
      </c>
      <c r="J238">
        <f>'Kullanılan gübre'!J238*'Gübre oranlar'!M$3</f>
        <v>0</v>
      </c>
      <c r="K238">
        <f>'Kullanılan gübre'!K238*'Gübre oranlar'!N$3</f>
        <v>68.010000000000005</v>
      </c>
      <c r="L238">
        <f>'Kullanılan gübre'!L238*'Gübre oranlar'!O$3</f>
        <v>18.760000000000002</v>
      </c>
      <c r="M238">
        <f>'Kullanılan gübre'!M238*'Gübre oranlar'!P$3</f>
        <v>10.35</v>
      </c>
      <c r="N238">
        <f>'Kullanılan gübre'!N238*'Gübre oranlar'!Q$3</f>
        <v>62.827500000000001</v>
      </c>
      <c r="O238">
        <f>'Kullanılan gübre'!O238*'Gübre oranlar'!R$3</f>
        <v>0</v>
      </c>
      <c r="P238">
        <f>'Kullanılan gübre'!P238*'Gübre oranlar'!S$3</f>
        <v>0</v>
      </c>
      <c r="Q238">
        <f>'Kullanılan gübre'!Q238*'Gübre oranlar'!T$3</f>
        <v>0</v>
      </c>
      <c r="R238">
        <f>'Kullanılan gübre'!R238*'Gübre oranlar'!U$3</f>
        <v>0</v>
      </c>
      <c r="S238">
        <f>'Kullanılan gübre'!S238*'Gübre oranlar'!V$3</f>
        <v>0</v>
      </c>
      <c r="T238">
        <f>'Kullanılan gübre'!T238*'Gübre oranlar'!W$3</f>
        <v>0</v>
      </c>
      <c r="U238">
        <f>'Kullanılan gübre'!U238*'Gübre oranlar'!X$3</f>
        <v>0</v>
      </c>
      <c r="V238">
        <f>'Kullanılan gübre'!V238*'Gübre oranlar'!Y$3</f>
        <v>0</v>
      </c>
      <c r="W238">
        <f>'Kullanılan gübre'!W238*'Gübre oranlar'!Z$3</f>
        <v>0</v>
      </c>
      <c r="X238">
        <f>'Kullanılan gübre'!X238*'Gübre oranlar'!AA$3</f>
        <v>0</v>
      </c>
      <c r="Y238">
        <f>'Kullanılan gübre'!Y238*'Gübre oranlar'!AB$3</f>
        <v>0</v>
      </c>
      <c r="Z238">
        <f>'Kullanılan gübre'!Z238*'Gübre oranlar'!AC$3</f>
        <v>0</v>
      </c>
      <c r="AA238">
        <f>'Kullanılan gübre'!AA238*'Gübre oranlar'!AD$3</f>
        <v>0</v>
      </c>
      <c r="AB238">
        <f>'Kullanılan gübre'!AB238*'Gübre oranlar'!AE$3</f>
        <v>0</v>
      </c>
      <c r="AC238">
        <f>'Kullanılan gübre'!AC238*'Gübre oranlar'!AF$3</f>
        <v>0</v>
      </c>
      <c r="AD238">
        <f>'Kullanılan gübre'!AD238*'Gübre oranlar'!AG$3</f>
        <v>0</v>
      </c>
      <c r="AE238">
        <f>'Kullanılan gübre'!AE238*'Gübre oranlar'!AH$3</f>
        <v>0</v>
      </c>
      <c r="AF238">
        <f>'Kullanılan gübre'!AF238*'Gübre oranlar'!AI$3</f>
        <v>0</v>
      </c>
      <c r="AG238">
        <f>'Kullanılan gübre'!AG238*'Gübre oranlar'!AJ$3</f>
        <v>0</v>
      </c>
      <c r="AH238">
        <f>'Kullanılan gübre'!AH238*'Gübre oranlar'!AK$3</f>
        <v>0</v>
      </c>
      <c r="AI238">
        <f>'Kullanılan gübre'!AI238*'Gübre oranlar'!AL$3</f>
        <v>0</v>
      </c>
      <c r="AJ238">
        <f>'Kullanılan gübre'!AJ238*'Gübre oranlar'!AM$3</f>
        <v>0</v>
      </c>
      <c r="AK238">
        <f>'Kullanılan gübre'!AK238*'Gübre oranlar'!AN$3</f>
        <v>0</v>
      </c>
      <c r="AL238">
        <f>'Kullanılan gübre'!AL238*'Gübre oranlar'!AO$3</f>
        <v>0</v>
      </c>
      <c r="AM238">
        <f>'Kullanılan gübre'!AM238*'Gübre oranlar'!AP$3</f>
        <v>0</v>
      </c>
      <c r="AN238">
        <f>'Kullanılan gübre'!AN238*'Gübre oranlar'!AQ$3</f>
        <v>0</v>
      </c>
      <c r="AO238">
        <f>'Kullanılan gübre'!AO238*'Gübre oranlar'!AR$3</f>
        <v>0</v>
      </c>
      <c r="AP238">
        <f>'Kullanılan gübre'!AP238*'Gübre oranlar'!AS$3</f>
        <v>0</v>
      </c>
      <c r="AQ238">
        <f>'Kullanılan gübre'!AQ238*'Gübre oranlar'!AT$3</f>
        <v>0</v>
      </c>
      <c r="AR238">
        <f>'Kullanılan gübre'!AR238*'Gübre oranlar'!AU$3</f>
        <v>0</v>
      </c>
      <c r="AS238">
        <f>'Kullanılan gübre'!AS238*'Gübre oranlar'!AV$3</f>
        <v>0</v>
      </c>
      <c r="AT238">
        <f>'Kullanılan gübre'!AT238*'Gübre oranlar'!AW$3</f>
        <v>0</v>
      </c>
      <c r="AU238">
        <f>'Kullanılan gübre'!AU238*'Gübre oranlar'!AX$3</f>
        <v>0</v>
      </c>
      <c r="AV238">
        <f>'Kullanılan gübre'!AV238*'Gübre oranlar'!AY$3</f>
        <v>0</v>
      </c>
      <c r="AW238">
        <f t="shared" si="3"/>
        <v>164.441</v>
      </c>
    </row>
    <row r="239" spans="1:49" x14ac:dyDescent="0.25">
      <c r="A239" t="str">
        <f>'Kullanılan gübre'!A239</f>
        <v>BA</v>
      </c>
      <c r="B239" t="str">
        <f>'Kullanılan gübre'!B239</f>
        <v>BURDUR</v>
      </c>
      <c r="C239" t="str">
        <f>'Kullanılan gübre'!C239</f>
        <v>CAVDIR</v>
      </c>
      <c r="D239">
        <f>'Kullanılan gübre'!D239</f>
        <v>2012</v>
      </c>
      <c r="E239">
        <f>'Kullanılan gübre'!E239*'Gübre oranlar'!H$3</f>
        <v>0</v>
      </c>
      <c r="F239">
        <f>'Kullanılan gübre'!F239*'Gübre oranlar'!I$3</f>
        <v>0</v>
      </c>
      <c r="G239">
        <f>'Kullanılan gübre'!G239*'Gübre oranlar'!J$3</f>
        <v>0</v>
      </c>
      <c r="H239">
        <f>'Kullanılan gübre'!H239*'Gübre oranlar'!K$3</f>
        <v>0</v>
      </c>
      <c r="I239">
        <f>'Kullanılan gübre'!I239*'Gübre oranlar'!L$3</f>
        <v>5.7620000000000005</v>
      </c>
      <c r="J239">
        <f>'Kullanılan gübre'!J239*'Gübre oranlar'!M$3</f>
        <v>0</v>
      </c>
      <c r="K239">
        <f>'Kullanılan gübre'!K239*'Gübre oranlar'!N$3</f>
        <v>14.62</v>
      </c>
      <c r="L239">
        <f>'Kullanılan gübre'!L239*'Gübre oranlar'!O$3</f>
        <v>2.2100000000000004</v>
      </c>
      <c r="M239">
        <f>'Kullanılan gübre'!M239*'Gübre oranlar'!P$3</f>
        <v>4.95</v>
      </c>
      <c r="N239">
        <f>'Kullanılan gübre'!N239*'Gübre oranlar'!Q$3</f>
        <v>30.037499999999998</v>
      </c>
      <c r="O239">
        <f>'Kullanılan gübre'!O239*'Gübre oranlar'!R$3</f>
        <v>0</v>
      </c>
      <c r="P239">
        <f>'Kullanılan gübre'!P239*'Gübre oranlar'!S$3</f>
        <v>0</v>
      </c>
      <c r="Q239">
        <f>'Kullanılan gübre'!Q239*'Gübre oranlar'!T$3</f>
        <v>0</v>
      </c>
      <c r="R239">
        <f>'Kullanılan gübre'!R239*'Gübre oranlar'!U$3</f>
        <v>0</v>
      </c>
      <c r="S239">
        <f>'Kullanılan gübre'!S239*'Gübre oranlar'!V$3</f>
        <v>0</v>
      </c>
      <c r="T239">
        <f>'Kullanılan gübre'!T239*'Gübre oranlar'!W$3</f>
        <v>0</v>
      </c>
      <c r="U239">
        <f>'Kullanılan gübre'!U239*'Gübre oranlar'!X$3</f>
        <v>0</v>
      </c>
      <c r="V239">
        <f>'Kullanılan gübre'!V239*'Gübre oranlar'!Y$3</f>
        <v>0</v>
      </c>
      <c r="W239">
        <f>'Kullanılan gübre'!W239*'Gübre oranlar'!Z$3</f>
        <v>0</v>
      </c>
      <c r="X239">
        <f>'Kullanılan gübre'!X239*'Gübre oranlar'!AA$3</f>
        <v>0</v>
      </c>
      <c r="Y239">
        <f>'Kullanılan gübre'!Y239*'Gübre oranlar'!AB$3</f>
        <v>0</v>
      </c>
      <c r="Z239">
        <f>'Kullanılan gübre'!Z239*'Gübre oranlar'!AC$3</f>
        <v>0</v>
      </c>
      <c r="AA239">
        <f>'Kullanılan gübre'!AA239*'Gübre oranlar'!AD$3</f>
        <v>0</v>
      </c>
      <c r="AB239">
        <f>'Kullanılan gübre'!AB239*'Gübre oranlar'!AE$3</f>
        <v>0</v>
      </c>
      <c r="AC239">
        <f>'Kullanılan gübre'!AC239*'Gübre oranlar'!AF$3</f>
        <v>0</v>
      </c>
      <c r="AD239">
        <f>'Kullanılan gübre'!AD239*'Gübre oranlar'!AG$3</f>
        <v>0</v>
      </c>
      <c r="AE239">
        <f>'Kullanılan gübre'!AE239*'Gübre oranlar'!AH$3</f>
        <v>0</v>
      </c>
      <c r="AF239">
        <f>'Kullanılan gübre'!AF239*'Gübre oranlar'!AI$3</f>
        <v>0</v>
      </c>
      <c r="AG239">
        <f>'Kullanılan gübre'!AG239*'Gübre oranlar'!AJ$3</f>
        <v>0</v>
      </c>
      <c r="AH239">
        <f>'Kullanılan gübre'!AH239*'Gübre oranlar'!AK$3</f>
        <v>0</v>
      </c>
      <c r="AI239">
        <f>'Kullanılan gübre'!AI239*'Gübre oranlar'!AL$3</f>
        <v>0</v>
      </c>
      <c r="AJ239">
        <f>'Kullanılan gübre'!AJ239*'Gübre oranlar'!AM$3</f>
        <v>0</v>
      </c>
      <c r="AK239">
        <f>'Kullanılan gübre'!AK239*'Gübre oranlar'!AN$3</f>
        <v>0</v>
      </c>
      <c r="AL239">
        <f>'Kullanılan gübre'!AL239*'Gübre oranlar'!AO$3</f>
        <v>0</v>
      </c>
      <c r="AM239">
        <f>'Kullanılan gübre'!AM239*'Gübre oranlar'!AP$3</f>
        <v>0</v>
      </c>
      <c r="AN239">
        <f>'Kullanılan gübre'!AN239*'Gübre oranlar'!AQ$3</f>
        <v>0</v>
      </c>
      <c r="AO239">
        <f>'Kullanılan gübre'!AO239*'Gübre oranlar'!AR$3</f>
        <v>0</v>
      </c>
      <c r="AP239">
        <f>'Kullanılan gübre'!AP239*'Gübre oranlar'!AS$3</f>
        <v>0</v>
      </c>
      <c r="AQ239">
        <f>'Kullanılan gübre'!AQ239*'Gübre oranlar'!AT$3</f>
        <v>0</v>
      </c>
      <c r="AR239">
        <f>'Kullanılan gübre'!AR239*'Gübre oranlar'!AU$3</f>
        <v>0</v>
      </c>
      <c r="AS239">
        <f>'Kullanılan gübre'!AS239*'Gübre oranlar'!AV$3</f>
        <v>0</v>
      </c>
      <c r="AT239">
        <f>'Kullanılan gübre'!AT239*'Gübre oranlar'!AW$3</f>
        <v>0</v>
      </c>
      <c r="AU239">
        <f>'Kullanılan gübre'!AU239*'Gübre oranlar'!AX$3</f>
        <v>0</v>
      </c>
      <c r="AV239">
        <f>'Kullanılan gübre'!AV239*'Gübre oranlar'!AY$3</f>
        <v>0</v>
      </c>
      <c r="AW239">
        <f t="shared" si="3"/>
        <v>57.579499999999996</v>
      </c>
    </row>
    <row r="240" spans="1:49" x14ac:dyDescent="0.25">
      <c r="A240" t="str">
        <f>'Kullanılan gübre'!A240</f>
        <v>BA</v>
      </c>
      <c r="B240" t="str">
        <f>'Kullanılan gübre'!B240</f>
        <v>BURDUR</v>
      </c>
      <c r="C240" t="str">
        <f>'Kullanılan gübre'!C240</f>
        <v>CAVDIR</v>
      </c>
      <c r="D240">
        <f>'Kullanılan gübre'!D240</f>
        <v>2013</v>
      </c>
      <c r="E240">
        <f>'Kullanılan gübre'!E240*'Gübre oranlar'!H$3</f>
        <v>0</v>
      </c>
      <c r="F240">
        <f>'Kullanılan gübre'!F240*'Gübre oranlar'!I$3</f>
        <v>0</v>
      </c>
      <c r="G240">
        <f>'Kullanılan gübre'!G240*'Gübre oranlar'!J$3</f>
        <v>0</v>
      </c>
      <c r="H240">
        <f>'Kullanılan gübre'!H240*'Gübre oranlar'!K$3</f>
        <v>0</v>
      </c>
      <c r="I240">
        <f>'Kullanılan gübre'!I240*'Gübre oranlar'!L$3</f>
        <v>7.8475000000000001</v>
      </c>
      <c r="J240">
        <f>'Kullanılan gübre'!J240*'Gübre oranlar'!M$3</f>
        <v>0</v>
      </c>
      <c r="K240">
        <f>'Kullanılan gübre'!K240*'Gübre oranlar'!N$3</f>
        <v>41.930000000000007</v>
      </c>
      <c r="L240">
        <f>'Kullanılan gübre'!L240*'Gübre oranlar'!O$3</f>
        <v>7.46</v>
      </c>
      <c r="M240">
        <f>'Kullanılan gübre'!M240*'Gübre oranlar'!P$3</f>
        <v>6.9974999999999996</v>
      </c>
      <c r="N240">
        <f>'Kullanılan gübre'!N240*'Gübre oranlar'!Q$3</f>
        <v>39.104999999999997</v>
      </c>
      <c r="O240">
        <f>'Kullanılan gübre'!O240*'Gübre oranlar'!R$3</f>
        <v>0</v>
      </c>
      <c r="P240">
        <f>'Kullanılan gübre'!P240*'Gübre oranlar'!S$3</f>
        <v>0</v>
      </c>
      <c r="Q240">
        <f>'Kullanılan gübre'!Q240*'Gübre oranlar'!T$3</f>
        <v>0</v>
      </c>
      <c r="R240">
        <f>'Kullanılan gübre'!R240*'Gübre oranlar'!U$3</f>
        <v>0</v>
      </c>
      <c r="S240">
        <f>'Kullanılan gübre'!S240*'Gübre oranlar'!V$3</f>
        <v>0</v>
      </c>
      <c r="T240">
        <f>'Kullanılan gübre'!T240*'Gübre oranlar'!W$3</f>
        <v>0</v>
      </c>
      <c r="U240">
        <f>'Kullanılan gübre'!U240*'Gübre oranlar'!X$3</f>
        <v>0</v>
      </c>
      <c r="V240">
        <f>'Kullanılan gübre'!V240*'Gübre oranlar'!Y$3</f>
        <v>0</v>
      </c>
      <c r="W240">
        <f>'Kullanılan gübre'!W240*'Gübre oranlar'!Z$3</f>
        <v>0</v>
      </c>
      <c r="X240">
        <f>'Kullanılan gübre'!X240*'Gübre oranlar'!AA$3</f>
        <v>0</v>
      </c>
      <c r="Y240">
        <f>'Kullanılan gübre'!Y240*'Gübre oranlar'!AB$3</f>
        <v>0</v>
      </c>
      <c r="Z240">
        <f>'Kullanılan gübre'!Z240*'Gübre oranlar'!AC$3</f>
        <v>0</v>
      </c>
      <c r="AA240">
        <f>'Kullanılan gübre'!AA240*'Gübre oranlar'!AD$3</f>
        <v>0</v>
      </c>
      <c r="AB240">
        <f>'Kullanılan gübre'!AB240*'Gübre oranlar'!AE$3</f>
        <v>0</v>
      </c>
      <c r="AC240">
        <f>'Kullanılan gübre'!AC240*'Gübre oranlar'!AF$3</f>
        <v>0</v>
      </c>
      <c r="AD240">
        <f>'Kullanılan gübre'!AD240*'Gübre oranlar'!AG$3</f>
        <v>0</v>
      </c>
      <c r="AE240">
        <f>'Kullanılan gübre'!AE240*'Gübre oranlar'!AH$3</f>
        <v>0</v>
      </c>
      <c r="AF240">
        <f>'Kullanılan gübre'!AF240*'Gübre oranlar'!AI$3</f>
        <v>0</v>
      </c>
      <c r="AG240">
        <f>'Kullanılan gübre'!AG240*'Gübre oranlar'!AJ$3</f>
        <v>0</v>
      </c>
      <c r="AH240">
        <f>'Kullanılan gübre'!AH240*'Gübre oranlar'!AK$3</f>
        <v>0</v>
      </c>
      <c r="AI240">
        <f>'Kullanılan gübre'!AI240*'Gübre oranlar'!AL$3</f>
        <v>0</v>
      </c>
      <c r="AJ240">
        <f>'Kullanılan gübre'!AJ240*'Gübre oranlar'!AM$3</f>
        <v>0</v>
      </c>
      <c r="AK240">
        <f>'Kullanılan gübre'!AK240*'Gübre oranlar'!AN$3</f>
        <v>0</v>
      </c>
      <c r="AL240">
        <f>'Kullanılan gübre'!AL240*'Gübre oranlar'!AO$3</f>
        <v>0</v>
      </c>
      <c r="AM240">
        <f>'Kullanılan gübre'!AM240*'Gübre oranlar'!AP$3</f>
        <v>0</v>
      </c>
      <c r="AN240">
        <f>'Kullanılan gübre'!AN240*'Gübre oranlar'!AQ$3</f>
        <v>0</v>
      </c>
      <c r="AO240">
        <f>'Kullanılan gübre'!AO240*'Gübre oranlar'!AR$3</f>
        <v>0</v>
      </c>
      <c r="AP240">
        <f>'Kullanılan gübre'!AP240*'Gübre oranlar'!AS$3</f>
        <v>0</v>
      </c>
      <c r="AQ240">
        <f>'Kullanılan gübre'!AQ240*'Gübre oranlar'!AT$3</f>
        <v>0</v>
      </c>
      <c r="AR240">
        <f>'Kullanılan gübre'!AR240*'Gübre oranlar'!AU$3</f>
        <v>0</v>
      </c>
      <c r="AS240">
        <f>'Kullanılan gübre'!AS240*'Gübre oranlar'!AV$3</f>
        <v>0</v>
      </c>
      <c r="AT240">
        <f>'Kullanılan gübre'!AT240*'Gübre oranlar'!AW$3</f>
        <v>0</v>
      </c>
      <c r="AU240">
        <f>'Kullanılan gübre'!AU240*'Gübre oranlar'!AX$3</f>
        <v>0</v>
      </c>
      <c r="AV240">
        <f>'Kullanılan gübre'!AV240*'Gübre oranlar'!AY$3</f>
        <v>0</v>
      </c>
      <c r="AW240">
        <f t="shared" si="3"/>
        <v>103.34</v>
      </c>
    </row>
    <row r="241" spans="1:49" x14ac:dyDescent="0.25">
      <c r="A241" t="str">
        <f>'Kullanılan gübre'!A241</f>
        <v>BA</v>
      </c>
      <c r="B241" t="str">
        <f>'Kullanılan gübre'!B241</f>
        <v>BURDUR</v>
      </c>
      <c r="C241" t="str">
        <f>'Kullanılan gübre'!C241</f>
        <v>CAVDIR</v>
      </c>
      <c r="D241">
        <f>'Kullanılan gübre'!D241</f>
        <v>2014</v>
      </c>
      <c r="E241">
        <f>'Kullanılan gübre'!E241*'Gübre oranlar'!H$3</f>
        <v>0</v>
      </c>
      <c r="F241">
        <f>'Kullanılan gübre'!F241*'Gübre oranlar'!I$3</f>
        <v>0</v>
      </c>
      <c r="G241">
        <f>'Kullanılan gübre'!G241*'Gübre oranlar'!J$3</f>
        <v>0</v>
      </c>
      <c r="H241">
        <f>'Kullanılan gübre'!H241*'Gübre oranlar'!K$3</f>
        <v>0</v>
      </c>
      <c r="I241">
        <f>'Kullanılan gübre'!I241*'Gübre oranlar'!L$3</f>
        <v>9.6319999999999997</v>
      </c>
      <c r="J241">
        <f>'Kullanılan gübre'!J241*'Gübre oranlar'!M$3</f>
        <v>0</v>
      </c>
      <c r="K241">
        <f>'Kullanılan gübre'!K241*'Gübre oranlar'!N$3</f>
        <v>42.050000000000004</v>
      </c>
      <c r="L241">
        <f>'Kullanılan gübre'!L241*'Gübre oranlar'!O$3</f>
        <v>9.24</v>
      </c>
      <c r="M241">
        <f>'Kullanılan gübre'!M241*'Gübre oranlar'!P$3</f>
        <v>5.49</v>
      </c>
      <c r="N241">
        <f>'Kullanılan gübre'!N241*'Gübre oranlar'!Q$3</f>
        <v>37.357500000000002</v>
      </c>
      <c r="O241">
        <f>'Kullanılan gübre'!O241*'Gübre oranlar'!R$3</f>
        <v>0</v>
      </c>
      <c r="P241">
        <f>'Kullanılan gübre'!P241*'Gübre oranlar'!S$3</f>
        <v>0</v>
      </c>
      <c r="Q241">
        <f>'Kullanılan gübre'!Q241*'Gübre oranlar'!T$3</f>
        <v>0</v>
      </c>
      <c r="R241">
        <f>'Kullanılan gübre'!R241*'Gübre oranlar'!U$3</f>
        <v>0</v>
      </c>
      <c r="S241">
        <f>'Kullanılan gübre'!S241*'Gübre oranlar'!V$3</f>
        <v>0</v>
      </c>
      <c r="T241">
        <f>'Kullanılan gübre'!T241*'Gübre oranlar'!W$3</f>
        <v>0</v>
      </c>
      <c r="U241">
        <f>'Kullanılan gübre'!U241*'Gübre oranlar'!X$3</f>
        <v>0</v>
      </c>
      <c r="V241">
        <f>'Kullanılan gübre'!V241*'Gübre oranlar'!Y$3</f>
        <v>0</v>
      </c>
      <c r="W241">
        <f>'Kullanılan gübre'!W241*'Gübre oranlar'!Z$3</f>
        <v>0</v>
      </c>
      <c r="X241">
        <f>'Kullanılan gübre'!X241*'Gübre oranlar'!AA$3</f>
        <v>0</v>
      </c>
      <c r="Y241">
        <f>'Kullanılan gübre'!Y241*'Gübre oranlar'!AB$3</f>
        <v>0</v>
      </c>
      <c r="Z241">
        <f>'Kullanılan gübre'!Z241*'Gübre oranlar'!AC$3</f>
        <v>0</v>
      </c>
      <c r="AA241">
        <f>'Kullanılan gübre'!AA241*'Gübre oranlar'!AD$3</f>
        <v>0</v>
      </c>
      <c r="AB241">
        <f>'Kullanılan gübre'!AB241*'Gübre oranlar'!AE$3</f>
        <v>0</v>
      </c>
      <c r="AC241">
        <f>'Kullanılan gübre'!AC241*'Gübre oranlar'!AF$3</f>
        <v>0</v>
      </c>
      <c r="AD241">
        <f>'Kullanılan gübre'!AD241*'Gübre oranlar'!AG$3</f>
        <v>0</v>
      </c>
      <c r="AE241">
        <f>'Kullanılan gübre'!AE241*'Gübre oranlar'!AH$3</f>
        <v>0</v>
      </c>
      <c r="AF241">
        <f>'Kullanılan gübre'!AF241*'Gübre oranlar'!AI$3</f>
        <v>0</v>
      </c>
      <c r="AG241">
        <f>'Kullanılan gübre'!AG241*'Gübre oranlar'!AJ$3</f>
        <v>0</v>
      </c>
      <c r="AH241">
        <f>'Kullanılan gübre'!AH241*'Gübre oranlar'!AK$3</f>
        <v>0</v>
      </c>
      <c r="AI241">
        <f>'Kullanılan gübre'!AI241*'Gübre oranlar'!AL$3</f>
        <v>0</v>
      </c>
      <c r="AJ241">
        <f>'Kullanılan gübre'!AJ241*'Gübre oranlar'!AM$3</f>
        <v>0</v>
      </c>
      <c r="AK241">
        <f>'Kullanılan gübre'!AK241*'Gübre oranlar'!AN$3</f>
        <v>0</v>
      </c>
      <c r="AL241">
        <f>'Kullanılan gübre'!AL241*'Gübre oranlar'!AO$3</f>
        <v>0</v>
      </c>
      <c r="AM241">
        <f>'Kullanılan gübre'!AM241*'Gübre oranlar'!AP$3</f>
        <v>0</v>
      </c>
      <c r="AN241">
        <f>'Kullanılan gübre'!AN241*'Gübre oranlar'!AQ$3</f>
        <v>0</v>
      </c>
      <c r="AO241">
        <f>'Kullanılan gübre'!AO241*'Gübre oranlar'!AR$3</f>
        <v>0</v>
      </c>
      <c r="AP241">
        <f>'Kullanılan gübre'!AP241*'Gübre oranlar'!AS$3</f>
        <v>0</v>
      </c>
      <c r="AQ241">
        <f>'Kullanılan gübre'!AQ241*'Gübre oranlar'!AT$3</f>
        <v>0</v>
      </c>
      <c r="AR241">
        <f>'Kullanılan gübre'!AR241*'Gübre oranlar'!AU$3</f>
        <v>0</v>
      </c>
      <c r="AS241">
        <f>'Kullanılan gübre'!AS241*'Gübre oranlar'!AV$3</f>
        <v>0</v>
      </c>
      <c r="AT241">
        <f>'Kullanılan gübre'!AT241*'Gübre oranlar'!AW$3</f>
        <v>0</v>
      </c>
      <c r="AU241">
        <f>'Kullanılan gübre'!AU241*'Gübre oranlar'!AX$3</f>
        <v>0</v>
      </c>
      <c r="AV241">
        <f>'Kullanılan gübre'!AV241*'Gübre oranlar'!AY$3</f>
        <v>0</v>
      </c>
      <c r="AW241">
        <f t="shared" si="3"/>
        <v>103.76950000000001</v>
      </c>
    </row>
    <row r="242" spans="1:49" x14ac:dyDescent="0.25">
      <c r="A242" t="str">
        <f>'Kullanılan gübre'!A242</f>
        <v>BA</v>
      </c>
      <c r="B242" t="str">
        <f>'Kullanılan gübre'!B242</f>
        <v>BURDUR</v>
      </c>
      <c r="C242" t="str">
        <f>'Kullanılan gübre'!C242</f>
        <v>CAVDIR</v>
      </c>
      <c r="D242">
        <f>'Kullanılan gübre'!D242</f>
        <v>2015</v>
      </c>
      <c r="E242">
        <f>'Kullanılan gübre'!E242*'Gübre oranlar'!H$3</f>
        <v>0</v>
      </c>
      <c r="F242">
        <f>'Kullanılan gübre'!F242*'Gübre oranlar'!I$3</f>
        <v>0</v>
      </c>
      <c r="G242">
        <f>'Kullanılan gübre'!G242*'Gübre oranlar'!J$3</f>
        <v>0</v>
      </c>
      <c r="H242">
        <f>'Kullanılan gübre'!H242*'Gübre oranlar'!K$3</f>
        <v>0</v>
      </c>
      <c r="I242">
        <f>'Kullanılan gübre'!I242*'Gübre oranlar'!L$3</f>
        <v>14.404999999999999</v>
      </c>
      <c r="J242">
        <f>'Kullanılan gübre'!J242*'Gübre oranlar'!M$3</f>
        <v>0</v>
      </c>
      <c r="K242">
        <f>'Kullanılan gübre'!K242*'Gübre oranlar'!N$3</f>
        <v>43.17</v>
      </c>
      <c r="L242">
        <f>'Kullanılan gübre'!L242*'Gübre oranlar'!O$3</f>
        <v>2.2800000000000002</v>
      </c>
      <c r="M242">
        <f>'Kullanılan gübre'!M242*'Gübre oranlar'!P$3</f>
        <v>3.7949999999999999</v>
      </c>
      <c r="N242">
        <f>'Kullanılan gübre'!N242*'Gübre oranlar'!Q$3</f>
        <v>48.959999999999994</v>
      </c>
      <c r="O242">
        <f>'Kullanılan gübre'!O242*'Gübre oranlar'!R$3</f>
        <v>0</v>
      </c>
      <c r="P242">
        <f>'Kullanılan gübre'!P242*'Gübre oranlar'!S$3</f>
        <v>0</v>
      </c>
      <c r="Q242">
        <f>'Kullanılan gübre'!Q242*'Gübre oranlar'!T$3</f>
        <v>0</v>
      </c>
      <c r="R242">
        <f>'Kullanılan gübre'!R242*'Gübre oranlar'!U$3</f>
        <v>0</v>
      </c>
      <c r="S242">
        <f>'Kullanılan gübre'!S242*'Gübre oranlar'!V$3</f>
        <v>0</v>
      </c>
      <c r="T242">
        <f>'Kullanılan gübre'!T242*'Gübre oranlar'!W$3</f>
        <v>0</v>
      </c>
      <c r="U242">
        <f>'Kullanılan gübre'!U242*'Gübre oranlar'!X$3</f>
        <v>0</v>
      </c>
      <c r="V242">
        <f>'Kullanılan gübre'!V242*'Gübre oranlar'!Y$3</f>
        <v>0</v>
      </c>
      <c r="W242">
        <f>'Kullanılan gübre'!W242*'Gübre oranlar'!Z$3</f>
        <v>0</v>
      </c>
      <c r="X242">
        <f>'Kullanılan gübre'!X242*'Gübre oranlar'!AA$3</f>
        <v>0</v>
      </c>
      <c r="Y242">
        <f>'Kullanılan gübre'!Y242*'Gübre oranlar'!AB$3</f>
        <v>0</v>
      </c>
      <c r="Z242">
        <f>'Kullanılan gübre'!Z242*'Gübre oranlar'!AC$3</f>
        <v>0</v>
      </c>
      <c r="AA242">
        <f>'Kullanılan gübre'!AA242*'Gübre oranlar'!AD$3</f>
        <v>0</v>
      </c>
      <c r="AB242">
        <f>'Kullanılan gübre'!AB242*'Gübre oranlar'!AE$3</f>
        <v>0</v>
      </c>
      <c r="AC242">
        <f>'Kullanılan gübre'!AC242*'Gübre oranlar'!AF$3</f>
        <v>0</v>
      </c>
      <c r="AD242">
        <f>'Kullanılan gübre'!AD242*'Gübre oranlar'!AG$3</f>
        <v>0</v>
      </c>
      <c r="AE242">
        <f>'Kullanılan gübre'!AE242*'Gübre oranlar'!AH$3</f>
        <v>0</v>
      </c>
      <c r="AF242">
        <f>'Kullanılan gübre'!AF242*'Gübre oranlar'!AI$3</f>
        <v>0</v>
      </c>
      <c r="AG242">
        <f>'Kullanılan gübre'!AG242*'Gübre oranlar'!AJ$3</f>
        <v>0</v>
      </c>
      <c r="AH242">
        <f>'Kullanılan gübre'!AH242*'Gübre oranlar'!AK$3</f>
        <v>0</v>
      </c>
      <c r="AI242">
        <f>'Kullanılan gübre'!AI242*'Gübre oranlar'!AL$3</f>
        <v>0</v>
      </c>
      <c r="AJ242">
        <f>'Kullanılan gübre'!AJ242*'Gübre oranlar'!AM$3</f>
        <v>0</v>
      </c>
      <c r="AK242">
        <f>'Kullanılan gübre'!AK242*'Gübre oranlar'!AN$3</f>
        <v>0</v>
      </c>
      <c r="AL242">
        <f>'Kullanılan gübre'!AL242*'Gübre oranlar'!AO$3</f>
        <v>0</v>
      </c>
      <c r="AM242">
        <f>'Kullanılan gübre'!AM242*'Gübre oranlar'!AP$3</f>
        <v>0</v>
      </c>
      <c r="AN242">
        <f>'Kullanılan gübre'!AN242*'Gübre oranlar'!AQ$3</f>
        <v>0</v>
      </c>
      <c r="AO242">
        <f>'Kullanılan gübre'!AO242*'Gübre oranlar'!AR$3</f>
        <v>0</v>
      </c>
      <c r="AP242">
        <f>'Kullanılan gübre'!AP242*'Gübre oranlar'!AS$3</f>
        <v>0</v>
      </c>
      <c r="AQ242">
        <f>'Kullanılan gübre'!AQ242*'Gübre oranlar'!AT$3</f>
        <v>0</v>
      </c>
      <c r="AR242">
        <f>'Kullanılan gübre'!AR242*'Gübre oranlar'!AU$3</f>
        <v>0</v>
      </c>
      <c r="AS242">
        <f>'Kullanılan gübre'!AS242*'Gübre oranlar'!AV$3</f>
        <v>0</v>
      </c>
      <c r="AT242">
        <f>'Kullanılan gübre'!AT242*'Gübre oranlar'!AW$3</f>
        <v>0</v>
      </c>
      <c r="AU242">
        <f>'Kullanılan gübre'!AU242*'Gübre oranlar'!AX$3</f>
        <v>0</v>
      </c>
      <c r="AV242">
        <f>'Kullanılan gübre'!AV242*'Gübre oranlar'!AY$3</f>
        <v>0</v>
      </c>
      <c r="AW242">
        <f t="shared" si="3"/>
        <v>112.61</v>
      </c>
    </row>
    <row r="243" spans="1:49" x14ac:dyDescent="0.25">
      <c r="A243" t="str">
        <f>'Kullanılan gübre'!A243</f>
        <v>BA</v>
      </c>
      <c r="B243" t="str">
        <f>'Kullanılan gübre'!B243</f>
        <v>BURDUR</v>
      </c>
      <c r="C243" t="str">
        <f>'Kullanılan gübre'!C243</f>
        <v>CAVDIR</v>
      </c>
      <c r="D243">
        <f>'Kullanılan gübre'!D243</f>
        <v>2016</v>
      </c>
      <c r="E243">
        <f>'Kullanılan gübre'!E243*'Gübre oranlar'!H$3</f>
        <v>0</v>
      </c>
      <c r="F243">
        <f>'Kullanılan gübre'!F243*'Gübre oranlar'!I$3</f>
        <v>0</v>
      </c>
      <c r="G243">
        <f>'Kullanılan gübre'!G243*'Gübre oranlar'!J$3</f>
        <v>0</v>
      </c>
      <c r="H243">
        <f>'Kullanılan gübre'!H243*'Gübre oranlar'!K$3</f>
        <v>0</v>
      </c>
      <c r="I243">
        <f>'Kullanılan gübre'!I243*'Gübre oranlar'!L$3</f>
        <v>7.2885</v>
      </c>
      <c r="J243">
        <f>'Kullanılan gübre'!J243*'Gübre oranlar'!M$3</f>
        <v>0</v>
      </c>
      <c r="K243">
        <f>'Kullanılan gübre'!K243*'Gübre oranlar'!N$3</f>
        <v>39.550000000000004</v>
      </c>
      <c r="L243">
        <f>'Kullanılan gübre'!L243*'Gübre oranlar'!O$3</f>
        <v>4.6000000000000005</v>
      </c>
      <c r="M243">
        <f>'Kullanılan gübre'!M243*'Gübre oranlar'!P$3</f>
        <v>2.9549999999999996</v>
      </c>
      <c r="N243">
        <f>'Kullanılan gübre'!N243*'Gübre oranlar'!Q$3</f>
        <v>56.91</v>
      </c>
      <c r="O243">
        <f>'Kullanılan gübre'!O243*'Gübre oranlar'!R$3</f>
        <v>0</v>
      </c>
      <c r="P243">
        <f>'Kullanılan gübre'!P243*'Gübre oranlar'!S$3</f>
        <v>0</v>
      </c>
      <c r="Q243">
        <f>'Kullanılan gübre'!Q243*'Gübre oranlar'!T$3</f>
        <v>0</v>
      </c>
      <c r="R243">
        <f>'Kullanılan gübre'!R243*'Gübre oranlar'!U$3</f>
        <v>0</v>
      </c>
      <c r="S243">
        <f>'Kullanılan gübre'!S243*'Gübre oranlar'!V$3</f>
        <v>0</v>
      </c>
      <c r="T243">
        <f>'Kullanılan gübre'!T243*'Gübre oranlar'!W$3</f>
        <v>0</v>
      </c>
      <c r="U243">
        <f>'Kullanılan gübre'!U243*'Gübre oranlar'!X$3</f>
        <v>0</v>
      </c>
      <c r="V243">
        <f>'Kullanılan gübre'!V243*'Gübre oranlar'!Y$3</f>
        <v>0</v>
      </c>
      <c r="W243">
        <f>'Kullanılan gübre'!W243*'Gübre oranlar'!Z$3</f>
        <v>0</v>
      </c>
      <c r="X243">
        <f>'Kullanılan gübre'!X243*'Gübre oranlar'!AA$3</f>
        <v>0</v>
      </c>
      <c r="Y243">
        <f>'Kullanılan gübre'!Y243*'Gübre oranlar'!AB$3</f>
        <v>0</v>
      </c>
      <c r="Z243">
        <f>'Kullanılan gübre'!Z243*'Gübre oranlar'!AC$3</f>
        <v>0</v>
      </c>
      <c r="AA243">
        <f>'Kullanılan gübre'!AA243*'Gübre oranlar'!AD$3</f>
        <v>0</v>
      </c>
      <c r="AB243">
        <f>'Kullanılan gübre'!AB243*'Gübre oranlar'!AE$3</f>
        <v>0</v>
      </c>
      <c r="AC243">
        <f>'Kullanılan gübre'!AC243*'Gübre oranlar'!AF$3</f>
        <v>0</v>
      </c>
      <c r="AD243">
        <f>'Kullanılan gübre'!AD243*'Gübre oranlar'!AG$3</f>
        <v>0</v>
      </c>
      <c r="AE243">
        <f>'Kullanılan gübre'!AE243*'Gübre oranlar'!AH$3</f>
        <v>0</v>
      </c>
      <c r="AF243">
        <f>'Kullanılan gübre'!AF243*'Gübre oranlar'!AI$3</f>
        <v>0</v>
      </c>
      <c r="AG243">
        <f>'Kullanılan gübre'!AG243*'Gübre oranlar'!AJ$3</f>
        <v>0</v>
      </c>
      <c r="AH243">
        <f>'Kullanılan gübre'!AH243*'Gübre oranlar'!AK$3</f>
        <v>0</v>
      </c>
      <c r="AI243">
        <f>'Kullanılan gübre'!AI243*'Gübre oranlar'!AL$3</f>
        <v>0</v>
      </c>
      <c r="AJ243">
        <f>'Kullanılan gübre'!AJ243*'Gübre oranlar'!AM$3</f>
        <v>0</v>
      </c>
      <c r="AK243">
        <f>'Kullanılan gübre'!AK243*'Gübre oranlar'!AN$3</f>
        <v>0</v>
      </c>
      <c r="AL243">
        <f>'Kullanılan gübre'!AL243*'Gübre oranlar'!AO$3</f>
        <v>0</v>
      </c>
      <c r="AM243">
        <f>'Kullanılan gübre'!AM243*'Gübre oranlar'!AP$3</f>
        <v>0</v>
      </c>
      <c r="AN243">
        <f>'Kullanılan gübre'!AN243*'Gübre oranlar'!AQ$3</f>
        <v>0</v>
      </c>
      <c r="AO243">
        <f>'Kullanılan gübre'!AO243*'Gübre oranlar'!AR$3</f>
        <v>0</v>
      </c>
      <c r="AP243">
        <f>'Kullanılan gübre'!AP243*'Gübre oranlar'!AS$3</f>
        <v>0</v>
      </c>
      <c r="AQ243">
        <f>'Kullanılan gübre'!AQ243*'Gübre oranlar'!AT$3</f>
        <v>0</v>
      </c>
      <c r="AR243">
        <f>'Kullanılan gübre'!AR243*'Gübre oranlar'!AU$3</f>
        <v>0</v>
      </c>
      <c r="AS243">
        <f>'Kullanılan gübre'!AS243*'Gübre oranlar'!AV$3</f>
        <v>0</v>
      </c>
      <c r="AT243">
        <f>'Kullanılan gübre'!AT243*'Gübre oranlar'!AW$3</f>
        <v>0</v>
      </c>
      <c r="AU243">
        <f>'Kullanılan gübre'!AU243*'Gübre oranlar'!AX$3</f>
        <v>0</v>
      </c>
      <c r="AV243">
        <f>'Kullanılan gübre'!AV243*'Gübre oranlar'!AY$3</f>
        <v>0</v>
      </c>
      <c r="AW243">
        <f t="shared" si="3"/>
        <v>111.3035</v>
      </c>
    </row>
    <row r="244" spans="1:49" x14ac:dyDescent="0.25">
      <c r="A244" t="str">
        <f>'Kullanılan gübre'!A244</f>
        <v>BA</v>
      </c>
      <c r="B244" t="str">
        <f>'Kullanılan gübre'!B244</f>
        <v>BURDUR</v>
      </c>
      <c r="C244" t="str">
        <f>'Kullanılan gübre'!C244</f>
        <v>CAVDIR</v>
      </c>
      <c r="D244">
        <f>'Kullanılan gübre'!D244</f>
        <v>2017</v>
      </c>
      <c r="E244">
        <f>'Kullanılan gübre'!E244*'Gübre oranlar'!H$3</f>
        <v>0</v>
      </c>
      <c r="F244">
        <f>'Kullanılan gübre'!F244*'Gübre oranlar'!I$3</f>
        <v>0</v>
      </c>
      <c r="G244">
        <f>'Kullanılan gübre'!G244*'Gübre oranlar'!J$3</f>
        <v>0</v>
      </c>
      <c r="H244">
        <f>'Kullanılan gübre'!H244*'Gübre oranlar'!K$3</f>
        <v>0</v>
      </c>
      <c r="I244">
        <f>'Kullanılan gübre'!I244*'Gübre oranlar'!L$3</f>
        <v>9.7394999999999996</v>
      </c>
      <c r="J244">
        <f>'Kullanılan gübre'!J244*'Gübre oranlar'!M$3</f>
        <v>0</v>
      </c>
      <c r="K244">
        <f>'Kullanılan gübre'!K244*'Gübre oranlar'!N$3</f>
        <v>21.76</v>
      </c>
      <c r="L244">
        <f>'Kullanılan gübre'!L244*'Gübre oranlar'!O$3</f>
        <v>1.58</v>
      </c>
      <c r="M244">
        <f>'Kullanılan gübre'!M244*'Gübre oranlar'!P$3</f>
        <v>10.012499999999999</v>
      </c>
      <c r="N244">
        <f>'Kullanılan gübre'!N244*'Gübre oranlar'!Q$3</f>
        <v>38.647499999999994</v>
      </c>
      <c r="O244">
        <f>'Kullanılan gübre'!O244*'Gübre oranlar'!R$3</f>
        <v>0</v>
      </c>
      <c r="P244">
        <f>'Kullanılan gübre'!P244*'Gübre oranlar'!S$3</f>
        <v>0</v>
      </c>
      <c r="Q244">
        <f>'Kullanılan gübre'!Q244*'Gübre oranlar'!T$3</f>
        <v>0</v>
      </c>
      <c r="R244">
        <f>'Kullanılan gübre'!R244*'Gübre oranlar'!U$3</f>
        <v>0</v>
      </c>
      <c r="S244">
        <f>'Kullanılan gübre'!S244*'Gübre oranlar'!V$3</f>
        <v>0</v>
      </c>
      <c r="T244">
        <f>'Kullanılan gübre'!T244*'Gübre oranlar'!W$3</f>
        <v>0</v>
      </c>
      <c r="U244">
        <f>'Kullanılan gübre'!U244*'Gübre oranlar'!X$3</f>
        <v>0</v>
      </c>
      <c r="V244">
        <f>'Kullanılan gübre'!V244*'Gübre oranlar'!Y$3</f>
        <v>0</v>
      </c>
      <c r="W244">
        <f>'Kullanılan gübre'!W244*'Gübre oranlar'!Z$3</f>
        <v>0</v>
      </c>
      <c r="X244">
        <f>'Kullanılan gübre'!X244*'Gübre oranlar'!AA$3</f>
        <v>0</v>
      </c>
      <c r="Y244">
        <f>'Kullanılan gübre'!Y244*'Gübre oranlar'!AB$3</f>
        <v>1.0649999999999999</v>
      </c>
      <c r="Z244">
        <f>'Kullanılan gübre'!Z244*'Gübre oranlar'!AC$3</f>
        <v>0</v>
      </c>
      <c r="AA244">
        <f>'Kullanılan gübre'!AA244*'Gübre oranlar'!AD$3</f>
        <v>0</v>
      </c>
      <c r="AB244">
        <f>'Kullanılan gübre'!AB244*'Gübre oranlar'!AE$3</f>
        <v>0</v>
      </c>
      <c r="AC244">
        <f>'Kullanılan gübre'!AC244*'Gübre oranlar'!AF$3</f>
        <v>0</v>
      </c>
      <c r="AD244">
        <f>'Kullanılan gübre'!AD244*'Gübre oranlar'!AG$3</f>
        <v>0</v>
      </c>
      <c r="AE244">
        <f>'Kullanılan gübre'!AE244*'Gübre oranlar'!AH$3</f>
        <v>0</v>
      </c>
      <c r="AF244">
        <f>'Kullanılan gübre'!AF244*'Gübre oranlar'!AI$3</f>
        <v>0</v>
      </c>
      <c r="AG244">
        <f>'Kullanılan gübre'!AG244*'Gübre oranlar'!AJ$3</f>
        <v>0</v>
      </c>
      <c r="AH244">
        <f>'Kullanılan gübre'!AH244*'Gübre oranlar'!AK$3</f>
        <v>0</v>
      </c>
      <c r="AI244">
        <f>'Kullanılan gübre'!AI244*'Gübre oranlar'!AL$3</f>
        <v>0</v>
      </c>
      <c r="AJ244">
        <f>'Kullanılan gübre'!AJ244*'Gübre oranlar'!AM$3</f>
        <v>0</v>
      </c>
      <c r="AK244">
        <f>'Kullanılan gübre'!AK244*'Gübre oranlar'!AN$3</f>
        <v>0</v>
      </c>
      <c r="AL244">
        <f>'Kullanılan gübre'!AL244*'Gübre oranlar'!AO$3</f>
        <v>0</v>
      </c>
      <c r="AM244">
        <f>'Kullanılan gübre'!AM244*'Gübre oranlar'!AP$3</f>
        <v>0</v>
      </c>
      <c r="AN244">
        <f>'Kullanılan gübre'!AN244*'Gübre oranlar'!AQ$3</f>
        <v>0</v>
      </c>
      <c r="AO244">
        <f>'Kullanılan gübre'!AO244*'Gübre oranlar'!AR$3</f>
        <v>0</v>
      </c>
      <c r="AP244">
        <f>'Kullanılan gübre'!AP244*'Gübre oranlar'!AS$3</f>
        <v>0</v>
      </c>
      <c r="AQ244">
        <f>'Kullanılan gübre'!AQ244*'Gübre oranlar'!AT$3</f>
        <v>0</v>
      </c>
      <c r="AR244">
        <f>'Kullanılan gübre'!AR244*'Gübre oranlar'!AU$3</f>
        <v>0</v>
      </c>
      <c r="AS244">
        <f>'Kullanılan gübre'!AS244*'Gübre oranlar'!AV$3</f>
        <v>0</v>
      </c>
      <c r="AT244">
        <f>'Kullanılan gübre'!AT244*'Gübre oranlar'!AW$3</f>
        <v>0</v>
      </c>
      <c r="AU244">
        <f>'Kullanılan gübre'!AU244*'Gübre oranlar'!AX$3</f>
        <v>0.48</v>
      </c>
      <c r="AV244">
        <f>'Kullanılan gübre'!AV244*'Gübre oranlar'!AY$3</f>
        <v>0.99</v>
      </c>
      <c r="AW244">
        <f t="shared" si="3"/>
        <v>84.274499999999989</v>
      </c>
    </row>
    <row r="245" spans="1:49" x14ac:dyDescent="0.25">
      <c r="A245" t="str">
        <f>'Kullanılan gübre'!A245</f>
        <v>BA</v>
      </c>
      <c r="B245" t="str">
        <f>'Kullanılan gübre'!B245</f>
        <v>MUGLA</v>
      </c>
      <c r="C245" t="str">
        <f>'Kullanılan gübre'!C245</f>
        <v>MILAS</v>
      </c>
      <c r="D245">
        <f>'Kullanılan gübre'!D245</f>
        <v>2017</v>
      </c>
      <c r="E245">
        <f>'Kullanılan gübre'!E245*'Gübre oranlar'!H$3</f>
        <v>0</v>
      </c>
      <c r="F245">
        <f>'Kullanılan gübre'!F245*'Gübre oranlar'!I$3</f>
        <v>0</v>
      </c>
      <c r="G245">
        <f>'Kullanılan gübre'!G245*'Gübre oranlar'!J$3</f>
        <v>0</v>
      </c>
      <c r="H245">
        <f>'Kullanılan gübre'!H245*'Gübre oranlar'!K$3</f>
        <v>0</v>
      </c>
      <c r="I245">
        <f>'Kullanılan gübre'!I245*'Gübre oranlar'!L$3</f>
        <v>0</v>
      </c>
      <c r="J245">
        <f>'Kullanılan gübre'!J245*'Gübre oranlar'!M$3</f>
        <v>0</v>
      </c>
      <c r="K245">
        <f>'Kullanılan gübre'!K245*'Gübre oranlar'!N$3</f>
        <v>256.40000000000003</v>
      </c>
      <c r="L245">
        <f>'Kullanılan gübre'!L245*'Gübre oranlar'!O$3</f>
        <v>11.540000000000001</v>
      </c>
      <c r="M245">
        <f>'Kullanılan gübre'!M245*'Gübre oranlar'!P$3</f>
        <v>287.94749999999999</v>
      </c>
      <c r="N245">
        <f>'Kullanılan gübre'!N245*'Gübre oranlar'!Q$3</f>
        <v>41.482500000000002</v>
      </c>
      <c r="O245">
        <f>'Kullanılan gübre'!O245*'Gübre oranlar'!R$3</f>
        <v>0</v>
      </c>
      <c r="P245">
        <f>'Kullanılan gübre'!P245*'Gübre oranlar'!S$3</f>
        <v>0</v>
      </c>
      <c r="Q245">
        <f>'Kullanılan gübre'!Q245*'Gübre oranlar'!T$3</f>
        <v>0</v>
      </c>
      <c r="R245">
        <f>'Kullanılan gübre'!R245*'Gübre oranlar'!U$3</f>
        <v>0</v>
      </c>
      <c r="S245">
        <f>'Kullanılan gübre'!S245*'Gübre oranlar'!V$3</f>
        <v>0</v>
      </c>
      <c r="T245">
        <f>'Kullanılan gübre'!T245*'Gübre oranlar'!W$3</f>
        <v>1.25</v>
      </c>
      <c r="U245">
        <f>'Kullanılan gübre'!U245*'Gübre oranlar'!X$3</f>
        <v>0</v>
      </c>
      <c r="V245">
        <f>'Kullanılan gübre'!V245*'Gübre oranlar'!Y$3</f>
        <v>0</v>
      </c>
      <c r="W245">
        <f>'Kullanılan gübre'!W245*'Gübre oranlar'!Z$3</f>
        <v>0</v>
      </c>
      <c r="X245">
        <f>'Kullanılan gübre'!X245*'Gübre oranlar'!AA$3</f>
        <v>0.06</v>
      </c>
      <c r="Y245">
        <f>'Kullanılan gübre'!Y245*'Gübre oranlar'!AB$3</f>
        <v>0.03</v>
      </c>
      <c r="Z245">
        <f>'Kullanılan gübre'!Z245*'Gübre oranlar'!AC$3</f>
        <v>0</v>
      </c>
      <c r="AA245">
        <f>'Kullanılan gübre'!AA245*'Gübre oranlar'!AD$3</f>
        <v>88.091999999999999</v>
      </c>
      <c r="AB245">
        <f>'Kullanılan gübre'!AB245*'Gübre oranlar'!AE$3</f>
        <v>4.5749999999999999E-2</v>
      </c>
      <c r="AC245">
        <f>'Kullanılan gübre'!AC245*'Gübre oranlar'!AF$3</f>
        <v>0</v>
      </c>
      <c r="AD245">
        <f>'Kullanılan gübre'!AD245*'Gübre oranlar'!AG$3</f>
        <v>0</v>
      </c>
      <c r="AE245">
        <f>'Kullanılan gübre'!AE245*'Gübre oranlar'!AH$3</f>
        <v>0</v>
      </c>
      <c r="AF245">
        <f>'Kullanılan gübre'!AF245*'Gübre oranlar'!AI$3</f>
        <v>0</v>
      </c>
      <c r="AG245">
        <f>'Kullanılan gübre'!AG245*'Gübre oranlar'!AJ$3</f>
        <v>0</v>
      </c>
      <c r="AH245">
        <f>'Kullanılan gübre'!AH245*'Gübre oranlar'!AK$3</f>
        <v>0</v>
      </c>
      <c r="AI245">
        <f>'Kullanılan gübre'!AI245*'Gübre oranlar'!AL$3</f>
        <v>0</v>
      </c>
      <c r="AJ245">
        <f>'Kullanılan gübre'!AJ245*'Gübre oranlar'!AM$3</f>
        <v>0</v>
      </c>
      <c r="AK245">
        <f>'Kullanılan gübre'!AK245*'Gübre oranlar'!AN$3</f>
        <v>0</v>
      </c>
      <c r="AL245">
        <f>'Kullanılan gübre'!AL245*'Gübre oranlar'!AO$3</f>
        <v>0</v>
      </c>
      <c r="AM245">
        <f>'Kullanılan gübre'!AM245*'Gübre oranlar'!AP$3</f>
        <v>0</v>
      </c>
      <c r="AN245">
        <f>'Kullanılan gübre'!AN245*'Gübre oranlar'!AQ$3</f>
        <v>0</v>
      </c>
      <c r="AO245">
        <f>'Kullanılan gübre'!AO245*'Gübre oranlar'!AR$3</f>
        <v>0</v>
      </c>
      <c r="AP245">
        <f>'Kullanılan gübre'!AP245*'Gübre oranlar'!AS$3</f>
        <v>0</v>
      </c>
      <c r="AQ245">
        <f>'Kullanılan gübre'!AQ245*'Gübre oranlar'!AT$3</f>
        <v>0</v>
      </c>
      <c r="AR245">
        <f>'Kullanılan gübre'!AR245*'Gübre oranlar'!AU$3</f>
        <v>0</v>
      </c>
      <c r="AS245">
        <f>'Kullanılan gübre'!AS245*'Gübre oranlar'!AV$3</f>
        <v>0</v>
      </c>
      <c r="AT245">
        <f>'Kullanılan gübre'!AT245*'Gübre oranlar'!AW$3</f>
        <v>0</v>
      </c>
      <c r="AU245">
        <f>'Kullanılan gübre'!AU245*'Gübre oranlar'!AX$3</f>
        <v>0</v>
      </c>
      <c r="AV245">
        <f>'Kullanılan gübre'!AV245*'Gübre oranlar'!AY$3</f>
        <v>0</v>
      </c>
      <c r="AW245">
        <f t="shared" si="3"/>
        <v>686.84774999999991</v>
      </c>
    </row>
    <row r="246" spans="1:49" x14ac:dyDescent="0.25">
      <c r="A246" t="str">
        <f>'Kullanılan gübre'!A246</f>
        <v>BA</v>
      </c>
      <c r="B246" t="str">
        <f>'Kullanılan gübre'!B246</f>
        <v>MUGLA</v>
      </c>
      <c r="C246" t="str">
        <f>'Kullanılan gübre'!C246</f>
        <v>FETHIYE</v>
      </c>
      <c r="D246">
        <f>'Kullanılan gübre'!D246</f>
        <v>2017</v>
      </c>
      <c r="E246">
        <f>'Kullanılan gübre'!E246*'Gübre oranlar'!H$3</f>
        <v>0</v>
      </c>
      <c r="F246">
        <f>'Kullanılan gübre'!F246*'Gübre oranlar'!I$3</f>
        <v>0</v>
      </c>
      <c r="G246">
        <f>'Kullanılan gübre'!G246*'Gübre oranlar'!J$3</f>
        <v>0</v>
      </c>
      <c r="H246">
        <f>'Kullanılan gübre'!H246*'Gübre oranlar'!K$3</f>
        <v>0</v>
      </c>
      <c r="I246">
        <f>'Kullanılan gübre'!I246*'Gübre oranlar'!L$3</f>
        <v>11.308999999999999</v>
      </c>
      <c r="J246">
        <f>'Kullanılan gübre'!J246*'Gübre oranlar'!M$3</f>
        <v>0</v>
      </c>
      <c r="K246">
        <f>'Kullanılan gübre'!K246*'Gübre oranlar'!N$3</f>
        <v>18.440000000000001</v>
      </c>
      <c r="L246">
        <f>'Kullanılan gübre'!L246*'Gübre oranlar'!O$3</f>
        <v>4.4700000000000006</v>
      </c>
      <c r="M246">
        <f>'Kullanılan gübre'!M246*'Gübre oranlar'!P$3</f>
        <v>6.4424999999999999</v>
      </c>
      <c r="N246">
        <f>'Kullanılan gübre'!N246*'Gübre oranlar'!Q$3</f>
        <v>90.015000000000001</v>
      </c>
      <c r="O246">
        <f>'Kullanılan gübre'!O246*'Gübre oranlar'!R$3</f>
        <v>0</v>
      </c>
      <c r="P246">
        <f>'Kullanılan gübre'!P246*'Gübre oranlar'!S$3</f>
        <v>0</v>
      </c>
      <c r="Q246">
        <f>'Kullanılan gübre'!Q246*'Gübre oranlar'!T$3</f>
        <v>0</v>
      </c>
      <c r="R246">
        <f>'Kullanılan gübre'!R246*'Gübre oranlar'!U$3</f>
        <v>0</v>
      </c>
      <c r="S246">
        <f>'Kullanılan gübre'!S246*'Gübre oranlar'!V$3</f>
        <v>0</v>
      </c>
      <c r="T246">
        <f>'Kullanılan gübre'!T246*'Gübre oranlar'!W$3</f>
        <v>4.6749999999999998</v>
      </c>
      <c r="U246">
        <f>'Kullanılan gübre'!U246*'Gübre oranlar'!X$3</f>
        <v>0</v>
      </c>
      <c r="V246">
        <f>'Kullanılan gübre'!V246*'Gübre oranlar'!Y$3</f>
        <v>0</v>
      </c>
      <c r="W246">
        <f>'Kullanılan gübre'!W246*'Gübre oranlar'!Z$3</f>
        <v>0</v>
      </c>
      <c r="X246">
        <f>'Kullanılan gübre'!X246*'Gübre oranlar'!AA$3</f>
        <v>0</v>
      </c>
      <c r="Y246">
        <f>'Kullanılan gübre'!Y246*'Gübre oranlar'!AB$3</f>
        <v>1.0349999999999999</v>
      </c>
      <c r="Z246">
        <f>'Kullanılan gübre'!Z246*'Gübre oranlar'!AC$3</f>
        <v>0</v>
      </c>
      <c r="AA246">
        <f>'Kullanılan gübre'!AA246*'Gübre oranlar'!AD$3</f>
        <v>6.0119999999999996</v>
      </c>
      <c r="AB246">
        <f>'Kullanılan gübre'!AB246*'Gübre oranlar'!AE$3</f>
        <v>5.71875</v>
      </c>
      <c r="AC246">
        <f>'Kullanılan gübre'!AC246*'Gübre oranlar'!AF$3</f>
        <v>2.8730000000000002</v>
      </c>
      <c r="AD246">
        <f>'Kullanılan gübre'!AD246*'Gübre oranlar'!AG$3</f>
        <v>0</v>
      </c>
      <c r="AE246">
        <f>'Kullanılan gübre'!AE246*'Gübre oranlar'!AH$3</f>
        <v>7.3375000000000004</v>
      </c>
      <c r="AF246">
        <f>'Kullanılan gübre'!AF246*'Gübre oranlar'!AI$3</f>
        <v>0</v>
      </c>
      <c r="AG246">
        <f>'Kullanılan gübre'!AG246*'Gübre oranlar'!AJ$3</f>
        <v>0</v>
      </c>
      <c r="AH246">
        <f>'Kullanılan gübre'!AH246*'Gübre oranlar'!AK$3</f>
        <v>0</v>
      </c>
      <c r="AI246">
        <f>'Kullanılan gübre'!AI246*'Gübre oranlar'!AL$3</f>
        <v>0</v>
      </c>
      <c r="AJ246">
        <f>'Kullanılan gübre'!AJ246*'Gübre oranlar'!AM$3</f>
        <v>0</v>
      </c>
      <c r="AK246">
        <f>'Kullanılan gübre'!AK246*'Gübre oranlar'!AN$3</f>
        <v>0</v>
      </c>
      <c r="AL246">
        <f>'Kullanılan gübre'!AL246*'Gübre oranlar'!AO$3</f>
        <v>0</v>
      </c>
      <c r="AM246">
        <f>'Kullanılan gübre'!AM246*'Gübre oranlar'!AP$3</f>
        <v>0</v>
      </c>
      <c r="AN246">
        <f>'Kullanılan gübre'!AN246*'Gübre oranlar'!AQ$3</f>
        <v>0</v>
      </c>
      <c r="AO246">
        <f>'Kullanılan gübre'!AO246*'Gübre oranlar'!AR$3</f>
        <v>0</v>
      </c>
      <c r="AP246">
        <f>'Kullanılan gübre'!AP246*'Gübre oranlar'!AS$3</f>
        <v>0</v>
      </c>
      <c r="AQ246">
        <f>'Kullanılan gübre'!AQ246*'Gübre oranlar'!AT$3</f>
        <v>0</v>
      </c>
      <c r="AR246">
        <f>'Kullanılan gübre'!AR246*'Gübre oranlar'!AU$3</f>
        <v>0</v>
      </c>
      <c r="AS246">
        <f>'Kullanılan gübre'!AS246*'Gübre oranlar'!AV$3</f>
        <v>0</v>
      </c>
      <c r="AT246">
        <f>'Kullanılan gübre'!AT246*'Gübre oranlar'!AW$3</f>
        <v>0</v>
      </c>
      <c r="AU246">
        <f>'Kullanılan gübre'!AU246*'Gübre oranlar'!AX$3</f>
        <v>0</v>
      </c>
      <c r="AV246">
        <f>'Kullanılan gübre'!AV246*'Gübre oranlar'!AY$3</f>
        <v>0</v>
      </c>
      <c r="AW246">
        <f t="shared" si="3"/>
        <v>158.32775000000001</v>
      </c>
    </row>
    <row r="247" spans="1:49" x14ac:dyDescent="0.25">
      <c r="A247" t="str">
        <f>'Kullanılan gübre'!A247</f>
        <v>BA</v>
      </c>
      <c r="B247" t="str">
        <f>'Kullanılan gübre'!B247</f>
        <v>MUGLA</v>
      </c>
      <c r="C247" t="str">
        <f>'Kullanılan gübre'!C247</f>
        <v>DALAMAN</v>
      </c>
      <c r="D247">
        <f>'Kullanılan gübre'!D247</f>
        <v>2017</v>
      </c>
      <c r="E247">
        <f>'Kullanılan gübre'!E247*'Gübre oranlar'!H$3</f>
        <v>0</v>
      </c>
      <c r="F247">
        <f>'Kullanılan gübre'!F247*'Gübre oranlar'!I$3</f>
        <v>0</v>
      </c>
      <c r="G247">
        <f>'Kullanılan gübre'!G247*'Gübre oranlar'!J$3</f>
        <v>0</v>
      </c>
      <c r="H247">
        <f>'Kullanılan gübre'!H247*'Gübre oranlar'!K$3</f>
        <v>0</v>
      </c>
      <c r="I247">
        <f>'Kullanılan gübre'!I247*'Gübre oranlar'!L$3</f>
        <v>3.4829999999999997</v>
      </c>
      <c r="J247">
        <f>'Kullanılan gübre'!J247*'Gübre oranlar'!M$3</f>
        <v>0</v>
      </c>
      <c r="K247">
        <f>'Kullanılan gübre'!K247*'Gübre oranlar'!N$3</f>
        <v>53.39</v>
      </c>
      <c r="L247">
        <f>'Kullanılan gübre'!L247*'Gübre oranlar'!O$3</f>
        <v>0</v>
      </c>
      <c r="M247">
        <f>'Kullanılan gübre'!M247*'Gübre oranlar'!P$3</f>
        <v>26.167499999999997</v>
      </c>
      <c r="N247">
        <f>'Kullanılan gübre'!N247*'Gübre oranlar'!Q$3</f>
        <v>86.977500000000006</v>
      </c>
      <c r="O247">
        <f>'Kullanılan gübre'!O247*'Gübre oranlar'!R$3</f>
        <v>0</v>
      </c>
      <c r="P247">
        <f>'Kullanılan gübre'!P247*'Gübre oranlar'!S$3</f>
        <v>0</v>
      </c>
      <c r="Q247">
        <f>'Kullanılan gübre'!Q247*'Gübre oranlar'!T$3</f>
        <v>0</v>
      </c>
      <c r="R247">
        <f>'Kullanılan gübre'!R247*'Gübre oranlar'!U$3</f>
        <v>0</v>
      </c>
      <c r="S247">
        <f>'Kullanılan gübre'!S247*'Gübre oranlar'!V$3</f>
        <v>0</v>
      </c>
      <c r="T247">
        <f>'Kullanılan gübre'!T247*'Gübre oranlar'!W$3</f>
        <v>0</v>
      </c>
      <c r="U247">
        <f>'Kullanılan gübre'!U247*'Gübre oranlar'!X$3</f>
        <v>0</v>
      </c>
      <c r="V247">
        <f>'Kullanılan gübre'!V247*'Gübre oranlar'!Y$3</f>
        <v>0</v>
      </c>
      <c r="W247">
        <f>'Kullanılan gübre'!W247*'Gübre oranlar'!Z$3</f>
        <v>0</v>
      </c>
      <c r="X247">
        <f>'Kullanılan gübre'!X247*'Gübre oranlar'!AA$3</f>
        <v>2.2200000000000002</v>
      </c>
      <c r="Y247">
        <f>'Kullanılan gübre'!Y247*'Gübre oranlar'!AB$3</f>
        <v>0.50249999999999995</v>
      </c>
      <c r="Z247">
        <f>'Kullanılan gübre'!Z247*'Gübre oranlar'!AC$3</f>
        <v>0</v>
      </c>
      <c r="AA247">
        <f>'Kullanılan gübre'!AA247*'Gübre oranlar'!AD$3</f>
        <v>18.72</v>
      </c>
      <c r="AB247">
        <f>'Kullanılan gübre'!AB247*'Gübre oranlar'!AE$3</f>
        <v>1.7537499999999999</v>
      </c>
      <c r="AC247">
        <f>'Kullanılan gübre'!AC247*'Gübre oranlar'!AF$3</f>
        <v>0</v>
      </c>
      <c r="AD247">
        <f>'Kullanılan gübre'!AD247*'Gübre oranlar'!AG$3</f>
        <v>0</v>
      </c>
      <c r="AE247">
        <f>'Kullanılan gübre'!AE247*'Gübre oranlar'!AH$3</f>
        <v>0.75</v>
      </c>
      <c r="AF247">
        <f>'Kullanılan gübre'!AF247*'Gübre oranlar'!AI$3</f>
        <v>0</v>
      </c>
      <c r="AG247">
        <f>'Kullanılan gübre'!AG247*'Gübre oranlar'!AJ$3</f>
        <v>0</v>
      </c>
      <c r="AH247">
        <f>'Kullanılan gübre'!AH247*'Gübre oranlar'!AK$3</f>
        <v>0</v>
      </c>
      <c r="AI247">
        <f>'Kullanılan gübre'!AI247*'Gübre oranlar'!AL$3</f>
        <v>0</v>
      </c>
      <c r="AJ247">
        <f>'Kullanılan gübre'!AJ247*'Gübre oranlar'!AM$3</f>
        <v>0</v>
      </c>
      <c r="AK247">
        <f>'Kullanılan gübre'!AK247*'Gübre oranlar'!AN$3</f>
        <v>0</v>
      </c>
      <c r="AL247">
        <f>'Kullanılan gübre'!AL247*'Gübre oranlar'!AO$3</f>
        <v>0</v>
      </c>
      <c r="AM247">
        <f>'Kullanılan gübre'!AM247*'Gübre oranlar'!AP$3</f>
        <v>0</v>
      </c>
      <c r="AN247">
        <f>'Kullanılan gübre'!AN247*'Gübre oranlar'!AQ$3</f>
        <v>0</v>
      </c>
      <c r="AO247">
        <f>'Kullanılan gübre'!AO247*'Gübre oranlar'!AR$3</f>
        <v>0</v>
      </c>
      <c r="AP247">
        <f>'Kullanılan gübre'!AP247*'Gübre oranlar'!AS$3</f>
        <v>0</v>
      </c>
      <c r="AQ247">
        <f>'Kullanılan gübre'!AQ247*'Gübre oranlar'!AT$3</f>
        <v>0</v>
      </c>
      <c r="AR247">
        <f>'Kullanılan gübre'!AR247*'Gübre oranlar'!AU$3</f>
        <v>0</v>
      </c>
      <c r="AS247">
        <f>'Kullanılan gübre'!AS247*'Gübre oranlar'!AV$3</f>
        <v>0</v>
      </c>
      <c r="AT247">
        <f>'Kullanılan gübre'!AT247*'Gübre oranlar'!AW$3</f>
        <v>0</v>
      </c>
      <c r="AU247">
        <f>'Kullanılan gübre'!AU247*'Gübre oranlar'!AX$3</f>
        <v>0</v>
      </c>
      <c r="AV247">
        <f>'Kullanılan gübre'!AV247*'Gübre oranlar'!AY$3</f>
        <v>0</v>
      </c>
      <c r="AW247">
        <f t="shared" si="3"/>
        <v>193.96424999999999</v>
      </c>
    </row>
    <row r="248" spans="1:49" x14ac:dyDescent="0.25">
      <c r="A248" t="str">
        <f>'Kullanılan gübre'!A248</f>
        <v>BA</v>
      </c>
      <c r="B248" t="str">
        <f>'Kullanılan gübre'!B248</f>
        <v>MUGLA</v>
      </c>
      <c r="C248" t="str">
        <f>'Kullanılan gübre'!C248</f>
        <v>ORTACA</v>
      </c>
      <c r="D248">
        <f>'Kullanılan gübre'!D248</f>
        <v>2017</v>
      </c>
      <c r="E248">
        <f>'Kullanılan gübre'!E248*'Gübre oranlar'!H$3</f>
        <v>0</v>
      </c>
      <c r="F248">
        <f>'Kullanılan gübre'!F248*'Gübre oranlar'!I$3</f>
        <v>0</v>
      </c>
      <c r="G248">
        <f>'Kullanılan gübre'!G248*'Gübre oranlar'!J$3</f>
        <v>0</v>
      </c>
      <c r="H248">
        <f>'Kullanılan gübre'!H248*'Gübre oranlar'!K$3</f>
        <v>0</v>
      </c>
      <c r="I248">
        <f>'Kullanılan gübre'!I248*'Gübre oranlar'!L$3</f>
        <v>6.9874999999999998</v>
      </c>
      <c r="J248">
        <f>'Kullanılan gübre'!J248*'Gübre oranlar'!M$3</f>
        <v>0</v>
      </c>
      <c r="K248">
        <f>'Kullanılan gübre'!K248*'Gübre oranlar'!N$3</f>
        <v>24.02</v>
      </c>
      <c r="L248">
        <f>'Kullanılan gübre'!L248*'Gübre oranlar'!O$3</f>
        <v>0</v>
      </c>
      <c r="M248">
        <f>'Kullanılan gübre'!M248*'Gübre oranlar'!P$3</f>
        <v>32.317499999999995</v>
      </c>
      <c r="N248">
        <f>'Kullanılan gübre'!N248*'Gübre oranlar'!Q$3</f>
        <v>250.89750000000001</v>
      </c>
      <c r="O248">
        <f>'Kullanılan gübre'!O248*'Gübre oranlar'!R$3</f>
        <v>0</v>
      </c>
      <c r="P248">
        <f>'Kullanılan gübre'!P248*'Gübre oranlar'!S$3</f>
        <v>0</v>
      </c>
      <c r="Q248">
        <f>'Kullanılan gübre'!Q248*'Gübre oranlar'!T$3</f>
        <v>0</v>
      </c>
      <c r="R248">
        <f>'Kullanılan gübre'!R248*'Gübre oranlar'!U$3</f>
        <v>0</v>
      </c>
      <c r="S248">
        <f>'Kullanılan gübre'!S248*'Gübre oranlar'!V$3</f>
        <v>0</v>
      </c>
      <c r="T248">
        <f>'Kullanılan gübre'!T248*'Gübre oranlar'!W$3</f>
        <v>0</v>
      </c>
      <c r="U248">
        <f>'Kullanılan gübre'!U248*'Gübre oranlar'!X$3</f>
        <v>0</v>
      </c>
      <c r="V248">
        <f>'Kullanılan gübre'!V248*'Gübre oranlar'!Y$3</f>
        <v>0</v>
      </c>
      <c r="W248">
        <f>'Kullanılan gübre'!W248*'Gübre oranlar'!Z$3</f>
        <v>0</v>
      </c>
      <c r="X248">
        <f>'Kullanılan gübre'!X248*'Gübre oranlar'!AA$3</f>
        <v>0</v>
      </c>
      <c r="Y248">
        <f>'Kullanılan gübre'!Y248*'Gübre oranlar'!AB$3</f>
        <v>7.05</v>
      </c>
      <c r="Z248">
        <f>'Kullanılan gübre'!Z248*'Gübre oranlar'!AC$3</f>
        <v>0</v>
      </c>
      <c r="AA248">
        <f>'Kullanılan gübre'!AA248*'Gübre oranlar'!AD$3</f>
        <v>0</v>
      </c>
      <c r="AB248">
        <f>'Kullanılan gübre'!AB248*'Gübre oranlar'!AE$3</f>
        <v>8.0672499999999996</v>
      </c>
      <c r="AC248">
        <f>'Kullanılan gübre'!AC248*'Gübre oranlar'!AF$3</f>
        <v>2.665</v>
      </c>
      <c r="AD248">
        <f>'Kullanılan gübre'!AD248*'Gübre oranlar'!AG$3</f>
        <v>0</v>
      </c>
      <c r="AE248">
        <f>'Kullanılan gübre'!AE248*'Gübre oranlar'!AH$3</f>
        <v>0</v>
      </c>
      <c r="AF248">
        <f>'Kullanılan gübre'!AF248*'Gübre oranlar'!AI$3</f>
        <v>0</v>
      </c>
      <c r="AG248">
        <f>'Kullanılan gübre'!AG248*'Gübre oranlar'!AJ$3</f>
        <v>0</v>
      </c>
      <c r="AH248">
        <f>'Kullanılan gübre'!AH248*'Gübre oranlar'!AK$3</f>
        <v>0</v>
      </c>
      <c r="AI248">
        <f>'Kullanılan gübre'!AI248*'Gübre oranlar'!AL$3</f>
        <v>0</v>
      </c>
      <c r="AJ248">
        <f>'Kullanılan gübre'!AJ248*'Gübre oranlar'!AM$3</f>
        <v>0</v>
      </c>
      <c r="AK248">
        <f>'Kullanılan gübre'!AK248*'Gübre oranlar'!AN$3</f>
        <v>0</v>
      </c>
      <c r="AL248">
        <f>'Kullanılan gübre'!AL248*'Gübre oranlar'!AO$3</f>
        <v>0</v>
      </c>
      <c r="AM248">
        <f>'Kullanılan gübre'!AM248*'Gübre oranlar'!AP$3</f>
        <v>0</v>
      </c>
      <c r="AN248">
        <f>'Kullanılan gübre'!AN248*'Gübre oranlar'!AQ$3</f>
        <v>0</v>
      </c>
      <c r="AO248">
        <f>'Kullanılan gübre'!AO248*'Gübre oranlar'!AR$3</f>
        <v>0</v>
      </c>
      <c r="AP248">
        <f>'Kullanılan gübre'!AP248*'Gübre oranlar'!AS$3</f>
        <v>0</v>
      </c>
      <c r="AQ248">
        <f>'Kullanılan gübre'!AQ248*'Gübre oranlar'!AT$3</f>
        <v>0</v>
      </c>
      <c r="AR248">
        <f>'Kullanılan gübre'!AR248*'Gübre oranlar'!AU$3</f>
        <v>0</v>
      </c>
      <c r="AS248">
        <f>'Kullanılan gübre'!AS248*'Gübre oranlar'!AV$3</f>
        <v>0</v>
      </c>
      <c r="AT248">
        <f>'Kullanılan gübre'!AT248*'Gübre oranlar'!AW$3</f>
        <v>0</v>
      </c>
      <c r="AU248">
        <f>'Kullanılan gübre'!AU248*'Gübre oranlar'!AX$3</f>
        <v>0</v>
      </c>
      <c r="AV248">
        <f>'Kullanılan gübre'!AV248*'Gübre oranlar'!AY$3</f>
        <v>0</v>
      </c>
      <c r="AW248">
        <f t="shared" si="3"/>
        <v>332.00475000000006</v>
      </c>
    </row>
    <row r="249" spans="1:49" x14ac:dyDescent="0.25">
      <c r="A249" t="str">
        <f>'Kullanılan gübre'!A249</f>
        <v>BA</v>
      </c>
      <c r="B249" t="str">
        <f>'Kullanılan gübre'!B249</f>
        <v>MUGLA</v>
      </c>
      <c r="C249" t="str">
        <f>'Kullanılan gübre'!C249</f>
        <v>KOYCEGIZ</v>
      </c>
      <c r="D249">
        <f>'Kullanılan gübre'!D249</f>
        <v>2017</v>
      </c>
      <c r="E249">
        <f>'Kullanılan gübre'!E249*'Gübre oranlar'!H$3</f>
        <v>0</v>
      </c>
      <c r="F249">
        <f>'Kullanılan gübre'!F249*'Gübre oranlar'!I$3</f>
        <v>0</v>
      </c>
      <c r="G249">
        <f>'Kullanılan gübre'!G249*'Gübre oranlar'!J$3</f>
        <v>0</v>
      </c>
      <c r="H249">
        <f>'Kullanılan gübre'!H249*'Gübre oranlar'!K$3</f>
        <v>0</v>
      </c>
      <c r="I249">
        <f>'Kullanılan gübre'!I249*'Gübre oranlar'!L$3</f>
        <v>5.5255000000000001</v>
      </c>
      <c r="J249">
        <f>'Kullanılan gübre'!J249*'Gübre oranlar'!M$3</f>
        <v>0</v>
      </c>
      <c r="K249">
        <f>'Kullanılan gübre'!K249*'Gübre oranlar'!N$3</f>
        <v>71.14</v>
      </c>
      <c r="L249">
        <f>'Kullanılan gübre'!L249*'Gübre oranlar'!O$3</f>
        <v>2</v>
      </c>
      <c r="M249">
        <f>'Kullanılan gübre'!M249*'Gübre oranlar'!P$3</f>
        <v>19.5825</v>
      </c>
      <c r="N249">
        <f>'Kullanılan gübre'!N249*'Gübre oranlar'!Q$3</f>
        <v>228.21</v>
      </c>
      <c r="O249">
        <f>'Kullanılan gübre'!O249*'Gübre oranlar'!R$3</f>
        <v>0</v>
      </c>
      <c r="P249">
        <f>'Kullanılan gübre'!P249*'Gübre oranlar'!S$3</f>
        <v>0</v>
      </c>
      <c r="Q249">
        <f>'Kullanılan gübre'!Q249*'Gübre oranlar'!T$3</f>
        <v>0</v>
      </c>
      <c r="R249">
        <f>'Kullanılan gübre'!R249*'Gübre oranlar'!U$3</f>
        <v>0</v>
      </c>
      <c r="S249">
        <f>'Kullanılan gübre'!S249*'Gübre oranlar'!V$3</f>
        <v>0</v>
      </c>
      <c r="T249">
        <f>'Kullanılan gübre'!T249*'Gübre oranlar'!W$3</f>
        <v>0</v>
      </c>
      <c r="U249">
        <f>'Kullanılan gübre'!U249*'Gübre oranlar'!X$3</f>
        <v>0</v>
      </c>
      <c r="V249">
        <f>'Kullanılan gübre'!V249*'Gübre oranlar'!Y$3</f>
        <v>0</v>
      </c>
      <c r="W249">
        <f>'Kullanılan gübre'!W249*'Gübre oranlar'!Z$3</f>
        <v>0</v>
      </c>
      <c r="X249">
        <f>'Kullanılan gübre'!X249*'Gübre oranlar'!AA$3</f>
        <v>0</v>
      </c>
      <c r="Y249">
        <f>'Kullanılan gübre'!Y249*'Gübre oranlar'!AB$3</f>
        <v>0</v>
      </c>
      <c r="Z249">
        <f>'Kullanılan gübre'!Z249*'Gübre oranlar'!AC$3</f>
        <v>1.3800000000000001</v>
      </c>
      <c r="AA249">
        <f>'Kullanılan gübre'!AA249*'Gübre oranlar'!AD$3</f>
        <v>0.97199999999999998</v>
      </c>
      <c r="AB249">
        <f>'Kullanılan gübre'!AB249*'Gübre oranlar'!AE$3</f>
        <v>2.6534999999999997</v>
      </c>
      <c r="AC249">
        <f>'Kullanılan gübre'!AC249*'Gübre oranlar'!AF$3</f>
        <v>0</v>
      </c>
      <c r="AD249">
        <f>'Kullanılan gübre'!AD249*'Gübre oranlar'!AG$3</f>
        <v>0</v>
      </c>
      <c r="AE249">
        <f>'Kullanılan gübre'!AE249*'Gübre oranlar'!AH$3</f>
        <v>0</v>
      </c>
      <c r="AF249">
        <f>'Kullanılan gübre'!AF249*'Gübre oranlar'!AI$3</f>
        <v>0</v>
      </c>
      <c r="AG249">
        <f>'Kullanılan gübre'!AG249*'Gübre oranlar'!AJ$3</f>
        <v>0</v>
      </c>
      <c r="AH249">
        <f>'Kullanılan gübre'!AH249*'Gübre oranlar'!AK$3</f>
        <v>0</v>
      </c>
      <c r="AI249">
        <f>'Kullanılan gübre'!AI249*'Gübre oranlar'!AL$3</f>
        <v>0</v>
      </c>
      <c r="AJ249">
        <f>'Kullanılan gübre'!AJ249*'Gübre oranlar'!AM$3</f>
        <v>0</v>
      </c>
      <c r="AK249">
        <f>'Kullanılan gübre'!AK249*'Gübre oranlar'!AN$3</f>
        <v>0</v>
      </c>
      <c r="AL249">
        <f>'Kullanılan gübre'!AL249*'Gübre oranlar'!AO$3</f>
        <v>0</v>
      </c>
      <c r="AM249">
        <f>'Kullanılan gübre'!AM249*'Gübre oranlar'!AP$3</f>
        <v>0</v>
      </c>
      <c r="AN249">
        <f>'Kullanılan gübre'!AN249*'Gübre oranlar'!AQ$3</f>
        <v>0</v>
      </c>
      <c r="AO249">
        <f>'Kullanılan gübre'!AO249*'Gübre oranlar'!AR$3</f>
        <v>0</v>
      </c>
      <c r="AP249">
        <f>'Kullanılan gübre'!AP249*'Gübre oranlar'!AS$3</f>
        <v>0</v>
      </c>
      <c r="AQ249">
        <f>'Kullanılan gübre'!AQ249*'Gübre oranlar'!AT$3</f>
        <v>0</v>
      </c>
      <c r="AR249">
        <f>'Kullanılan gübre'!AR249*'Gübre oranlar'!AU$3</f>
        <v>0</v>
      </c>
      <c r="AS249">
        <f>'Kullanılan gübre'!AS249*'Gübre oranlar'!AV$3</f>
        <v>0</v>
      </c>
      <c r="AT249">
        <f>'Kullanılan gübre'!AT249*'Gübre oranlar'!AW$3</f>
        <v>0</v>
      </c>
      <c r="AU249">
        <f>'Kullanılan gübre'!AU249*'Gübre oranlar'!AX$3</f>
        <v>0</v>
      </c>
      <c r="AV249">
        <f>'Kullanılan gübre'!AV249*'Gübre oranlar'!AY$3</f>
        <v>0</v>
      </c>
      <c r="AW249">
        <f t="shared" si="3"/>
        <v>331.46349999999995</v>
      </c>
    </row>
    <row r="250" spans="1:49" x14ac:dyDescent="0.25">
      <c r="A250" t="str">
        <f>'Kullanılan gübre'!A250</f>
        <v>BA</v>
      </c>
      <c r="B250" t="str">
        <f>'Kullanılan gübre'!B250</f>
        <v>MUGLA</v>
      </c>
      <c r="C250" t="str">
        <f>'Kullanılan gübre'!C250</f>
        <v>DATCA</v>
      </c>
      <c r="D250">
        <f>'Kullanılan gübre'!D250</f>
        <v>2017</v>
      </c>
      <c r="E250">
        <f>'Kullanılan gübre'!E250*'Gübre oranlar'!H$3</f>
        <v>0</v>
      </c>
      <c r="F250">
        <f>'Kullanılan gübre'!F250*'Gübre oranlar'!I$3</f>
        <v>0</v>
      </c>
      <c r="G250">
        <f>'Kullanılan gübre'!G250*'Gübre oranlar'!J$3</f>
        <v>0</v>
      </c>
      <c r="H250">
        <f>'Kullanılan gübre'!H250*'Gübre oranlar'!K$3</f>
        <v>0</v>
      </c>
      <c r="I250">
        <f>'Kullanılan gübre'!I250*'Gübre oranlar'!L$3</f>
        <v>0</v>
      </c>
      <c r="J250">
        <f>'Kullanılan gübre'!J250*'Gübre oranlar'!M$3</f>
        <v>0</v>
      </c>
      <c r="K250">
        <f>'Kullanılan gübre'!K250*'Gübre oranlar'!N$3</f>
        <v>2.3000000000000003</v>
      </c>
      <c r="L250">
        <f>'Kullanılan gübre'!L250*'Gübre oranlar'!O$3</f>
        <v>0</v>
      </c>
      <c r="M250">
        <f>'Kullanılan gübre'!M250*'Gübre oranlar'!P$3</f>
        <v>0</v>
      </c>
      <c r="N250">
        <f>'Kullanılan gübre'!N250*'Gübre oranlar'!Q$3</f>
        <v>5.25</v>
      </c>
      <c r="O250">
        <f>'Kullanılan gübre'!O250*'Gübre oranlar'!R$3</f>
        <v>0</v>
      </c>
      <c r="P250">
        <f>'Kullanılan gübre'!P250*'Gübre oranlar'!S$3</f>
        <v>0</v>
      </c>
      <c r="Q250">
        <f>'Kullanılan gübre'!Q250*'Gübre oranlar'!T$3</f>
        <v>0</v>
      </c>
      <c r="R250">
        <f>'Kullanılan gübre'!R250*'Gübre oranlar'!U$3</f>
        <v>0</v>
      </c>
      <c r="S250">
        <f>'Kullanılan gübre'!S250*'Gübre oranlar'!V$3</f>
        <v>0</v>
      </c>
      <c r="T250">
        <f>'Kullanılan gübre'!T250*'Gübre oranlar'!W$3</f>
        <v>0</v>
      </c>
      <c r="U250">
        <f>'Kullanılan gübre'!U250*'Gübre oranlar'!X$3</f>
        <v>0</v>
      </c>
      <c r="V250">
        <f>'Kullanılan gübre'!V250*'Gübre oranlar'!Y$3</f>
        <v>0</v>
      </c>
      <c r="W250">
        <f>'Kullanılan gübre'!W250*'Gübre oranlar'!Z$3</f>
        <v>0</v>
      </c>
      <c r="X250">
        <f>'Kullanılan gübre'!X250*'Gübre oranlar'!AA$3</f>
        <v>0</v>
      </c>
      <c r="Y250">
        <f>'Kullanılan gübre'!Y250*'Gübre oranlar'!AB$3</f>
        <v>16.102499999999999</v>
      </c>
      <c r="Z250">
        <f>'Kullanılan gübre'!Z250*'Gübre oranlar'!AC$3</f>
        <v>0</v>
      </c>
      <c r="AA250">
        <f>'Kullanılan gübre'!AA250*'Gübre oranlar'!AD$3</f>
        <v>21.731999999999999</v>
      </c>
      <c r="AB250">
        <f>'Kullanılan gübre'!AB250*'Gübre oranlar'!AE$3</f>
        <v>0.13725000000000001</v>
      </c>
      <c r="AC250">
        <f>'Kullanılan gübre'!AC250*'Gübre oranlar'!AF$3</f>
        <v>0</v>
      </c>
      <c r="AD250">
        <f>'Kullanılan gübre'!AD250*'Gübre oranlar'!AG$3</f>
        <v>0</v>
      </c>
      <c r="AE250">
        <f>'Kullanılan gübre'!AE250*'Gübre oranlar'!AH$3</f>
        <v>0</v>
      </c>
      <c r="AF250">
        <f>'Kullanılan gübre'!AF250*'Gübre oranlar'!AI$3</f>
        <v>0</v>
      </c>
      <c r="AG250">
        <f>'Kullanılan gübre'!AG250*'Gübre oranlar'!AJ$3</f>
        <v>0</v>
      </c>
      <c r="AH250">
        <f>'Kullanılan gübre'!AH250*'Gübre oranlar'!AK$3</f>
        <v>0</v>
      </c>
      <c r="AI250">
        <f>'Kullanılan gübre'!AI250*'Gübre oranlar'!AL$3</f>
        <v>0</v>
      </c>
      <c r="AJ250">
        <f>'Kullanılan gübre'!AJ250*'Gübre oranlar'!AM$3</f>
        <v>0</v>
      </c>
      <c r="AK250">
        <f>'Kullanılan gübre'!AK250*'Gübre oranlar'!AN$3</f>
        <v>0</v>
      </c>
      <c r="AL250">
        <f>'Kullanılan gübre'!AL250*'Gübre oranlar'!AO$3</f>
        <v>0</v>
      </c>
      <c r="AM250">
        <f>'Kullanılan gübre'!AM250*'Gübre oranlar'!AP$3</f>
        <v>0</v>
      </c>
      <c r="AN250">
        <f>'Kullanılan gübre'!AN250*'Gübre oranlar'!AQ$3</f>
        <v>0</v>
      </c>
      <c r="AO250">
        <f>'Kullanılan gübre'!AO250*'Gübre oranlar'!AR$3</f>
        <v>0</v>
      </c>
      <c r="AP250">
        <f>'Kullanılan gübre'!AP250*'Gübre oranlar'!AS$3</f>
        <v>0</v>
      </c>
      <c r="AQ250">
        <f>'Kullanılan gübre'!AQ250*'Gübre oranlar'!AT$3</f>
        <v>0</v>
      </c>
      <c r="AR250">
        <f>'Kullanılan gübre'!AR250*'Gübre oranlar'!AU$3</f>
        <v>0</v>
      </c>
      <c r="AS250">
        <f>'Kullanılan gübre'!AS250*'Gübre oranlar'!AV$3</f>
        <v>0</v>
      </c>
      <c r="AT250">
        <f>'Kullanılan gübre'!AT250*'Gübre oranlar'!AW$3</f>
        <v>0</v>
      </c>
      <c r="AU250">
        <f>'Kullanılan gübre'!AU250*'Gübre oranlar'!AX$3</f>
        <v>0</v>
      </c>
      <c r="AV250">
        <f>'Kullanılan gübre'!AV250*'Gübre oranlar'!AY$3</f>
        <v>0</v>
      </c>
      <c r="AW250">
        <f t="shared" si="3"/>
        <v>45.521750000000004</v>
      </c>
    </row>
    <row r="251" spans="1:49" x14ac:dyDescent="0.25">
      <c r="A251" t="str">
        <f>'Kullanılan gübre'!A251</f>
        <v>BA</v>
      </c>
      <c r="B251" t="str">
        <f>'Kullanılan gübre'!B251</f>
        <v>MUGLA</v>
      </c>
      <c r="C251" t="str">
        <f>'Kullanılan gübre'!C251</f>
        <v>ULA</v>
      </c>
      <c r="D251">
        <f>'Kullanılan gübre'!D251</f>
        <v>2017</v>
      </c>
      <c r="E251">
        <f>'Kullanılan gübre'!E251*'Gübre oranlar'!H$3</f>
        <v>0</v>
      </c>
      <c r="F251">
        <f>'Kullanılan gübre'!F251*'Gübre oranlar'!I$3</f>
        <v>0</v>
      </c>
      <c r="G251">
        <f>'Kullanılan gübre'!G251*'Gübre oranlar'!J$3</f>
        <v>0</v>
      </c>
      <c r="H251">
        <f>'Kullanılan gübre'!H251*'Gübre oranlar'!K$3</f>
        <v>0</v>
      </c>
      <c r="I251">
        <f>'Kullanılan gübre'!I251*'Gübre oranlar'!L$3</f>
        <v>2.2574999999999998</v>
      </c>
      <c r="J251">
        <f>'Kullanılan gübre'!J251*'Gübre oranlar'!M$3</f>
        <v>0</v>
      </c>
      <c r="K251">
        <f>'Kullanılan gübre'!K251*'Gübre oranlar'!N$3</f>
        <v>6.9</v>
      </c>
      <c r="L251">
        <f>'Kullanılan gübre'!L251*'Gübre oranlar'!O$3</f>
        <v>28.730000000000004</v>
      </c>
      <c r="M251">
        <f>'Kullanılan gübre'!M251*'Gübre oranlar'!P$3</f>
        <v>0.98249999999999993</v>
      </c>
      <c r="N251">
        <f>'Kullanılan gübre'!N251*'Gübre oranlar'!Q$3</f>
        <v>38.512499999999996</v>
      </c>
      <c r="O251">
        <f>'Kullanılan gübre'!O251*'Gübre oranlar'!R$3</f>
        <v>0</v>
      </c>
      <c r="P251">
        <f>'Kullanılan gübre'!P251*'Gübre oranlar'!S$3</f>
        <v>0</v>
      </c>
      <c r="Q251">
        <f>'Kullanılan gübre'!Q251*'Gübre oranlar'!T$3</f>
        <v>0</v>
      </c>
      <c r="R251">
        <f>'Kullanılan gübre'!R251*'Gübre oranlar'!U$3</f>
        <v>0</v>
      </c>
      <c r="S251">
        <f>'Kullanılan gübre'!S251*'Gübre oranlar'!V$3</f>
        <v>0</v>
      </c>
      <c r="T251">
        <f>'Kullanılan gübre'!T251*'Gübre oranlar'!W$3</f>
        <v>0</v>
      </c>
      <c r="U251">
        <f>'Kullanılan gübre'!U251*'Gübre oranlar'!X$3</f>
        <v>0</v>
      </c>
      <c r="V251">
        <f>'Kullanılan gübre'!V251*'Gübre oranlar'!Y$3</f>
        <v>0</v>
      </c>
      <c r="W251">
        <f>'Kullanılan gübre'!W251*'Gübre oranlar'!Z$3</f>
        <v>0</v>
      </c>
      <c r="X251">
        <f>'Kullanılan gübre'!X251*'Gübre oranlar'!AA$3</f>
        <v>0</v>
      </c>
      <c r="Y251">
        <f>'Kullanılan gübre'!Y251*'Gübre oranlar'!AB$3</f>
        <v>0</v>
      </c>
      <c r="Z251">
        <f>'Kullanılan gübre'!Z251*'Gübre oranlar'!AC$3</f>
        <v>0</v>
      </c>
      <c r="AA251">
        <f>'Kullanılan gübre'!AA251*'Gübre oranlar'!AD$3</f>
        <v>7.1999999999999995E-2</v>
      </c>
      <c r="AB251">
        <f>'Kullanılan gübre'!AB251*'Gübre oranlar'!AE$3</f>
        <v>0.24399999999999999</v>
      </c>
      <c r="AC251">
        <f>'Kullanılan gübre'!AC251*'Gübre oranlar'!AF$3</f>
        <v>1.3000000000000001E-2</v>
      </c>
      <c r="AD251">
        <f>'Kullanılan gübre'!AD251*'Gübre oranlar'!AG$3</f>
        <v>0</v>
      </c>
      <c r="AE251">
        <f>'Kullanılan gübre'!AE251*'Gübre oranlar'!AH$3</f>
        <v>0</v>
      </c>
      <c r="AF251">
        <f>'Kullanılan gübre'!AF251*'Gübre oranlar'!AI$3</f>
        <v>0</v>
      </c>
      <c r="AG251">
        <f>'Kullanılan gübre'!AG251*'Gübre oranlar'!AJ$3</f>
        <v>0</v>
      </c>
      <c r="AH251">
        <f>'Kullanılan gübre'!AH251*'Gübre oranlar'!AK$3</f>
        <v>0</v>
      </c>
      <c r="AI251">
        <f>'Kullanılan gübre'!AI251*'Gübre oranlar'!AL$3</f>
        <v>0</v>
      </c>
      <c r="AJ251">
        <f>'Kullanılan gübre'!AJ251*'Gübre oranlar'!AM$3</f>
        <v>0</v>
      </c>
      <c r="AK251">
        <f>'Kullanılan gübre'!AK251*'Gübre oranlar'!AN$3</f>
        <v>0</v>
      </c>
      <c r="AL251">
        <f>'Kullanılan gübre'!AL251*'Gübre oranlar'!AO$3</f>
        <v>0</v>
      </c>
      <c r="AM251">
        <f>'Kullanılan gübre'!AM251*'Gübre oranlar'!AP$3</f>
        <v>0</v>
      </c>
      <c r="AN251">
        <f>'Kullanılan gübre'!AN251*'Gübre oranlar'!AQ$3</f>
        <v>0</v>
      </c>
      <c r="AO251">
        <f>'Kullanılan gübre'!AO251*'Gübre oranlar'!AR$3</f>
        <v>0</v>
      </c>
      <c r="AP251">
        <f>'Kullanılan gübre'!AP251*'Gübre oranlar'!AS$3</f>
        <v>0</v>
      </c>
      <c r="AQ251">
        <f>'Kullanılan gübre'!AQ251*'Gübre oranlar'!AT$3</f>
        <v>0</v>
      </c>
      <c r="AR251">
        <f>'Kullanılan gübre'!AR251*'Gübre oranlar'!AU$3</f>
        <v>0</v>
      </c>
      <c r="AS251">
        <f>'Kullanılan gübre'!AS251*'Gübre oranlar'!AV$3</f>
        <v>0</v>
      </c>
      <c r="AT251">
        <f>'Kullanılan gübre'!AT251*'Gübre oranlar'!AW$3</f>
        <v>0</v>
      </c>
      <c r="AU251">
        <f>'Kullanılan gübre'!AU251*'Gübre oranlar'!AX$3</f>
        <v>0</v>
      </c>
      <c r="AV251">
        <f>'Kullanılan gübre'!AV251*'Gübre oranlar'!AY$3</f>
        <v>0</v>
      </c>
      <c r="AW251">
        <f t="shared" si="3"/>
        <v>77.711500000000001</v>
      </c>
    </row>
    <row r="252" spans="1:49" x14ac:dyDescent="0.25">
      <c r="A252" t="str">
        <f>'Kullanılan gübre'!A252</f>
        <v>BA</v>
      </c>
      <c r="B252" t="str">
        <f>'Kullanılan gübre'!B252</f>
        <v>MUGLA</v>
      </c>
      <c r="C252" t="str">
        <f>'Kullanılan gübre'!C252</f>
        <v>BODRUM</v>
      </c>
      <c r="D252">
        <f>'Kullanılan gübre'!D252</f>
        <v>2017</v>
      </c>
      <c r="E252">
        <f>'Kullanılan gübre'!E252*'Gübre oranlar'!H$3</f>
        <v>0</v>
      </c>
      <c r="F252">
        <f>'Kullanılan gübre'!F252*'Gübre oranlar'!I$3</f>
        <v>0</v>
      </c>
      <c r="G252">
        <f>'Kullanılan gübre'!G252*'Gübre oranlar'!J$3</f>
        <v>0</v>
      </c>
      <c r="H252">
        <f>'Kullanılan gübre'!H252*'Gübre oranlar'!K$3</f>
        <v>0</v>
      </c>
      <c r="I252">
        <f>'Kullanılan gübre'!I252*'Gübre oranlar'!L$3</f>
        <v>0</v>
      </c>
      <c r="J252">
        <f>'Kullanılan gübre'!J252*'Gübre oranlar'!M$3</f>
        <v>0</v>
      </c>
      <c r="K252">
        <f>'Kullanılan gübre'!K252*'Gübre oranlar'!N$3</f>
        <v>47.460000000000008</v>
      </c>
      <c r="L252">
        <f>'Kullanılan gübre'!L252*'Gübre oranlar'!O$3</f>
        <v>0.1</v>
      </c>
      <c r="M252">
        <f>'Kullanılan gübre'!M252*'Gübre oranlar'!P$3</f>
        <v>27.487500000000001</v>
      </c>
      <c r="N252">
        <f>'Kullanılan gübre'!N252*'Gübre oranlar'!Q$3</f>
        <v>4.05</v>
      </c>
      <c r="O252">
        <f>'Kullanılan gübre'!O252*'Gübre oranlar'!R$3</f>
        <v>0</v>
      </c>
      <c r="P252">
        <f>'Kullanılan gübre'!P252*'Gübre oranlar'!S$3</f>
        <v>0</v>
      </c>
      <c r="Q252">
        <f>'Kullanılan gübre'!Q252*'Gübre oranlar'!T$3</f>
        <v>0</v>
      </c>
      <c r="R252">
        <f>'Kullanılan gübre'!R252*'Gübre oranlar'!U$3</f>
        <v>0</v>
      </c>
      <c r="S252">
        <f>'Kullanılan gübre'!S252*'Gübre oranlar'!V$3</f>
        <v>0</v>
      </c>
      <c r="T252">
        <f>'Kullanılan gübre'!T252*'Gübre oranlar'!W$3</f>
        <v>0</v>
      </c>
      <c r="U252">
        <f>'Kullanılan gübre'!U252*'Gübre oranlar'!X$3</f>
        <v>0</v>
      </c>
      <c r="V252">
        <f>'Kullanılan gübre'!V252*'Gübre oranlar'!Y$3</f>
        <v>0</v>
      </c>
      <c r="W252">
        <f>'Kullanılan gübre'!W252*'Gübre oranlar'!Z$3</f>
        <v>0</v>
      </c>
      <c r="X252">
        <f>'Kullanılan gübre'!X252*'Gübre oranlar'!AA$3</f>
        <v>0</v>
      </c>
      <c r="Y252">
        <f>'Kullanılan gübre'!Y252*'Gübre oranlar'!AB$3</f>
        <v>0</v>
      </c>
      <c r="Z252">
        <f>'Kullanılan gübre'!Z252*'Gübre oranlar'!AC$3</f>
        <v>0</v>
      </c>
      <c r="AA252">
        <f>'Kullanılan gübre'!AA252*'Gübre oranlar'!AD$3</f>
        <v>0.24</v>
      </c>
      <c r="AB252">
        <f>'Kullanılan gübre'!AB252*'Gübre oranlar'!AE$3</f>
        <v>6.0999999999999999E-2</v>
      </c>
      <c r="AC252">
        <f>'Kullanılan gübre'!AC252*'Gübre oranlar'!AF$3</f>
        <v>0</v>
      </c>
      <c r="AD252">
        <f>'Kullanılan gübre'!AD252*'Gübre oranlar'!AG$3</f>
        <v>0</v>
      </c>
      <c r="AE252">
        <f>'Kullanılan gübre'!AE252*'Gübre oranlar'!AH$3</f>
        <v>0</v>
      </c>
      <c r="AF252">
        <f>'Kullanılan gübre'!AF252*'Gübre oranlar'!AI$3</f>
        <v>0</v>
      </c>
      <c r="AG252">
        <f>'Kullanılan gübre'!AG252*'Gübre oranlar'!AJ$3</f>
        <v>0</v>
      </c>
      <c r="AH252">
        <f>'Kullanılan gübre'!AH252*'Gübre oranlar'!AK$3</f>
        <v>0</v>
      </c>
      <c r="AI252">
        <f>'Kullanılan gübre'!AI252*'Gübre oranlar'!AL$3</f>
        <v>0</v>
      </c>
      <c r="AJ252">
        <f>'Kullanılan gübre'!AJ252*'Gübre oranlar'!AM$3</f>
        <v>0</v>
      </c>
      <c r="AK252">
        <f>'Kullanılan gübre'!AK252*'Gübre oranlar'!AN$3</f>
        <v>0</v>
      </c>
      <c r="AL252">
        <f>'Kullanılan gübre'!AL252*'Gübre oranlar'!AO$3</f>
        <v>0</v>
      </c>
      <c r="AM252">
        <f>'Kullanılan gübre'!AM252*'Gübre oranlar'!AP$3</f>
        <v>0</v>
      </c>
      <c r="AN252">
        <f>'Kullanılan gübre'!AN252*'Gübre oranlar'!AQ$3</f>
        <v>0</v>
      </c>
      <c r="AO252">
        <f>'Kullanılan gübre'!AO252*'Gübre oranlar'!AR$3</f>
        <v>0</v>
      </c>
      <c r="AP252">
        <f>'Kullanılan gübre'!AP252*'Gübre oranlar'!AS$3</f>
        <v>0</v>
      </c>
      <c r="AQ252">
        <f>'Kullanılan gübre'!AQ252*'Gübre oranlar'!AT$3</f>
        <v>0</v>
      </c>
      <c r="AR252">
        <f>'Kullanılan gübre'!AR252*'Gübre oranlar'!AU$3</f>
        <v>0</v>
      </c>
      <c r="AS252">
        <f>'Kullanılan gübre'!AS252*'Gübre oranlar'!AV$3</f>
        <v>0</v>
      </c>
      <c r="AT252">
        <f>'Kullanılan gübre'!AT252*'Gübre oranlar'!AW$3</f>
        <v>0</v>
      </c>
      <c r="AU252">
        <f>'Kullanılan gübre'!AU252*'Gübre oranlar'!AX$3</f>
        <v>0</v>
      </c>
      <c r="AV252">
        <f>'Kullanılan gübre'!AV252*'Gübre oranlar'!AY$3</f>
        <v>0</v>
      </c>
      <c r="AW252">
        <f t="shared" si="3"/>
        <v>79.398500000000013</v>
      </c>
    </row>
    <row r="253" spans="1:49" x14ac:dyDescent="0.25">
      <c r="A253" t="str">
        <f>'Kullanılan gübre'!A253</f>
        <v>BA</v>
      </c>
      <c r="B253" t="str">
        <f>'Kullanılan gübre'!B253</f>
        <v>MUGLA</v>
      </c>
      <c r="C253" t="str">
        <f>'Kullanılan gübre'!C253</f>
        <v>MENTESE</v>
      </c>
      <c r="D253">
        <f>'Kullanılan gübre'!D253</f>
        <v>2017</v>
      </c>
      <c r="E253">
        <f>'Kullanılan gübre'!E253*'Gübre oranlar'!H$3</f>
        <v>0</v>
      </c>
      <c r="F253">
        <f>'Kullanılan gübre'!F253*'Gübre oranlar'!I$3</f>
        <v>0</v>
      </c>
      <c r="G253">
        <f>'Kullanılan gübre'!G253*'Gübre oranlar'!J$3</f>
        <v>0</v>
      </c>
      <c r="H253">
        <f>'Kullanılan gübre'!H253*'Gübre oranlar'!K$3</f>
        <v>0</v>
      </c>
      <c r="I253">
        <f>'Kullanılan gübre'!I253*'Gübre oranlar'!L$3</f>
        <v>0.38700000000000001</v>
      </c>
      <c r="J253">
        <f>'Kullanılan gübre'!J253*'Gübre oranlar'!M$3</f>
        <v>0</v>
      </c>
      <c r="K253">
        <f>'Kullanılan gübre'!K253*'Gübre oranlar'!N$3</f>
        <v>86.89</v>
      </c>
      <c r="L253">
        <f>'Kullanılan gübre'!L253*'Gübre oranlar'!O$3</f>
        <v>6.7</v>
      </c>
      <c r="M253">
        <f>'Kullanılan gübre'!M253*'Gübre oranlar'!P$3</f>
        <v>27.337499999999999</v>
      </c>
      <c r="N253">
        <f>'Kullanılan gübre'!N253*'Gübre oranlar'!Q$3</f>
        <v>29.3475</v>
      </c>
      <c r="O253">
        <f>'Kullanılan gübre'!O253*'Gübre oranlar'!R$3</f>
        <v>0</v>
      </c>
      <c r="P253">
        <f>'Kullanılan gübre'!P253*'Gübre oranlar'!S$3</f>
        <v>0</v>
      </c>
      <c r="Q253">
        <f>'Kullanılan gübre'!Q253*'Gübre oranlar'!T$3</f>
        <v>0</v>
      </c>
      <c r="R253">
        <f>'Kullanılan gübre'!R253*'Gübre oranlar'!U$3</f>
        <v>0</v>
      </c>
      <c r="S253">
        <f>'Kullanılan gübre'!S253*'Gübre oranlar'!V$3</f>
        <v>0</v>
      </c>
      <c r="T253">
        <f>'Kullanılan gübre'!T253*'Gübre oranlar'!W$3</f>
        <v>7.85</v>
      </c>
      <c r="U253">
        <f>'Kullanılan gübre'!U253*'Gübre oranlar'!X$3</f>
        <v>0</v>
      </c>
      <c r="V253">
        <f>'Kullanılan gübre'!V253*'Gübre oranlar'!Y$3</f>
        <v>3.7625000000000002</v>
      </c>
      <c r="W253">
        <f>'Kullanılan gübre'!W253*'Gübre oranlar'!Z$3</f>
        <v>0</v>
      </c>
      <c r="X253">
        <f>'Kullanılan gübre'!X253*'Gübre oranlar'!AA$3</f>
        <v>0</v>
      </c>
      <c r="Y253">
        <f>'Kullanılan gübre'!Y253*'Gübre oranlar'!AB$3</f>
        <v>26.145</v>
      </c>
      <c r="Z253">
        <f>'Kullanılan gübre'!Z253*'Gübre oranlar'!AC$3</f>
        <v>0</v>
      </c>
      <c r="AA253">
        <f>'Kullanılan gübre'!AA253*'Gübre oranlar'!AD$3</f>
        <v>30.876000000000001</v>
      </c>
      <c r="AB253">
        <f>'Kullanılan gübre'!AB253*'Gübre oranlar'!AE$3</f>
        <v>0.97599999999999998</v>
      </c>
      <c r="AC253">
        <f>'Kullanılan gübre'!AC253*'Gübre oranlar'!AF$3</f>
        <v>0</v>
      </c>
      <c r="AD253">
        <f>'Kullanılan gübre'!AD253*'Gübre oranlar'!AG$3</f>
        <v>0</v>
      </c>
      <c r="AE253">
        <f>'Kullanılan gübre'!AE253*'Gübre oranlar'!AH$3</f>
        <v>0</v>
      </c>
      <c r="AF253">
        <f>'Kullanılan gübre'!AF253*'Gübre oranlar'!AI$3</f>
        <v>0</v>
      </c>
      <c r="AG253">
        <f>'Kullanılan gübre'!AG253*'Gübre oranlar'!AJ$3</f>
        <v>0</v>
      </c>
      <c r="AH253">
        <f>'Kullanılan gübre'!AH253*'Gübre oranlar'!AK$3</f>
        <v>0</v>
      </c>
      <c r="AI253">
        <f>'Kullanılan gübre'!AI253*'Gübre oranlar'!AL$3</f>
        <v>0</v>
      </c>
      <c r="AJ253">
        <f>'Kullanılan gübre'!AJ253*'Gübre oranlar'!AM$3</f>
        <v>0</v>
      </c>
      <c r="AK253">
        <f>'Kullanılan gübre'!AK253*'Gübre oranlar'!AN$3</f>
        <v>0</v>
      </c>
      <c r="AL253">
        <f>'Kullanılan gübre'!AL253*'Gübre oranlar'!AO$3</f>
        <v>0</v>
      </c>
      <c r="AM253">
        <f>'Kullanılan gübre'!AM253*'Gübre oranlar'!AP$3</f>
        <v>0</v>
      </c>
      <c r="AN253">
        <f>'Kullanılan gübre'!AN253*'Gübre oranlar'!AQ$3</f>
        <v>0</v>
      </c>
      <c r="AO253">
        <f>'Kullanılan gübre'!AO253*'Gübre oranlar'!AR$3</f>
        <v>0</v>
      </c>
      <c r="AP253">
        <f>'Kullanılan gübre'!AP253*'Gübre oranlar'!AS$3</f>
        <v>0</v>
      </c>
      <c r="AQ253">
        <f>'Kullanılan gübre'!AQ253*'Gübre oranlar'!AT$3</f>
        <v>0</v>
      </c>
      <c r="AR253">
        <f>'Kullanılan gübre'!AR253*'Gübre oranlar'!AU$3</f>
        <v>0</v>
      </c>
      <c r="AS253">
        <f>'Kullanılan gübre'!AS253*'Gübre oranlar'!AV$3</f>
        <v>0</v>
      </c>
      <c r="AT253">
        <f>'Kullanılan gübre'!AT253*'Gübre oranlar'!AW$3</f>
        <v>0</v>
      </c>
      <c r="AU253">
        <f>'Kullanılan gübre'!AU253*'Gübre oranlar'!AX$3</f>
        <v>0</v>
      </c>
      <c r="AV253">
        <f>'Kullanılan gübre'!AV253*'Gübre oranlar'!AY$3</f>
        <v>0</v>
      </c>
      <c r="AW253">
        <f t="shared" si="3"/>
        <v>220.2715</v>
      </c>
    </row>
    <row r="254" spans="1:49" x14ac:dyDescent="0.25">
      <c r="A254" t="str">
        <f>'Kullanılan gübre'!A254</f>
        <v>BA</v>
      </c>
      <c r="B254" t="str">
        <f>'Kullanılan gübre'!B254</f>
        <v>MUGLA</v>
      </c>
      <c r="C254" t="str">
        <f>'Kullanılan gübre'!C254</f>
        <v>MARMARIS</v>
      </c>
      <c r="D254">
        <f>'Kullanılan gübre'!D254</f>
        <v>2017</v>
      </c>
      <c r="E254" t="e">
        <f>'Kullanılan gübre'!E254*'Gübre oranlar'!H$3</f>
        <v>#VALUE!</v>
      </c>
      <c r="F254" t="e">
        <f>'Kullanılan gübre'!F254*'Gübre oranlar'!I$3</f>
        <v>#VALUE!</v>
      </c>
      <c r="G254" t="e">
        <f>'Kullanılan gübre'!G254*'Gübre oranlar'!J$3</f>
        <v>#VALUE!</v>
      </c>
      <c r="H254" t="e">
        <f>'Kullanılan gübre'!H254*'Gübre oranlar'!K$3</f>
        <v>#VALUE!</v>
      </c>
      <c r="I254" t="e">
        <f>'Kullanılan gübre'!I254*'Gübre oranlar'!L$3</f>
        <v>#VALUE!</v>
      </c>
      <c r="J254" t="e">
        <f>'Kullanılan gübre'!J254*'Gübre oranlar'!M$3</f>
        <v>#VALUE!</v>
      </c>
      <c r="K254" t="e">
        <f>'Kullanılan gübre'!K254*'Gübre oranlar'!N$3</f>
        <v>#VALUE!</v>
      </c>
      <c r="L254" t="e">
        <f>'Kullanılan gübre'!L254*'Gübre oranlar'!O$3</f>
        <v>#VALUE!</v>
      </c>
      <c r="M254" t="e">
        <f>'Kullanılan gübre'!M254*'Gübre oranlar'!P$3</f>
        <v>#VALUE!</v>
      </c>
      <c r="N254" t="e">
        <f>'Kullanılan gübre'!N254*'Gübre oranlar'!Q$3</f>
        <v>#VALUE!</v>
      </c>
      <c r="O254" t="e">
        <f>'Kullanılan gübre'!O254*'Gübre oranlar'!R$3</f>
        <v>#VALUE!</v>
      </c>
      <c r="P254" t="e">
        <f>'Kullanılan gübre'!P254*'Gübre oranlar'!S$3</f>
        <v>#VALUE!</v>
      </c>
      <c r="Q254">
        <f>'Kullanılan gübre'!Q254*'Gübre oranlar'!T$3</f>
        <v>0</v>
      </c>
      <c r="R254" t="e">
        <f>'Kullanılan gübre'!R254*'Gübre oranlar'!U$3</f>
        <v>#VALUE!</v>
      </c>
      <c r="S254" t="e">
        <f>'Kullanılan gübre'!S254*'Gübre oranlar'!V$3</f>
        <v>#VALUE!</v>
      </c>
      <c r="T254" t="e">
        <f>'Kullanılan gübre'!T254*'Gübre oranlar'!W$3</f>
        <v>#VALUE!</v>
      </c>
      <c r="U254" t="e">
        <f>'Kullanılan gübre'!U254*'Gübre oranlar'!X$3</f>
        <v>#VALUE!</v>
      </c>
      <c r="V254" t="e">
        <f>'Kullanılan gübre'!V254*'Gübre oranlar'!Y$3</f>
        <v>#VALUE!</v>
      </c>
      <c r="W254" t="e">
        <f>'Kullanılan gübre'!W254*'Gübre oranlar'!Z$3</f>
        <v>#VALUE!</v>
      </c>
      <c r="X254" t="e">
        <f>'Kullanılan gübre'!X254*'Gübre oranlar'!AA$3</f>
        <v>#VALUE!</v>
      </c>
      <c r="Y254" t="e">
        <f>'Kullanılan gübre'!Y254*'Gübre oranlar'!AB$3</f>
        <v>#VALUE!</v>
      </c>
      <c r="Z254" t="e">
        <f>'Kullanılan gübre'!Z254*'Gübre oranlar'!AC$3</f>
        <v>#VALUE!</v>
      </c>
      <c r="AA254" t="e">
        <f>'Kullanılan gübre'!AA254*'Gübre oranlar'!AD$3</f>
        <v>#VALUE!</v>
      </c>
      <c r="AB254" t="e">
        <f>'Kullanılan gübre'!AB254*'Gübre oranlar'!AE$3</f>
        <v>#VALUE!</v>
      </c>
      <c r="AC254" t="e">
        <f>'Kullanılan gübre'!AC254*'Gübre oranlar'!AF$3</f>
        <v>#VALUE!</v>
      </c>
      <c r="AD254" t="e">
        <f>'Kullanılan gübre'!AD254*'Gübre oranlar'!AG$3</f>
        <v>#VALUE!</v>
      </c>
      <c r="AE254" t="e">
        <f>'Kullanılan gübre'!AE254*'Gübre oranlar'!AH$3</f>
        <v>#VALUE!</v>
      </c>
      <c r="AF254" t="e">
        <f>'Kullanılan gübre'!AF254*'Gübre oranlar'!AI$3</f>
        <v>#VALUE!</v>
      </c>
      <c r="AG254" t="e">
        <f>'Kullanılan gübre'!AG254*'Gübre oranlar'!AJ$3</f>
        <v>#VALUE!</v>
      </c>
      <c r="AH254">
        <f>'Kullanılan gübre'!AH254*'Gübre oranlar'!AK$3</f>
        <v>0</v>
      </c>
      <c r="AI254">
        <f>'Kullanılan gübre'!AI254*'Gübre oranlar'!AL$3</f>
        <v>0</v>
      </c>
      <c r="AJ254">
        <f>'Kullanılan gübre'!AJ254*'Gübre oranlar'!AM$3</f>
        <v>0</v>
      </c>
      <c r="AK254">
        <f>'Kullanılan gübre'!AK254*'Gübre oranlar'!AN$3</f>
        <v>0</v>
      </c>
      <c r="AL254">
        <f>'Kullanılan gübre'!AL254*'Gübre oranlar'!AO$3</f>
        <v>0</v>
      </c>
      <c r="AM254">
        <f>'Kullanılan gübre'!AM254*'Gübre oranlar'!AP$3</f>
        <v>0</v>
      </c>
      <c r="AN254">
        <f>'Kullanılan gübre'!AN254*'Gübre oranlar'!AQ$3</f>
        <v>0</v>
      </c>
      <c r="AO254">
        <f>'Kullanılan gübre'!AO254*'Gübre oranlar'!AR$3</f>
        <v>0</v>
      </c>
      <c r="AP254">
        <f>'Kullanılan gübre'!AP254*'Gübre oranlar'!AS$3</f>
        <v>0</v>
      </c>
      <c r="AQ254">
        <f>'Kullanılan gübre'!AQ254*'Gübre oranlar'!AT$3</f>
        <v>0</v>
      </c>
      <c r="AR254">
        <f>'Kullanılan gübre'!AR254*'Gübre oranlar'!AU$3</f>
        <v>0</v>
      </c>
      <c r="AS254">
        <f>'Kullanılan gübre'!AS254*'Gübre oranlar'!AV$3</f>
        <v>0</v>
      </c>
      <c r="AT254">
        <f>'Kullanılan gübre'!AT254*'Gübre oranlar'!AW$3</f>
        <v>0</v>
      </c>
      <c r="AU254">
        <f>'Kullanılan gübre'!AU254*'Gübre oranlar'!AX$3</f>
        <v>0</v>
      </c>
      <c r="AV254">
        <f>'Kullanılan gübre'!AV254*'Gübre oranlar'!AY$3</f>
        <v>0</v>
      </c>
      <c r="AW254" t="e">
        <f t="shared" si="3"/>
        <v>#VALUE!</v>
      </c>
    </row>
    <row r="255" spans="1:49" x14ac:dyDescent="0.25">
      <c r="A255" t="str">
        <f>'Kullanılan gübre'!A255</f>
        <v>BA</v>
      </c>
      <c r="B255" t="str">
        <f>'Kullanılan gübre'!B255</f>
        <v>MUGLA</v>
      </c>
      <c r="C255" t="str">
        <f>'Kullanılan gübre'!C255</f>
        <v>SEYDIKEMER</v>
      </c>
      <c r="D255">
        <f>'Kullanılan gübre'!D255</f>
        <v>2017</v>
      </c>
      <c r="E255">
        <f>'Kullanılan gübre'!E255*'Gübre oranlar'!H$3</f>
        <v>0</v>
      </c>
      <c r="F255">
        <f>'Kullanılan gübre'!F255*'Gübre oranlar'!I$3</f>
        <v>0</v>
      </c>
      <c r="G255">
        <f>'Kullanılan gübre'!G255*'Gübre oranlar'!J$3</f>
        <v>0</v>
      </c>
      <c r="H255">
        <f>'Kullanılan gübre'!H255*'Gübre oranlar'!K$3</f>
        <v>0</v>
      </c>
      <c r="I255">
        <f>'Kullanılan gübre'!I255*'Gübre oranlar'!L$3</f>
        <v>11.524000000000001</v>
      </c>
      <c r="J255">
        <f>'Kullanılan gübre'!J255*'Gübre oranlar'!M$3</f>
        <v>0</v>
      </c>
      <c r="K255">
        <f>'Kullanılan gübre'!K255*'Gübre oranlar'!N$3</f>
        <v>393.06</v>
      </c>
      <c r="L255">
        <f>'Kullanılan gübre'!L255*'Gübre oranlar'!O$3</f>
        <v>43.47</v>
      </c>
      <c r="M255">
        <f>'Kullanılan gübre'!M255*'Gübre oranlar'!P$3</f>
        <v>23.587499999999999</v>
      </c>
      <c r="N255">
        <f>'Kullanılan gübre'!N255*'Gübre oranlar'!Q$3</f>
        <v>198.06</v>
      </c>
      <c r="O255">
        <f>'Kullanılan gübre'!O255*'Gübre oranlar'!R$3</f>
        <v>0</v>
      </c>
      <c r="P255">
        <f>'Kullanılan gübre'!P255*'Gübre oranlar'!S$3</f>
        <v>0</v>
      </c>
      <c r="Q255">
        <f>'Kullanılan gübre'!Q255*'Gübre oranlar'!T$3</f>
        <v>0</v>
      </c>
      <c r="R255">
        <f>'Kullanılan gübre'!R255*'Gübre oranlar'!U$3</f>
        <v>0</v>
      </c>
      <c r="S255">
        <f>'Kullanılan gübre'!S255*'Gübre oranlar'!V$3</f>
        <v>0</v>
      </c>
      <c r="T255">
        <f>'Kullanılan gübre'!T255*'Gübre oranlar'!W$3</f>
        <v>18.637499999999999</v>
      </c>
      <c r="U255">
        <f>'Kullanılan gübre'!U255*'Gübre oranlar'!X$3</f>
        <v>5.4075000000000006</v>
      </c>
      <c r="V255">
        <f>'Kullanılan gübre'!V255*'Gübre oranlar'!Y$3</f>
        <v>0</v>
      </c>
      <c r="W255">
        <f>'Kullanılan gübre'!W255*'Gübre oranlar'!Z$3</f>
        <v>0</v>
      </c>
      <c r="X255">
        <f>'Kullanılan gübre'!X255*'Gübre oranlar'!AA$3</f>
        <v>0</v>
      </c>
      <c r="Y255">
        <f>'Kullanılan gübre'!Y255*'Gübre oranlar'!AB$3</f>
        <v>0</v>
      </c>
      <c r="Z255">
        <f>'Kullanılan gübre'!Z255*'Gübre oranlar'!AC$3</f>
        <v>0</v>
      </c>
      <c r="AA255">
        <f>'Kullanılan gübre'!AA255*'Gübre oranlar'!AD$3</f>
        <v>44.303999999999995</v>
      </c>
      <c r="AB255">
        <f>'Kullanılan gübre'!AB255*'Gübre oranlar'!AE$3</f>
        <v>25.589500000000001</v>
      </c>
      <c r="AC255">
        <f>'Kullanılan gübre'!AC255*'Gübre oranlar'!AF$3</f>
        <v>20.969000000000001</v>
      </c>
      <c r="AD255">
        <f>'Kullanılan gübre'!AD255*'Gübre oranlar'!AG$3</f>
        <v>0</v>
      </c>
      <c r="AE255">
        <f>'Kullanılan gübre'!AE255*'Gübre oranlar'!AH$3</f>
        <v>16.7</v>
      </c>
      <c r="AF255">
        <f>'Kullanılan gübre'!AF255*'Gübre oranlar'!AI$3</f>
        <v>0</v>
      </c>
      <c r="AG255">
        <f>'Kullanılan gübre'!AG255*'Gübre oranlar'!AJ$3</f>
        <v>0</v>
      </c>
      <c r="AH255">
        <f>'Kullanılan gübre'!AH255*'Gübre oranlar'!AK$3</f>
        <v>0</v>
      </c>
      <c r="AI255">
        <f>'Kullanılan gübre'!AI255*'Gübre oranlar'!AL$3</f>
        <v>0</v>
      </c>
      <c r="AJ255">
        <f>'Kullanılan gübre'!AJ255*'Gübre oranlar'!AM$3</f>
        <v>0</v>
      </c>
      <c r="AK255">
        <f>'Kullanılan gübre'!AK255*'Gübre oranlar'!AN$3</f>
        <v>0</v>
      </c>
      <c r="AL255">
        <f>'Kullanılan gübre'!AL255*'Gübre oranlar'!AO$3</f>
        <v>0</v>
      </c>
      <c r="AM255">
        <f>'Kullanılan gübre'!AM255*'Gübre oranlar'!AP$3</f>
        <v>0</v>
      </c>
      <c r="AN255">
        <f>'Kullanılan gübre'!AN255*'Gübre oranlar'!AQ$3</f>
        <v>0</v>
      </c>
      <c r="AO255">
        <f>'Kullanılan gübre'!AO255*'Gübre oranlar'!AR$3</f>
        <v>0</v>
      </c>
      <c r="AP255">
        <f>'Kullanılan gübre'!AP255*'Gübre oranlar'!AS$3</f>
        <v>0</v>
      </c>
      <c r="AQ255">
        <f>'Kullanılan gübre'!AQ255*'Gübre oranlar'!AT$3</f>
        <v>0</v>
      </c>
      <c r="AR255">
        <f>'Kullanılan gübre'!AR255*'Gübre oranlar'!AU$3</f>
        <v>0</v>
      </c>
      <c r="AS255">
        <f>'Kullanılan gübre'!AS255*'Gübre oranlar'!AV$3</f>
        <v>0</v>
      </c>
      <c r="AT255">
        <f>'Kullanılan gübre'!AT255*'Gübre oranlar'!AW$3</f>
        <v>0</v>
      </c>
      <c r="AU255">
        <f>'Kullanılan gübre'!AU255*'Gübre oranlar'!AX$3</f>
        <v>0</v>
      </c>
      <c r="AV255">
        <f>'Kullanılan gübre'!AV255*'Gübre oranlar'!AY$3</f>
        <v>0</v>
      </c>
      <c r="AW255">
        <f t="shared" si="3"/>
        <v>801.30900000000008</v>
      </c>
    </row>
    <row r="256" spans="1:49" x14ac:dyDescent="0.25">
      <c r="A256" t="str">
        <f>'Kullanılan gübre'!A256</f>
        <v>YI</v>
      </c>
      <c r="B256" t="str">
        <f>'Kullanılan gübre'!B256</f>
        <v>ERZINCAN</v>
      </c>
      <c r="C256" t="str">
        <f>'Kullanılan gübre'!C256</f>
        <v>REFAHIYE</v>
      </c>
      <c r="D256">
        <f>'Kullanılan gübre'!D256</f>
        <v>2015</v>
      </c>
      <c r="E256">
        <f>'Kullanılan gübre'!E256*'Gübre oranlar'!H$3</f>
        <v>0</v>
      </c>
      <c r="F256">
        <f>'Kullanılan gübre'!F256*'Gübre oranlar'!I$3</f>
        <v>0</v>
      </c>
      <c r="G256">
        <f>'Kullanılan gübre'!G256*'Gübre oranlar'!J$3</f>
        <v>0</v>
      </c>
      <c r="H256">
        <f>'Kullanılan gübre'!H256*'Gübre oranlar'!K$3</f>
        <v>0</v>
      </c>
      <c r="I256">
        <f>'Kullanılan gübre'!I256*'Gübre oranlar'!L$3</f>
        <v>0</v>
      </c>
      <c r="J256">
        <f>'Kullanılan gübre'!J256*'Gübre oranlar'!M$3</f>
        <v>0</v>
      </c>
      <c r="K256">
        <f>'Kullanılan gübre'!K256*'Gübre oranlar'!N$3</f>
        <v>0.8</v>
      </c>
      <c r="L256">
        <f>'Kullanılan gübre'!L256*'Gübre oranlar'!O$3</f>
        <v>0</v>
      </c>
      <c r="M256">
        <f>'Kullanılan gübre'!M256*'Gübre oranlar'!P$3</f>
        <v>0</v>
      </c>
      <c r="N256">
        <f>'Kullanılan gübre'!N256*'Gübre oranlar'!Q$3</f>
        <v>0</v>
      </c>
      <c r="O256">
        <f>'Kullanılan gübre'!O256*'Gübre oranlar'!R$3</f>
        <v>0</v>
      </c>
      <c r="P256">
        <f>'Kullanılan gübre'!P256*'Gübre oranlar'!S$3</f>
        <v>0</v>
      </c>
      <c r="Q256">
        <f>'Kullanılan gübre'!Q256*'Gübre oranlar'!T$3</f>
        <v>0</v>
      </c>
      <c r="R256">
        <f>'Kullanılan gübre'!R256*'Gübre oranlar'!U$3</f>
        <v>0</v>
      </c>
      <c r="S256">
        <f>'Kullanılan gübre'!S256*'Gübre oranlar'!V$3</f>
        <v>0</v>
      </c>
      <c r="T256">
        <f>'Kullanılan gübre'!T256*'Gübre oranlar'!W$3</f>
        <v>0</v>
      </c>
      <c r="U256">
        <f>'Kullanılan gübre'!U256*'Gübre oranlar'!X$3</f>
        <v>0</v>
      </c>
      <c r="V256">
        <f>'Kullanılan gübre'!V256*'Gübre oranlar'!Y$3</f>
        <v>0</v>
      </c>
      <c r="W256">
        <f>'Kullanılan gübre'!W256*'Gübre oranlar'!Z$3</f>
        <v>0</v>
      </c>
      <c r="X256">
        <f>'Kullanılan gübre'!X256*'Gübre oranlar'!AA$3</f>
        <v>0</v>
      </c>
      <c r="Y256">
        <f>'Kullanılan gübre'!Y256*'Gübre oranlar'!AB$3</f>
        <v>0</v>
      </c>
      <c r="Z256">
        <f>'Kullanılan gübre'!Z256*'Gübre oranlar'!AC$3</f>
        <v>0</v>
      </c>
      <c r="AA256">
        <f>'Kullanılan gübre'!AA256*'Gübre oranlar'!AD$3</f>
        <v>0</v>
      </c>
      <c r="AB256">
        <f>'Kullanılan gübre'!AB256*'Gübre oranlar'!AE$3</f>
        <v>0</v>
      </c>
      <c r="AC256">
        <f>'Kullanılan gübre'!AC256*'Gübre oranlar'!AF$3</f>
        <v>0</v>
      </c>
      <c r="AD256">
        <f>'Kullanılan gübre'!AD256*'Gübre oranlar'!AG$3</f>
        <v>0</v>
      </c>
      <c r="AE256">
        <f>'Kullanılan gübre'!AE256*'Gübre oranlar'!AH$3</f>
        <v>0</v>
      </c>
      <c r="AF256">
        <f>'Kullanılan gübre'!AF256*'Gübre oranlar'!AI$3</f>
        <v>0</v>
      </c>
      <c r="AG256">
        <f>'Kullanılan gübre'!AG256*'Gübre oranlar'!AJ$3</f>
        <v>0</v>
      </c>
      <c r="AH256">
        <f>'Kullanılan gübre'!AH256*'Gübre oranlar'!AK$3</f>
        <v>0</v>
      </c>
      <c r="AI256">
        <f>'Kullanılan gübre'!AI256*'Gübre oranlar'!AL$3</f>
        <v>0</v>
      </c>
      <c r="AJ256">
        <f>'Kullanılan gübre'!AJ256*'Gübre oranlar'!AM$3</f>
        <v>0</v>
      </c>
      <c r="AK256">
        <f>'Kullanılan gübre'!AK256*'Gübre oranlar'!AN$3</f>
        <v>0</v>
      </c>
      <c r="AL256">
        <f>'Kullanılan gübre'!AL256*'Gübre oranlar'!AO$3</f>
        <v>0</v>
      </c>
      <c r="AM256">
        <f>'Kullanılan gübre'!AM256*'Gübre oranlar'!AP$3</f>
        <v>0</v>
      </c>
      <c r="AN256">
        <f>'Kullanılan gübre'!AN256*'Gübre oranlar'!AQ$3</f>
        <v>0</v>
      </c>
      <c r="AO256">
        <f>'Kullanılan gübre'!AO256*'Gübre oranlar'!AR$3</f>
        <v>0</v>
      </c>
      <c r="AP256">
        <f>'Kullanılan gübre'!AP256*'Gübre oranlar'!AS$3</f>
        <v>0</v>
      </c>
      <c r="AQ256">
        <f>'Kullanılan gübre'!AQ256*'Gübre oranlar'!AT$3</f>
        <v>0</v>
      </c>
      <c r="AR256">
        <f>'Kullanılan gübre'!AR256*'Gübre oranlar'!AU$3</f>
        <v>0</v>
      </c>
      <c r="AS256">
        <f>'Kullanılan gübre'!AS256*'Gübre oranlar'!AV$3</f>
        <v>0</v>
      </c>
      <c r="AT256">
        <f>'Kullanılan gübre'!AT256*'Gübre oranlar'!AW$3</f>
        <v>0</v>
      </c>
      <c r="AU256">
        <f>'Kullanılan gübre'!AU256*'Gübre oranlar'!AX$3</f>
        <v>0</v>
      </c>
      <c r="AV256">
        <f>'Kullanılan gübre'!AV256*'Gübre oranlar'!AY$3</f>
        <v>0</v>
      </c>
      <c r="AW256">
        <f t="shared" si="3"/>
        <v>0.8</v>
      </c>
    </row>
    <row r="257" spans="1:49" x14ac:dyDescent="0.25">
      <c r="A257" t="str">
        <f>'Kullanılan gübre'!A257</f>
        <v>YI</v>
      </c>
      <c r="B257" t="str">
        <f>'Kullanılan gübre'!B257</f>
        <v>ERZINCAN</v>
      </c>
      <c r="C257" t="str">
        <f>'Kullanılan gübre'!C257</f>
        <v>REFAHIYE</v>
      </c>
      <c r="D257">
        <f>'Kullanılan gübre'!D257</f>
        <v>2016</v>
      </c>
      <c r="E257">
        <f>'Kullanılan gübre'!E257*'Gübre oranlar'!H$3</f>
        <v>0</v>
      </c>
      <c r="F257">
        <f>'Kullanılan gübre'!F257*'Gübre oranlar'!I$3</f>
        <v>0</v>
      </c>
      <c r="G257">
        <f>'Kullanılan gübre'!G257*'Gübre oranlar'!J$3</f>
        <v>0</v>
      </c>
      <c r="H257">
        <f>'Kullanılan gübre'!H257*'Gübre oranlar'!K$3</f>
        <v>0</v>
      </c>
      <c r="I257">
        <f>'Kullanılan gübre'!I257*'Gübre oranlar'!L$3</f>
        <v>0</v>
      </c>
      <c r="J257">
        <f>'Kullanılan gübre'!J257*'Gübre oranlar'!M$3</f>
        <v>0</v>
      </c>
      <c r="K257">
        <f>'Kullanılan gübre'!K257*'Gübre oranlar'!N$3</f>
        <v>0.86</v>
      </c>
      <c r="L257">
        <f>'Kullanılan gübre'!L257*'Gübre oranlar'!O$3</f>
        <v>0</v>
      </c>
      <c r="M257">
        <f>'Kullanılan gübre'!M257*'Gübre oranlar'!P$3</f>
        <v>1.44</v>
      </c>
      <c r="N257">
        <f>'Kullanılan gübre'!N257*'Gübre oranlar'!Q$3</f>
        <v>0</v>
      </c>
      <c r="O257">
        <f>'Kullanılan gübre'!O257*'Gübre oranlar'!R$3</f>
        <v>0</v>
      </c>
      <c r="P257">
        <f>'Kullanılan gübre'!P257*'Gübre oranlar'!S$3</f>
        <v>0</v>
      </c>
      <c r="Q257">
        <f>'Kullanılan gübre'!Q257*'Gübre oranlar'!T$3</f>
        <v>0</v>
      </c>
      <c r="R257">
        <f>'Kullanılan gübre'!R257*'Gübre oranlar'!U$3</f>
        <v>0</v>
      </c>
      <c r="S257">
        <f>'Kullanılan gübre'!S257*'Gübre oranlar'!V$3</f>
        <v>0</v>
      </c>
      <c r="T257">
        <f>'Kullanılan gübre'!T257*'Gübre oranlar'!W$3</f>
        <v>0</v>
      </c>
      <c r="U257">
        <f>'Kullanılan gübre'!U257*'Gübre oranlar'!X$3</f>
        <v>0</v>
      </c>
      <c r="V257">
        <f>'Kullanılan gübre'!V257*'Gübre oranlar'!Y$3</f>
        <v>0</v>
      </c>
      <c r="W257">
        <f>'Kullanılan gübre'!W257*'Gübre oranlar'!Z$3</f>
        <v>0</v>
      </c>
      <c r="X257">
        <f>'Kullanılan gübre'!X257*'Gübre oranlar'!AA$3</f>
        <v>0</v>
      </c>
      <c r="Y257">
        <f>'Kullanılan gübre'!Y257*'Gübre oranlar'!AB$3</f>
        <v>0</v>
      </c>
      <c r="Z257">
        <f>'Kullanılan gübre'!Z257*'Gübre oranlar'!AC$3</f>
        <v>0</v>
      </c>
      <c r="AA257">
        <f>'Kullanılan gübre'!AA257*'Gübre oranlar'!AD$3</f>
        <v>0</v>
      </c>
      <c r="AB257">
        <f>'Kullanılan gübre'!AB257*'Gübre oranlar'!AE$3</f>
        <v>0</v>
      </c>
      <c r="AC257">
        <f>'Kullanılan gübre'!AC257*'Gübre oranlar'!AF$3</f>
        <v>0</v>
      </c>
      <c r="AD257">
        <f>'Kullanılan gübre'!AD257*'Gübre oranlar'!AG$3</f>
        <v>0</v>
      </c>
      <c r="AE257">
        <f>'Kullanılan gübre'!AE257*'Gübre oranlar'!AH$3</f>
        <v>0</v>
      </c>
      <c r="AF257">
        <f>'Kullanılan gübre'!AF257*'Gübre oranlar'!AI$3</f>
        <v>0</v>
      </c>
      <c r="AG257">
        <f>'Kullanılan gübre'!AG257*'Gübre oranlar'!AJ$3</f>
        <v>0</v>
      </c>
      <c r="AH257">
        <f>'Kullanılan gübre'!AH257*'Gübre oranlar'!AK$3</f>
        <v>0</v>
      </c>
      <c r="AI257">
        <f>'Kullanılan gübre'!AI257*'Gübre oranlar'!AL$3</f>
        <v>0</v>
      </c>
      <c r="AJ257">
        <f>'Kullanılan gübre'!AJ257*'Gübre oranlar'!AM$3</f>
        <v>0</v>
      </c>
      <c r="AK257">
        <f>'Kullanılan gübre'!AK257*'Gübre oranlar'!AN$3</f>
        <v>0</v>
      </c>
      <c r="AL257">
        <f>'Kullanılan gübre'!AL257*'Gübre oranlar'!AO$3</f>
        <v>0</v>
      </c>
      <c r="AM257">
        <f>'Kullanılan gübre'!AM257*'Gübre oranlar'!AP$3</f>
        <v>0</v>
      </c>
      <c r="AN257">
        <f>'Kullanılan gübre'!AN257*'Gübre oranlar'!AQ$3</f>
        <v>0</v>
      </c>
      <c r="AO257">
        <f>'Kullanılan gübre'!AO257*'Gübre oranlar'!AR$3</f>
        <v>0</v>
      </c>
      <c r="AP257">
        <f>'Kullanılan gübre'!AP257*'Gübre oranlar'!AS$3</f>
        <v>0</v>
      </c>
      <c r="AQ257">
        <f>'Kullanılan gübre'!AQ257*'Gübre oranlar'!AT$3</f>
        <v>0</v>
      </c>
      <c r="AR257">
        <f>'Kullanılan gübre'!AR257*'Gübre oranlar'!AU$3</f>
        <v>0</v>
      </c>
      <c r="AS257">
        <f>'Kullanılan gübre'!AS257*'Gübre oranlar'!AV$3</f>
        <v>0</v>
      </c>
      <c r="AT257">
        <f>'Kullanılan gübre'!AT257*'Gübre oranlar'!AW$3</f>
        <v>0</v>
      </c>
      <c r="AU257">
        <f>'Kullanılan gübre'!AU257*'Gübre oranlar'!AX$3</f>
        <v>0</v>
      </c>
      <c r="AV257">
        <f>'Kullanılan gübre'!AV257*'Gübre oranlar'!AY$3</f>
        <v>0</v>
      </c>
      <c r="AW257">
        <f t="shared" si="3"/>
        <v>2.2999999999999998</v>
      </c>
    </row>
    <row r="258" spans="1:49" x14ac:dyDescent="0.25">
      <c r="A258" t="str">
        <f>'Kullanılan gübre'!A258</f>
        <v>YI</v>
      </c>
      <c r="B258" t="str">
        <f>'Kullanılan gübre'!B258</f>
        <v>ERZINCAN</v>
      </c>
      <c r="C258" t="str">
        <f>'Kullanılan gübre'!C258</f>
        <v>REFAHIYE</v>
      </c>
      <c r="D258">
        <f>'Kullanılan gübre'!D258</f>
        <v>2017</v>
      </c>
      <c r="E258">
        <f>'Kullanılan gübre'!E258*'Gübre oranlar'!H$3</f>
        <v>0</v>
      </c>
      <c r="F258">
        <f>'Kullanılan gübre'!F258*'Gübre oranlar'!I$3</f>
        <v>0</v>
      </c>
      <c r="G258">
        <f>'Kullanılan gübre'!G258*'Gübre oranlar'!J$3</f>
        <v>0</v>
      </c>
      <c r="H258">
        <f>'Kullanılan gübre'!H258*'Gübre oranlar'!K$3</f>
        <v>0</v>
      </c>
      <c r="I258">
        <f>'Kullanılan gübre'!I258*'Gübre oranlar'!L$3</f>
        <v>0</v>
      </c>
      <c r="J258">
        <f>'Kullanılan gübre'!J258*'Gübre oranlar'!M$3</f>
        <v>0</v>
      </c>
      <c r="K258">
        <f>'Kullanılan gübre'!K258*'Gübre oranlar'!N$3</f>
        <v>0.2</v>
      </c>
      <c r="L258">
        <f>'Kullanılan gübre'!L258*'Gübre oranlar'!O$3</f>
        <v>0</v>
      </c>
      <c r="M258">
        <f>'Kullanılan gübre'!M258*'Gübre oranlar'!P$3</f>
        <v>0</v>
      </c>
      <c r="N258">
        <f>'Kullanılan gübre'!N258*'Gübre oranlar'!Q$3</f>
        <v>0</v>
      </c>
      <c r="O258">
        <f>'Kullanılan gübre'!O258*'Gübre oranlar'!R$3</f>
        <v>0</v>
      </c>
      <c r="P258">
        <f>'Kullanılan gübre'!P258*'Gübre oranlar'!S$3</f>
        <v>0</v>
      </c>
      <c r="Q258">
        <f>'Kullanılan gübre'!Q258*'Gübre oranlar'!T$3</f>
        <v>0</v>
      </c>
      <c r="R258">
        <f>'Kullanılan gübre'!R258*'Gübre oranlar'!U$3</f>
        <v>0</v>
      </c>
      <c r="S258">
        <f>'Kullanılan gübre'!S258*'Gübre oranlar'!V$3</f>
        <v>0</v>
      </c>
      <c r="T258">
        <f>'Kullanılan gübre'!T258*'Gübre oranlar'!W$3</f>
        <v>0</v>
      </c>
      <c r="U258">
        <f>'Kullanılan gübre'!U258*'Gübre oranlar'!X$3</f>
        <v>0</v>
      </c>
      <c r="V258">
        <f>'Kullanılan gübre'!V258*'Gübre oranlar'!Y$3</f>
        <v>0</v>
      </c>
      <c r="W258">
        <f>'Kullanılan gübre'!W258*'Gübre oranlar'!Z$3</f>
        <v>0</v>
      </c>
      <c r="X258">
        <f>'Kullanılan gübre'!X258*'Gübre oranlar'!AA$3</f>
        <v>0</v>
      </c>
      <c r="Y258">
        <f>'Kullanılan gübre'!Y258*'Gübre oranlar'!AB$3</f>
        <v>0</v>
      </c>
      <c r="Z258">
        <f>'Kullanılan gübre'!Z258*'Gübre oranlar'!AC$3</f>
        <v>0</v>
      </c>
      <c r="AA258">
        <f>'Kullanılan gübre'!AA258*'Gübre oranlar'!AD$3</f>
        <v>0</v>
      </c>
      <c r="AB258">
        <f>'Kullanılan gübre'!AB258*'Gübre oranlar'!AE$3</f>
        <v>0</v>
      </c>
      <c r="AC258">
        <f>'Kullanılan gübre'!AC258*'Gübre oranlar'!AF$3</f>
        <v>0</v>
      </c>
      <c r="AD258">
        <f>'Kullanılan gübre'!AD258*'Gübre oranlar'!AG$3</f>
        <v>0</v>
      </c>
      <c r="AE258">
        <f>'Kullanılan gübre'!AE258*'Gübre oranlar'!AH$3</f>
        <v>0</v>
      </c>
      <c r="AF258">
        <f>'Kullanılan gübre'!AF258*'Gübre oranlar'!AI$3</f>
        <v>0</v>
      </c>
      <c r="AG258">
        <f>'Kullanılan gübre'!AG258*'Gübre oranlar'!AJ$3</f>
        <v>0</v>
      </c>
      <c r="AH258">
        <f>'Kullanılan gübre'!AH258*'Gübre oranlar'!AK$3</f>
        <v>0</v>
      </c>
      <c r="AI258">
        <f>'Kullanılan gübre'!AI258*'Gübre oranlar'!AL$3</f>
        <v>0</v>
      </c>
      <c r="AJ258">
        <f>'Kullanılan gübre'!AJ258*'Gübre oranlar'!AM$3</f>
        <v>0</v>
      </c>
      <c r="AK258">
        <f>'Kullanılan gübre'!AK258*'Gübre oranlar'!AN$3</f>
        <v>0</v>
      </c>
      <c r="AL258">
        <f>'Kullanılan gübre'!AL258*'Gübre oranlar'!AO$3</f>
        <v>0</v>
      </c>
      <c r="AM258">
        <f>'Kullanılan gübre'!AM258*'Gübre oranlar'!AP$3</f>
        <v>0</v>
      </c>
      <c r="AN258">
        <f>'Kullanılan gübre'!AN258*'Gübre oranlar'!AQ$3</f>
        <v>0</v>
      </c>
      <c r="AO258">
        <f>'Kullanılan gübre'!AO258*'Gübre oranlar'!AR$3</f>
        <v>0</v>
      </c>
      <c r="AP258">
        <f>'Kullanılan gübre'!AP258*'Gübre oranlar'!AS$3</f>
        <v>0</v>
      </c>
      <c r="AQ258">
        <f>'Kullanılan gübre'!AQ258*'Gübre oranlar'!AT$3</f>
        <v>0</v>
      </c>
      <c r="AR258">
        <f>'Kullanılan gübre'!AR258*'Gübre oranlar'!AU$3</f>
        <v>0</v>
      </c>
      <c r="AS258">
        <f>'Kullanılan gübre'!AS258*'Gübre oranlar'!AV$3</f>
        <v>0</v>
      </c>
      <c r="AT258">
        <f>'Kullanılan gübre'!AT258*'Gübre oranlar'!AW$3</f>
        <v>0</v>
      </c>
      <c r="AU258">
        <f>'Kullanılan gübre'!AU258*'Gübre oranlar'!AX$3</f>
        <v>0</v>
      </c>
      <c r="AV258">
        <f>'Kullanılan gübre'!AV258*'Gübre oranlar'!AY$3</f>
        <v>0</v>
      </c>
      <c r="AW258">
        <f t="shared" si="3"/>
        <v>0.2</v>
      </c>
    </row>
    <row r="259" spans="1:49" x14ac:dyDescent="0.25">
      <c r="A259" t="str">
        <f>'Kullanılan gübre'!A259</f>
        <v>YI</v>
      </c>
      <c r="B259" t="str">
        <f>'Kullanılan gübre'!B259</f>
        <v>TOKAT</v>
      </c>
      <c r="C259" t="str">
        <f>'Kullanılan gübre'!C259</f>
        <v>MERKEZ</v>
      </c>
      <c r="D259">
        <f>'Kullanılan gübre'!D259</f>
        <v>2005</v>
      </c>
      <c r="E259">
        <f>'Kullanılan gübre'!E259*'Gübre oranlar'!H$3</f>
        <v>0</v>
      </c>
      <c r="F259">
        <f>'Kullanılan gübre'!F259*'Gübre oranlar'!I$3</f>
        <v>0</v>
      </c>
      <c r="G259">
        <f>'Kullanılan gübre'!G259*'Gübre oranlar'!J$3</f>
        <v>0</v>
      </c>
      <c r="H259">
        <f>'Kullanılan gübre'!H259*'Gübre oranlar'!K$3</f>
        <v>0</v>
      </c>
      <c r="I259">
        <f>'Kullanılan gübre'!I259*'Gübre oranlar'!L$3</f>
        <v>85.182999999999993</v>
      </c>
      <c r="J259">
        <f>'Kullanılan gübre'!J259*'Gübre oranlar'!M$3</f>
        <v>0</v>
      </c>
      <c r="K259">
        <f>'Kullanılan gübre'!K259*'Gübre oranlar'!N$3</f>
        <v>78.070000000000007</v>
      </c>
      <c r="L259">
        <f>'Kullanılan gübre'!L259*'Gübre oranlar'!O$3</f>
        <v>50.460000000000008</v>
      </c>
      <c r="M259">
        <f>'Kullanılan gübre'!M259*'Gübre oranlar'!P$3</f>
        <v>34.102499999999999</v>
      </c>
      <c r="N259">
        <f>'Kullanılan gübre'!N259*'Gübre oranlar'!Q$3</f>
        <v>15.87</v>
      </c>
      <c r="O259">
        <f>'Kullanılan gübre'!O259*'Gübre oranlar'!R$3</f>
        <v>0</v>
      </c>
      <c r="P259">
        <f>'Kullanılan gübre'!P259*'Gübre oranlar'!S$3</f>
        <v>0</v>
      </c>
      <c r="Q259">
        <f>'Kullanılan gübre'!Q259*'Gübre oranlar'!T$3</f>
        <v>114</v>
      </c>
      <c r="R259">
        <f>'Kullanılan gübre'!R259*'Gübre oranlar'!U$3</f>
        <v>8.6850000000000005</v>
      </c>
      <c r="S259">
        <f>'Kullanılan gübre'!S259*'Gübre oranlar'!V$3</f>
        <v>0</v>
      </c>
      <c r="T259">
        <f>'Kullanılan gübre'!T259*'Gübre oranlar'!W$3</f>
        <v>0</v>
      </c>
      <c r="U259">
        <f>'Kullanılan gübre'!U259*'Gübre oranlar'!X$3</f>
        <v>0</v>
      </c>
      <c r="V259">
        <f>'Kullanılan gübre'!V259*'Gübre oranlar'!Y$3</f>
        <v>0</v>
      </c>
      <c r="W259">
        <f>'Kullanılan gübre'!W259*'Gübre oranlar'!Z$3</f>
        <v>0</v>
      </c>
      <c r="X259">
        <f>'Kullanılan gübre'!X259*'Gübre oranlar'!AA$3</f>
        <v>0</v>
      </c>
      <c r="Y259">
        <f>'Kullanılan gübre'!Y259*'Gübre oranlar'!AB$3</f>
        <v>0</v>
      </c>
      <c r="Z259">
        <f>'Kullanılan gübre'!Z259*'Gübre oranlar'!AC$3</f>
        <v>0</v>
      </c>
      <c r="AA259">
        <f>'Kullanılan gübre'!AA259*'Gübre oranlar'!AD$3</f>
        <v>0</v>
      </c>
      <c r="AB259">
        <f>'Kullanılan gübre'!AB259*'Gübre oranlar'!AE$3</f>
        <v>0</v>
      </c>
      <c r="AC259">
        <f>'Kullanılan gübre'!AC259*'Gübre oranlar'!AF$3</f>
        <v>0</v>
      </c>
      <c r="AD259">
        <f>'Kullanılan gübre'!AD259*'Gübre oranlar'!AG$3</f>
        <v>0</v>
      </c>
      <c r="AE259">
        <f>'Kullanılan gübre'!AE259*'Gübre oranlar'!AH$3</f>
        <v>0</v>
      </c>
      <c r="AF259">
        <f>'Kullanılan gübre'!AF259*'Gübre oranlar'!AI$3</f>
        <v>0</v>
      </c>
      <c r="AG259">
        <f>'Kullanılan gübre'!AG259*'Gübre oranlar'!AJ$3</f>
        <v>0</v>
      </c>
      <c r="AH259">
        <f>'Kullanılan gübre'!AH259*'Gübre oranlar'!AK$3</f>
        <v>0</v>
      </c>
      <c r="AI259">
        <f>'Kullanılan gübre'!AI259*'Gübre oranlar'!AL$3</f>
        <v>0</v>
      </c>
      <c r="AJ259">
        <f>'Kullanılan gübre'!AJ259*'Gübre oranlar'!AM$3</f>
        <v>0</v>
      </c>
      <c r="AK259">
        <f>'Kullanılan gübre'!AK259*'Gübre oranlar'!AN$3</f>
        <v>0</v>
      </c>
      <c r="AL259">
        <f>'Kullanılan gübre'!AL259*'Gübre oranlar'!AO$3</f>
        <v>0</v>
      </c>
      <c r="AM259">
        <f>'Kullanılan gübre'!AM259*'Gübre oranlar'!AP$3</f>
        <v>0</v>
      </c>
      <c r="AN259">
        <f>'Kullanılan gübre'!AN259*'Gübre oranlar'!AQ$3</f>
        <v>0</v>
      </c>
      <c r="AO259">
        <f>'Kullanılan gübre'!AO259*'Gübre oranlar'!AR$3</f>
        <v>0</v>
      </c>
      <c r="AP259">
        <f>'Kullanılan gübre'!AP259*'Gübre oranlar'!AS$3</f>
        <v>0</v>
      </c>
      <c r="AQ259">
        <f>'Kullanılan gübre'!AQ259*'Gübre oranlar'!AT$3</f>
        <v>0</v>
      </c>
      <c r="AR259">
        <f>'Kullanılan gübre'!AR259*'Gübre oranlar'!AU$3</f>
        <v>0</v>
      </c>
      <c r="AS259">
        <f>'Kullanılan gübre'!AS259*'Gübre oranlar'!AV$3</f>
        <v>0</v>
      </c>
      <c r="AT259">
        <f>'Kullanılan gübre'!AT259*'Gübre oranlar'!AW$3</f>
        <v>0</v>
      </c>
      <c r="AU259">
        <f>'Kullanılan gübre'!AU259*'Gübre oranlar'!AX$3</f>
        <v>0</v>
      </c>
      <c r="AV259">
        <f>'Kullanılan gübre'!AV259*'Gübre oranlar'!AY$3</f>
        <v>0</v>
      </c>
      <c r="AW259">
        <f t="shared" ref="AW259:AW322" si="4">SUM(E259:AV259)</f>
        <v>386.37049999999999</v>
      </c>
    </row>
    <row r="260" spans="1:49" x14ac:dyDescent="0.25">
      <c r="A260" t="str">
        <f>'Kullanılan gübre'!A260</f>
        <v>YI</v>
      </c>
      <c r="B260" t="str">
        <f>'Kullanılan gübre'!B260</f>
        <v>TOKAT</v>
      </c>
      <c r="C260" t="str">
        <f>'Kullanılan gübre'!C260</f>
        <v>ALMUS</v>
      </c>
      <c r="D260">
        <f>'Kullanılan gübre'!D260</f>
        <v>2005</v>
      </c>
      <c r="E260">
        <f>'Kullanılan gübre'!E260*'Gübre oranlar'!H$3</f>
        <v>0</v>
      </c>
      <c r="F260">
        <f>'Kullanılan gübre'!F260*'Gübre oranlar'!I$3</f>
        <v>0</v>
      </c>
      <c r="G260">
        <f>'Kullanılan gübre'!G260*'Gübre oranlar'!J$3</f>
        <v>0</v>
      </c>
      <c r="H260">
        <f>'Kullanılan gübre'!H260*'Gübre oranlar'!K$3</f>
        <v>0</v>
      </c>
      <c r="I260">
        <f>'Kullanılan gübre'!I260*'Gübre oranlar'!L$3</f>
        <v>0</v>
      </c>
      <c r="J260">
        <f>'Kullanılan gübre'!J260*'Gübre oranlar'!M$3</f>
        <v>0</v>
      </c>
      <c r="K260">
        <f>'Kullanılan gübre'!K260*'Gübre oranlar'!N$3</f>
        <v>0.8</v>
      </c>
      <c r="L260">
        <f>'Kullanılan gübre'!L260*'Gübre oranlar'!O$3</f>
        <v>0</v>
      </c>
      <c r="M260">
        <f>'Kullanılan gübre'!M260*'Gübre oranlar'!P$3</f>
        <v>0</v>
      </c>
      <c r="N260">
        <f>'Kullanılan gübre'!N260*'Gübre oranlar'!Q$3</f>
        <v>0</v>
      </c>
      <c r="O260">
        <f>'Kullanılan gübre'!O260*'Gübre oranlar'!R$3</f>
        <v>0</v>
      </c>
      <c r="P260">
        <f>'Kullanılan gübre'!P260*'Gübre oranlar'!S$3</f>
        <v>0</v>
      </c>
      <c r="Q260">
        <f>'Kullanılan gübre'!Q260*'Gübre oranlar'!T$3</f>
        <v>0</v>
      </c>
      <c r="R260">
        <f>'Kullanılan gübre'!R260*'Gübre oranlar'!U$3</f>
        <v>0</v>
      </c>
      <c r="S260">
        <f>'Kullanılan gübre'!S260*'Gübre oranlar'!V$3</f>
        <v>0</v>
      </c>
      <c r="T260">
        <f>'Kullanılan gübre'!T260*'Gübre oranlar'!W$3</f>
        <v>0</v>
      </c>
      <c r="U260">
        <f>'Kullanılan gübre'!U260*'Gübre oranlar'!X$3</f>
        <v>0</v>
      </c>
      <c r="V260">
        <f>'Kullanılan gübre'!V260*'Gübre oranlar'!Y$3</f>
        <v>0</v>
      </c>
      <c r="W260">
        <f>'Kullanılan gübre'!W260*'Gübre oranlar'!Z$3</f>
        <v>0</v>
      </c>
      <c r="X260">
        <f>'Kullanılan gübre'!X260*'Gübre oranlar'!AA$3</f>
        <v>0</v>
      </c>
      <c r="Y260">
        <f>'Kullanılan gübre'!Y260*'Gübre oranlar'!AB$3</f>
        <v>0</v>
      </c>
      <c r="Z260">
        <f>'Kullanılan gübre'!Z260*'Gübre oranlar'!AC$3</f>
        <v>0</v>
      </c>
      <c r="AA260">
        <f>'Kullanılan gübre'!AA260*'Gübre oranlar'!AD$3</f>
        <v>0</v>
      </c>
      <c r="AB260">
        <f>'Kullanılan gübre'!AB260*'Gübre oranlar'!AE$3</f>
        <v>0</v>
      </c>
      <c r="AC260">
        <f>'Kullanılan gübre'!AC260*'Gübre oranlar'!AF$3</f>
        <v>0</v>
      </c>
      <c r="AD260">
        <f>'Kullanılan gübre'!AD260*'Gübre oranlar'!AG$3</f>
        <v>0</v>
      </c>
      <c r="AE260">
        <f>'Kullanılan gübre'!AE260*'Gübre oranlar'!AH$3</f>
        <v>0</v>
      </c>
      <c r="AF260">
        <f>'Kullanılan gübre'!AF260*'Gübre oranlar'!AI$3</f>
        <v>0</v>
      </c>
      <c r="AG260">
        <f>'Kullanılan gübre'!AG260*'Gübre oranlar'!AJ$3</f>
        <v>0</v>
      </c>
      <c r="AH260">
        <f>'Kullanılan gübre'!AH260*'Gübre oranlar'!AK$3</f>
        <v>0</v>
      </c>
      <c r="AI260">
        <f>'Kullanılan gübre'!AI260*'Gübre oranlar'!AL$3</f>
        <v>0</v>
      </c>
      <c r="AJ260">
        <f>'Kullanılan gübre'!AJ260*'Gübre oranlar'!AM$3</f>
        <v>0</v>
      </c>
      <c r="AK260">
        <f>'Kullanılan gübre'!AK260*'Gübre oranlar'!AN$3</f>
        <v>0</v>
      </c>
      <c r="AL260">
        <f>'Kullanılan gübre'!AL260*'Gübre oranlar'!AO$3</f>
        <v>0</v>
      </c>
      <c r="AM260">
        <f>'Kullanılan gübre'!AM260*'Gübre oranlar'!AP$3</f>
        <v>0</v>
      </c>
      <c r="AN260">
        <f>'Kullanılan gübre'!AN260*'Gübre oranlar'!AQ$3</f>
        <v>0</v>
      </c>
      <c r="AO260">
        <f>'Kullanılan gübre'!AO260*'Gübre oranlar'!AR$3</f>
        <v>0</v>
      </c>
      <c r="AP260">
        <f>'Kullanılan gübre'!AP260*'Gübre oranlar'!AS$3</f>
        <v>0</v>
      </c>
      <c r="AQ260">
        <f>'Kullanılan gübre'!AQ260*'Gübre oranlar'!AT$3</f>
        <v>0</v>
      </c>
      <c r="AR260">
        <f>'Kullanılan gübre'!AR260*'Gübre oranlar'!AU$3</f>
        <v>0</v>
      </c>
      <c r="AS260">
        <f>'Kullanılan gübre'!AS260*'Gübre oranlar'!AV$3</f>
        <v>0</v>
      </c>
      <c r="AT260">
        <f>'Kullanılan gübre'!AT260*'Gübre oranlar'!AW$3</f>
        <v>0</v>
      </c>
      <c r="AU260">
        <f>'Kullanılan gübre'!AU260*'Gübre oranlar'!AX$3</f>
        <v>0</v>
      </c>
      <c r="AV260">
        <f>'Kullanılan gübre'!AV260*'Gübre oranlar'!AY$3</f>
        <v>0</v>
      </c>
      <c r="AW260">
        <f t="shared" si="4"/>
        <v>0.8</v>
      </c>
    </row>
    <row r="261" spans="1:49" x14ac:dyDescent="0.25">
      <c r="A261" t="str">
        <f>'Kullanılan gübre'!A261</f>
        <v>YI</v>
      </c>
      <c r="B261" t="str">
        <f>'Kullanılan gübre'!B261</f>
        <v>TOKAT</v>
      </c>
      <c r="C261" t="str">
        <f>'Kullanılan gübre'!C261</f>
        <v>ARTOVA</v>
      </c>
      <c r="D261">
        <f>'Kullanılan gübre'!D261</f>
        <v>2005</v>
      </c>
      <c r="E261">
        <f>'Kullanılan gübre'!E261*'Gübre oranlar'!H$3</f>
        <v>0</v>
      </c>
      <c r="F261">
        <f>'Kullanılan gübre'!F261*'Gübre oranlar'!I$3</f>
        <v>0</v>
      </c>
      <c r="G261">
        <f>'Kullanılan gübre'!G261*'Gübre oranlar'!J$3</f>
        <v>0</v>
      </c>
      <c r="H261">
        <f>'Kullanılan gübre'!H261*'Gübre oranlar'!K$3</f>
        <v>0</v>
      </c>
      <c r="I261">
        <f>'Kullanılan gübre'!I261*'Gübre oranlar'!L$3</f>
        <v>0</v>
      </c>
      <c r="J261">
        <f>'Kullanılan gübre'!J261*'Gübre oranlar'!M$3</f>
        <v>0</v>
      </c>
      <c r="K261">
        <f>'Kullanılan gübre'!K261*'Gübre oranlar'!N$3</f>
        <v>18.040000000000003</v>
      </c>
      <c r="L261">
        <f>'Kullanılan gübre'!L261*'Gübre oranlar'!O$3</f>
        <v>0</v>
      </c>
      <c r="M261">
        <f>'Kullanılan gübre'!M261*'Gübre oranlar'!P$3</f>
        <v>0.52500000000000002</v>
      </c>
      <c r="N261">
        <f>'Kullanılan gübre'!N261*'Gübre oranlar'!Q$3</f>
        <v>0</v>
      </c>
      <c r="O261">
        <f>'Kullanılan gübre'!O261*'Gübre oranlar'!R$3</f>
        <v>0</v>
      </c>
      <c r="P261">
        <f>'Kullanılan gübre'!P261*'Gübre oranlar'!S$3</f>
        <v>0</v>
      </c>
      <c r="Q261">
        <f>'Kullanılan gübre'!Q261*'Gübre oranlar'!T$3</f>
        <v>0</v>
      </c>
      <c r="R261">
        <f>'Kullanılan gübre'!R261*'Gübre oranlar'!U$3</f>
        <v>0</v>
      </c>
      <c r="S261">
        <f>'Kullanılan gübre'!S261*'Gübre oranlar'!V$3</f>
        <v>0</v>
      </c>
      <c r="T261">
        <f>'Kullanılan gübre'!T261*'Gübre oranlar'!W$3</f>
        <v>0</v>
      </c>
      <c r="U261">
        <f>'Kullanılan gübre'!U261*'Gübre oranlar'!X$3</f>
        <v>0</v>
      </c>
      <c r="V261">
        <f>'Kullanılan gübre'!V261*'Gübre oranlar'!Y$3</f>
        <v>0</v>
      </c>
      <c r="W261">
        <f>'Kullanılan gübre'!W261*'Gübre oranlar'!Z$3</f>
        <v>0</v>
      </c>
      <c r="X261">
        <f>'Kullanılan gübre'!X261*'Gübre oranlar'!AA$3</f>
        <v>0</v>
      </c>
      <c r="Y261">
        <f>'Kullanılan gübre'!Y261*'Gübre oranlar'!AB$3</f>
        <v>0</v>
      </c>
      <c r="Z261">
        <f>'Kullanılan gübre'!Z261*'Gübre oranlar'!AC$3</f>
        <v>0</v>
      </c>
      <c r="AA261">
        <f>'Kullanılan gübre'!AA261*'Gübre oranlar'!AD$3</f>
        <v>0</v>
      </c>
      <c r="AB261">
        <f>'Kullanılan gübre'!AB261*'Gübre oranlar'!AE$3</f>
        <v>0</v>
      </c>
      <c r="AC261">
        <f>'Kullanılan gübre'!AC261*'Gübre oranlar'!AF$3</f>
        <v>0</v>
      </c>
      <c r="AD261">
        <f>'Kullanılan gübre'!AD261*'Gübre oranlar'!AG$3</f>
        <v>0</v>
      </c>
      <c r="AE261">
        <f>'Kullanılan gübre'!AE261*'Gübre oranlar'!AH$3</f>
        <v>0</v>
      </c>
      <c r="AF261">
        <f>'Kullanılan gübre'!AF261*'Gübre oranlar'!AI$3</f>
        <v>0</v>
      </c>
      <c r="AG261">
        <f>'Kullanılan gübre'!AG261*'Gübre oranlar'!AJ$3</f>
        <v>0</v>
      </c>
      <c r="AH261">
        <f>'Kullanılan gübre'!AH261*'Gübre oranlar'!AK$3</f>
        <v>0</v>
      </c>
      <c r="AI261">
        <f>'Kullanılan gübre'!AI261*'Gübre oranlar'!AL$3</f>
        <v>0</v>
      </c>
      <c r="AJ261">
        <f>'Kullanılan gübre'!AJ261*'Gübre oranlar'!AM$3</f>
        <v>0</v>
      </c>
      <c r="AK261">
        <f>'Kullanılan gübre'!AK261*'Gübre oranlar'!AN$3</f>
        <v>0</v>
      </c>
      <c r="AL261">
        <f>'Kullanılan gübre'!AL261*'Gübre oranlar'!AO$3</f>
        <v>0</v>
      </c>
      <c r="AM261">
        <f>'Kullanılan gübre'!AM261*'Gübre oranlar'!AP$3</f>
        <v>0</v>
      </c>
      <c r="AN261">
        <f>'Kullanılan gübre'!AN261*'Gübre oranlar'!AQ$3</f>
        <v>0</v>
      </c>
      <c r="AO261">
        <f>'Kullanılan gübre'!AO261*'Gübre oranlar'!AR$3</f>
        <v>0</v>
      </c>
      <c r="AP261">
        <f>'Kullanılan gübre'!AP261*'Gübre oranlar'!AS$3</f>
        <v>0</v>
      </c>
      <c r="AQ261">
        <f>'Kullanılan gübre'!AQ261*'Gübre oranlar'!AT$3</f>
        <v>0</v>
      </c>
      <c r="AR261">
        <f>'Kullanılan gübre'!AR261*'Gübre oranlar'!AU$3</f>
        <v>0</v>
      </c>
      <c r="AS261">
        <f>'Kullanılan gübre'!AS261*'Gübre oranlar'!AV$3</f>
        <v>0</v>
      </c>
      <c r="AT261">
        <f>'Kullanılan gübre'!AT261*'Gübre oranlar'!AW$3</f>
        <v>0</v>
      </c>
      <c r="AU261">
        <f>'Kullanılan gübre'!AU261*'Gübre oranlar'!AX$3</f>
        <v>0</v>
      </c>
      <c r="AV261">
        <f>'Kullanılan gübre'!AV261*'Gübre oranlar'!AY$3</f>
        <v>0</v>
      </c>
      <c r="AW261">
        <f t="shared" si="4"/>
        <v>18.565000000000001</v>
      </c>
    </row>
    <row r="262" spans="1:49" x14ac:dyDescent="0.25">
      <c r="A262" t="str">
        <f>'Kullanılan gübre'!A262</f>
        <v>YI</v>
      </c>
      <c r="B262" t="str">
        <f>'Kullanılan gübre'!B262</f>
        <v>TOKAT</v>
      </c>
      <c r="C262" t="str">
        <f>'Kullanılan gübre'!C262</f>
        <v>BASCIFTLIK</v>
      </c>
      <c r="D262">
        <f>'Kullanılan gübre'!D262</f>
        <v>2005</v>
      </c>
      <c r="E262">
        <f>'Kullanılan gübre'!E262*'Gübre oranlar'!H$3</f>
        <v>0</v>
      </c>
      <c r="F262">
        <f>'Kullanılan gübre'!F262*'Gübre oranlar'!I$3</f>
        <v>0</v>
      </c>
      <c r="G262">
        <f>'Kullanılan gübre'!G262*'Gübre oranlar'!J$3</f>
        <v>0</v>
      </c>
      <c r="H262">
        <f>'Kullanılan gübre'!H262*'Gübre oranlar'!K$3</f>
        <v>0</v>
      </c>
      <c r="I262">
        <f>'Kullanılan gübre'!I262*'Gübre oranlar'!L$3</f>
        <v>0</v>
      </c>
      <c r="J262">
        <f>'Kullanılan gübre'!J262*'Gübre oranlar'!M$3</f>
        <v>0</v>
      </c>
      <c r="K262">
        <f>'Kullanılan gübre'!K262*'Gübre oranlar'!N$3</f>
        <v>0</v>
      </c>
      <c r="L262">
        <f>'Kullanılan gübre'!L262*'Gübre oranlar'!O$3</f>
        <v>0</v>
      </c>
      <c r="M262">
        <f>'Kullanılan gübre'!M262*'Gübre oranlar'!P$3</f>
        <v>0</v>
      </c>
      <c r="N262">
        <f>'Kullanılan gübre'!N262*'Gübre oranlar'!Q$3</f>
        <v>0</v>
      </c>
      <c r="O262">
        <f>'Kullanılan gübre'!O262*'Gübre oranlar'!R$3</f>
        <v>0</v>
      </c>
      <c r="P262">
        <f>'Kullanılan gübre'!P262*'Gübre oranlar'!S$3</f>
        <v>0</v>
      </c>
      <c r="Q262">
        <f>'Kullanılan gübre'!Q262*'Gübre oranlar'!T$3</f>
        <v>0</v>
      </c>
      <c r="R262">
        <f>'Kullanılan gübre'!R262*'Gübre oranlar'!U$3</f>
        <v>0</v>
      </c>
      <c r="S262">
        <f>'Kullanılan gübre'!S262*'Gübre oranlar'!V$3</f>
        <v>0</v>
      </c>
      <c r="T262">
        <f>'Kullanılan gübre'!T262*'Gübre oranlar'!W$3</f>
        <v>0</v>
      </c>
      <c r="U262">
        <f>'Kullanılan gübre'!U262*'Gübre oranlar'!X$3</f>
        <v>0</v>
      </c>
      <c r="V262">
        <f>'Kullanılan gübre'!V262*'Gübre oranlar'!Y$3</f>
        <v>0</v>
      </c>
      <c r="W262">
        <f>'Kullanılan gübre'!W262*'Gübre oranlar'!Z$3</f>
        <v>0</v>
      </c>
      <c r="X262">
        <f>'Kullanılan gübre'!X262*'Gübre oranlar'!AA$3</f>
        <v>0</v>
      </c>
      <c r="Y262">
        <f>'Kullanılan gübre'!Y262*'Gübre oranlar'!AB$3</f>
        <v>0</v>
      </c>
      <c r="Z262">
        <f>'Kullanılan gübre'!Z262*'Gübre oranlar'!AC$3</f>
        <v>0</v>
      </c>
      <c r="AA262">
        <f>'Kullanılan gübre'!AA262*'Gübre oranlar'!AD$3</f>
        <v>0</v>
      </c>
      <c r="AB262">
        <f>'Kullanılan gübre'!AB262*'Gübre oranlar'!AE$3</f>
        <v>0</v>
      </c>
      <c r="AC262">
        <f>'Kullanılan gübre'!AC262*'Gübre oranlar'!AF$3</f>
        <v>0</v>
      </c>
      <c r="AD262">
        <f>'Kullanılan gübre'!AD262*'Gübre oranlar'!AG$3</f>
        <v>0</v>
      </c>
      <c r="AE262">
        <f>'Kullanılan gübre'!AE262*'Gübre oranlar'!AH$3</f>
        <v>0</v>
      </c>
      <c r="AF262">
        <f>'Kullanılan gübre'!AF262*'Gübre oranlar'!AI$3</f>
        <v>0</v>
      </c>
      <c r="AG262">
        <f>'Kullanılan gübre'!AG262*'Gübre oranlar'!AJ$3</f>
        <v>0</v>
      </c>
      <c r="AH262">
        <f>'Kullanılan gübre'!AH262*'Gübre oranlar'!AK$3</f>
        <v>0</v>
      </c>
      <c r="AI262">
        <f>'Kullanılan gübre'!AI262*'Gübre oranlar'!AL$3</f>
        <v>0</v>
      </c>
      <c r="AJ262">
        <f>'Kullanılan gübre'!AJ262*'Gübre oranlar'!AM$3</f>
        <v>0</v>
      </c>
      <c r="AK262">
        <f>'Kullanılan gübre'!AK262*'Gübre oranlar'!AN$3</f>
        <v>0</v>
      </c>
      <c r="AL262">
        <f>'Kullanılan gübre'!AL262*'Gübre oranlar'!AO$3</f>
        <v>0</v>
      </c>
      <c r="AM262">
        <f>'Kullanılan gübre'!AM262*'Gübre oranlar'!AP$3</f>
        <v>0</v>
      </c>
      <c r="AN262">
        <f>'Kullanılan gübre'!AN262*'Gübre oranlar'!AQ$3</f>
        <v>0</v>
      </c>
      <c r="AO262">
        <f>'Kullanılan gübre'!AO262*'Gübre oranlar'!AR$3</f>
        <v>0</v>
      </c>
      <c r="AP262">
        <f>'Kullanılan gübre'!AP262*'Gübre oranlar'!AS$3</f>
        <v>0</v>
      </c>
      <c r="AQ262">
        <f>'Kullanılan gübre'!AQ262*'Gübre oranlar'!AT$3</f>
        <v>0</v>
      </c>
      <c r="AR262">
        <f>'Kullanılan gübre'!AR262*'Gübre oranlar'!AU$3</f>
        <v>0</v>
      </c>
      <c r="AS262">
        <f>'Kullanılan gübre'!AS262*'Gübre oranlar'!AV$3</f>
        <v>0</v>
      </c>
      <c r="AT262">
        <f>'Kullanılan gübre'!AT262*'Gübre oranlar'!AW$3</f>
        <v>0</v>
      </c>
      <c r="AU262">
        <f>'Kullanılan gübre'!AU262*'Gübre oranlar'!AX$3</f>
        <v>0</v>
      </c>
      <c r="AV262">
        <f>'Kullanılan gübre'!AV262*'Gübre oranlar'!AY$3</f>
        <v>0</v>
      </c>
      <c r="AW262">
        <f t="shared" si="4"/>
        <v>0</v>
      </c>
    </row>
    <row r="263" spans="1:49" x14ac:dyDescent="0.25">
      <c r="A263" t="str">
        <f>'Kullanılan gübre'!A263</f>
        <v>YI</v>
      </c>
      <c r="B263" t="str">
        <f>'Kullanılan gübre'!B263</f>
        <v>TOKAT</v>
      </c>
      <c r="C263" t="str">
        <f>'Kullanılan gübre'!C263</f>
        <v>ERBAA</v>
      </c>
      <c r="D263">
        <f>'Kullanılan gübre'!D263</f>
        <v>2005</v>
      </c>
      <c r="E263">
        <f>'Kullanılan gübre'!E263*'Gübre oranlar'!H$3</f>
        <v>0</v>
      </c>
      <c r="F263">
        <f>'Kullanılan gübre'!F263*'Gübre oranlar'!I$3</f>
        <v>0</v>
      </c>
      <c r="G263">
        <f>'Kullanılan gübre'!G263*'Gübre oranlar'!J$3</f>
        <v>0</v>
      </c>
      <c r="H263">
        <f>'Kullanılan gübre'!H263*'Gübre oranlar'!K$3</f>
        <v>0</v>
      </c>
      <c r="I263">
        <f>'Kullanılan gübre'!I263*'Gübre oranlar'!L$3</f>
        <v>0</v>
      </c>
      <c r="J263">
        <f>'Kullanılan gübre'!J263*'Gübre oranlar'!M$3</f>
        <v>0</v>
      </c>
      <c r="K263">
        <f>'Kullanılan gübre'!K263*'Gübre oranlar'!N$3</f>
        <v>195.8</v>
      </c>
      <c r="L263">
        <f>'Kullanılan gübre'!L263*'Gübre oranlar'!O$3</f>
        <v>0</v>
      </c>
      <c r="M263">
        <f>'Kullanılan gübre'!M263*'Gübre oranlar'!P$3</f>
        <v>50.152500000000003</v>
      </c>
      <c r="N263">
        <f>'Kullanılan gübre'!N263*'Gübre oranlar'!Q$3</f>
        <v>126.88499999999999</v>
      </c>
      <c r="O263">
        <f>'Kullanılan gübre'!O263*'Gübre oranlar'!R$3</f>
        <v>0</v>
      </c>
      <c r="P263">
        <f>'Kullanılan gübre'!P263*'Gübre oranlar'!S$3</f>
        <v>0</v>
      </c>
      <c r="Q263">
        <f>'Kullanılan gübre'!Q263*'Gübre oranlar'!T$3</f>
        <v>0</v>
      </c>
      <c r="R263">
        <f>'Kullanılan gübre'!R263*'Gübre oranlar'!U$3</f>
        <v>0</v>
      </c>
      <c r="S263">
        <f>'Kullanılan gübre'!S263*'Gübre oranlar'!V$3</f>
        <v>0</v>
      </c>
      <c r="T263">
        <f>'Kullanılan gübre'!T263*'Gübre oranlar'!W$3</f>
        <v>0</v>
      </c>
      <c r="U263">
        <f>'Kullanılan gübre'!U263*'Gübre oranlar'!X$3</f>
        <v>0</v>
      </c>
      <c r="V263">
        <f>'Kullanılan gübre'!V263*'Gübre oranlar'!Y$3</f>
        <v>0</v>
      </c>
      <c r="W263">
        <f>'Kullanılan gübre'!W263*'Gübre oranlar'!Z$3</f>
        <v>0</v>
      </c>
      <c r="X263">
        <f>'Kullanılan gübre'!X263*'Gübre oranlar'!AA$3</f>
        <v>0</v>
      </c>
      <c r="Y263">
        <f>'Kullanılan gübre'!Y263*'Gübre oranlar'!AB$3</f>
        <v>0</v>
      </c>
      <c r="Z263">
        <f>'Kullanılan gübre'!Z263*'Gübre oranlar'!AC$3</f>
        <v>0</v>
      </c>
      <c r="AA263">
        <f>'Kullanılan gübre'!AA263*'Gübre oranlar'!AD$3</f>
        <v>0</v>
      </c>
      <c r="AB263">
        <f>'Kullanılan gübre'!AB263*'Gübre oranlar'!AE$3</f>
        <v>0</v>
      </c>
      <c r="AC263">
        <f>'Kullanılan gübre'!AC263*'Gübre oranlar'!AF$3</f>
        <v>0</v>
      </c>
      <c r="AD263">
        <f>'Kullanılan gübre'!AD263*'Gübre oranlar'!AG$3</f>
        <v>0</v>
      </c>
      <c r="AE263">
        <f>'Kullanılan gübre'!AE263*'Gübre oranlar'!AH$3</f>
        <v>0</v>
      </c>
      <c r="AF263">
        <f>'Kullanılan gübre'!AF263*'Gübre oranlar'!AI$3</f>
        <v>0</v>
      </c>
      <c r="AG263">
        <f>'Kullanılan gübre'!AG263*'Gübre oranlar'!AJ$3</f>
        <v>0</v>
      </c>
      <c r="AH263">
        <f>'Kullanılan gübre'!AH263*'Gübre oranlar'!AK$3</f>
        <v>0</v>
      </c>
      <c r="AI263">
        <f>'Kullanılan gübre'!AI263*'Gübre oranlar'!AL$3</f>
        <v>0</v>
      </c>
      <c r="AJ263">
        <f>'Kullanılan gübre'!AJ263*'Gübre oranlar'!AM$3</f>
        <v>0</v>
      </c>
      <c r="AK263">
        <f>'Kullanılan gübre'!AK263*'Gübre oranlar'!AN$3</f>
        <v>0</v>
      </c>
      <c r="AL263">
        <f>'Kullanılan gübre'!AL263*'Gübre oranlar'!AO$3</f>
        <v>0</v>
      </c>
      <c r="AM263">
        <f>'Kullanılan gübre'!AM263*'Gübre oranlar'!AP$3</f>
        <v>0</v>
      </c>
      <c r="AN263">
        <f>'Kullanılan gübre'!AN263*'Gübre oranlar'!AQ$3</f>
        <v>0</v>
      </c>
      <c r="AO263">
        <f>'Kullanılan gübre'!AO263*'Gübre oranlar'!AR$3</f>
        <v>0</v>
      </c>
      <c r="AP263">
        <f>'Kullanılan gübre'!AP263*'Gübre oranlar'!AS$3</f>
        <v>0</v>
      </c>
      <c r="AQ263">
        <f>'Kullanılan gübre'!AQ263*'Gübre oranlar'!AT$3</f>
        <v>0</v>
      </c>
      <c r="AR263">
        <f>'Kullanılan gübre'!AR263*'Gübre oranlar'!AU$3</f>
        <v>0</v>
      </c>
      <c r="AS263">
        <f>'Kullanılan gübre'!AS263*'Gübre oranlar'!AV$3</f>
        <v>0</v>
      </c>
      <c r="AT263">
        <f>'Kullanılan gübre'!AT263*'Gübre oranlar'!AW$3</f>
        <v>0</v>
      </c>
      <c r="AU263">
        <f>'Kullanılan gübre'!AU263*'Gübre oranlar'!AX$3</f>
        <v>0</v>
      </c>
      <c r="AV263">
        <f>'Kullanılan gübre'!AV263*'Gübre oranlar'!AY$3</f>
        <v>0</v>
      </c>
      <c r="AW263">
        <f t="shared" si="4"/>
        <v>372.83749999999998</v>
      </c>
    </row>
    <row r="264" spans="1:49" x14ac:dyDescent="0.25">
      <c r="A264" t="str">
        <f>'Kullanılan gübre'!A264</f>
        <v>YI</v>
      </c>
      <c r="B264" t="str">
        <f>'Kullanılan gübre'!B264</f>
        <v>TOKAT</v>
      </c>
      <c r="C264" t="str">
        <f>'Kullanılan gübre'!C264</f>
        <v>NIKSAR</v>
      </c>
      <c r="D264">
        <f>'Kullanılan gübre'!D264</f>
        <v>2005</v>
      </c>
      <c r="E264">
        <f>'Kullanılan gübre'!E264*'Gübre oranlar'!H$3</f>
        <v>0</v>
      </c>
      <c r="F264">
        <f>'Kullanılan gübre'!F264*'Gübre oranlar'!I$3</f>
        <v>0</v>
      </c>
      <c r="G264">
        <f>'Kullanılan gübre'!G264*'Gübre oranlar'!J$3</f>
        <v>0</v>
      </c>
      <c r="H264">
        <f>'Kullanılan gübre'!H264*'Gübre oranlar'!K$3</f>
        <v>0</v>
      </c>
      <c r="I264">
        <f>'Kullanılan gübre'!I264*'Gübre oranlar'!L$3</f>
        <v>19.78</v>
      </c>
      <c r="J264">
        <f>'Kullanılan gübre'!J264*'Gübre oranlar'!M$3</f>
        <v>0</v>
      </c>
      <c r="K264">
        <f>'Kullanılan gübre'!K264*'Gübre oranlar'!N$3</f>
        <v>43.680000000000007</v>
      </c>
      <c r="L264">
        <f>'Kullanılan gübre'!L264*'Gübre oranlar'!O$3</f>
        <v>0</v>
      </c>
      <c r="M264">
        <f>'Kullanılan gübre'!M264*'Gübre oranlar'!P$3</f>
        <v>34.515000000000001</v>
      </c>
      <c r="N264">
        <f>'Kullanılan gübre'!N264*'Gübre oranlar'!Q$3</f>
        <v>0</v>
      </c>
      <c r="O264">
        <f>'Kullanılan gübre'!O264*'Gübre oranlar'!R$3</f>
        <v>0</v>
      </c>
      <c r="P264">
        <f>'Kullanılan gübre'!P264*'Gübre oranlar'!S$3</f>
        <v>0</v>
      </c>
      <c r="Q264">
        <f>'Kullanılan gübre'!Q264*'Gübre oranlar'!T$3</f>
        <v>0</v>
      </c>
      <c r="R264">
        <f>'Kullanılan gübre'!R264*'Gübre oranlar'!U$3</f>
        <v>0</v>
      </c>
      <c r="S264">
        <f>'Kullanılan gübre'!S264*'Gübre oranlar'!V$3</f>
        <v>0</v>
      </c>
      <c r="T264">
        <f>'Kullanılan gübre'!T264*'Gübre oranlar'!W$3</f>
        <v>0</v>
      </c>
      <c r="U264">
        <f>'Kullanılan gübre'!U264*'Gübre oranlar'!X$3</f>
        <v>0</v>
      </c>
      <c r="V264">
        <f>'Kullanılan gübre'!V264*'Gübre oranlar'!Y$3</f>
        <v>0</v>
      </c>
      <c r="W264">
        <f>'Kullanılan gübre'!W264*'Gübre oranlar'!Z$3</f>
        <v>0</v>
      </c>
      <c r="X264">
        <f>'Kullanılan gübre'!X264*'Gübre oranlar'!AA$3</f>
        <v>0</v>
      </c>
      <c r="Y264">
        <f>'Kullanılan gübre'!Y264*'Gübre oranlar'!AB$3</f>
        <v>0</v>
      </c>
      <c r="Z264">
        <f>'Kullanılan gübre'!Z264*'Gübre oranlar'!AC$3</f>
        <v>0</v>
      </c>
      <c r="AA264">
        <f>'Kullanılan gübre'!AA264*'Gübre oranlar'!AD$3</f>
        <v>0</v>
      </c>
      <c r="AB264">
        <f>'Kullanılan gübre'!AB264*'Gübre oranlar'!AE$3</f>
        <v>0</v>
      </c>
      <c r="AC264">
        <f>'Kullanılan gübre'!AC264*'Gübre oranlar'!AF$3</f>
        <v>0</v>
      </c>
      <c r="AD264">
        <f>'Kullanılan gübre'!AD264*'Gübre oranlar'!AG$3</f>
        <v>0</v>
      </c>
      <c r="AE264">
        <f>'Kullanılan gübre'!AE264*'Gübre oranlar'!AH$3</f>
        <v>0</v>
      </c>
      <c r="AF264">
        <f>'Kullanılan gübre'!AF264*'Gübre oranlar'!AI$3</f>
        <v>0</v>
      </c>
      <c r="AG264">
        <f>'Kullanılan gübre'!AG264*'Gübre oranlar'!AJ$3</f>
        <v>0</v>
      </c>
      <c r="AH264">
        <f>'Kullanılan gübre'!AH264*'Gübre oranlar'!AK$3</f>
        <v>0</v>
      </c>
      <c r="AI264">
        <f>'Kullanılan gübre'!AI264*'Gübre oranlar'!AL$3</f>
        <v>0</v>
      </c>
      <c r="AJ264">
        <f>'Kullanılan gübre'!AJ264*'Gübre oranlar'!AM$3</f>
        <v>0</v>
      </c>
      <c r="AK264">
        <f>'Kullanılan gübre'!AK264*'Gübre oranlar'!AN$3</f>
        <v>0</v>
      </c>
      <c r="AL264">
        <f>'Kullanılan gübre'!AL264*'Gübre oranlar'!AO$3</f>
        <v>0</v>
      </c>
      <c r="AM264">
        <f>'Kullanılan gübre'!AM264*'Gübre oranlar'!AP$3</f>
        <v>0</v>
      </c>
      <c r="AN264">
        <f>'Kullanılan gübre'!AN264*'Gübre oranlar'!AQ$3</f>
        <v>0</v>
      </c>
      <c r="AO264">
        <f>'Kullanılan gübre'!AO264*'Gübre oranlar'!AR$3</f>
        <v>0</v>
      </c>
      <c r="AP264">
        <f>'Kullanılan gübre'!AP264*'Gübre oranlar'!AS$3</f>
        <v>0</v>
      </c>
      <c r="AQ264">
        <f>'Kullanılan gübre'!AQ264*'Gübre oranlar'!AT$3</f>
        <v>0</v>
      </c>
      <c r="AR264">
        <f>'Kullanılan gübre'!AR264*'Gübre oranlar'!AU$3</f>
        <v>0</v>
      </c>
      <c r="AS264">
        <f>'Kullanılan gübre'!AS264*'Gübre oranlar'!AV$3</f>
        <v>0</v>
      </c>
      <c r="AT264">
        <f>'Kullanılan gübre'!AT264*'Gübre oranlar'!AW$3</f>
        <v>0</v>
      </c>
      <c r="AU264">
        <f>'Kullanılan gübre'!AU264*'Gübre oranlar'!AX$3</f>
        <v>0</v>
      </c>
      <c r="AV264">
        <f>'Kullanılan gübre'!AV264*'Gübre oranlar'!AY$3</f>
        <v>0</v>
      </c>
      <c r="AW264">
        <f t="shared" si="4"/>
        <v>97.975000000000009</v>
      </c>
    </row>
    <row r="265" spans="1:49" x14ac:dyDescent="0.25">
      <c r="A265" t="str">
        <f>'Kullanılan gübre'!A265</f>
        <v>YI</v>
      </c>
      <c r="B265" t="str">
        <f>'Kullanılan gübre'!B265</f>
        <v>TOKAT</v>
      </c>
      <c r="C265" t="str">
        <f>'Kullanılan gübre'!C265</f>
        <v>PAZAR</v>
      </c>
      <c r="D265">
        <f>'Kullanılan gübre'!D265</f>
        <v>2005</v>
      </c>
      <c r="E265">
        <f>'Kullanılan gübre'!E265*'Gübre oranlar'!H$3</f>
        <v>0</v>
      </c>
      <c r="F265">
        <f>'Kullanılan gübre'!F265*'Gübre oranlar'!I$3</f>
        <v>0</v>
      </c>
      <c r="G265">
        <f>'Kullanılan gübre'!G265*'Gübre oranlar'!J$3</f>
        <v>0</v>
      </c>
      <c r="H265">
        <f>'Kullanılan gübre'!H265*'Gübre oranlar'!K$3</f>
        <v>0</v>
      </c>
      <c r="I265">
        <f>'Kullanılan gübre'!I265*'Gübre oranlar'!L$3</f>
        <v>25.950500000000002</v>
      </c>
      <c r="J265">
        <f>'Kullanılan gübre'!J265*'Gübre oranlar'!M$3</f>
        <v>0</v>
      </c>
      <c r="K265">
        <f>'Kullanılan gübre'!K265*'Gübre oranlar'!N$3</f>
        <v>7.5</v>
      </c>
      <c r="L265">
        <f>'Kullanılan gübre'!L265*'Gübre oranlar'!O$3</f>
        <v>2.6300000000000003</v>
      </c>
      <c r="M265">
        <f>'Kullanılan gübre'!M265*'Gübre oranlar'!P$3</f>
        <v>7.0049999999999999</v>
      </c>
      <c r="N265">
        <f>'Kullanılan gübre'!N265*'Gübre oranlar'!Q$3</f>
        <v>13.2675</v>
      </c>
      <c r="O265">
        <f>'Kullanılan gübre'!O265*'Gübre oranlar'!R$3</f>
        <v>0</v>
      </c>
      <c r="P265">
        <f>'Kullanılan gübre'!P265*'Gübre oranlar'!S$3</f>
        <v>0</v>
      </c>
      <c r="Q265">
        <f>'Kullanılan gübre'!Q265*'Gübre oranlar'!T$3</f>
        <v>0</v>
      </c>
      <c r="R265">
        <f>'Kullanılan gübre'!R265*'Gübre oranlar'!U$3</f>
        <v>4.05</v>
      </c>
      <c r="S265">
        <f>'Kullanılan gübre'!S265*'Gübre oranlar'!V$3</f>
        <v>0</v>
      </c>
      <c r="T265">
        <f>'Kullanılan gübre'!T265*'Gübre oranlar'!W$3</f>
        <v>0</v>
      </c>
      <c r="U265">
        <f>'Kullanılan gübre'!U265*'Gübre oranlar'!X$3</f>
        <v>0</v>
      </c>
      <c r="V265">
        <f>'Kullanılan gübre'!V265*'Gübre oranlar'!Y$3</f>
        <v>0</v>
      </c>
      <c r="W265">
        <f>'Kullanılan gübre'!W265*'Gübre oranlar'!Z$3</f>
        <v>0</v>
      </c>
      <c r="X265">
        <f>'Kullanılan gübre'!X265*'Gübre oranlar'!AA$3</f>
        <v>0</v>
      </c>
      <c r="Y265">
        <f>'Kullanılan gübre'!Y265*'Gübre oranlar'!AB$3</f>
        <v>0</v>
      </c>
      <c r="Z265">
        <f>'Kullanılan gübre'!Z265*'Gübre oranlar'!AC$3</f>
        <v>0</v>
      </c>
      <c r="AA265">
        <f>'Kullanılan gübre'!AA265*'Gübre oranlar'!AD$3</f>
        <v>0</v>
      </c>
      <c r="AB265">
        <f>'Kullanılan gübre'!AB265*'Gübre oranlar'!AE$3</f>
        <v>0</v>
      </c>
      <c r="AC265">
        <f>'Kullanılan gübre'!AC265*'Gübre oranlar'!AF$3</f>
        <v>0</v>
      </c>
      <c r="AD265">
        <f>'Kullanılan gübre'!AD265*'Gübre oranlar'!AG$3</f>
        <v>0</v>
      </c>
      <c r="AE265">
        <f>'Kullanılan gübre'!AE265*'Gübre oranlar'!AH$3</f>
        <v>0</v>
      </c>
      <c r="AF265">
        <f>'Kullanılan gübre'!AF265*'Gübre oranlar'!AI$3</f>
        <v>0</v>
      </c>
      <c r="AG265">
        <f>'Kullanılan gübre'!AG265*'Gübre oranlar'!AJ$3</f>
        <v>0</v>
      </c>
      <c r="AH265">
        <f>'Kullanılan gübre'!AH265*'Gübre oranlar'!AK$3</f>
        <v>0</v>
      </c>
      <c r="AI265">
        <f>'Kullanılan gübre'!AI265*'Gübre oranlar'!AL$3</f>
        <v>0</v>
      </c>
      <c r="AJ265">
        <f>'Kullanılan gübre'!AJ265*'Gübre oranlar'!AM$3</f>
        <v>0</v>
      </c>
      <c r="AK265">
        <f>'Kullanılan gübre'!AK265*'Gübre oranlar'!AN$3</f>
        <v>0</v>
      </c>
      <c r="AL265">
        <f>'Kullanılan gübre'!AL265*'Gübre oranlar'!AO$3</f>
        <v>0</v>
      </c>
      <c r="AM265">
        <f>'Kullanılan gübre'!AM265*'Gübre oranlar'!AP$3</f>
        <v>0</v>
      </c>
      <c r="AN265">
        <f>'Kullanılan gübre'!AN265*'Gübre oranlar'!AQ$3</f>
        <v>0</v>
      </c>
      <c r="AO265">
        <f>'Kullanılan gübre'!AO265*'Gübre oranlar'!AR$3</f>
        <v>0</v>
      </c>
      <c r="AP265">
        <f>'Kullanılan gübre'!AP265*'Gübre oranlar'!AS$3</f>
        <v>0</v>
      </c>
      <c r="AQ265">
        <f>'Kullanılan gübre'!AQ265*'Gübre oranlar'!AT$3</f>
        <v>0</v>
      </c>
      <c r="AR265">
        <f>'Kullanılan gübre'!AR265*'Gübre oranlar'!AU$3</f>
        <v>0</v>
      </c>
      <c r="AS265">
        <f>'Kullanılan gübre'!AS265*'Gübre oranlar'!AV$3</f>
        <v>0</v>
      </c>
      <c r="AT265">
        <f>'Kullanılan gübre'!AT265*'Gübre oranlar'!AW$3</f>
        <v>0</v>
      </c>
      <c r="AU265">
        <f>'Kullanılan gübre'!AU265*'Gübre oranlar'!AX$3</f>
        <v>0</v>
      </c>
      <c r="AV265">
        <f>'Kullanılan gübre'!AV265*'Gübre oranlar'!AY$3</f>
        <v>0</v>
      </c>
      <c r="AW265">
        <f t="shared" si="4"/>
        <v>60.403000000000006</v>
      </c>
    </row>
    <row r="266" spans="1:49" x14ac:dyDescent="0.25">
      <c r="A266" t="str">
        <f>'Kullanılan gübre'!A266</f>
        <v>YI</v>
      </c>
      <c r="B266" t="str">
        <f>'Kullanılan gübre'!B266</f>
        <v>TOKAT</v>
      </c>
      <c r="C266" t="str">
        <f>'Kullanılan gübre'!C266</f>
        <v>RESADIYE</v>
      </c>
      <c r="D266">
        <f>'Kullanılan gübre'!D266</f>
        <v>2005</v>
      </c>
      <c r="E266">
        <f>'Kullanılan gübre'!E266*'Gübre oranlar'!H$3</f>
        <v>0</v>
      </c>
      <c r="F266">
        <f>'Kullanılan gübre'!F266*'Gübre oranlar'!I$3</f>
        <v>0</v>
      </c>
      <c r="G266">
        <f>'Kullanılan gübre'!G266*'Gübre oranlar'!J$3</f>
        <v>0</v>
      </c>
      <c r="H266">
        <f>'Kullanılan gübre'!H266*'Gübre oranlar'!K$3</f>
        <v>0</v>
      </c>
      <c r="I266">
        <f>'Kullanılan gübre'!I266*'Gübre oranlar'!L$3</f>
        <v>0</v>
      </c>
      <c r="J266">
        <f>'Kullanılan gübre'!J266*'Gübre oranlar'!M$3</f>
        <v>0</v>
      </c>
      <c r="K266">
        <f>'Kullanılan gübre'!K266*'Gübre oranlar'!N$3</f>
        <v>0</v>
      </c>
      <c r="L266">
        <f>'Kullanılan gübre'!L266*'Gübre oranlar'!O$3</f>
        <v>0</v>
      </c>
      <c r="M266">
        <f>'Kullanılan gübre'!M266*'Gübre oranlar'!P$3</f>
        <v>0</v>
      </c>
      <c r="N266">
        <f>'Kullanılan gübre'!N266*'Gübre oranlar'!Q$3</f>
        <v>0</v>
      </c>
      <c r="O266">
        <f>'Kullanılan gübre'!O266*'Gübre oranlar'!R$3</f>
        <v>0</v>
      </c>
      <c r="P266">
        <f>'Kullanılan gübre'!P266*'Gübre oranlar'!S$3</f>
        <v>0</v>
      </c>
      <c r="Q266">
        <f>'Kullanılan gübre'!Q266*'Gübre oranlar'!T$3</f>
        <v>0</v>
      </c>
      <c r="R266">
        <f>'Kullanılan gübre'!R266*'Gübre oranlar'!U$3</f>
        <v>0</v>
      </c>
      <c r="S266">
        <f>'Kullanılan gübre'!S266*'Gübre oranlar'!V$3</f>
        <v>0</v>
      </c>
      <c r="T266">
        <f>'Kullanılan gübre'!T266*'Gübre oranlar'!W$3</f>
        <v>0</v>
      </c>
      <c r="U266">
        <f>'Kullanılan gübre'!U266*'Gübre oranlar'!X$3</f>
        <v>0</v>
      </c>
      <c r="V266">
        <f>'Kullanılan gübre'!V266*'Gübre oranlar'!Y$3</f>
        <v>0</v>
      </c>
      <c r="W266">
        <f>'Kullanılan gübre'!W266*'Gübre oranlar'!Z$3</f>
        <v>0</v>
      </c>
      <c r="X266">
        <f>'Kullanılan gübre'!X266*'Gübre oranlar'!AA$3</f>
        <v>0</v>
      </c>
      <c r="Y266">
        <f>'Kullanılan gübre'!Y266*'Gübre oranlar'!AB$3</f>
        <v>0</v>
      </c>
      <c r="Z266">
        <f>'Kullanılan gübre'!Z266*'Gübre oranlar'!AC$3</f>
        <v>0</v>
      </c>
      <c r="AA266">
        <f>'Kullanılan gübre'!AA266*'Gübre oranlar'!AD$3</f>
        <v>0</v>
      </c>
      <c r="AB266">
        <f>'Kullanılan gübre'!AB266*'Gübre oranlar'!AE$3</f>
        <v>0</v>
      </c>
      <c r="AC266">
        <f>'Kullanılan gübre'!AC266*'Gübre oranlar'!AF$3</f>
        <v>0</v>
      </c>
      <c r="AD266">
        <f>'Kullanılan gübre'!AD266*'Gübre oranlar'!AG$3</f>
        <v>0</v>
      </c>
      <c r="AE266">
        <f>'Kullanılan gübre'!AE266*'Gübre oranlar'!AH$3</f>
        <v>0</v>
      </c>
      <c r="AF266">
        <f>'Kullanılan gübre'!AF266*'Gübre oranlar'!AI$3</f>
        <v>0</v>
      </c>
      <c r="AG266">
        <f>'Kullanılan gübre'!AG266*'Gübre oranlar'!AJ$3</f>
        <v>0</v>
      </c>
      <c r="AH266">
        <f>'Kullanılan gübre'!AH266*'Gübre oranlar'!AK$3</f>
        <v>0</v>
      </c>
      <c r="AI266">
        <f>'Kullanılan gübre'!AI266*'Gübre oranlar'!AL$3</f>
        <v>0</v>
      </c>
      <c r="AJ266">
        <f>'Kullanılan gübre'!AJ266*'Gübre oranlar'!AM$3</f>
        <v>0</v>
      </c>
      <c r="AK266">
        <f>'Kullanılan gübre'!AK266*'Gübre oranlar'!AN$3</f>
        <v>0</v>
      </c>
      <c r="AL266">
        <f>'Kullanılan gübre'!AL266*'Gübre oranlar'!AO$3</f>
        <v>0</v>
      </c>
      <c r="AM266">
        <f>'Kullanılan gübre'!AM266*'Gübre oranlar'!AP$3</f>
        <v>0</v>
      </c>
      <c r="AN266">
        <f>'Kullanılan gübre'!AN266*'Gübre oranlar'!AQ$3</f>
        <v>0</v>
      </c>
      <c r="AO266">
        <f>'Kullanılan gübre'!AO266*'Gübre oranlar'!AR$3</f>
        <v>0</v>
      </c>
      <c r="AP266">
        <f>'Kullanılan gübre'!AP266*'Gübre oranlar'!AS$3</f>
        <v>0</v>
      </c>
      <c r="AQ266">
        <f>'Kullanılan gübre'!AQ266*'Gübre oranlar'!AT$3</f>
        <v>0</v>
      </c>
      <c r="AR266">
        <f>'Kullanılan gübre'!AR266*'Gübre oranlar'!AU$3</f>
        <v>0</v>
      </c>
      <c r="AS266">
        <f>'Kullanılan gübre'!AS266*'Gübre oranlar'!AV$3</f>
        <v>0</v>
      </c>
      <c r="AT266">
        <f>'Kullanılan gübre'!AT266*'Gübre oranlar'!AW$3</f>
        <v>0</v>
      </c>
      <c r="AU266">
        <f>'Kullanılan gübre'!AU266*'Gübre oranlar'!AX$3</f>
        <v>0</v>
      </c>
      <c r="AV266">
        <f>'Kullanılan gübre'!AV266*'Gübre oranlar'!AY$3</f>
        <v>0</v>
      </c>
      <c r="AW266">
        <f t="shared" si="4"/>
        <v>0</v>
      </c>
    </row>
    <row r="267" spans="1:49" x14ac:dyDescent="0.25">
      <c r="A267" t="str">
        <f>'Kullanılan gübre'!A267</f>
        <v>YI</v>
      </c>
      <c r="B267" t="str">
        <f>'Kullanılan gübre'!B267</f>
        <v>TOKAT</v>
      </c>
      <c r="C267" t="str">
        <f>'Kullanılan gübre'!C267</f>
        <v>SULUSARAY</v>
      </c>
      <c r="D267">
        <f>'Kullanılan gübre'!D267</f>
        <v>2005</v>
      </c>
      <c r="E267">
        <f>'Kullanılan gübre'!E267*'Gübre oranlar'!H$3</f>
        <v>0</v>
      </c>
      <c r="F267">
        <f>'Kullanılan gübre'!F267*'Gübre oranlar'!I$3</f>
        <v>0</v>
      </c>
      <c r="G267">
        <f>'Kullanılan gübre'!G267*'Gübre oranlar'!J$3</f>
        <v>0</v>
      </c>
      <c r="H267">
        <f>'Kullanılan gübre'!H267*'Gübre oranlar'!K$3</f>
        <v>0</v>
      </c>
      <c r="I267">
        <f>'Kullanılan gübre'!I267*'Gübre oranlar'!L$3</f>
        <v>0</v>
      </c>
      <c r="J267">
        <f>'Kullanılan gübre'!J267*'Gübre oranlar'!M$3</f>
        <v>0</v>
      </c>
      <c r="K267">
        <f>'Kullanılan gübre'!K267*'Gübre oranlar'!N$3</f>
        <v>4.0100000000000007</v>
      </c>
      <c r="L267">
        <f>'Kullanılan gübre'!L267*'Gübre oranlar'!O$3</f>
        <v>0.47000000000000003</v>
      </c>
      <c r="M267">
        <f>'Kullanılan gübre'!M267*'Gübre oranlar'!P$3</f>
        <v>0</v>
      </c>
      <c r="N267">
        <f>'Kullanılan gübre'!N267*'Gübre oranlar'!Q$3</f>
        <v>0</v>
      </c>
      <c r="O267">
        <f>'Kullanılan gübre'!O267*'Gübre oranlar'!R$3</f>
        <v>0</v>
      </c>
      <c r="P267">
        <f>'Kullanılan gübre'!P267*'Gübre oranlar'!S$3</f>
        <v>0</v>
      </c>
      <c r="Q267">
        <f>'Kullanılan gübre'!Q267*'Gübre oranlar'!T$3</f>
        <v>0</v>
      </c>
      <c r="R267">
        <f>'Kullanılan gübre'!R267*'Gübre oranlar'!U$3</f>
        <v>0</v>
      </c>
      <c r="S267">
        <f>'Kullanılan gübre'!S267*'Gübre oranlar'!V$3</f>
        <v>0</v>
      </c>
      <c r="T267">
        <f>'Kullanılan gübre'!T267*'Gübre oranlar'!W$3</f>
        <v>0</v>
      </c>
      <c r="U267">
        <f>'Kullanılan gübre'!U267*'Gübre oranlar'!X$3</f>
        <v>0</v>
      </c>
      <c r="V267">
        <f>'Kullanılan gübre'!V267*'Gübre oranlar'!Y$3</f>
        <v>0</v>
      </c>
      <c r="W267">
        <f>'Kullanılan gübre'!W267*'Gübre oranlar'!Z$3</f>
        <v>0</v>
      </c>
      <c r="X267">
        <f>'Kullanılan gübre'!X267*'Gübre oranlar'!AA$3</f>
        <v>0</v>
      </c>
      <c r="Y267">
        <f>'Kullanılan gübre'!Y267*'Gübre oranlar'!AB$3</f>
        <v>0</v>
      </c>
      <c r="Z267">
        <f>'Kullanılan gübre'!Z267*'Gübre oranlar'!AC$3</f>
        <v>0</v>
      </c>
      <c r="AA267">
        <f>'Kullanılan gübre'!AA267*'Gübre oranlar'!AD$3</f>
        <v>0</v>
      </c>
      <c r="AB267">
        <f>'Kullanılan gübre'!AB267*'Gübre oranlar'!AE$3</f>
        <v>0</v>
      </c>
      <c r="AC267">
        <f>'Kullanılan gübre'!AC267*'Gübre oranlar'!AF$3</f>
        <v>0</v>
      </c>
      <c r="AD267">
        <f>'Kullanılan gübre'!AD267*'Gübre oranlar'!AG$3</f>
        <v>0</v>
      </c>
      <c r="AE267">
        <f>'Kullanılan gübre'!AE267*'Gübre oranlar'!AH$3</f>
        <v>0</v>
      </c>
      <c r="AF267">
        <f>'Kullanılan gübre'!AF267*'Gübre oranlar'!AI$3</f>
        <v>0</v>
      </c>
      <c r="AG267">
        <f>'Kullanılan gübre'!AG267*'Gübre oranlar'!AJ$3</f>
        <v>0</v>
      </c>
      <c r="AH267">
        <f>'Kullanılan gübre'!AH267*'Gübre oranlar'!AK$3</f>
        <v>0</v>
      </c>
      <c r="AI267">
        <f>'Kullanılan gübre'!AI267*'Gübre oranlar'!AL$3</f>
        <v>0</v>
      </c>
      <c r="AJ267">
        <f>'Kullanılan gübre'!AJ267*'Gübre oranlar'!AM$3</f>
        <v>0</v>
      </c>
      <c r="AK267">
        <f>'Kullanılan gübre'!AK267*'Gübre oranlar'!AN$3</f>
        <v>0</v>
      </c>
      <c r="AL267">
        <f>'Kullanılan gübre'!AL267*'Gübre oranlar'!AO$3</f>
        <v>0</v>
      </c>
      <c r="AM267">
        <f>'Kullanılan gübre'!AM267*'Gübre oranlar'!AP$3</f>
        <v>0</v>
      </c>
      <c r="AN267">
        <f>'Kullanılan gübre'!AN267*'Gübre oranlar'!AQ$3</f>
        <v>0</v>
      </c>
      <c r="AO267">
        <f>'Kullanılan gübre'!AO267*'Gübre oranlar'!AR$3</f>
        <v>0</v>
      </c>
      <c r="AP267">
        <f>'Kullanılan gübre'!AP267*'Gübre oranlar'!AS$3</f>
        <v>0</v>
      </c>
      <c r="AQ267">
        <f>'Kullanılan gübre'!AQ267*'Gübre oranlar'!AT$3</f>
        <v>0</v>
      </c>
      <c r="AR267">
        <f>'Kullanılan gübre'!AR267*'Gübre oranlar'!AU$3</f>
        <v>0</v>
      </c>
      <c r="AS267">
        <f>'Kullanılan gübre'!AS267*'Gübre oranlar'!AV$3</f>
        <v>0</v>
      </c>
      <c r="AT267">
        <f>'Kullanılan gübre'!AT267*'Gübre oranlar'!AW$3</f>
        <v>0</v>
      </c>
      <c r="AU267">
        <f>'Kullanılan gübre'!AU267*'Gübre oranlar'!AX$3</f>
        <v>0</v>
      </c>
      <c r="AV267">
        <f>'Kullanılan gübre'!AV267*'Gübre oranlar'!AY$3</f>
        <v>0</v>
      </c>
      <c r="AW267">
        <f t="shared" si="4"/>
        <v>4.4800000000000004</v>
      </c>
    </row>
    <row r="268" spans="1:49" x14ac:dyDescent="0.25">
      <c r="A268" t="str">
        <f>'Kullanılan gübre'!A268</f>
        <v>YI</v>
      </c>
      <c r="B268" t="str">
        <f>'Kullanılan gübre'!B268</f>
        <v>TOKAT</v>
      </c>
      <c r="C268" t="str">
        <f>'Kullanılan gübre'!C268</f>
        <v>TURHAL</v>
      </c>
      <c r="D268">
        <f>'Kullanılan gübre'!D268</f>
        <v>2005</v>
      </c>
      <c r="E268">
        <f>'Kullanılan gübre'!E268*'Gübre oranlar'!H$3</f>
        <v>0</v>
      </c>
      <c r="F268">
        <f>'Kullanılan gübre'!F268*'Gübre oranlar'!I$3</f>
        <v>0</v>
      </c>
      <c r="G268">
        <f>'Kullanılan gübre'!G268*'Gübre oranlar'!J$3</f>
        <v>0</v>
      </c>
      <c r="H268">
        <f>'Kullanılan gübre'!H268*'Gübre oranlar'!K$3</f>
        <v>0</v>
      </c>
      <c r="I268">
        <f>'Kullanılan gübre'!I268*'Gübre oranlar'!L$3</f>
        <v>74.067499999999995</v>
      </c>
      <c r="J268">
        <f>'Kullanılan gübre'!J268*'Gübre oranlar'!M$3</f>
        <v>0</v>
      </c>
      <c r="K268">
        <f>'Kullanılan gübre'!K268*'Gübre oranlar'!N$3</f>
        <v>15.75</v>
      </c>
      <c r="L268">
        <f>'Kullanılan gübre'!L268*'Gübre oranlar'!O$3</f>
        <v>128.76</v>
      </c>
      <c r="M268">
        <f>'Kullanılan gübre'!M268*'Gübre oranlar'!P$3</f>
        <v>1.2149999999999999</v>
      </c>
      <c r="N268">
        <f>'Kullanılan gübre'!N268*'Gübre oranlar'!Q$3</f>
        <v>4.1775000000000002</v>
      </c>
      <c r="O268">
        <f>'Kullanılan gübre'!O268*'Gübre oranlar'!R$3</f>
        <v>0</v>
      </c>
      <c r="P268">
        <f>'Kullanılan gübre'!P268*'Gübre oranlar'!S$3</f>
        <v>0</v>
      </c>
      <c r="Q268">
        <f>'Kullanılan gübre'!Q268*'Gübre oranlar'!T$3</f>
        <v>214.69499999999999</v>
      </c>
      <c r="R268">
        <f>'Kullanılan gübre'!R268*'Gübre oranlar'!U$3</f>
        <v>6.8939999999999992</v>
      </c>
      <c r="S268">
        <f>'Kullanılan gübre'!S268*'Gübre oranlar'!V$3</f>
        <v>0</v>
      </c>
      <c r="T268">
        <f>'Kullanılan gübre'!T268*'Gübre oranlar'!W$3</f>
        <v>0</v>
      </c>
      <c r="U268">
        <f>'Kullanılan gübre'!U268*'Gübre oranlar'!X$3</f>
        <v>0</v>
      </c>
      <c r="V268">
        <f>'Kullanılan gübre'!V268*'Gübre oranlar'!Y$3</f>
        <v>0</v>
      </c>
      <c r="W268">
        <f>'Kullanılan gübre'!W268*'Gübre oranlar'!Z$3</f>
        <v>0</v>
      </c>
      <c r="X268">
        <f>'Kullanılan gübre'!X268*'Gübre oranlar'!AA$3</f>
        <v>0</v>
      </c>
      <c r="Y268">
        <f>'Kullanılan gübre'!Y268*'Gübre oranlar'!AB$3</f>
        <v>0</v>
      </c>
      <c r="Z268">
        <f>'Kullanılan gübre'!Z268*'Gübre oranlar'!AC$3</f>
        <v>0</v>
      </c>
      <c r="AA268">
        <f>'Kullanılan gübre'!AA268*'Gübre oranlar'!AD$3</f>
        <v>0</v>
      </c>
      <c r="AB268">
        <f>'Kullanılan gübre'!AB268*'Gübre oranlar'!AE$3</f>
        <v>0</v>
      </c>
      <c r="AC268">
        <f>'Kullanılan gübre'!AC268*'Gübre oranlar'!AF$3</f>
        <v>0</v>
      </c>
      <c r="AD268">
        <f>'Kullanılan gübre'!AD268*'Gübre oranlar'!AG$3</f>
        <v>0</v>
      </c>
      <c r="AE268">
        <f>'Kullanılan gübre'!AE268*'Gübre oranlar'!AH$3</f>
        <v>0</v>
      </c>
      <c r="AF268">
        <f>'Kullanılan gübre'!AF268*'Gübre oranlar'!AI$3</f>
        <v>0</v>
      </c>
      <c r="AG268">
        <f>'Kullanılan gübre'!AG268*'Gübre oranlar'!AJ$3</f>
        <v>0</v>
      </c>
      <c r="AH268">
        <f>'Kullanılan gübre'!AH268*'Gübre oranlar'!AK$3</f>
        <v>0</v>
      </c>
      <c r="AI268">
        <f>'Kullanılan gübre'!AI268*'Gübre oranlar'!AL$3</f>
        <v>0</v>
      </c>
      <c r="AJ268">
        <f>'Kullanılan gübre'!AJ268*'Gübre oranlar'!AM$3</f>
        <v>0</v>
      </c>
      <c r="AK268">
        <f>'Kullanılan gübre'!AK268*'Gübre oranlar'!AN$3</f>
        <v>0</v>
      </c>
      <c r="AL268">
        <f>'Kullanılan gübre'!AL268*'Gübre oranlar'!AO$3</f>
        <v>0</v>
      </c>
      <c r="AM268">
        <f>'Kullanılan gübre'!AM268*'Gübre oranlar'!AP$3</f>
        <v>0</v>
      </c>
      <c r="AN268">
        <f>'Kullanılan gübre'!AN268*'Gübre oranlar'!AQ$3</f>
        <v>0</v>
      </c>
      <c r="AO268">
        <f>'Kullanılan gübre'!AO268*'Gübre oranlar'!AR$3</f>
        <v>0</v>
      </c>
      <c r="AP268">
        <f>'Kullanılan gübre'!AP268*'Gübre oranlar'!AS$3</f>
        <v>0</v>
      </c>
      <c r="AQ268">
        <f>'Kullanılan gübre'!AQ268*'Gübre oranlar'!AT$3</f>
        <v>0</v>
      </c>
      <c r="AR268">
        <f>'Kullanılan gübre'!AR268*'Gübre oranlar'!AU$3</f>
        <v>0</v>
      </c>
      <c r="AS268">
        <f>'Kullanılan gübre'!AS268*'Gübre oranlar'!AV$3</f>
        <v>0</v>
      </c>
      <c r="AT268">
        <f>'Kullanılan gübre'!AT268*'Gübre oranlar'!AW$3</f>
        <v>0</v>
      </c>
      <c r="AU268">
        <f>'Kullanılan gübre'!AU268*'Gübre oranlar'!AX$3</f>
        <v>0</v>
      </c>
      <c r="AV268">
        <f>'Kullanılan gübre'!AV268*'Gübre oranlar'!AY$3</f>
        <v>0</v>
      </c>
      <c r="AW268">
        <f t="shared" si="4"/>
        <v>445.55899999999997</v>
      </c>
    </row>
    <row r="269" spans="1:49" x14ac:dyDescent="0.25">
      <c r="A269" t="str">
        <f>'Kullanılan gübre'!A269</f>
        <v>YI</v>
      </c>
      <c r="B269" t="str">
        <f>'Kullanılan gübre'!B269</f>
        <v>TOKAT</v>
      </c>
      <c r="C269" t="str">
        <f>'Kullanılan gübre'!C269</f>
        <v>YESILYURT</v>
      </c>
      <c r="D269">
        <f>'Kullanılan gübre'!D269</f>
        <v>2005</v>
      </c>
      <c r="E269">
        <f>'Kullanılan gübre'!E269*'Gübre oranlar'!H$3</f>
        <v>0</v>
      </c>
      <c r="F269">
        <f>'Kullanılan gübre'!F269*'Gübre oranlar'!I$3</f>
        <v>0</v>
      </c>
      <c r="G269">
        <f>'Kullanılan gübre'!G269*'Gübre oranlar'!J$3</f>
        <v>0</v>
      </c>
      <c r="H269">
        <f>'Kullanılan gübre'!H269*'Gübre oranlar'!K$3</f>
        <v>0</v>
      </c>
      <c r="I269">
        <f>'Kullanılan gübre'!I269*'Gübre oranlar'!L$3</f>
        <v>0</v>
      </c>
      <c r="J269">
        <f>'Kullanılan gübre'!J269*'Gübre oranlar'!M$3</f>
        <v>0</v>
      </c>
      <c r="K269">
        <f>'Kullanılan gübre'!K269*'Gübre oranlar'!N$3</f>
        <v>28.080000000000002</v>
      </c>
      <c r="L269">
        <f>'Kullanılan gübre'!L269*'Gübre oranlar'!O$3</f>
        <v>17.010000000000002</v>
      </c>
      <c r="M269">
        <f>'Kullanılan gübre'!M269*'Gübre oranlar'!P$3</f>
        <v>0</v>
      </c>
      <c r="N269">
        <f>'Kullanılan gübre'!N269*'Gübre oranlar'!Q$3</f>
        <v>0.89249999999999996</v>
      </c>
      <c r="O269">
        <f>'Kullanılan gübre'!O269*'Gübre oranlar'!R$3</f>
        <v>0</v>
      </c>
      <c r="P269">
        <f>'Kullanılan gübre'!P269*'Gübre oranlar'!S$3</f>
        <v>0</v>
      </c>
      <c r="Q269">
        <f>'Kullanılan gübre'!Q269*'Gübre oranlar'!T$3</f>
        <v>47.1</v>
      </c>
      <c r="R269">
        <f>'Kullanılan gübre'!R269*'Gübre oranlar'!U$3</f>
        <v>0</v>
      </c>
      <c r="S269">
        <f>'Kullanılan gübre'!S269*'Gübre oranlar'!V$3</f>
        <v>0</v>
      </c>
      <c r="T269">
        <f>'Kullanılan gübre'!T269*'Gübre oranlar'!W$3</f>
        <v>0</v>
      </c>
      <c r="U269">
        <f>'Kullanılan gübre'!U269*'Gübre oranlar'!X$3</f>
        <v>0</v>
      </c>
      <c r="V269">
        <f>'Kullanılan gübre'!V269*'Gübre oranlar'!Y$3</f>
        <v>0</v>
      </c>
      <c r="W269">
        <f>'Kullanılan gübre'!W269*'Gübre oranlar'!Z$3</f>
        <v>0</v>
      </c>
      <c r="X269">
        <f>'Kullanılan gübre'!X269*'Gübre oranlar'!AA$3</f>
        <v>0</v>
      </c>
      <c r="Y269">
        <f>'Kullanılan gübre'!Y269*'Gübre oranlar'!AB$3</f>
        <v>0</v>
      </c>
      <c r="Z269">
        <f>'Kullanılan gübre'!Z269*'Gübre oranlar'!AC$3</f>
        <v>0</v>
      </c>
      <c r="AA269">
        <f>'Kullanılan gübre'!AA269*'Gübre oranlar'!AD$3</f>
        <v>0</v>
      </c>
      <c r="AB269">
        <f>'Kullanılan gübre'!AB269*'Gübre oranlar'!AE$3</f>
        <v>0</v>
      </c>
      <c r="AC269">
        <f>'Kullanılan gübre'!AC269*'Gübre oranlar'!AF$3</f>
        <v>0</v>
      </c>
      <c r="AD269">
        <f>'Kullanılan gübre'!AD269*'Gübre oranlar'!AG$3</f>
        <v>0</v>
      </c>
      <c r="AE269">
        <f>'Kullanılan gübre'!AE269*'Gübre oranlar'!AH$3</f>
        <v>0</v>
      </c>
      <c r="AF269">
        <f>'Kullanılan gübre'!AF269*'Gübre oranlar'!AI$3</f>
        <v>0</v>
      </c>
      <c r="AG269">
        <f>'Kullanılan gübre'!AG269*'Gübre oranlar'!AJ$3</f>
        <v>0</v>
      </c>
      <c r="AH269">
        <f>'Kullanılan gübre'!AH269*'Gübre oranlar'!AK$3</f>
        <v>0</v>
      </c>
      <c r="AI269">
        <f>'Kullanılan gübre'!AI269*'Gübre oranlar'!AL$3</f>
        <v>0</v>
      </c>
      <c r="AJ269">
        <f>'Kullanılan gübre'!AJ269*'Gübre oranlar'!AM$3</f>
        <v>0</v>
      </c>
      <c r="AK269">
        <f>'Kullanılan gübre'!AK269*'Gübre oranlar'!AN$3</f>
        <v>0</v>
      </c>
      <c r="AL269">
        <f>'Kullanılan gübre'!AL269*'Gübre oranlar'!AO$3</f>
        <v>0</v>
      </c>
      <c r="AM269">
        <f>'Kullanılan gübre'!AM269*'Gübre oranlar'!AP$3</f>
        <v>0</v>
      </c>
      <c r="AN269">
        <f>'Kullanılan gübre'!AN269*'Gübre oranlar'!AQ$3</f>
        <v>0</v>
      </c>
      <c r="AO269">
        <f>'Kullanılan gübre'!AO269*'Gübre oranlar'!AR$3</f>
        <v>0</v>
      </c>
      <c r="AP269">
        <f>'Kullanılan gübre'!AP269*'Gübre oranlar'!AS$3</f>
        <v>0</v>
      </c>
      <c r="AQ269">
        <f>'Kullanılan gübre'!AQ269*'Gübre oranlar'!AT$3</f>
        <v>0</v>
      </c>
      <c r="AR269">
        <f>'Kullanılan gübre'!AR269*'Gübre oranlar'!AU$3</f>
        <v>0</v>
      </c>
      <c r="AS269">
        <f>'Kullanılan gübre'!AS269*'Gübre oranlar'!AV$3</f>
        <v>0</v>
      </c>
      <c r="AT269">
        <f>'Kullanılan gübre'!AT269*'Gübre oranlar'!AW$3</f>
        <v>0</v>
      </c>
      <c r="AU269">
        <f>'Kullanılan gübre'!AU269*'Gübre oranlar'!AX$3</f>
        <v>0</v>
      </c>
      <c r="AV269">
        <f>'Kullanılan gübre'!AV269*'Gübre oranlar'!AY$3</f>
        <v>0</v>
      </c>
      <c r="AW269">
        <f t="shared" si="4"/>
        <v>93.08250000000001</v>
      </c>
    </row>
    <row r="270" spans="1:49" x14ac:dyDescent="0.25">
      <c r="A270" t="str">
        <f>'Kullanılan gübre'!A270</f>
        <v>YI</v>
      </c>
      <c r="B270" t="str">
        <f>'Kullanılan gübre'!B270</f>
        <v>TOKAT</v>
      </c>
      <c r="C270" t="str">
        <f>'Kullanılan gübre'!C270</f>
        <v>ZILE</v>
      </c>
      <c r="D270">
        <f>'Kullanılan gübre'!D270</f>
        <v>2005</v>
      </c>
      <c r="E270">
        <f>'Kullanılan gübre'!E270*'Gübre oranlar'!H$3</f>
        <v>0</v>
      </c>
      <c r="F270">
        <f>'Kullanılan gübre'!F270*'Gübre oranlar'!I$3</f>
        <v>0</v>
      </c>
      <c r="G270">
        <f>'Kullanılan gübre'!G270*'Gübre oranlar'!J$3</f>
        <v>0</v>
      </c>
      <c r="H270">
        <f>'Kullanılan gübre'!H270*'Gübre oranlar'!K$3</f>
        <v>0</v>
      </c>
      <c r="I270">
        <f>'Kullanılan gübre'!I270*'Gübre oranlar'!L$3</f>
        <v>8.6</v>
      </c>
      <c r="J270">
        <f>'Kullanılan gübre'!J270*'Gübre oranlar'!M$3</f>
        <v>0</v>
      </c>
      <c r="K270">
        <f>'Kullanılan gübre'!K270*'Gübre oranlar'!N$3</f>
        <v>654.41000000000008</v>
      </c>
      <c r="L270">
        <f>'Kullanılan gübre'!L270*'Gübre oranlar'!O$3</f>
        <v>367.95000000000005</v>
      </c>
      <c r="M270">
        <f>'Kullanılan gübre'!M270*'Gübre oranlar'!P$3</f>
        <v>7.5</v>
      </c>
      <c r="N270">
        <f>'Kullanılan gübre'!N270*'Gübre oranlar'!Q$3</f>
        <v>0</v>
      </c>
      <c r="O270">
        <f>'Kullanılan gübre'!O270*'Gübre oranlar'!R$3</f>
        <v>0</v>
      </c>
      <c r="P270">
        <f>'Kullanılan gübre'!P270*'Gübre oranlar'!S$3</f>
        <v>0</v>
      </c>
      <c r="Q270">
        <f>'Kullanılan gübre'!Q270*'Gübre oranlar'!T$3</f>
        <v>0</v>
      </c>
      <c r="R270">
        <f>'Kullanılan gübre'!R270*'Gübre oranlar'!U$3</f>
        <v>76.14</v>
      </c>
      <c r="S270">
        <f>'Kullanılan gübre'!S270*'Gübre oranlar'!V$3</f>
        <v>0</v>
      </c>
      <c r="T270">
        <f>'Kullanılan gübre'!T270*'Gübre oranlar'!W$3</f>
        <v>0</v>
      </c>
      <c r="U270">
        <f>'Kullanılan gübre'!U270*'Gübre oranlar'!X$3</f>
        <v>0</v>
      </c>
      <c r="V270">
        <f>'Kullanılan gübre'!V270*'Gübre oranlar'!Y$3</f>
        <v>0</v>
      </c>
      <c r="W270">
        <f>'Kullanılan gübre'!W270*'Gübre oranlar'!Z$3</f>
        <v>0</v>
      </c>
      <c r="X270">
        <f>'Kullanılan gübre'!X270*'Gübre oranlar'!AA$3</f>
        <v>0</v>
      </c>
      <c r="Y270">
        <f>'Kullanılan gübre'!Y270*'Gübre oranlar'!AB$3</f>
        <v>0</v>
      </c>
      <c r="Z270">
        <f>'Kullanılan gübre'!Z270*'Gübre oranlar'!AC$3</f>
        <v>0</v>
      </c>
      <c r="AA270">
        <f>'Kullanılan gübre'!AA270*'Gübre oranlar'!AD$3</f>
        <v>0</v>
      </c>
      <c r="AB270">
        <f>'Kullanılan gübre'!AB270*'Gübre oranlar'!AE$3</f>
        <v>0</v>
      </c>
      <c r="AC270">
        <f>'Kullanılan gübre'!AC270*'Gübre oranlar'!AF$3</f>
        <v>0</v>
      </c>
      <c r="AD270">
        <f>'Kullanılan gübre'!AD270*'Gübre oranlar'!AG$3</f>
        <v>0</v>
      </c>
      <c r="AE270">
        <f>'Kullanılan gübre'!AE270*'Gübre oranlar'!AH$3</f>
        <v>0</v>
      </c>
      <c r="AF270">
        <f>'Kullanılan gübre'!AF270*'Gübre oranlar'!AI$3</f>
        <v>0</v>
      </c>
      <c r="AG270">
        <f>'Kullanılan gübre'!AG270*'Gübre oranlar'!AJ$3</f>
        <v>0</v>
      </c>
      <c r="AH270">
        <f>'Kullanılan gübre'!AH270*'Gübre oranlar'!AK$3</f>
        <v>0</v>
      </c>
      <c r="AI270">
        <f>'Kullanılan gübre'!AI270*'Gübre oranlar'!AL$3</f>
        <v>0</v>
      </c>
      <c r="AJ270">
        <f>'Kullanılan gübre'!AJ270*'Gübre oranlar'!AM$3</f>
        <v>0</v>
      </c>
      <c r="AK270">
        <f>'Kullanılan gübre'!AK270*'Gübre oranlar'!AN$3</f>
        <v>0</v>
      </c>
      <c r="AL270">
        <f>'Kullanılan gübre'!AL270*'Gübre oranlar'!AO$3</f>
        <v>0</v>
      </c>
      <c r="AM270">
        <f>'Kullanılan gübre'!AM270*'Gübre oranlar'!AP$3</f>
        <v>0</v>
      </c>
      <c r="AN270">
        <f>'Kullanılan gübre'!AN270*'Gübre oranlar'!AQ$3</f>
        <v>0</v>
      </c>
      <c r="AO270">
        <f>'Kullanılan gübre'!AO270*'Gübre oranlar'!AR$3</f>
        <v>0</v>
      </c>
      <c r="AP270">
        <f>'Kullanılan gübre'!AP270*'Gübre oranlar'!AS$3</f>
        <v>0</v>
      </c>
      <c r="AQ270">
        <f>'Kullanılan gübre'!AQ270*'Gübre oranlar'!AT$3</f>
        <v>0</v>
      </c>
      <c r="AR270">
        <f>'Kullanılan gübre'!AR270*'Gübre oranlar'!AU$3</f>
        <v>0</v>
      </c>
      <c r="AS270">
        <f>'Kullanılan gübre'!AS270*'Gübre oranlar'!AV$3</f>
        <v>0</v>
      </c>
      <c r="AT270">
        <f>'Kullanılan gübre'!AT270*'Gübre oranlar'!AW$3</f>
        <v>0</v>
      </c>
      <c r="AU270">
        <f>'Kullanılan gübre'!AU270*'Gübre oranlar'!AX$3</f>
        <v>0</v>
      </c>
      <c r="AV270">
        <f>'Kullanılan gübre'!AV270*'Gübre oranlar'!AY$3</f>
        <v>0</v>
      </c>
      <c r="AW270">
        <f t="shared" si="4"/>
        <v>1114.6000000000001</v>
      </c>
    </row>
    <row r="271" spans="1:49" x14ac:dyDescent="0.25">
      <c r="A271" t="str">
        <f>'Kullanılan gübre'!A271</f>
        <v>YI</v>
      </c>
      <c r="B271" t="str">
        <f>'Kullanılan gübre'!B271</f>
        <v>TOKAT</v>
      </c>
      <c r="C271" t="str">
        <f>'Kullanılan gübre'!C271</f>
        <v>MERKEZ</v>
      </c>
      <c r="D271">
        <f>'Kullanılan gübre'!D271</f>
        <v>2006</v>
      </c>
      <c r="E271">
        <f>'Kullanılan gübre'!E271*'Gübre oranlar'!H$3</f>
        <v>0</v>
      </c>
      <c r="F271">
        <f>'Kullanılan gübre'!F271*'Gübre oranlar'!I$3</f>
        <v>0</v>
      </c>
      <c r="G271">
        <f>'Kullanılan gübre'!G271*'Gübre oranlar'!J$3</f>
        <v>0</v>
      </c>
      <c r="H271">
        <f>'Kullanılan gübre'!H271*'Gübre oranlar'!K$3</f>
        <v>0</v>
      </c>
      <c r="I271">
        <f>'Kullanılan gübre'!I271*'Gübre oranlar'!L$3</f>
        <v>87.569500000000005</v>
      </c>
      <c r="J271">
        <f>'Kullanılan gübre'!J271*'Gübre oranlar'!M$3</f>
        <v>0</v>
      </c>
      <c r="K271">
        <f>'Kullanılan gübre'!K271*'Gübre oranlar'!N$3</f>
        <v>76.58</v>
      </c>
      <c r="L271">
        <f>'Kullanılan gübre'!L271*'Gübre oranlar'!O$3</f>
        <v>67.158000000000001</v>
      </c>
      <c r="M271">
        <f>'Kullanılan gübre'!M271*'Gübre oranlar'!P$3</f>
        <v>25.62</v>
      </c>
      <c r="N271">
        <f>'Kullanılan gübre'!N271*'Gübre oranlar'!Q$3</f>
        <v>42.140999999999998</v>
      </c>
      <c r="O271">
        <f>'Kullanılan gübre'!O271*'Gübre oranlar'!R$3</f>
        <v>0</v>
      </c>
      <c r="P271">
        <f>'Kullanılan gübre'!P271*'Gübre oranlar'!S$3</f>
        <v>0</v>
      </c>
      <c r="Q271">
        <f>'Kullanılan gübre'!Q271*'Gübre oranlar'!T$3</f>
        <v>113.05500000000001</v>
      </c>
      <c r="R271">
        <f>'Kullanılan gübre'!R271*'Gübre oranlar'!U$3</f>
        <v>1.7999999999999998</v>
      </c>
      <c r="S271">
        <f>'Kullanılan gübre'!S271*'Gübre oranlar'!V$3</f>
        <v>0</v>
      </c>
      <c r="T271">
        <f>'Kullanılan gübre'!T271*'Gübre oranlar'!W$3</f>
        <v>0</v>
      </c>
      <c r="U271">
        <f>'Kullanılan gübre'!U271*'Gübre oranlar'!X$3</f>
        <v>0</v>
      </c>
      <c r="V271">
        <f>'Kullanılan gübre'!V271*'Gübre oranlar'!Y$3</f>
        <v>0</v>
      </c>
      <c r="W271">
        <f>'Kullanılan gübre'!W271*'Gübre oranlar'!Z$3</f>
        <v>0</v>
      </c>
      <c r="X271">
        <f>'Kullanılan gübre'!X271*'Gübre oranlar'!AA$3</f>
        <v>0</v>
      </c>
      <c r="Y271">
        <f>'Kullanılan gübre'!Y271*'Gübre oranlar'!AB$3</f>
        <v>0</v>
      </c>
      <c r="Z271">
        <f>'Kullanılan gübre'!Z271*'Gübre oranlar'!AC$3</f>
        <v>0</v>
      </c>
      <c r="AA271">
        <f>'Kullanılan gübre'!AA271*'Gübre oranlar'!AD$3</f>
        <v>0</v>
      </c>
      <c r="AB271">
        <f>'Kullanılan gübre'!AB271*'Gübre oranlar'!AE$3</f>
        <v>0</v>
      </c>
      <c r="AC271">
        <f>'Kullanılan gübre'!AC271*'Gübre oranlar'!AF$3</f>
        <v>0</v>
      </c>
      <c r="AD271">
        <f>'Kullanılan gübre'!AD271*'Gübre oranlar'!AG$3</f>
        <v>0</v>
      </c>
      <c r="AE271">
        <f>'Kullanılan gübre'!AE271*'Gübre oranlar'!AH$3</f>
        <v>0</v>
      </c>
      <c r="AF271">
        <f>'Kullanılan gübre'!AF271*'Gübre oranlar'!AI$3</f>
        <v>0</v>
      </c>
      <c r="AG271">
        <f>'Kullanılan gübre'!AG271*'Gübre oranlar'!AJ$3</f>
        <v>0</v>
      </c>
      <c r="AH271">
        <f>'Kullanılan gübre'!AH271*'Gübre oranlar'!AK$3</f>
        <v>0</v>
      </c>
      <c r="AI271">
        <f>'Kullanılan gübre'!AI271*'Gübre oranlar'!AL$3</f>
        <v>0</v>
      </c>
      <c r="AJ271">
        <f>'Kullanılan gübre'!AJ271*'Gübre oranlar'!AM$3</f>
        <v>0</v>
      </c>
      <c r="AK271">
        <f>'Kullanılan gübre'!AK271*'Gübre oranlar'!AN$3</f>
        <v>0</v>
      </c>
      <c r="AL271">
        <f>'Kullanılan gübre'!AL271*'Gübre oranlar'!AO$3</f>
        <v>0</v>
      </c>
      <c r="AM271">
        <f>'Kullanılan gübre'!AM271*'Gübre oranlar'!AP$3</f>
        <v>0</v>
      </c>
      <c r="AN271">
        <f>'Kullanılan gübre'!AN271*'Gübre oranlar'!AQ$3</f>
        <v>0</v>
      </c>
      <c r="AO271">
        <f>'Kullanılan gübre'!AO271*'Gübre oranlar'!AR$3</f>
        <v>0</v>
      </c>
      <c r="AP271">
        <f>'Kullanılan gübre'!AP271*'Gübre oranlar'!AS$3</f>
        <v>0</v>
      </c>
      <c r="AQ271">
        <f>'Kullanılan gübre'!AQ271*'Gübre oranlar'!AT$3</f>
        <v>0</v>
      </c>
      <c r="AR271">
        <f>'Kullanılan gübre'!AR271*'Gübre oranlar'!AU$3</f>
        <v>0</v>
      </c>
      <c r="AS271">
        <f>'Kullanılan gübre'!AS271*'Gübre oranlar'!AV$3</f>
        <v>0</v>
      </c>
      <c r="AT271">
        <f>'Kullanılan gübre'!AT271*'Gübre oranlar'!AW$3</f>
        <v>0</v>
      </c>
      <c r="AU271">
        <f>'Kullanılan gübre'!AU271*'Gübre oranlar'!AX$3</f>
        <v>0</v>
      </c>
      <c r="AV271">
        <f>'Kullanılan gübre'!AV271*'Gübre oranlar'!AY$3</f>
        <v>0</v>
      </c>
      <c r="AW271">
        <f t="shared" si="4"/>
        <v>413.92350000000005</v>
      </c>
    </row>
    <row r="272" spans="1:49" x14ac:dyDescent="0.25">
      <c r="A272" t="str">
        <f>'Kullanılan gübre'!A272</f>
        <v>YI</v>
      </c>
      <c r="B272" t="str">
        <f>'Kullanılan gübre'!B272</f>
        <v>TOKAT</v>
      </c>
      <c r="C272" t="str">
        <f>'Kullanılan gübre'!C272</f>
        <v>ALMUS</v>
      </c>
      <c r="D272">
        <f>'Kullanılan gübre'!D272</f>
        <v>2006</v>
      </c>
      <c r="E272">
        <f>'Kullanılan gübre'!E272*'Gübre oranlar'!H$3</f>
        <v>0</v>
      </c>
      <c r="F272">
        <f>'Kullanılan gübre'!F272*'Gübre oranlar'!I$3</f>
        <v>0</v>
      </c>
      <c r="G272">
        <f>'Kullanılan gübre'!G272*'Gübre oranlar'!J$3</f>
        <v>0</v>
      </c>
      <c r="H272">
        <f>'Kullanılan gübre'!H272*'Gübre oranlar'!K$3</f>
        <v>0</v>
      </c>
      <c r="I272">
        <f>'Kullanılan gübre'!I272*'Gübre oranlar'!L$3</f>
        <v>0</v>
      </c>
      <c r="J272">
        <f>'Kullanılan gübre'!J272*'Gübre oranlar'!M$3</f>
        <v>0</v>
      </c>
      <c r="K272">
        <f>'Kullanılan gübre'!K272*'Gübre oranlar'!N$3</f>
        <v>0</v>
      </c>
      <c r="L272">
        <f>'Kullanılan gübre'!L272*'Gübre oranlar'!O$3</f>
        <v>0</v>
      </c>
      <c r="M272">
        <f>'Kullanılan gübre'!M272*'Gübre oranlar'!P$3</f>
        <v>0</v>
      </c>
      <c r="N272">
        <f>'Kullanılan gübre'!N272*'Gübre oranlar'!Q$3</f>
        <v>0</v>
      </c>
      <c r="O272">
        <f>'Kullanılan gübre'!O272*'Gübre oranlar'!R$3</f>
        <v>0</v>
      </c>
      <c r="P272">
        <f>'Kullanılan gübre'!P272*'Gübre oranlar'!S$3</f>
        <v>0</v>
      </c>
      <c r="Q272">
        <f>'Kullanılan gübre'!Q272*'Gübre oranlar'!T$3</f>
        <v>0</v>
      </c>
      <c r="R272">
        <f>'Kullanılan gübre'!R272*'Gübre oranlar'!U$3</f>
        <v>0</v>
      </c>
      <c r="S272">
        <f>'Kullanılan gübre'!S272*'Gübre oranlar'!V$3</f>
        <v>0</v>
      </c>
      <c r="T272">
        <f>'Kullanılan gübre'!T272*'Gübre oranlar'!W$3</f>
        <v>0</v>
      </c>
      <c r="U272">
        <f>'Kullanılan gübre'!U272*'Gübre oranlar'!X$3</f>
        <v>0</v>
      </c>
      <c r="V272">
        <f>'Kullanılan gübre'!V272*'Gübre oranlar'!Y$3</f>
        <v>0</v>
      </c>
      <c r="W272">
        <f>'Kullanılan gübre'!W272*'Gübre oranlar'!Z$3</f>
        <v>0</v>
      </c>
      <c r="X272">
        <f>'Kullanılan gübre'!X272*'Gübre oranlar'!AA$3</f>
        <v>0</v>
      </c>
      <c r="Y272">
        <f>'Kullanılan gübre'!Y272*'Gübre oranlar'!AB$3</f>
        <v>0</v>
      </c>
      <c r="Z272">
        <f>'Kullanılan gübre'!Z272*'Gübre oranlar'!AC$3</f>
        <v>0</v>
      </c>
      <c r="AA272">
        <f>'Kullanılan gübre'!AA272*'Gübre oranlar'!AD$3</f>
        <v>0</v>
      </c>
      <c r="AB272">
        <f>'Kullanılan gübre'!AB272*'Gübre oranlar'!AE$3</f>
        <v>0</v>
      </c>
      <c r="AC272">
        <f>'Kullanılan gübre'!AC272*'Gübre oranlar'!AF$3</f>
        <v>0</v>
      </c>
      <c r="AD272">
        <f>'Kullanılan gübre'!AD272*'Gübre oranlar'!AG$3</f>
        <v>0</v>
      </c>
      <c r="AE272">
        <f>'Kullanılan gübre'!AE272*'Gübre oranlar'!AH$3</f>
        <v>0</v>
      </c>
      <c r="AF272">
        <f>'Kullanılan gübre'!AF272*'Gübre oranlar'!AI$3</f>
        <v>0</v>
      </c>
      <c r="AG272">
        <f>'Kullanılan gübre'!AG272*'Gübre oranlar'!AJ$3</f>
        <v>0</v>
      </c>
      <c r="AH272">
        <f>'Kullanılan gübre'!AH272*'Gübre oranlar'!AK$3</f>
        <v>0</v>
      </c>
      <c r="AI272">
        <f>'Kullanılan gübre'!AI272*'Gübre oranlar'!AL$3</f>
        <v>0</v>
      </c>
      <c r="AJ272">
        <f>'Kullanılan gübre'!AJ272*'Gübre oranlar'!AM$3</f>
        <v>0</v>
      </c>
      <c r="AK272">
        <f>'Kullanılan gübre'!AK272*'Gübre oranlar'!AN$3</f>
        <v>0</v>
      </c>
      <c r="AL272">
        <f>'Kullanılan gübre'!AL272*'Gübre oranlar'!AO$3</f>
        <v>0</v>
      </c>
      <c r="AM272">
        <f>'Kullanılan gübre'!AM272*'Gübre oranlar'!AP$3</f>
        <v>0</v>
      </c>
      <c r="AN272">
        <f>'Kullanılan gübre'!AN272*'Gübre oranlar'!AQ$3</f>
        <v>0</v>
      </c>
      <c r="AO272">
        <f>'Kullanılan gübre'!AO272*'Gübre oranlar'!AR$3</f>
        <v>0</v>
      </c>
      <c r="AP272">
        <f>'Kullanılan gübre'!AP272*'Gübre oranlar'!AS$3</f>
        <v>0</v>
      </c>
      <c r="AQ272">
        <f>'Kullanılan gübre'!AQ272*'Gübre oranlar'!AT$3</f>
        <v>0</v>
      </c>
      <c r="AR272">
        <f>'Kullanılan gübre'!AR272*'Gübre oranlar'!AU$3</f>
        <v>0</v>
      </c>
      <c r="AS272">
        <f>'Kullanılan gübre'!AS272*'Gübre oranlar'!AV$3</f>
        <v>0</v>
      </c>
      <c r="AT272">
        <f>'Kullanılan gübre'!AT272*'Gübre oranlar'!AW$3</f>
        <v>0</v>
      </c>
      <c r="AU272">
        <f>'Kullanılan gübre'!AU272*'Gübre oranlar'!AX$3</f>
        <v>0</v>
      </c>
      <c r="AV272">
        <f>'Kullanılan gübre'!AV272*'Gübre oranlar'!AY$3</f>
        <v>0</v>
      </c>
      <c r="AW272">
        <f t="shared" si="4"/>
        <v>0</v>
      </c>
    </row>
    <row r="273" spans="1:49" x14ac:dyDescent="0.25">
      <c r="A273" t="str">
        <f>'Kullanılan gübre'!A273</f>
        <v>YI</v>
      </c>
      <c r="B273" t="str">
        <f>'Kullanılan gübre'!B273</f>
        <v>TOKAT</v>
      </c>
      <c r="C273" t="str">
        <f>'Kullanılan gübre'!C273</f>
        <v>ARTOVA</v>
      </c>
      <c r="D273">
        <f>'Kullanılan gübre'!D273</f>
        <v>2006</v>
      </c>
      <c r="E273">
        <f>'Kullanılan gübre'!E273*'Gübre oranlar'!H$3</f>
        <v>0</v>
      </c>
      <c r="F273">
        <f>'Kullanılan gübre'!F273*'Gübre oranlar'!I$3</f>
        <v>0</v>
      </c>
      <c r="G273">
        <f>'Kullanılan gübre'!G273*'Gübre oranlar'!J$3</f>
        <v>0</v>
      </c>
      <c r="H273">
        <f>'Kullanılan gübre'!H273*'Gübre oranlar'!K$3</f>
        <v>0</v>
      </c>
      <c r="I273">
        <f>'Kullanılan gübre'!I273*'Gübre oranlar'!L$3</f>
        <v>0</v>
      </c>
      <c r="J273">
        <f>'Kullanılan gübre'!J273*'Gübre oranlar'!M$3</f>
        <v>0</v>
      </c>
      <c r="K273">
        <f>'Kullanılan gübre'!K273*'Gübre oranlar'!N$3</f>
        <v>27.110000000000003</v>
      </c>
      <c r="L273">
        <f>'Kullanılan gübre'!L273*'Gübre oranlar'!O$3</f>
        <v>3.69</v>
      </c>
      <c r="M273">
        <f>'Kullanılan gübre'!M273*'Gübre oranlar'!P$3</f>
        <v>0</v>
      </c>
      <c r="N273">
        <f>'Kullanılan gübre'!N273*'Gübre oranlar'!Q$3</f>
        <v>0</v>
      </c>
      <c r="O273">
        <f>'Kullanılan gübre'!O273*'Gübre oranlar'!R$3</f>
        <v>0</v>
      </c>
      <c r="P273">
        <f>'Kullanılan gübre'!P273*'Gübre oranlar'!S$3</f>
        <v>0</v>
      </c>
      <c r="Q273">
        <f>'Kullanılan gübre'!Q273*'Gübre oranlar'!T$3</f>
        <v>0</v>
      </c>
      <c r="R273">
        <f>'Kullanılan gübre'!R273*'Gübre oranlar'!U$3</f>
        <v>0</v>
      </c>
      <c r="S273">
        <f>'Kullanılan gübre'!S273*'Gübre oranlar'!V$3</f>
        <v>0</v>
      </c>
      <c r="T273">
        <f>'Kullanılan gübre'!T273*'Gübre oranlar'!W$3</f>
        <v>0</v>
      </c>
      <c r="U273">
        <f>'Kullanılan gübre'!U273*'Gübre oranlar'!X$3</f>
        <v>0</v>
      </c>
      <c r="V273">
        <f>'Kullanılan gübre'!V273*'Gübre oranlar'!Y$3</f>
        <v>0</v>
      </c>
      <c r="W273">
        <f>'Kullanılan gübre'!W273*'Gübre oranlar'!Z$3</f>
        <v>0</v>
      </c>
      <c r="X273">
        <f>'Kullanılan gübre'!X273*'Gübre oranlar'!AA$3</f>
        <v>0</v>
      </c>
      <c r="Y273">
        <f>'Kullanılan gübre'!Y273*'Gübre oranlar'!AB$3</f>
        <v>0</v>
      </c>
      <c r="Z273">
        <f>'Kullanılan gübre'!Z273*'Gübre oranlar'!AC$3</f>
        <v>0</v>
      </c>
      <c r="AA273">
        <f>'Kullanılan gübre'!AA273*'Gübre oranlar'!AD$3</f>
        <v>0</v>
      </c>
      <c r="AB273">
        <f>'Kullanılan gübre'!AB273*'Gübre oranlar'!AE$3</f>
        <v>0</v>
      </c>
      <c r="AC273">
        <f>'Kullanılan gübre'!AC273*'Gübre oranlar'!AF$3</f>
        <v>0</v>
      </c>
      <c r="AD273">
        <f>'Kullanılan gübre'!AD273*'Gübre oranlar'!AG$3</f>
        <v>0</v>
      </c>
      <c r="AE273">
        <f>'Kullanılan gübre'!AE273*'Gübre oranlar'!AH$3</f>
        <v>0</v>
      </c>
      <c r="AF273">
        <f>'Kullanılan gübre'!AF273*'Gübre oranlar'!AI$3</f>
        <v>0</v>
      </c>
      <c r="AG273">
        <f>'Kullanılan gübre'!AG273*'Gübre oranlar'!AJ$3</f>
        <v>0</v>
      </c>
      <c r="AH273">
        <f>'Kullanılan gübre'!AH273*'Gübre oranlar'!AK$3</f>
        <v>0</v>
      </c>
      <c r="AI273">
        <f>'Kullanılan gübre'!AI273*'Gübre oranlar'!AL$3</f>
        <v>0</v>
      </c>
      <c r="AJ273">
        <f>'Kullanılan gübre'!AJ273*'Gübre oranlar'!AM$3</f>
        <v>0</v>
      </c>
      <c r="AK273">
        <f>'Kullanılan gübre'!AK273*'Gübre oranlar'!AN$3</f>
        <v>0</v>
      </c>
      <c r="AL273">
        <f>'Kullanılan gübre'!AL273*'Gübre oranlar'!AO$3</f>
        <v>0</v>
      </c>
      <c r="AM273">
        <f>'Kullanılan gübre'!AM273*'Gübre oranlar'!AP$3</f>
        <v>0</v>
      </c>
      <c r="AN273">
        <f>'Kullanılan gübre'!AN273*'Gübre oranlar'!AQ$3</f>
        <v>0</v>
      </c>
      <c r="AO273">
        <f>'Kullanılan gübre'!AO273*'Gübre oranlar'!AR$3</f>
        <v>0</v>
      </c>
      <c r="AP273">
        <f>'Kullanılan gübre'!AP273*'Gübre oranlar'!AS$3</f>
        <v>0</v>
      </c>
      <c r="AQ273">
        <f>'Kullanılan gübre'!AQ273*'Gübre oranlar'!AT$3</f>
        <v>0</v>
      </c>
      <c r="AR273">
        <f>'Kullanılan gübre'!AR273*'Gübre oranlar'!AU$3</f>
        <v>0</v>
      </c>
      <c r="AS273">
        <f>'Kullanılan gübre'!AS273*'Gübre oranlar'!AV$3</f>
        <v>0</v>
      </c>
      <c r="AT273">
        <f>'Kullanılan gübre'!AT273*'Gübre oranlar'!AW$3</f>
        <v>0</v>
      </c>
      <c r="AU273">
        <f>'Kullanılan gübre'!AU273*'Gübre oranlar'!AX$3</f>
        <v>0</v>
      </c>
      <c r="AV273">
        <f>'Kullanılan gübre'!AV273*'Gübre oranlar'!AY$3</f>
        <v>0</v>
      </c>
      <c r="AW273">
        <f t="shared" si="4"/>
        <v>30.800000000000004</v>
      </c>
    </row>
    <row r="274" spans="1:49" x14ac:dyDescent="0.25">
      <c r="A274" t="str">
        <f>'Kullanılan gübre'!A274</f>
        <v>YI</v>
      </c>
      <c r="B274" t="str">
        <f>'Kullanılan gübre'!B274</f>
        <v>TOKAT</v>
      </c>
      <c r="C274" t="str">
        <f>'Kullanılan gübre'!C274</f>
        <v>BASCIFTLIK</v>
      </c>
      <c r="D274">
        <f>'Kullanılan gübre'!D274</f>
        <v>2006</v>
      </c>
      <c r="E274">
        <f>'Kullanılan gübre'!E274*'Gübre oranlar'!H$3</f>
        <v>0</v>
      </c>
      <c r="F274">
        <f>'Kullanılan gübre'!F274*'Gübre oranlar'!I$3</f>
        <v>0</v>
      </c>
      <c r="G274">
        <f>'Kullanılan gübre'!G274*'Gübre oranlar'!J$3</f>
        <v>0</v>
      </c>
      <c r="H274">
        <f>'Kullanılan gübre'!H274*'Gübre oranlar'!K$3</f>
        <v>0</v>
      </c>
      <c r="I274">
        <f>'Kullanılan gübre'!I274*'Gübre oranlar'!L$3</f>
        <v>0</v>
      </c>
      <c r="J274">
        <f>'Kullanılan gübre'!J274*'Gübre oranlar'!M$3</f>
        <v>0</v>
      </c>
      <c r="K274">
        <f>'Kullanılan gübre'!K274*'Gübre oranlar'!N$3</f>
        <v>0</v>
      </c>
      <c r="L274">
        <f>'Kullanılan gübre'!L274*'Gübre oranlar'!O$3</f>
        <v>0</v>
      </c>
      <c r="M274">
        <f>'Kullanılan gübre'!M274*'Gübre oranlar'!P$3</f>
        <v>0</v>
      </c>
      <c r="N274">
        <f>'Kullanılan gübre'!N274*'Gübre oranlar'!Q$3</f>
        <v>0</v>
      </c>
      <c r="O274">
        <f>'Kullanılan gübre'!O274*'Gübre oranlar'!R$3</f>
        <v>0</v>
      </c>
      <c r="P274">
        <f>'Kullanılan gübre'!P274*'Gübre oranlar'!S$3</f>
        <v>0</v>
      </c>
      <c r="Q274">
        <f>'Kullanılan gübre'!Q274*'Gübre oranlar'!T$3</f>
        <v>0</v>
      </c>
      <c r="R274">
        <f>'Kullanılan gübre'!R274*'Gübre oranlar'!U$3</f>
        <v>0</v>
      </c>
      <c r="S274">
        <f>'Kullanılan gübre'!S274*'Gübre oranlar'!V$3</f>
        <v>0</v>
      </c>
      <c r="T274">
        <f>'Kullanılan gübre'!T274*'Gübre oranlar'!W$3</f>
        <v>0</v>
      </c>
      <c r="U274">
        <f>'Kullanılan gübre'!U274*'Gübre oranlar'!X$3</f>
        <v>0</v>
      </c>
      <c r="V274">
        <f>'Kullanılan gübre'!V274*'Gübre oranlar'!Y$3</f>
        <v>0</v>
      </c>
      <c r="W274">
        <f>'Kullanılan gübre'!W274*'Gübre oranlar'!Z$3</f>
        <v>0</v>
      </c>
      <c r="X274">
        <f>'Kullanılan gübre'!X274*'Gübre oranlar'!AA$3</f>
        <v>0</v>
      </c>
      <c r="Y274">
        <f>'Kullanılan gübre'!Y274*'Gübre oranlar'!AB$3</f>
        <v>0</v>
      </c>
      <c r="Z274">
        <f>'Kullanılan gübre'!Z274*'Gübre oranlar'!AC$3</f>
        <v>0</v>
      </c>
      <c r="AA274">
        <f>'Kullanılan gübre'!AA274*'Gübre oranlar'!AD$3</f>
        <v>0</v>
      </c>
      <c r="AB274">
        <f>'Kullanılan gübre'!AB274*'Gübre oranlar'!AE$3</f>
        <v>0</v>
      </c>
      <c r="AC274">
        <f>'Kullanılan gübre'!AC274*'Gübre oranlar'!AF$3</f>
        <v>0</v>
      </c>
      <c r="AD274">
        <f>'Kullanılan gübre'!AD274*'Gübre oranlar'!AG$3</f>
        <v>0</v>
      </c>
      <c r="AE274">
        <f>'Kullanılan gübre'!AE274*'Gübre oranlar'!AH$3</f>
        <v>0</v>
      </c>
      <c r="AF274">
        <f>'Kullanılan gübre'!AF274*'Gübre oranlar'!AI$3</f>
        <v>0</v>
      </c>
      <c r="AG274">
        <f>'Kullanılan gübre'!AG274*'Gübre oranlar'!AJ$3</f>
        <v>0</v>
      </c>
      <c r="AH274">
        <f>'Kullanılan gübre'!AH274*'Gübre oranlar'!AK$3</f>
        <v>0</v>
      </c>
      <c r="AI274">
        <f>'Kullanılan gübre'!AI274*'Gübre oranlar'!AL$3</f>
        <v>0</v>
      </c>
      <c r="AJ274">
        <f>'Kullanılan gübre'!AJ274*'Gübre oranlar'!AM$3</f>
        <v>0</v>
      </c>
      <c r="AK274">
        <f>'Kullanılan gübre'!AK274*'Gübre oranlar'!AN$3</f>
        <v>0</v>
      </c>
      <c r="AL274">
        <f>'Kullanılan gübre'!AL274*'Gübre oranlar'!AO$3</f>
        <v>0</v>
      </c>
      <c r="AM274">
        <f>'Kullanılan gübre'!AM274*'Gübre oranlar'!AP$3</f>
        <v>0</v>
      </c>
      <c r="AN274">
        <f>'Kullanılan gübre'!AN274*'Gübre oranlar'!AQ$3</f>
        <v>0</v>
      </c>
      <c r="AO274">
        <f>'Kullanılan gübre'!AO274*'Gübre oranlar'!AR$3</f>
        <v>0</v>
      </c>
      <c r="AP274">
        <f>'Kullanılan gübre'!AP274*'Gübre oranlar'!AS$3</f>
        <v>0</v>
      </c>
      <c r="AQ274">
        <f>'Kullanılan gübre'!AQ274*'Gübre oranlar'!AT$3</f>
        <v>0</v>
      </c>
      <c r="AR274">
        <f>'Kullanılan gübre'!AR274*'Gübre oranlar'!AU$3</f>
        <v>0</v>
      </c>
      <c r="AS274">
        <f>'Kullanılan gübre'!AS274*'Gübre oranlar'!AV$3</f>
        <v>0</v>
      </c>
      <c r="AT274">
        <f>'Kullanılan gübre'!AT274*'Gübre oranlar'!AW$3</f>
        <v>0</v>
      </c>
      <c r="AU274">
        <f>'Kullanılan gübre'!AU274*'Gübre oranlar'!AX$3</f>
        <v>0</v>
      </c>
      <c r="AV274">
        <f>'Kullanılan gübre'!AV274*'Gübre oranlar'!AY$3</f>
        <v>0</v>
      </c>
      <c r="AW274">
        <f t="shared" si="4"/>
        <v>0</v>
      </c>
    </row>
    <row r="275" spans="1:49" x14ac:dyDescent="0.25">
      <c r="A275" t="str">
        <f>'Kullanılan gübre'!A275</f>
        <v>YI</v>
      </c>
      <c r="B275" t="str">
        <f>'Kullanılan gübre'!B275</f>
        <v>TOKAT</v>
      </c>
      <c r="C275" t="str">
        <f>'Kullanılan gübre'!C275</f>
        <v>ERBAA</v>
      </c>
      <c r="D275">
        <f>'Kullanılan gübre'!D275</f>
        <v>2006</v>
      </c>
      <c r="E275">
        <f>'Kullanılan gübre'!E275*'Gübre oranlar'!H$3</f>
        <v>0</v>
      </c>
      <c r="F275">
        <f>'Kullanılan gübre'!F275*'Gübre oranlar'!I$3</f>
        <v>0</v>
      </c>
      <c r="G275">
        <f>'Kullanılan gübre'!G275*'Gübre oranlar'!J$3</f>
        <v>0</v>
      </c>
      <c r="H275">
        <f>'Kullanılan gübre'!H275*'Gübre oranlar'!K$3</f>
        <v>0</v>
      </c>
      <c r="I275">
        <f>'Kullanılan gübre'!I275*'Gübre oranlar'!L$3</f>
        <v>0</v>
      </c>
      <c r="J275">
        <f>'Kullanılan gübre'!J275*'Gübre oranlar'!M$3</f>
        <v>0</v>
      </c>
      <c r="K275">
        <f>'Kullanılan gübre'!K275*'Gübre oranlar'!N$3</f>
        <v>196.89000000000001</v>
      </c>
      <c r="L275">
        <f>'Kullanılan gübre'!L275*'Gübre oranlar'!O$3</f>
        <v>0</v>
      </c>
      <c r="M275">
        <f>'Kullanılan gübre'!M275*'Gübre oranlar'!P$3</f>
        <v>190.11750000000001</v>
      </c>
      <c r="N275">
        <f>'Kullanılan gübre'!N275*'Gübre oranlar'!Q$3</f>
        <v>0</v>
      </c>
      <c r="O275">
        <f>'Kullanılan gübre'!O275*'Gübre oranlar'!R$3</f>
        <v>0</v>
      </c>
      <c r="P275">
        <f>'Kullanılan gübre'!P275*'Gübre oranlar'!S$3</f>
        <v>0</v>
      </c>
      <c r="Q275">
        <f>'Kullanılan gübre'!Q275*'Gübre oranlar'!T$3</f>
        <v>0</v>
      </c>
      <c r="R275">
        <f>'Kullanılan gübre'!R275*'Gübre oranlar'!U$3</f>
        <v>0</v>
      </c>
      <c r="S275">
        <f>'Kullanılan gübre'!S275*'Gübre oranlar'!V$3</f>
        <v>0</v>
      </c>
      <c r="T275">
        <f>'Kullanılan gübre'!T275*'Gübre oranlar'!W$3</f>
        <v>0</v>
      </c>
      <c r="U275">
        <f>'Kullanılan gübre'!U275*'Gübre oranlar'!X$3</f>
        <v>0</v>
      </c>
      <c r="V275">
        <f>'Kullanılan gübre'!V275*'Gübre oranlar'!Y$3</f>
        <v>0</v>
      </c>
      <c r="W275">
        <f>'Kullanılan gübre'!W275*'Gübre oranlar'!Z$3</f>
        <v>0</v>
      </c>
      <c r="X275">
        <f>'Kullanılan gübre'!X275*'Gübre oranlar'!AA$3</f>
        <v>0</v>
      </c>
      <c r="Y275">
        <f>'Kullanılan gübre'!Y275*'Gübre oranlar'!AB$3</f>
        <v>0</v>
      </c>
      <c r="Z275">
        <f>'Kullanılan gübre'!Z275*'Gübre oranlar'!AC$3</f>
        <v>0</v>
      </c>
      <c r="AA275">
        <f>'Kullanılan gübre'!AA275*'Gübre oranlar'!AD$3</f>
        <v>0</v>
      </c>
      <c r="AB275">
        <f>'Kullanılan gübre'!AB275*'Gübre oranlar'!AE$3</f>
        <v>0</v>
      </c>
      <c r="AC275">
        <f>'Kullanılan gübre'!AC275*'Gübre oranlar'!AF$3</f>
        <v>0</v>
      </c>
      <c r="AD275">
        <f>'Kullanılan gübre'!AD275*'Gübre oranlar'!AG$3</f>
        <v>0</v>
      </c>
      <c r="AE275">
        <f>'Kullanılan gübre'!AE275*'Gübre oranlar'!AH$3</f>
        <v>0</v>
      </c>
      <c r="AF275">
        <f>'Kullanılan gübre'!AF275*'Gübre oranlar'!AI$3</f>
        <v>0</v>
      </c>
      <c r="AG275">
        <f>'Kullanılan gübre'!AG275*'Gübre oranlar'!AJ$3</f>
        <v>0</v>
      </c>
      <c r="AH275">
        <f>'Kullanılan gübre'!AH275*'Gübre oranlar'!AK$3</f>
        <v>0</v>
      </c>
      <c r="AI275">
        <f>'Kullanılan gübre'!AI275*'Gübre oranlar'!AL$3</f>
        <v>0</v>
      </c>
      <c r="AJ275">
        <f>'Kullanılan gübre'!AJ275*'Gübre oranlar'!AM$3</f>
        <v>0</v>
      </c>
      <c r="AK275">
        <f>'Kullanılan gübre'!AK275*'Gübre oranlar'!AN$3</f>
        <v>0</v>
      </c>
      <c r="AL275">
        <f>'Kullanılan gübre'!AL275*'Gübre oranlar'!AO$3</f>
        <v>0</v>
      </c>
      <c r="AM275">
        <f>'Kullanılan gübre'!AM275*'Gübre oranlar'!AP$3</f>
        <v>0</v>
      </c>
      <c r="AN275">
        <f>'Kullanılan gübre'!AN275*'Gübre oranlar'!AQ$3</f>
        <v>0</v>
      </c>
      <c r="AO275">
        <f>'Kullanılan gübre'!AO275*'Gübre oranlar'!AR$3</f>
        <v>0</v>
      </c>
      <c r="AP275">
        <f>'Kullanılan gübre'!AP275*'Gübre oranlar'!AS$3</f>
        <v>0</v>
      </c>
      <c r="AQ275">
        <f>'Kullanılan gübre'!AQ275*'Gübre oranlar'!AT$3</f>
        <v>0</v>
      </c>
      <c r="AR275">
        <f>'Kullanılan gübre'!AR275*'Gübre oranlar'!AU$3</f>
        <v>0</v>
      </c>
      <c r="AS275">
        <f>'Kullanılan gübre'!AS275*'Gübre oranlar'!AV$3</f>
        <v>0</v>
      </c>
      <c r="AT275">
        <f>'Kullanılan gübre'!AT275*'Gübre oranlar'!AW$3</f>
        <v>0</v>
      </c>
      <c r="AU275">
        <f>'Kullanılan gübre'!AU275*'Gübre oranlar'!AX$3</f>
        <v>0</v>
      </c>
      <c r="AV275">
        <f>'Kullanılan gübre'!AV275*'Gübre oranlar'!AY$3</f>
        <v>0</v>
      </c>
      <c r="AW275">
        <f t="shared" si="4"/>
        <v>387.00750000000005</v>
      </c>
    </row>
    <row r="276" spans="1:49" x14ac:dyDescent="0.25">
      <c r="A276" t="str">
        <f>'Kullanılan gübre'!A276</f>
        <v>YI</v>
      </c>
      <c r="B276" t="str">
        <f>'Kullanılan gübre'!B276</f>
        <v>TOKAT</v>
      </c>
      <c r="C276" t="str">
        <f>'Kullanılan gübre'!C276</f>
        <v>NIKSAR</v>
      </c>
      <c r="D276">
        <f>'Kullanılan gübre'!D276</f>
        <v>2006</v>
      </c>
      <c r="E276">
        <f>'Kullanılan gübre'!E276*'Gübre oranlar'!H$3</f>
        <v>0</v>
      </c>
      <c r="F276">
        <f>'Kullanılan gübre'!F276*'Gübre oranlar'!I$3</f>
        <v>0</v>
      </c>
      <c r="G276">
        <f>'Kullanılan gübre'!G276*'Gübre oranlar'!J$3</f>
        <v>0</v>
      </c>
      <c r="H276">
        <f>'Kullanılan gübre'!H276*'Gübre oranlar'!K$3</f>
        <v>0</v>
      </c>
      <c r="I276">
        <f>'Kullanılan gübre'!I276*'Gübre oranlar'!L$3</f>
        <v>0</v>
      </c>
      <c r="J276">
        <f>'Kullanılan gübre'!J276*'Gübre oranlar'!M$3</f>
        <v>0</v>
      </c>
      <c r="K276">
        <f>'Kullanılan gübre'!K276*'Gübre oranlar'!N$3</f>
        <v>94.740000000000009</v>
      </c>
      <c r="L276">
        <f>'Kullanılan gübre'!L276*'Gübre oranlar'!O$3</f>
        <v>0</v>
      </c>
      <c r="M276">
        <f>'Kullanılan gübre'!M276*'Gübre oranlar'!P$3</f>
        <v>36.772500000000001</v>
      </c>
      <c r="N276">
        <f>'Kullanılan gübre'!N276*'Gübre oranlar'!Q$3</f>
        <v>0</v>
      </c>
      <c r="O276">
        <f>'Kullanılan gübre'!O276*'Gübre oranlar'!R$3</f>
        <v>0</v>
      </c>
      <c r="P276">
        <f>'Kullanılan gübre'!P276*'Gübre oranlar'!S$3</f>
        <v>0</v>
      </c>
      <c r="Q276">
        <f>'Kullanılan gübre'!Q276*'Gübre oranlar'!T$3</f>
        <v>0</v>
      </c>
      <c r="R276">
        <f>'Kullanılan gübre'!R276*'Gübre oranlar'!U$3</f>
        <v>0</v>
      </c>
      <c r="S276">
        <f>'Kullanılan gübre'!S276*'Gübre oranlar'!V$3</f>
        <v>0</v>
      </c>
      <c r="T276">
        <f>'Kullanılan gübre'!T276*'Gübre oranlar'!W$3</f>
        <v>0</v>
      </c>
      <c r="U276">
        <f>'Kullanılan gübre'!U276*'Gübre oranlar'!X$3</f>
        <v>0</v>
      </c>
      <c r="V276">
        <f>'Kullanılan gübre'!V276*'Gübre oranlar'!Y$3</f>
        <v>0</v>
      </c>
      <c r="W276">
        <f>'Kullanılan gübre'!W276*'Gübre oranlar'!Z$3</f>
        <v>0</v>
      </c>
      <c r="X276">
        <f>'Kullanılan gübre'!X276*'Gübre oranlar'!AA$3</f>
        <v>0</v>
      </c>
      <c r="Y276">
        <f>'Kullanılan gübre'!Y276*'Gübre oranlar'!AB$3</f>
        <v>0</v>
      </c>
      <c r="Z276">
        <f>'Kullanılan gübre'!Z276*'Gübre oranlar'!AC$3</f>
        <v>0</v>
      </c>
      <c r="AA276">
        <f>'Kullanılan gübre'!AA276*'Gübre oranlar'!AD$3</f>
        <v>0</v>
      </c>
      <c r="AB276">
        <f>'Kullanılan gübre'!AB276*'Gübre oranlar'!AE$3</f>
        <v>0</v>
      </c>
      <c r="AC276">
        <f>'Kullanılan gübre'!AC276*'Gübre oranlar'!AF$3</f>
        <v>0</v>
      </c>
      <c r="AD276">
        <f>'Kullanılan gübre'!AD276*'Gübre oranlar'!AG$3</f>
        <v>0</v>
      </c>
      <c r="AE276">
        <f>'Kullanılan gübre'!AE276*'Gübre oranlar'!AH$3</f>
        <v>0</v>
      </c>
      <c r="AF276">
        <f>'Kullanılan gübre'!AF276*'Gübre oranlar'!AI$3</f>
        <v>0</v>
      </c>
      <c r="AG276">
        <f>'Kullanılan gübre'!AG276*'Gübre oranlar'!AJ$3</f>
        <v>0</v>
      </c>
      <c r="AH276">
        <f>'Kullanılan gübre'!AH276*'Gübre oranlar'!AK$3</f>
        <v>0</v>
      </c>
      <c r="AI276">
        <f>'Kullanılan gübre'!AI276*'Gübre oranlar'!AL$3</f>
        <v>0</v>
      </c>
      <c r="AJ276">
        <f>'Kullanılan gübre'!AJ276*'Gübre oranlar'!AM$3</f>
        <v>0</v>
      </c>
      <c r="AK276">
        <f>'Kullanılan gübre'!AK276*'Gübre oranlar'!AN$3</f>
        <v>0</v>
      </c>
      <c r="AL276">
        <f>'Kullanılan gübre'!AL276*'Gübre oranlar'!AO$3</f>
        <v>0</v>
      </c>
      <c r="AM276">
        <f>'Kullanılan gübre'!AM276*'Gübre oranlar'!AP$3</f>
        <v>0</v>
      </c>
      <c r="AN276">
        <f>'Kullanılan gübre'!AN276*'Gübre oranlar'!AQ$3</f>
        <v>0</v>
      </c>
      <c r="AO276">
        <f>'Kullanılan gübre'!AO276*'Gübre oranlar'!AR$3</f>
        <v>0</v>
      </c>
      <c r="AP276">
        <f>'Kullanılan gübre'!AP276*'Gübre oranlar'!AS$3</f>
        <v>0</v>
      </c>
      <c r="AQ276">
        <f>'Kullanılan gübre'!AQ276*'Gübre oranlar'!AT$3</f>
        <v>0</v>
      </c>
      <c r="AR276">
        <f>'Kullanılan gübre'!AR276*'Gübre oranlar'!AU$3</f>
        <v>0</v>
      </c>
      <c r="AS276">
        <f>'Kullanılan gübre'!AS276*'Gübre oranlar'!AV$3</f>
        <v>0</v>
      </c>
      <c r="AT276">
        <f>'Kullanılan gübre'!AT276*'Gübre oranlar'!AW$3</f>
        <v>0</v>
      </c>
      <c r="AU276">
        <f>'Kullanılan gübre'!AU276*'Gübre oranlar'!AX$3</f>
        <v>0</v>
      </c>
      <c r="AV276">
        <f>'Kullanılan gübre'!AV276*'Gübre oranlar'!AY$3</f>
        <v>0</v>
      </c>
      <c r="AW276">
        <f t="shared" si="4"/>
        <v>131.51250000000002</v>
      </c>
    </row>
    <row r="277" spans="1:49" x14ac:dyDescent="0.25">
      <c r="A277" t="str">
        <f>'Kullanılan gübre'!A277</f>
        <v>YI</v>
      </c>
      <c r="B277" t="str">
        <f>'Kullanılan gübre'!B277</f>
        <v>TOKAT</v>
      </c>
      <c r="C277" t="str">
        <f>'Kullanılan gübre'!C277</f>
        <v>PAZAR</v>
      </c>
      <c r="D277">
        <f>'Kullanılan gübre'!D277</f>
        <v>2006</v>
      </c>
      <c r="E277">
        <f>'Kullanılan gübre'!E277*'Gübre oranlar'!H$3</f>
        <v>0</v>
      </c>
      <c r="F277">
        <f>'Kullanılan gübre'!F277*'Gübre oranlar'!I$3</f>
        <v>0</v>
      </c>
      <c r="G277">
        <f>'Kullanılan gübre'!G277*'Gübre oranlar'!J$3</f>
        <v>0</v>
      </c>
      <c r="H277">
        <f>'Kullanılan gübre'!H277*'Gübre oranlar'!K$3</f>
        <v>0</v>
      </c>
      <c r="I277">
        <f>'Kullanılan gübre'!I277*'Gübre oranlar'!L$3</f>
        <v>22.703999999999997</v>
      </c>
      <c r="J277">
        <f>'Kullanılan gübre'!J277*'Gübre oranlar'!M$3</f>
        <v>0</v>
      </c>
      <c r="K277">
        <f>'Kullanılan gübre'!K277*'Gübre oranlar'!N$3</f>
        <v>10.840000000000002</v>
      </c>
      <c r="L277">
        <f>'Kullanılan gübre'!L277*'Gübre oranlar'!O$3</f>
        <v>2.37</v>
      </c>
      <c r="M277">
        <f>'Kullanılan gübre'!M277*'Gübre oranlar'!P$3</f>
        <v>3.1875</v>
      </c>
      <c r="N277">
        <f>'Kullanılan gübre'!N277*'Gübre oranlar'!Q$3</f>
        <v>15.705</v>
      </c>
      <c r="O277">
        <f>'Kullanılan gübre'!O277*'Gübre oranlar'!R$3</f>
        <v>0</v>
      </c>
      <c r="P277">
        <f>'Kullanılan gübre'!P277*'Gübre oranlar'!S$3</f>
        <v>0</v>
      </c>
      <c r="Q277">
        <f>'Kullanılan gübre'!Q277*'Gübre oranlar'!T$3</f>
        <v>144.88499999999999</v>
      </c>
      <c r="R277">
        <f>'Kullanılan gübre'!R277*'Gübre oranlar'!U$3</f>
        <v>0</v>
      </c>
      <c r="S277">
        <f>'Kullanılan gübre'!S277*'Gübre oranlar'!V$3</f>
        <v>0</v>
      </c>
      <c r="T277">
        <f>'Kullanılan gübre'!T277*'Gübre oranlar'!W$3</f>
        <v>0</v>
      </c>
      <c r="U277">
        <f>'Kullanılan gübre'!U277*'Gübre oranlar'!X$3</f>
        <v>0</v>
      </c>
      <c r="V277">
        <f>'Kullanılan gübre'!V277*'Gübre oranlar'!Y$3</f>
        <v>0</v>
      </c>
      <c r="W277">
        <f>'Kullanılan gübre'!W277*'Gübre oranlar'!Z$3</f>
        <v>0</v>
      </c>
      <c r="X277">
        <f>'Kullanılan gübre'!X277*'Gübre oranlar'!AA$3</f>
        <v>0</v>
      </c>
      <c r="Y277">
        <f>'Kullanılan gübre'!Y277*'Gübre oranlar'!AB$3</f>
        <v>0</v>
      </c>
      <c r="Z277">
        <f>'Kullanılan gübre'!Z277*'Gübre oranlar'!AC$3</f>
        <v>0</v>
      </c>
      <c r="AA277">
        <f>'Kullanılan gübre'!AA277*'Gübre oranlar'!AD$3</f>
        <v>0</v>
      </c>
      <c r="AB277">
        <f>'Kullanılan gübre'!AB277*'Gübre oranlar'!AE$3</f>
        <v>0</v>
      </c>
      <c r="AC277">
        <f>'Kullanılan gübre'!AC277*'Gübre oranlar'!AF$3</f>
        <v>0</v>
      </c>
      <c r="AD277">
        <f>'Kullanılan gübre'!AD277*'Gübre oranlar'!AG$3</f>
        <v>0</v>
      </c>
      <c r="AE277">
        <f>'Kullanılan gübre'!AE277*'Gübre oranlar'!AH$3</f>
        <v>0</v>
      </c>
      <c r="AF277">
        <f>'Kullanılan gübre'!AF277*'Gübre oranlar'!AI$3</f>
        <v>0</v>
      </c>
      <c r="AG277">
        <f>'Kullanılan gübre'!AG277*'Gübre oranlar'!AJ$3</f>
        <v>0</v>
      </c>
      <c r="AH277">
        <f>'Kullanılan gübre'!AH277*'Gübre oranlar'!AK$3</f>
        <v>0</v>
      </c>
      <c r="AI277">
        <f>'Kullanılan gübre'!AI277*'Gübre oranlar'!AL$3</f>
        <v>0</v>
      </c>
      <c r="AJ277">
        <f>'Kullanılan gübre'!AJ277*'Gübre oranlar'!AM$3</f>
        <v>0</v>
      </c>
      <c r="AK277">
        <f>'Kullanılan gübre'!AK277*'Gübre oranlar'!AN$3</f>
        <v>0</v>
      </c>
      <c r="AL277">
        <f>'Kullanılan gübre'!AL277*'Gübre oranlar'!AO$3</f>
        <v>0</v>
      </c>
      <c r="AM277">
        <f>'Kullanılan gübre'!AM277*'Gübre oranlar'!AP$3</f>
        <v>0</v>
      </c>
      <c r="AN277">
        <f>'Kullanılan gübre'!AN277*'Gübre oranlar'!AQ$3</f>
        <v>0</v>
      </c>
      <c r="AO277">
        <f>'Kullanılan gübre'!AO277*'Gübre oranlar'!AR$3</f>
        <v>0</v>
      </c>
      <c r="AP277">
        <f>'Kullanılan gübre'!AP277*'Gübre oranlar'!AS$3</f>
        <v>0</v>
      </c>
      <c r="AQ277">
        <f>'Kullanılan gübre'!AQ277*'Gübre oranlar'!AT$3</f>
        <v>0</v>
      </c>
      <c r="AR277">
        <f>'Kullanılan gübre'!AR277*'Gübre oranlar'!AU$3</f>
        <v>0</v>
      </c>
      <c r="AS277">
        <f>'Kullanılan gübre'!AS277*'Gübre oranlar'!AV$3</f>
        <v>0</v>
      </c>
      <c r="AT277">
        <f>'Kullanılan gübre'!AT277*'Gübre oranlar'!AW$3</f>
        <v>0</v>
      </c>
      <c r="AU277">
        <f>'Kullanılan gübre'!AU277*'Gübre oranlar'!AX$3</f>
        <v>0</v>
      </c>
      <c r="AV277">
        <f>'Kullanılan gübre'!AV277*'Gübre oranlar'!AY$3</f>
        <v>0</v>
      </c>
      <c r="AW277">
        <f t="shared" si="4"/>
        <v>199.69149999999999</v>
      </c>
    </row>
    <row r="278" spans="1:49" x14ac:dyDescent="0.25">
      <c r="A278" t="str">
        <f>'Kullanılan gübre'!A278</f>
        <v>YI</v>
      </c>
      <c r="B278" t="str">
        <f>'Kullanılan gübre'!B278</f>
        <v>TOKAT</v>
      </c>
      <c r="C278" t="str">
        <f>'Kullanılan gübre'!C278</f>
        <v>RESADIYE</v>
      </c>
      <c r="D278">
        <f>'Kullanılan gübre'!D278</f>
        <v>2006</v>
      </c>
      <c r="E278">
        <f>'Kullanılan gübre'!E278*'Gübre oranlar'!H$3</f>
        <v>0</v>
      </c>
      <c r="F278">
        <f>'Kullanılan gübre'!F278*'Gübre oranlar'!I$3</f>
        <v>0</v>
      </c>
      <c r="G278">
        <f>'Kullanılan gübre'!G278*'Gübre oranlar'!J$3</f>
        <v>0</v>
      </c>
      <c r="H278">
        <f>'Kullanılan gübre'!H278*'Gübre oranlar'!K$3</f>
        <v>0</v>
      </c>
      <c r="I278">
        <f>'Kullanılan gübre'!I278*'Gübre oranlar'!L$3</f>
        <v>0</v>
      </c>
      <c r="J278">
        <f>'Kullanılan gübre'!J278*'Gübre oranlar'!M$3</f>
        <v>0</v>
      </c>
      <c r="K278">
        <f>'Kullanılan gübre'!K278*'Gübre oranlar'!N$3</f>
        <v>0</v>
      </c>
      <c r="L278">
        <f>'Kullanılan gübre'!L278*'Gübre oranlar'!O$3</f>
        <v>0</v>
      </c>
      <c r="M278">
        <f>'Kullanılan gübre'!M278*'Gübre oranlar'!P$3</f>
        <v>0</v>
      </c>
      <c r="N278">
        <f>'Kullanılan gübre'!N278*'Gübre oranlar'!Q$3</f>
        <v>0</v>
      </c>
      <c r="O278">
        <f>'Kullanılan gübre'!O278*'Gübre oranlar'!R$3</f>
        <v>0</v>
      </c>
      <c r="P278">
        <f>'Kullanılan gübre'!P278*'Gübre oranlar'!S$3</f>
        <v>0</v>
      </c>
      <c r="Q278">
        <f>'Kullanılan gübre'!Q278*'Gübre oranlar'!T$3</f>
        <v>0</v>
      </c>
      <c r="R278">
        <f>'Kullanılan gübre'!R278*'Gübre oranlar'!U$3</f>
        <v>0</v>
      </c>
      <c r="S278">
        <f>'Kullanılan gübre'!S278*'Gübre oranlar'!V$3</f>
        <v>0</v>
      </c>
      <c r="T278">
        <f>'Kullanılan gübre'!T278*'Gübre oranlar'!W$3</f>
        <v>0</v>
      </c>
      <c r="U278">
        <f>'Kullanılan gübre'!U278*'Gübre oranlar'!X$3</f>
        <v>0</v>
      </c>
      <c r="V278">
        <f>'Kullanılan gübre'!V278*'Gübre oranlar'!Y$3</f>
        <v>0</v>
      </c>
      <c r="W278">
        <f>'Kullanılan gübre'!W278*'Gübre oranlar'!Z$3</f>
        <v>0</v>
      </c>
      <c r="X278">
        <f>'Kullanılan gübre'!X278*'Gübre oranlar'!AA$3</f>
        <v>0</v>
      </c>
      <c r="Y278">
        <f>'Kullanılan gübre'!Y278*'Gübre oranlar'!AB$3</f>
        <v>0</v>
      </c>
      <c r="Z278">
        <f>'Kullanılan gübre'!Z278*'Gübre oranlar'!AC$3</f>
        <v>0</v>
      </c>
      <c r="AA278">
        <f>'Kullanılan gübre'!AA278*'Gübre oranlar'!AD$3</f>
        <v>0</v>
      </c>
      <c r="AB278">
        <f>'Kullanılan gübre'!AB278*'Gübre oranlar'!AE$3</f>
        <v>0</v>
      </c>
      <c r="AC278">
        <f>'Kullanılan gübre'!AC278*'Gübre oranlar'!AF$3</f>
        <v>0</v>
      </c>
      <c r="AD278">
        <f>'Kullanılan gübre'!AD278*'Gübre oranlar'!AG$3</f>
        <v>0</v>
      </c>
      <c r="AE278">
        <f>'Kullanılan gübre'!AE278*'Gübre oranlar'!AH$3</f>
        <v>0</v>
      </c>
      <c r="AF278">
        <f>'Kullanılan gübre'!AF278*'Gübre oranlar'!AI$3</f>
        <v>0</v>
      </c>
      <c r="AG278">
        <f>'Kullanılan gübre'!AG278*'Gübre oranlar'!AJ$3</f>
        <v>0</v>
      </c>
      <c r="AH278">
        <f>'Kullanılan gübre'!AH278*'Gübre oranlar'!AK$3</f>
        <v>0</v>
      </c>
      <c r="AI278">
        <f>'Kullanılan gübre'!AI278*'Gübre oranlar'!AL$3</f>
        <v>0</v>
      </c>
      <c r="AJ278">
        <f>'Kullanılan gübre'!AJ278*'Gübre oranlar'!AM$3</f>
        <v>0</v>
      </c>
      <c r="AK278">
        <f>'Kullanılan gübre'!AK278*'Gübre oranlar'!AN$3</f>
        <v>0</v>
      </c>
      <c r="AL278">
        <f>'Kullanılan gübre'!AL278*'Gübre oranlar'!AO$3</f>
        <v>0</v>
      </c>
      <c r="AM278">
        <f>'Kullanılan gübre'!AM278*'Gübre oranlar'!AP$3</f>
        <v>0</v>
      </c>
      <c r="AN278">
        <f>'Kullanılan gübre'!AN278*'Gübre oranlar'!AQ$3</f>
        <v>0</v>
      </c>
      <c r="AO278">
        <f>'Kullanılan gübre'!AO278*'Gübre oranlar'!AR$3</f>
        <v>0</v>
      </c>
      <c r="AP278">
        <f>'Kullanılan gübre'!AP278*'Gübre oranlar'!AS$3</f>
        <v>0</v>
      </c>
      <c r="AQ278">
        <f>'Kullanılan gübre'!AQ278*'Gübre oranlar'!AT$3</f>
        <v>0</v>
      </c>
      <c r="AR278">
        <f>'Kullanılan gübre'!AR278*'Gübre oranlar'!AU$3</f>
        <v>0</v>
      </c>
      <c r="AS278">
        <f>'Kullanılan gübre'!AS278*'Gübre oranlar'!AV$3</f>
        <v>0</v>
      </c>
      <c r="AT278">
        <f>'Kullanılan gübre'!AT278*'Gübre oranlar'!AW$3</f>
        <v>0</v>
      </c>
      <c r="AU278">
        <f>'Kullanılan gübre'!AU278*'Gübre oranlar'!AX$3</f>
        <v>0</v>
      </c>
      <c r="AV278">
        <f>'Kullanılan gübre'!AV278*'Gübre oranlar'!AY$3</f>
        <v>0</v>
      </c>
      <c r="AW278">
        <f t="shared" si="4"/>
        <v>0</v>
      </c>
    </row>
    <row r="279" spans="1:49" x14ac:dyDescent="0.25">
      <c r="A279" t="str">
        <f>'Kullanılan gübre'!A279</f>
        <v>YI</v>
      </c>
      <c r="B279" t="str">
        <f>'Kullanılan gübre'!B279</f>
        <v>TOKAT</v>
      </c>
      <c r="C279" t="str">
        <f>'Kullanılan gübre'!C279</f>
        <v>SULUSARAY</v>
      </c>
      <c r="D279">
        <f>'Kullanılan gübre'!D279</f>
        <v>2006</v>
      </c>
      <c r="E279">
        <f>'Kullanılan gübre'!E279*'Gübre oranlar'!H$3</f>
        <v>0</v>
      </c>
      <c r="F279">
        <f>'Kullanılan gübre'!F279*'Gübre oranlar'!I$3</f>
        <v>0</v>
      </c>
      <c r="G279">
        <f>'Kullanılan gübre'!G279*'Gübre oranlar'!J$3</f>
        <v>0</v>
      </c>
      <c r="H279">
        <f>'Kullanılan gübre'!H279*'Gübre oranlar'!K$3</f>
        <v>0</v>
      </c>
      <c r="I279">
        <f>'Kullanılan gübre'!I279*'Gübre oranlar'!L$3</f>
        <v>0</v>
      </c>
      <c r="J279">
        <f>'Kullanılan gübre'!J279*'Gübre oranlar'!M$3</f>
        <v>0</v>
      </c>
      <c r="K279">
        <f>'Kullanılan gübre'!K279*'Gübre oranlar'!N$3</f>
        <v>204</v>
      </c>
      <c r="L279">
        <f>'Kullanılan gübre'!L279*'Gübre oranlar'!O$3</f>
        <v>27</v>
      </c>
      <c r="M279">
        <f>'Kullanılan gübre'!M279*'Gübre oranlar'!P$3</f>
        <v>0</v>
      </c>
      <c r="N279">
        <f>'Kullanılan gübre'!N279*'Gübre oranlar'!Q$3</f>
        <v>0</v>
      </c>
      <c r="O279">
        <f>'Kullanılan gübre'!O279*'Gübre oranlar'!R$3</f>
        <v>0</v>
      </c>
      <c r="P279">
        <f>'Kullanılan gübre'!P279*'Gübre oranlar'!S$3</f>
        <v>0</v>
      </c>
      <c r="Q279">
        <f>'Kullanılan gübre'!Q279*'Gübre oranlar'!T$3</f>
        <v>0</v>
      </c>
      <c r="R279">
        <f>'Kullanılan gübre'!R279*'Gübre oranlar'!U$3</f>
        <v>0</v>
      </c>
      <c r="S279">
        <f>'Kullanılan gübre'!S279*'Gübre oranlar'!V$3</f>
        <v>0</v>
      </c>
      <c r="T279">
        <f>'Kullanılan gübre'!T279*'Gübre oranlar'!W$3</f>
        <v>0</v>
      </c>
      <c r="U279">
        <f>'Kullanılan gübre'!U279*'Gübre oranlar'!X$3</f>
        <v>0</v>
      </c>
      <c r="V279">
        <f>'Kullanılan gübre'!V279*'Gübre oranlar'!Y$3</f>
        <v>0</v>
      </c>
      <c r="W279">
        <f>'Kullanılan gübre'!W279*'Gübre oranlar'!Z$3</f>
        <v>0</v>
      </c>
      <c r="X279">
        <f>'Kullanılan gübre'!X279*'Gübre oranlar'!AA$3</f>
        <v>0</v>
      </c>
      <c r="Y279">
        <f>'Kullanılan gübre'!Y279*'Gübre oranlar'!AB$3</f>
        <v>0</v>
      </c>
      <c r="Z279">
        <f>'Kullanılan gübre'!Z279*'Gübre oranlar'!AC$3</f>
        <v>0</v>
      </c>
      <c r="AA279">
        <f>'Kullanılan gübre'!AA279*'Gübre oranlar'!AD$3</f>
        <v>0</v>
      </c>
      <c r="AB279">
        <f>'Kullanılan gübre'!AB279*'Gübre oranlar'!AE$3</f>
        <v>0</v>
      </c>
      <c r="AC279">
        <f>'Kullanılan gübre'!AC279*'Gübre oranlar'!AF$3</f>
        <v>0</v>
      </c>
      <c r="AD279">
        <f>'Kullanılan gübre'!AD279*'Gübre oranlar'!AG$3</f>
        <v>0</v>
      </c>
      <c r="AE279">
        <f>'Kullanılan gübre'!AE279*'Gübre oranlar'!AH$3</f>
        <v>0</v>
      </c>
      <c r="AF279">
        <f>'Kullanılan gübre'!AF279*'Gübre oranlar'!AI$3</f>
        <v>0</v>
      </c>
      <c r="AG279">
        <f>'Kullanılan gübre'!AG279*'Gübre oranlar'!AJ$3</f>
        <v>0</v>
      </c>
      <c r="AH279">
        <f>'Kullanılan gübre'!AH279*'Gübre oranlar'!AK$3</f>
        <v>0</v>
      </c>
      <c r="AI279">
        <f>'Kullanılan gübre'!AI279*'Gübre oranlar'!AL$3</f>
        <v>0</v>
      </c>
      <c r="AJ279">
        <f>'Kullanılan gübre'!AJ279*'Gübre oranlar'!AM$3</f>
        <v>0</v>
      </c>
      <c r="AK279">
        <f>'Kullanılan gübre'!AK279*'Gübre oranlar'!AN$3</f>
        <v>0</v>
      </c>
      <c r="AL279">
        <f>'Kullanılan gübre'!AL279*'Gübre oranlar'!AO$3</f>
        <v>0</v>
      </c>
      <c r="AM279">
        <f>'Kullanılan gübre'!AM279*'Gübre oranlar'!AP$3</f>
        <v>0</v>
      </c>
      <c r="AN279">
        <f>'Kullanılan gübre'!AN279*'Gübre oranlar'!AQ$3</f>
        <v>0</v>
      </c>
      <c r="AO279">
        <f>'Kullanılan gübre'!AO279*'Gübre oranlar'!AR$3</f>
        <v>0</v>
      </c>
      <c r="AP279">
        <f>'Kullanılan gübre'!AP279*'Gübre oranlar'!AS$3</f>
        <v>0</v>
      </c>
      <c r="AQ279">
        <f>'Kullanılan gübre'!AQ279*'Gübre oranlar'!AT$3</f>
        <v>0</v>
      </c>
      <c r="AR279">
        <f>'Kullanılan gübre'!AR279*'Gübre oranlar'!AU$3</f>
        <v>0</v>
      </c>
      <c r="AS279">
        <f>'Kullanılan gübre'!AS279*'Gübre oranlar'!AV$3</f>
        <v>0</v>
      </c>
      <c r="AT279">
        <f>'Kullanılan gübre'!AT279*'Gübre oranlar'!AW$3</f>
        <v>0</v>
      </c>
      <c r="AU279">
        <f>'Kullanılan gübre'!AU279*'Gübre oranlar'!AX$3</f>
        <v>0</v>
      </c>
      <c r="AV279">
        <f>'Kullanılan gübre'!AV279*'Gübre oranlar'!AY$3</f>
        <v>0</v>
      </c>
      <c r="AW279">
        <f t="shared" si="4"/>
        <v>231</v>
      </c>
    </row>
    <row r="280" spans="1:49" x14ac:dyDescent="0.25">
      <c r="A280" t="str">
        <f>'Kullanılan gübre'!A280</f>
        <v>YI</v>
      </c>
      <c r="B280" t="str">
        <f>'Kullanılan gübre'!B280</f>
        <v>TOKAT</v>
      </c>
      <c r="C280" t="str">
        <f>'Kullanılan gübre'!C280</f>
        <v>TURHAL</v>
      </c>
      <c r="D280">
        <f>'Kullanılan gübre'!D280</f>
        <v>2006</v>
      </c>
      <c r="E280">
        <f>'Kullanılan gübre'!E280*'Gübre oranlar'!H$3</f>
        <v>0</v>
      </c>
      <c r="F280">
        <f>'Kullanılan gübre'!F280*'Gübre oranlar'!I$3</f>
        <v>0</v>
      </c>
      <c r="G280">
        <f>'Kullanılan gübre'!G280*'Gübre oranlar'!J$3</f>
        <v>0</v>
      </c>
      <c r="H280">
        <f>'Kullanılan gübre'!H280*'Gübre oranlar'!K$3</f>
        <v>0</v>
      </c>
      <c r="I280">
        <f>'Kullanılan gübre'!I280*'Gübre oranlar'!L$3</f>
        <v>141.4915</v>
      </c>
      <c r="J280">
        <f>'Kullanılan gübre'!J280*'Gübre oranlar'!M$3</f>
        <v>0</v>
      </c>
      <c r="K280">
        <f>'Kullanılan gübre'!K280*'Gübre oranlar'!N$3</f>
        <v>24.26</v>
      </c>
      <c r="L280">
        <f>'Kullanılan gübre'!L280*'Gübre oranlar'!O$3</f>
        <v>79.960000000000008</v>
      </c>
      <c r="M280">
        <f>'Kullanılan gübre'!M280*'Gübre oranlar'!P$3</f>
        <v>1.3125</v>
      </c>
      <c r="N280">
        <f>'Kullanılan gübre'!N280*'Gübre oranlar'!Q$3</f>
        <v>6.1499999999999995</v>
      </c>
      <c r="O280">
        <f>'Kullanılan gübre'!O280*'Gübre oranlar'!R$3</f>
        <v>0</v>
      </c>
      <c r="P280">
        <f>'Kullanılan gübre'!P280*'Gübre oranlar'!S$3</f>
        <v>0</v>
      </c>
      <c r="Q280">
        <f>'Kullanılan gübre'!Q280*'Gübre oranlar'!T$3</f>
        <v>201.54</v>
      </c>
      <c r="R280">
        <f>'Kullanılan gübre'!R280*'Gübre oranlar'!U$3</f>
        <v>0</v>
      </c>
      <c r="S280">
        <f>'Kullanılan gübre'!S280*'Gübre oranlar'!V$3</f>
        <v>0</v>
      </c>
      <c r="T280">
        <f>'Kullanılan gübre'!T280*'Gübre oranlar'!W$3</f>
        <v>0</v>
      </c>
      <c r="U280">
        <f>'Kullanılan gübre'!U280*'Gübre oranlar'!X$3</f>
        <v>0</v>
      </c>
      <c r="V280">
        <f>'Kullanılan gübre'!V280*'Gübre oranlar'!Y$3</f>
        <v>0</v>
      </c>
      <c r="W280">
        <f>'Kullanılan gübre'!W280*'Gübre oranlar'!Z$3</f>
        <v>0</v>
      </c>
      <c r="X280">
        <f>'Kullanılan gübre'!X280*'Gübre oranlar'!AA$3</f>
        <v>0</v>
      </c>
      <c r="Y280">
        <f>'Kullanılan gübre'!Y280*'Gübre oranlar'!AB$3</f>
        <v>0</v>
      </c>
      <c r="Z280">
        <f>'Kullanılan gübre'!Z280*'Gübre oranlar'!AC$3</f>
        <v>0</v>
      </c>
      <c r="AA280">
        <f>'Kullanılan gübre'!AA280*'Gübre oranlar'!AD$3</f>
        <v>0</v>
      </c>
      <c r="AB280">
        <f>'Kullanılan gübre'!AB280*'Gübre oranlar'!AE$3</f>
        <v>0</v>
      </c>
      <c r="AC280">
        <f>'Kullanılan gübre'!AC280*'Gübre oranlar'!AF$3</f>
        <v>0</v>
      </c>
      <c r="AD280">
        <f>'Kullanılan gübre'!AD280*'Gübre oranlar'!AG$3</f>
        <v>0</v>
      </c>
      <c r="AE280">
        <f>'Kullanılan gübre'!AE280*'Gübre oranlar'!AH$3</f>
        <v>0</v>
      </c>
      <c r="AF280">
        <f>'Kullanılan gübre'!AF280*'Gübre oranlar'!AI$3</f>
        <v>0</v>
      </c>
      <c r="AG280">
        <f>'Kullanılan gübre'!AG280*'Gübre oranlar'!AJ$3</f>
        <v>0</v>
      </c>
      <c r="AH280">
        <f>'Kullanılan gübre'!AH280*'Gübre oranlar'!AK$3</f>
        <v>0</v>
      </c>
      <c r="AI280">
        <f>'Kullanılan gübre'!AI280*'Gübre oranlar'!AL$3</f>
        <v>0</v>
      </c>
      <c r="AJ280">
        <f>'Kullanılan gübre'!AJ280*'Gübre oranlar'!AM$3</f>
        <v>0</v>
      </c>
      <c r="AK280">
        <f>'Kullanılan gübre'!AK280*'Gübre oranlar'!AN$3</f>
        <v>0</v>
      </c>
      <c r="AL280">
        <f>'Kullanılan gübre'!AL280*'Gübre oranlar'!AO$3</f>
        <v>0</v>
      </c>
      <c r="AM280">
        <f>'Kullanılan gübre'!AM280*'Gübre oranlar'!AP$3</f>
        <v>0</v>
      </c>
      <c r="AN280">
        <f>'Kullanılan gübre'!AN280*'Gübre oranlar'!AQ$3</f>
        <v>0</v>
      </c>
      <c r="AO280">
        <f>'Kullanılan gübre'!AO280*'Gübre oranlar'!AR$3</f>
        <v>0</v>
      </c>
      <c r="AP280">
        <f>'Kullanılan gübre'!AP280*'Gübre oranlar'!AS$3</f>
        <v>0</v>
      </c>
      <c r="AQ280">
        <f>'Kullanılan gübre'!AQ280*'Gübre oranlar'!AT$3</f>
        <v>0</v>
      </c>
      <c r="AR280">
        <f>'Kullanılan gübre'!AR280*'Gübre oranlar'!AU$3</f>
        <v>0</v>
      </c>
      <c r="AS280">
        <f>'Kullanılan gübre'!AS280*'Gübre oranlar'!AV$3</f>
        <v>0</v>
      </c>
      <c r="AT280">
        <f>'Kullanılan gübre'!AT280*'Gübre oranlar'!AW$3</f>
        <v>0</v>
      </c>
      <c r="AU280">
        <f>'Kullanılan gübre'!AU280*'Gübre oranlar'!AX$3</f>
        <v>0</v>
      </c>
      <c r="AV280">
        <f>'Kullanılan gübre'!AV280*'Gübre oranlar'!AY$3</f>
        <v>0</v>
      </c>
      <c r="AW280">
        <f t="shared" si="4"/>
        <v>454.714</v>
      </c>
    </row>
    <row r="281" spans="1:49" x14ac:dyDescent="0.25">
      <c r="A281" t="str">
        <f>'Kullanılan gübre'!A281</f>
        <v>YI</v>
      </c>
      <c r="B281" t="str">
        <f>'Kullanılan gübre'!B281</f>
        <v>TOKAT</v>
      </c>
      <c r="C281" t="str">
        <f>'Kullanılan gübre'!C281</f>
        <v>YESILYURT</v>
      </c>
      <c r="D281">
        <f>'Kullanılan gübre'!D281</f>
        <v>2006</v>
      </c>
      <c r="E281">
        <f>'Kullanılan gübre'!E281*'Gübre oranlar'!H$3</f>
        <v>0</v>
      </c>
      <c r="F281">
        <f>'Kullanılan gübre'!F281*'Gübre oranlar'!I$3</f>
        <v>0</v>
      </c>
      <c r="G281">
        <f>'Kullanılan gübre'!G281*'Gübre oranlar'!J$3</f>
        <v>0</v>
      </c>
      <c r="H281">
        <f>'Kullanılan gübre'!H281*'Gübre oranlar'!K$3</f>
        <v>0</v>
      </c>
      <c r="I281">
        <f>'Kullanılan gübre'!I281*'Gübre oranlar'!L$3</f>
        <v>0</v>
      </c>
      <c r="J281">
        <f>'Kullanılan gübre'!J281*'Gübre oranlar'!M$3</f>
        <v>0</v>
      </c>
      <c r="K281">
        <f>'Kullanılan gübre'!K281*'Gübre oranlar'!N$3</f>
        <v>45.610000000000007</v>
      </c>
      <c r="L281">
        <f>'Kullanılan gübre'!L281*'Gübre oranlar'!O$3</f>
        <v>15.190000000000001</v>
      </c>
      <c r="M281">
        <f>'Kullanılan gübre'!M281*'Gübre oranlar'!P$3</f>
        <v>0</v>
      </c>
      <c r="N281">
        <f>'Kullanılan gübre'!N281*'Gübre oranlar'!Q$3</f>
        <v>4.9574999999999996</v>
      </c>
      <c r="O281">
        <f>'Kullanılan gübre'!O281*'Gübre oranlar'!R$3</f>
        <v>0</v>
      </c>
      <c r="P281">
        <f>'Kullanılan gübre'!P281*'Gübre oranlar'!S$3</f>
        <v>0</v>
      </c>
      <c r="Q281">
        <f>'Kullanılan gübre'!Q281*'Gübre oranlar'!T$3</f>
        <v>0</v>
      </c>
      <c r="R281">
        <f>'Kullanılan gübre'!R281*'Gübre oranlar'!U$3</f>
        <v>0</v>
      </c>
      <c r="S281">
        <f>'Kullanılan gübre'!S281*'Gübre oranlar'!V$3</f>
        <v>0</v>
      </c>
      <c r="T281">
        <f>'Kullanılan gübre'!T281*'Gübre oranlar'!W$3</f>
        <v>0</v>
      </c>
      <c r="U281">
        <f>'Kullanılan gübre'!U281*'Gübre oranlar'!X$3</f>
        <v>0</v>
      </c>
      <c r="V281">
        <f>'Kullanılan gübre'!V281*'Gübre oranlar'!Y$3</f>
        <v>0</v>
      </c>
      <c r="W281">
        <f>'Kullanılan gübre'!W281*'Gübre oranlar'!Z$3</f>
        <v>0</v>
      </c>
      <c r="X281">
        <f>'Kullanılan gübre'!X281*'Gübre oranlar'!AA$3</f>
        <v>0</v>
      </c>
      <c r="Y281">
        <f>'Kullanılan gübre'!Y281*'Gübre oranlar'!AB$3</f>
        <v>0</v>
      </c>
      <c r="Z281">
        <f>'Kullanılan gübre'!Z281*'Gübre oranlar'!AC$3</f>
        <v>0</v>
      </c>
      <c r="AA281">
        <f>'Kullanılan gübre'!AA281*'Gübre oranlar'!AD$3</f>
        <v>0</v>
      </c>
      <c r="AB281">
        <f>'Kullanılan gübre'!AB281*'Gübre oranlar'!AE$3</f>
        <v>0</v>
      </c>
      <c r="AC281">
        <f>'Kullanılan gübre'!AC281*'Gübre oranlar'!AF$3</f>
        <v>0</v>
      </c>
      <c r="AD281">
        <f>'Kullanılan gübre'!AD281*'Gübre oranlar'!AG$3</f>
        <v>0</v>
      </c>
      <c r="AE281">
        <f>'Kullanılan gübre'!AE281*'Gübre oranlar'!AH$3</f>
        <v>0</v>
      </c>
      <c r="AF281">
        <f>'Kullanılan gübre'!AF281*'Gübre oranlar'!AI$3</f>
        <v>0</v>
      </c>
      <c r="AG281">
        <f>'Kullanılan gübre'!AG281*'Gübre oranlar'!AJ$3</f>
        <v>0</v>
      </c>
      <c r="AH281">
        <f>'Kullanılan gübre'!AH281*'Gübre oranlar'!AK$3</f>
        <v>0</v>
      </c>
      <c r="AI281">
        <f>'Kullanılan gübre'!AI281*'Gübre oranlar'!AL$3</f>
        <v>0</v>
      </c>
      <c r="AJ281">
        <f>'Kullanılan gübre'!AJ281*'Gübre oranlar'!AM$3</f>
        <v>0</v>
      </c>
      <c r="AK281">
        <f>'Kullanılan gübre'!AK281*'Gübre oranlar'!AN$3</f>
        <v>0</v>
      </c>
      <c r="AL281">
        <f>'Kullanılan gübre'!AL281*'Gübre oranlar'!AO$3</f>
        <v>0</v>
      </c>
      <c r="AM281">
        <f>'Kullanılan gübre'!AM281*'Gübre oranlar'!AP$3</f>
        <v>0</v>
      </c>
      <c r="AN281">
        <f>'Kullanılan gübre'!AN281*'Gübre oranlar'!AQ$3</f>
        <v>0</v>
      </c>
      <c r="AO281">
        <f>'Kullanılan gübre'!AO281*'Gübre oranlar'!AR$3</f>
        <v>0</v>
      </c>
      <c r="AP281">
        <f>'Kullanılan gübre'!AP281*'Gübre oranlar'!AS$3</f>
        <v>0</v>
      </c>
      <c r="AQ281">
        <f>'Kullanılan gübre'!AQ281*'Gübre oranlar'!AT$3</f>
        <v>0</v>
      </c>
      <c r="AR281">
        <f>'Kullanılan gübre'!AR281*'Gübre oranlar'!AU$3</f>
        <v>0</v>
      </c>
      <c r="AS281">
        <f>'Kullanılan gübre'!AS281*'Gübre oranlar'!AV$3</f>
        <v>0</v>
      </c>
      <c r="AT281">
        <f>'Kullanılan gübre'!AT281*'Gübre oranlar'!AW$3</f>
        <v>0</v>
      </c>
      <c r="AU281">
        <f>'Kullanılan gübre'!AU281*'Gübre oranlar'!AX$3</f>
        <v>0</v>
      </c>
      <c r="AV281">
        <f>'Kullanılan gübre'!AV281*'Gübre oranlar'!AY$3</f>
        <v>0</v>
      </c>
      <c r="AW281">
        <f t="shared" si="4"/>
        <v>65.757500000000007</v>
      </c>
    </row>
    <row r="282" spans="1:49" x14ac:dyDescent="0.25">
      <c r="A282" t="str">
        <f>'Kullanılan gübre'!A282</f>
        <v>YI</v>
      </c>
      <c r="B282" t="str">
        <f>'Kullanılan gübre'!B282</f>
        <v>TOKAT</v>
      </c>
      <c r="C282" t="str">
        <f>'Kullanılan gübre'!C282</f>
        <v>ZILE</v>
      </c>
      <c r="D282">
        <f>'Kullanılan gübre'!D282</f>
        <v>2006</v>
      </c>
      <c r="E282">
        <f>'Kullanılan gübre'!E282*'Gübre oranlar'!H$3</f>
        <v>0</v>
      </c>
      <c r="F282">
        <f>'Kullanılan gübre'!F282*'Gübre oranlar'!I$3</f>
        <v>0</v>
      </c>
      <c r="G282">
        <f>'Kullanılan gübre'!G282*'Gübre oranlar'!J$3</f>
        <v>0</v>
      </c>
      <c r="H282">
        <f>'Kullanılan gübre'!H282*'Gübre oranlar'!K$3</f>
        <v>0</v>
      </c>
      <c r="I282">
        <f>'Kullanılan gübre'!I282*'Gübre oranlar'!L$3</f>
        <v>0</v>
      </c>
      <c r="J282">
        <f>'Kullanılan gübre'!J282*'Gübre oranlar'!M$3</f>
        <v>0</v>
      </c>
      <c r="K282">
        <f>'Kullanılan gübre'!K282*'Gübre oranlar'!N$3</f>
        <v>783.48</v>
      </c>
      <c r="L282">
        <f>'Kullanılan gübre'!L282*'Gübre oranlar'!O$3</f>
        <v>345.43000000000006</v>
      </c>
      <c r="M282">
        <f>'Kullanılan gübre'!M282*'Gübre oranlar'!P$3</f>
        <v>9.6</v>
      </c>
      <c r="N282">
        <f>'Kullanılan gübre'!N282*'Gübre oranlar'!Q$3</f>
        <v>0</v>
      </c>
      <c r="O282">
        <f>'Kullanılan gübre'!O282*'Gübre oranlar'!R$3</f>
        <v>0</v>
      </c>
      <c r="P282">
        <f>'Kullanılan gübre'!P282*'Gübre oranlar'!S$3</f>
        <v>0</v>
      </c>
      <c r="Q282">
        <f>'Kullanılan gübre'!Q282*'Gübre oranlar'!T$3</f>
        <v>0</v>
      </c>
      <c r="R282">
        <f>'Kullanılan gübre'!R282*'Gübre oranlar'!U$3</f>
        <v>21.815999999999999</v>
      </c>
      <c r="S282">
        <f>'Kullanılan gübre'!S282*'Gübre oranlar'!V$3</f>
        <v>0</v>
      </c>
      <c r="T282">
        <f>'Kullanılan gübre'!T282*'Gübre oranlar'!W$3</f>
        <v>0</v>
      </c>
      <c r="U282">
        <f>'Kullanılan gübre'!U282*'Gübre oranlar'!X$3</f>
        <v>0</v>
      </c>
      <c r="V282">
        <f>'Kullanılan gübre'!V282*'Gübre oranlar'!Y$3</f>
        <v>0</v>
      </c>
      <c r="W282">
        <f>'Kullanılan gübre'!W282*'Gübre oranlar'!Z$3</f>
        <v>0</v>
      </c>
      <c r="X282">
        <f>'Kullanılan gübre'!X282*'Gübre oranlar'!AA$3</f>
        <v>0</v>
      </c>
      <c r="Y282">
        <f>'Kullanılan gübre'!Y282*'Gübre oranlar'!AB$3</f>
        <v>0</v>
      </c>
      <c r="Z282">
        <f>'Kullanılan gübre'!Z282*'Gübre oranlar'!AC$3</f>
        <v>0</v>
      </c>
      <c r="AA282">
        <f>'Kullanılan gübre'!AA282*'Gübre oranlar'!AD$3</f>
        <v>0</v>
      </c>
      <c r="AB282">
        <f>'Kullanılan gübre'!AB282*'Gübre oranlar'!AE$3</f>
        <v>0</v>
      </c>
      <c r="AC282">
        <f>'Kullanılan gübre'!AC282*'Gübre oranlar'!AF$3</f>
        <v>0</v>
      </c>
      <c r="AD282">
        <f>'Kullanılan gübre'!AD282*'Gübre oranlar'!AG$3</f>
        <v>0</v>
      </c>
      <c r="AE282">
        <f>'Kullanılan gübre'!AE282*'Gübre oranlar'!AH$3</f>
        <v>0</v>
      </c>
      <c r="AF282">
        <f>'Kullanılan gübre'!AF282*'Gübre oranlar'!AI$3</f>
        <v>0</v>
      </c>
      <c r="AG282">
        <f>'Kullanılan gübre'!AG282*'Gübre oranlar'!AJ$3</f>
        <v>0</v>
      </c>
      <c r="AH282">
        <f>'Kullanılan gübre'!AH282*'Gübre oranlar'!AK$3</f>
        <v>0</v>
      </c>
      <c r="AI282">
        <f>'Kullanılan gübre'!AI282*'Gübre oranlar'!AL$3</f>
        <v>0</v>
      </c>
      <c r="AJ282">
        <f>'Kullanılan gübre'!AJ282*'Gübre oranlar'!AM$3</f>
        <v>0</v>
      </c>
      <c r="AK282">
        <f>'Kullanılan gübre'!AK282*'Gübre oranlar'!AN$3</f>
        <v>0</v>
      </c>
      <c r="AL282">
        <f>'Kullanılan gübre'!AL282*'Gübre oranlar'!AO$3</f>
        <v>0</v>
      </c>
      <c r="AM282">
        <f>'Kullanılan gübre'!AM282*'Gübre oranlar'!AP$3</f>
        <v>0</v>
      </c>
      <c r="AN282">
        <f>'Kullanılan gübre'!AN282*'Gübre oranlar'!AQ$3</f>
        <v>0</v>
      </c>
      <c r="AO282">
        <f>'Kullanılan gübre'!AO282*'Gübre oranlar'!AR$3</f>
        <v>0</v>
      </c>
      <c r="AP282">
        <f>'Kullanılan gübre'!AP282*'Gübre oranlar'!AS$3</f>
        <v>0</v>
      </c>
      <c r="AQ282">
        <f>'Kullanılan gübre'!AQ282*'Gübre oranlar'!AT$3</f>
        <v>0</v>
      </c>
      <c r="AR282">
        <f>'Kullanılan gübre'!AR282*'Gübre oranlar'!AU$3</f>
        <v>0</v>
      </c>
      <c r="AS282">
        <f>'Kullanılan gübre'!AS282*'Gübre oranlar'!AV$3</f>
        <v>0</v>
      </c>
      <c r="AT282">
        <f>'Kullanılan gübre'!AT282*'Gübre oranlar'!AW$3</f>
        <v>0</v>
      </c>
      <c r="AU282">
        <f>'Kullanılan gübre'!AU282*'Gübre oranlar'!AX$3</f>
        <v>0</v>
      </c>
      <c r="AV282">
        <f>'Kullanılan gübre'!AV282*'Gübre oranlar'!AY$3</f>
        <v>0</v>
      </c>
      <c r="AW282">
        <f t="shared" si="4"/>
        <v>1160.326</v>
      </c>
    </row>
    <row r="283" spans="1:49" x14ac:dyDescent="0.25">
      <c r="A283" t="str">
        <f>'Kullanılan gübre'!A283</f>
        <v>YI</v>
      </c>
      <c r="B283" t="str">
        <f>'Kullanılan gübre'!B283</f>
        <v>TOKAT</v>
      </c>
      <c r="C283" t="str">
        <f>'Kullanılan gübre'!C283</f>
        <v>MERKEZ</v>
      </c>
      <c r="D283">
        <f>'Kullanılan gübre'!D283</f>
        <v>2007</v>
      </c>
      <c r="E283">
        <f>'Kullanılan gübre'!E283*'Gübre oranlar'!H$3</f>
        <v>0</v>
      </c>
      <c r="F283">
        <f>'Kullanılan gübre'!F283*'Gübre oranlar'!I$3</f>
        <v>0</v>
      </c>
      <c r="G283">
        <f>'Kullanılan gübre'!G283*'Gübre oranlar'!J$3</f>
        <v>0</v>
      </c>
      <c r="H283">
        <f>'Kullanılan gübre'!H283*'Gübre oranlar'!K$3</f>
        <v>0</v>
      </c>
      <c r="I283">
        <f>'Kullanılan gübre'!I283*'Gübre oranlar'!L$3</f>
        <v>56.115000000000002</v>
      </c>
      <c r="J283">
        <f>'Kullanılan gübre'!J283*'Gübre oranlar'!M$3</f>
        <v>0</v>
      </c>
      <c r="K283">
        <f>'Kullanılan gübre'!K283*'Gübre oranlar'!N$3</f>
        <v>102.72000000000001</v>
      </c>
      <c r="L283">
        <f>'Kullanılan gübre'!L283*'Gübre oranlar'!O$3</f>
        <v>41.94</v>
      </c>
      <c r="M283">
        <f>'Kullanılan gübre'!M283*'Gübre oranlar'!P$3</f>
        <v>32.954999999999998</v>
      </c>
      <c r="N283">
        <f>'Kullanılan gübre'!N283*'Gübre oranlar'!Q$3</f>
        <v>31.927499999999998</v>
      </c>
      <c r="O283">
        <f>'Kullanılan gübre'!O283*'Gübre oranlar'!R$3</f>
        <v>0</v>
      </c>
      <c r="P283">
        <f>'Kullanılan gübre'!P283*'Gübre oranlar'!S$3</f>
        <v>0</v>
      </c>
      <c r="Q283">
        <f>'Kullanılan gübre'!Q283*'Gübre oranlar'!T$3</f>
        <v>119.355</v>
      </c>
      <c r="R283">
        <f>'Kullanılan gübre'!R283*'Gübre oranlar'!U$3</f>
        <v>0</v>
      </c>
      <c r="S283">
        <f>'Kullanılan gübre'!S283*'Gübre oranlar'!V$3</f>
        <v>0</v>
      </c>
      <c r="T283">
        <f>'Kullanılan gübre'!T283*'Gübre oranlar'!W$3</f>
        <v>0</v>
      </c>
      <c r="U283">
        <f>'Kullanılan gübre'!U283*'Gübre oranlar'!X$3</f>
        <v>0</v>
      </c>
      <c r="V283">
        <f>'Kullanılan gübre'!V283*'Gübre oranlar'!Y$3</f>
        <v>0</v>
      </c>
      <c r="W283">
        <f>'Kullanılan gübre'!W283*'Gübre oranlar'!Z$3</f>
        <v>0</v>
      </c>
      <c r="X283">
        <f>'Kullanılan gübre'!X283*'Gübre oranlar'!AA$3</f>
        <v>0</v>
      </c>
      <c r="Y283">
        <f>'Kullanılan gübre'!Y283*'Gübre oranlar'!AB$3</f>
        <v>0</v>
      </c>
      <c r="Z283">
        <f>'Kullanılan gübre'!Z283*'Gübre oranlar'!AC$3</f>
        <v>0</v>
      </c>
      <c r="AA283">
        <f>'Kullanılan gübre'!AA283*'Gübre oranlar'!AD$3</f>
        <v>0</v>
      </c>
      <c r="AB283">
        <f>'Kullanılan gübre'!AB283*'Gübre oranlar'!AE$3</f>
        <v>0</v>
      </c>
      <c r="AC283">
        <f>'Kullanılan gübre'!AC283*'Gübre oranlar'!AF$3</f>
        <v>0</v>
      </c>
      <c r="AD283">
        <f>'Kullanılan gübre'!AD283*'Gübre oranlar'!AG$3</f>
        <v>0</v>
      </c>
      <c r="AE283">
        <f>'Kullanılan gübre'!AE283*'Gübre oranlar'!AH$3</f>
        <v>0</v>
      </c>
      <c r="AF283">
        <f>'Kullanılan gübre'!AF283*'Gübre oranlar'!AI$3</f>
        <v>0</v>
      </c>
      <c r="AG283">
        <f>'Kullanılan gübre'!AG283*'Gübre oranlar'!AJ$3</f>
        <v>0</v>
      </c>
      <c r="AH283">
        <f>'Kullanılan gübre'!AH283*'Gübre oranlar'!AK$3</f>
        <v>0</v>
      </c>
      <c r="AI283">
        <f>'Kullanılan gübre'!AI283*'Gübre oranlar'!AL$3</f>
        <v>0</v>
      </c>
      <c r="AJ283">
        <f>'Kullanılan gübre'!AJ283*'Gübre oranlar'!AM$3</f>
        <v>0</v>
      </c>
      <c r="AK283">
        <f>'Kullanılan gübre'!AK283*'Gübre oranlar'!AN$3</f>
        <v>0</v>
      </c>
      <c r="AL283">
        <f>'Kullanılan gübre'!AL283*'Gübre oranlar'!AO$3</f>
        <v>0</v>
      </c>
      <c r="AM283">
        <f>'Kullanılan gübre'!AM283*'Gübre oranlar'!AP$3</f>
        <v>0</v>
      </c>
      <c r="AN283">
        <f>'Kullanılan gübre'!AN283*'Gübre oranlar'!AQ$3</f>
        <v>0</v>
      </c>
      <c r="AO283">
        <f>'Kullanılan gübre'!AO283*'Gübre oranlar'!AR$3</f>
        <v>0</v>
      </c>
      <c r="AP283">
        <f>'Kullanılan gübre'!AP283*'Gübre oranlar'!AS$3</f>
        <v>0</v>
      </c>
      <c r="AQ283">
        <f>'Kullanılan gübre'!AQ283*'Gübre oranlar'!AT$3</f>
        <v>0</v>
      </c>
      <c r="AR283">
        <f>'Kullanılan gübre'!AR283*'Gübre oranlar'!AU$3</f>
        <v>0</v>
      </c>
      <c r="AS283">
        <f>'Kullanılan gübre'!AS283*'Gübre oranlar'!AV$3</f>
        <v>0</v>
      </c>
      <c r="AT283">
        <f>'Kullanılan gübre'!AT283*'Gübre oranlar'!AW$3</f>
        <v>0</v>
      </c>
      <c r="AU283">
        <f>'Kullanılan gübre'!AU283*'Gübre oranlar'!AX$3</f>
        <v>0</v>
      </c>
      <c r="AV283">
        <f>'Kullanılan gübre'!AV283*'Gübre oranlar'!AY$3</f>
        <v>0</v>
      </c>
      <c r="AW283">
        <f t="shared" si="4"/>
        <v>385.01250000000005</v>
      </c>
    </row>
    <row r="284" spans="1:49" x14ac:dyDescent="0.25">
      <c r="A284" t="str">
        <f>'Kullanılan gübre'!A284</f>
        <v>YI</v>
      </c>
      <c r="B284" t="str">
        <f>'Kullanılan gübre'!B284</f>
        <v>TOKAT</v>
      </c>
      <c r="C284" t="str">
        <f>'Kullanılan gübre'!C284</f>
        <v>ALMUS</v>
      </c>
      <c r="D284">
        <f>'Kullanılan gübre'!D284</f>
        <v>2007</v>
      </c>
      <c r="E284">
        <f>'Kullanılan gübre'!E284*'Gübre oranlar'!H$3</f>
        <v>0</v>
      </c>
      <c r="F284">
        <f>'Kullanılan gübre'!F284*'Gübre oranlar'!I$3</f>
        <v>0</v>
      </c>
      <c r="G284">
        <f>'Kullanılan gübre'!G284*'Gübre oranlar'!J$3</f>
        <v>0</v>
      </c>
      <c r="H284">
        <f>'Kullanılan gübre'!H284*'Gübre oranlar'!K$3</f>
        <v>0</v>
      </c>
      <c r="I284">
        <f>'Kullanılan gübre'!I284*'Gübre oranlar'!L$3</f>
        <v>0</v>
      </c>
      <c r="J284">
        <f>'Kullanılan gübre'!J284*'Gübre oranlar'!M$3</f>
        <v>0</v>
      </c>
      <c r="K284">
        <f>'Kullanılan gübre'!K284*'Gübre oranlar'!N$3</f>
        <v>0</v>
      </c>
      <c r="L284">
        <f>'Kullanılan gübre'!L284*'Gübre oranlar'!O$3</f>
        <v>0</v>
      </c>
      <c r="M284">
        <f>'Kullanılan gübre'!M284*'Gübre oranlar'!P$3</f>
        <v>0</v>
      </c>
      <c r="N284">
        <f>'Kullanılan gübre'!N284*'Gübre oranlar'!Q$3</f>
        <v>0</v>
      </c>
      <c r="O284">
        <f>'Kullanılan gübre'!O284*'Gübre oranlar'!R$3</f>
        <v>0</v>
      </c>
      <c r="P284">
        <f>'Kullanılan gübre'!P284*'Gübre oranlar'!S$3</f>
        <v>0</v>
      </c>
      <c r="Q284">
        <f>'Kullanılan gübre'!Q284*'Gübre oranlar'!T$3</f>
        <v>0</v>
      </c>
      <c r="R284">
        <f>'Kullanılan gübre'!R284*'Gübre oranlar'!U$3</f>
        <v>0</v>
      </c>
      <c r="S284">
        <f>'Kullanılan gübre'!S284*'Gübre oranlar'!V$3</f>
        <v>0</v>
      </c>
      <c r="T284">
        <f>'Kullanılan gübre'!T284*'Gübre oranlar'!W$3</f>
        <v>0</v>
      </c>
      <c r="U284">
        <f>'Kullanılan gübre'!U284*'Gübre oranlar'!X$3</f>
        <v>0</v>
      </c>
      <c r="V284">
        <f>'Kullanılan gübre'!V284*'Gübre oranlar'!Y$3</f>
        <v>0</v>
      </c>
      <c r="W284">
        <f>'Kullanılan gübre'!W284*'Gübre oranlar'!Z$3</f>
        <v>0</v>
      </c>
      <c r="X284">
        <f>'Kullanılan gübre'!X284*'Gübre oranlar'!AA$3</f>
        <v>0</v>
      </c>
      <c r="Y284">
        <f>'Kullanılan gübre'!Y284*'Gübre oranlar'!AB$3</f>
        <v>0</v>
      </c>
      <c r="Z284">
        <f>'Kullanılan gübre'!Z284*'Gübre oranlar'!AC$3</f>
        <v>0</v>
      </c>
      <c r="AA284">
        <f>'Kullanılan gübre'!AA284*'Gübre oranlar'!AD$3</f>
        <v>0</v>
      </c>
      <c r="AB284">
        <f>'Kullanılan gübre'!AB284*'Gübre oranlar'!AE$3</f>
        <v>0</v>
      </c>
      <c r="AC284">
        <f>'Kullanılan gübre'!AC284*'Gübre oranlar'!AF$3</f>
        <v>0</v>
      </c>
      <c r="AD284">
        <f>'Kullanılan gübre'!AD284*'Gübre oranlar'!AG$3</f>
        <v>0</v>
      </c>
      <c r="AE284">
        <f>'Kullanılan gübre'!AE284*'Gübre oranlar'!AH$3</f>
        <v>0</v>
      </c>
      <c r="AF284">
        <f>'Kullanılan gübre'!AF284*'Gübre oranlar'!AI$3</f>
        <v>0</v>
      </c>
      <c r="AG284">
        <f>'Kullanılan gübre'!AG284*'Gübre oranlar'!AJ$3</f>
        <v>0</v>
      </c>
      <c r="AH284">
        <f>'Kullanılan gübre'!AH284*'Gübre oranlar'!AK$3</f>
        <v>0</v>
      </c>
      <c r="AI284">
        <f>'Kullanılan gübre'!AI284*'Gübre oranlar'!AL$3</f>
        <v>0</v>
      </c>
      <c r="AJ284">
        <f>'Kullanılan gübre'!AJ284*'Gübre oranlar'!AM$3</f>
        <v>0</v>
      </c>
      <c r="AK284">
        <f>'Kullanılan gübre'!AK284*'Gübre oranlar'!AN$3</f>
        <v>0</v>
      </c>
      <c r="AL284">
        <f>'Kullanılan gübre'!AL284*'Gübre oranlar'!AO$3</f>
        <v>0</v>
      </c>
      <c r="AM284">
        <f>'Kullanılan gübre'!AM284*'Gübre oranlar'!AP$3</f>
        <v>0</v>
      </c>
      <c r="AN284">
        <f>'Kullanılan gübre'!AN284*'Gübre oranlar'!AQ$3</f>
        <v>0</v>
      </c>
      <c r="AO284">
        <f>'Kullanılan gübre'!AO284*'Gübre oranlar'!AR$3</f>
        <v>0</v>
      </c>
      <c r="AP284">
        <f>'Kullanılan gübre'!AP284*'Gübre oranlar'!AS$3</f>
        <v>0</v>
      </c>
      <c r="AQ284">
        <f>'Kullanılan gübre'!AQ284*'Gübre oranlar'!AT$3</f>
        <v>0</v>
      </c>
      <c r="AR284">
        <f>'Kullanılan gübre'!AR284*'Gübre oranlar'!AU$3</f>
        <v>0</v>
      </c>
      <c r="AS284">
        <f>'Kullanılan gübre'!AS284*'Gübre oranlar'!AV$3</f>
        <v>0</v>
      </c>
      <c r="AT284">
        <f>'Kullanılan gübre'!AT284*'Gübre oranlar'!AW$3</f>
        <v>0</v>
      </c>
      <c r="AU284">
        <f>'Kullanılan gübre'!AU284*'Gübre oranlar'!AX$3</f>
        <v>0</v>
      </c>
      <c r="AV284">
        <f>'Kullanılan gübre'!AV284*'Gübre oranlar'!AY$3</f>
        <v>0</v>
      </c>
      <c r="AW284">
        <f t="shared" si="4"/>
        <v>0</v>
      </c>
    </row>
    <row r="285" spans="1:49" x14ac:dyDescent="0.25">
      <c r="A285" t="str">
        <f>'Kullanılan gübre'!A285</f>
        <v>YI</v>
      </c>
      <c r="B285" t="str">
        <f>'Kullanılan gübre'!B285</f>
        <v>TOKAT</v>
      </c>
      <c r="C285" t="str">
        <f>'Kullanılan gübre'!C285</f>
        <v>ARTOVA</v>
      </c>
      <c r="D285">
        <f>'Kullanılan gübre'!D285</f>
        <v>2007</v>
      </c>
      <c r="E285">
        <f>'Kullanılan gübre'!E285*'Gübre oranlar'!H$3</f>
        <v>0</v>
      </c>
      <c r="F285">
        <f>'Kullanılan gübre'!F285*'Gübre oranlar'!I$3</f>
        <v>0</v>
      </c>
      <c r="G285">
        <f>'Kullanılan gübre'!G285*'Gübre oranlar'!J$3</f>
        <v>0</v>
      </c>
      <c r="H285">
        <f>'Kullanılan gübre'!H285*'Gübre oranlar'!K$3</f>
        <v>0</v>
      </c>
      <c r="I285">
        <f>'Kullanılan gübre'!I285*'Gübre oranlar'!L$3</f>
        <v>0</v>
      </c>
      <c r="J285">
        <f>'Kullanılan gübre'!J285*'Gübre oranlar'!M$3</f>
        <v>0</v>
      </c>
      <c r="K285">
        <f>'Kullanılan gübre'!K285*'Gübre oranlar'!N$3</f>
        <v>11.32</v>
      </c>
      <c r="L285">
        <f>'Kullanılan gübre'!L285*'Gübre oranlar'!O$3</f>
        <v>10.63</v>
      </c>
      <c r="M285">
        <f>'Kullanılan gübre'!M285*'Gübre oranlar'!P$3</f>
        <v>0</v>
      </c>
      <c r="N285">
        <f>'Kullanılan gübre'!N285*'Gübre oranlar'!Q$3</f>
        <v>0.22499999999999998</v>
      </c>
      <c r="O285">
        <f>'Kullanılan gübre'!O285*'Gübre oranlar'!R$3</f>
        <v>0</v>
      </c>
      <c r="P285">
        <f>'Kullanılan gübre'!P285*'Gübre oranlar'!S$3</f>
        <v>0</v>
      </c>
      <c r="Q285">
        <f>'Kullanılan gübre'!Q285*'Gübre oranlar'!T$3</f>
        <v>71.399999999999991</v>
      </c>
      <c r="R285">
        <f>'Kullanılan gübre'!R285*'Gübre oranlar'!U$3</f>
        <v>0</v>
      </c>
      <c r="S285">
        <f>'Kullanılan gübre'!S285*'Gübre oranlar'!V$3</f>
        <v>0</v>
      </c>
      <c r="T285">
        <f>'Kullanılan gübre'!T285*'Gübre oranlar'!W$3</f>
        <v>0</v>
      </c>
      <c r="U285">
        <f>'Kullanılan gübre'!U285*'Gübre oranlar'!X$3</f>
        <v>0</v>
      </c>
      <c r="V285">
        <f>'Kullanılan gübre'!V285*'Gübre oranlar'!Y$3</f>
        <v>0</v>
      </c>
      <c r="W285">
        <f>'Kullanılan gübre'!W285*'Gübre oranlar'!Z$3</f>
        <v>0</v>
      </c>
      <c r="X285">
        <f>'Kullanılan gübre'!X285*'Gübre oranlar'!AA$3</f>
        <v>0</v>
      </c>
      <c r="Y285">
        <f>'Kullanılan gübre'!Y285*'Gübre oranlar'!AB$3</f>
        <v>0</v>
      </c>
      <c r="Z285">
        <f>'Kullanılan gübre'!Z285*'Gübre oranlar'!AC$3</f>
        <v>0</v>
      </c>
      <c r="AA285">
        <f>'Kullanılan gübre'!AA285*'Gübre oranlar'!AD$3</f>
        <v>0</v>
      </c>
      <c r="AB285">
        <f>'Kullanılan gübre'!AB285*'Gübre oranlar'!AE$3</f>
        <v>0</v>
      </c>
      <c r="AC285">
        <f>'Kullanılan gübre'!AC285*'Gübre oranlar'!AF$3</f>
        <v>0</v>
      </c>
      <c r="AD285">
        <f>'Kullanılan gübre'!AD285*'Gübre oranlar'!AG$3</f>
        <v>0</v>
      </c>
      <c r="AE285">
        <f>'Kullanılan gübre'!AE285*'Gübre oranlar'!AH$3</f>
        <v>0</v>
      </c>
      <c r="AF285">
        <f>'Kullanılan gübre'!AF285*'Gübre oranlar'!AI$3</f>
        <v>0</v>
      </c>
      <c r="AG285">
        <f>'Kullanılan gübre'!AG285*'Gübre oranlar'!AJ$3</f>
        <v>0</v>
      </c>
      <c r="AH285">
        <f>'Kullanılan gübre'!AH285*'Gübre oranlar'!AK$3</f>
        <v>0</v>
      </c>
      <c r="AI285">
        <f>'Kullanılan gübre'!AI285*'Gübre oranlar'!AL$3</f>
        <v>0</v>
      </c>
      <c r="AJ285">
        <f>'Kullanılan gübre'!AJ285*'Gübre oranlar'!AM$3</f>
        <v>0</v>
      </c>
      <c r="AK285">
        <f>'Kullanılan gübre'!AK285*'Gübre oranlar'!AN$3</f>
        <v>0</v>
      </c>
      <c r="AL285">
        <f>'Kullanılan gübre'!AL285*'Gübre oranlar'!AO$3</f>
        <v>0</v>
      </c>
      <c r="AM285">
        <f>'Kullanılan gübre'!AM285*'Gübre oranlar'!AP$3</f>
        <v>0</v>
      </c>
      <c r="AN285">
        <f>'Kullanılan gübre'!AN285*'Gübre oranlar'!AQ$3</f>
        <v>0</v>
      </c>
      <c r="AO285">
        <f>'Kullanılan gübre'!AO285*'Gübre oranlar'!AR$3</f>
        <v>0</v>
      </c>
      <c r="AP285">
        <f>'Kullanılan gübre'!AP285*'Gübre oranlar'!AS$3</f>
        <v>0</v>
      </c>
      <c r="AQ285">
        <f>'Kullanılan gübre'!AQ285*'Gübre oranlar'!AT$3</f>
        <v>0</v>
      </c>
      <c r="AR285">
        <f>'Kullanılan gübre'!AR285*'Gübre oranlar'!AU$3</f>
        <v>0</v>
      </c>
      <c r="AS285">
        <f>'Kullanılan gübre'!AS285*'Gübre oranlar'!AV$3</f>
        <v>0</v>
      </c>
      <c r="AT285">
        <f>'Kullanılan gübre'!AT285*'Gübre oranlar'!AW$3</f>
        <v>0</v>
      </c>
      <c r="AU285">
        <f>'Kullanılan gübre'!AU285*'Gübre oranlar'!AX$3</f>
        <v>0</v>
      </c>
      <c r="AV285">
        <f>'Kullanılan gübre'!AV285*'Gübre oranlar'!AY$3</f>
        <v>0</v>
      </c>
      <c r="AW285">
        <f t="shared" si="4"/>
        <v>93.574999999999989</v>
      </c>
    </row>
    <row r="286" spans="1:49" x14ac:dyDescent="0.25">
      <c r="A286" t="str">
        <f>'Kullanılan gübre'!A286</f>
        <v>YI</v>
      </c>
      <c r="B286" t="str">
        <f>'Kullanılan gübre'!B286</f>
        <v>TOKAT</v>
      </c>
      <c r="C286" t="str">
        <f>'Kullanılan gübre'!C286</f>
        <v>BASCIFTLIK</v>
      </c>
      <c r="D286">
        <f>'Kullanılan gübre'!D286</f>
        <v>2007</v>
      </c>
      <c r="E286">
        <f>'Kullanılan gübre'!E286*'Gübre oranlar'!H$3</f>
        <v>0</v>
      </c>
      <c r="F286">
        <f>'Kullanılan gübre'!F286*'Gübre oranlar'!I$3</f>
        <v>0</v>
      </c>
      <c r="G286">
        <f>'Kullanılan gübre'!G286*'Gübre oranlar'!J$3</f>
        <v>0</v>
      </c>
      <c r="H286">
        <f>'Kullanılan gübre'!H286*'Gübre oranlar'!K$3</f>
        <v>0</v>
      </c>
      <c r="I286">
        <f>'Kullanılan gübre'!I286*'Gübre oranlar'!L$3</f>
        <v>0</v>
      </c>
      <c r="J286">
        <f>'Kullanılan gübre'!J286*'Gübre oranlar'!M$3</f>
        <v>0</v>
      </c>
      <c r="K286">
        <f>'Kullanılan gübre'!K286*'Gübre oranlar'!N$3</f>
        <v>0</v>
      </c>
      <c r="L286">
        <f>'Kullanılan gübre'!L286*'Gübre oranlar'!O$3</f>
        <v>0</v>
      </c>
      <c r="M286">
        <f>'Kullanılan gübre'!M286*'Gübre oranlar'!P$3</f>
        <v>0</v>
      </c>
      <c r="N286">
        <f>'Kullanılan gübre'!N286*'Gübre oranlar'!Q$3</f>
        <v>0</v>
      </c>
      <c r="O286">
        <f>'Kullanılan gübre'!O286*'Gübre oranlar'!R$3</f>
        <v>0</v>
      </c>
      <c r="P286">
        <f>'Kullanılan gübre'!P286*'Gübre oranlar'!S$3</f>
        <v>0</v>
      </c>
      <c r="Q286">
        <f>'Kullanılan gübre'!Q286*'Gübre oranlar'!T$3</f>
        <v>0</v>
      </c>
      <c r="R286">
        <f>'Kullanılan gübre'!R286*'Gübre oranlar'!U$3</f>
        <v>0</v>
      </c>
      <c r="S286">
        <f>'Kullanılan gübre'!S286*'Gübre oranlar'!V$3</f>
        <v>0</v>
      </c>
      <c r="T286">
        <f>'Kullanılan gübre'!T286*'Gübre oranlar'!W$3</f>
        <v>0</v>
      </c>
      <c r="U286">
        <f>'Kullanılan gübre'!U286*'Gübre oranlar'!X$3</f>
        <v>0</v>
      </c>
      <c r="V286">
        <f>'Kullanılan gübre'!V286*'Gübre oranlar'!Y$3</f>
        <v>0</v>
      </c>
      <c r="W286">
        <f>'Kullanılan gübre'!W286*'Gübre oranlar'!Z$3</f>
        <v>0</v>
      </c>
      <c r="X286">
        <f>'Kullanılan gübre'!X286*'Gübre oranlar'!AA$3</f>
        <v>0</v>
      </c>
      <c r="Y286">
        <f>'Kullanılan gübre'!Y286*'Gübre oranlar'!AB$3</f>
        <v>0</v>
      </c>
      <c r="Z286">
        <f>'Kullanılan gübre'!Z286*'Gübre oranlar'!AC$3</f>
        <v>0</v>
      </c>
      <c r="AA286">
        <f>'Kullanılan gübre'!AA286*'Gübre oranlar'!AD$3</f>
        <v>0</v>
      </c>
      <c r="AB286">
        <f>'Kullanılan gübre'!AB286*'Gübre oranlar'!AE$3</f>
        <v>0</v>
      </c>
      <c r="AC286">
        <f>'Kullanılan gübre'!AC286*'Gübre oranlar'!AF$3</f>
        <v>0</v>
      </c>
      <c r="AD286">
        <f>'Kullanılan gübre'!AD286*'Gübre oranlar'!AG$3</f>
        <v>0</v>
      </c>
      <c r="AE286">
        <f>'Kullanılan gübre'!AE286*'Gübre oranlar'!AH$3</f>
        <v>0</v>
      </c>
      <c r="AF286">
        <f>'Kullanılan gübre'!AF286*'Gübre oranlar'!AI$3</f>
        <v>0</v>
      </c>
      <c r="AG286">
        <f>'Kullanılan gübre'!AG286*'Gübre oranlar'!AJ$3</f>
        <v>0</v>
      </c>
      <c r="AH286">
        <f>'Kullanılan gübre'!AH286*'Gübre oranlar'!AK$3</f>
        <v>0</v>
      </c>
      <c r="AI286">
        <f>'Kullanılan gübre'!AI286*'Gübre oranlar'!AL$3</f>
        <v>0</v>
      </c>
      <c r="AJ286">
        <f>'Kullanılan gübre'!AJ286*'Gübre oranlar'!AM$3</f>
        <v>0</v>
      </c>
      <c r="AK286">
        <f>'Kullanılan gübre'!AK286*'Gübre oranlar'!AN$3</f>
        <v>0</v>
      </c>
      <c r="AL286">
        <f>'Kullanılan gübre'!AL286*'Gübre oranlar'!AO$3</f>
        <v>0</v>
      </c>
      <c r="AM286">
        <f>'Kullanılan gübre'!AM286*'Gübre oranlar'!AP$3</f>
        <v>0</v>
      </c>
      <c r="AN286">
        <f>'Kullanılan gübre'!AN286*'Gübre oranlar'!AQ$3</f>
        <v>0</v>
      </c>
      <c r="AO286">
        <f>'Kullanılan gübre'!AO286*'Gübre oranlar'!AR$3</f>
        <v>0</v>
      </c>
      <c r="AP286">
        <f>'Kullanılan gübre'!AP286*'Gübre oranlar'!AS$3</f>
        <v>0</v>
      </c>
      <c r="AQ286">
        <f>'Kullanılan gübre'!AQ286*'Gübre oranlar'!AT$3</f>
        <v>0</v>
      </c>
      <c r="AR286">
        <f>'Kullanılan gübre'!AR286*'Gübre oranlar'!AU$3</f>
        <v>0</v>
      </c>
      <c r="AS286">
        <f>'Kullanılan gübre'!AS286*'Gübre oranlar'!AV$3</f>
        <v>0</v>
      </c>
      <c r="AT286">
        <f>'Kullanılan gübre'!AT286*'Gübre oranlar'!AW$3</f>
        <v>0</v>
      </c>
      <c r="AU286">
        <f>'Kullanılan gübre'!AU286*'Gübre oranlar'!AX$3</f>
        <v>0</v>
      </c>
      <c r="AV286">
        <f>'Kullanılan gübre'!AV286*'Gübre oranlar'!AY$3</f>
        <v>0</v>
      </c>
      <c r="AW286">
        <f t="shared" si="4"/>
        <v>0</v>
      </c>
    </row>
    <row r="287" spans="1:49" x14ac:dyDescent="0.25">
      <c r="A287" t="str">
        <f>'Kullanılan gübre'!A287</f>
        <v>YI</v>
      </c>
      <c r="B287" t="str">
        <f>'Kullanılan gübre'!B287</f>
        <v>TOKAT</v>
      </c>
      <c r="C287" t="str">
        <f>'Kullanılan gübre'!C287</f>
        <v>ERBAA</v>
      </c>
      <c r="D287">
        <f>'Kullanılan gübre'!D287</f>
        <v>2007</v>
      </c>
      <c r="E287">
        <f>'Kullanılan gübre'!E287*'Gübre oranlar'!H$3</f>
        <v>0</v>
      </c>
      <c r="F287">
        <f>'Kullanılan gübre'!F287*'Gübre oranlar'!I$3</f>
        <v>0</v>
      </c>
      <c r="G287">
        <f>'Kullanılan gübre'!G287*'Gübre oranlar'!J$3</f>
        <v>0</v>
      </c>
      <c r="H287">
        <f>'Kullanılan gübre'!H287*'Gübre oranlar'!K$3</f>
        <v>0</v>
      </c>
      <c r="I287">
        <f>'Kullanılan gübre'!I287*'Gübre oranlar'!L$3</f>
        <v>32.25</v>
      </c>
      <c r="J287">
        <f>'Kullanılan gübre'!J287*'Gübre oranlar'!M$3</f>
        <v>0</v>
      </c>
      <c r="K287">
        <f>'Kullanılan gübre'!K287*'Gübre oranlar'!N$3</f>
        <v>302.08000000000004</v>
      </c>
      <c r="L287">
        <f>'Kullanılan gübre'!L287*'Gübre oranlar'!O$3</f>
        <v>0</v>
      </c>
      <c r="M287">
        <f>'Kullanılan gübre'!M287*'Gübre oranlar'!P$3</f>
        <v>304.3725</v>
      </c>
      <c r="N287">
        <f>'Kullanılan gübre'!N287*'Gübre oranlar'!Q$3</f>
        <v>0</v>
      </c>
      <c r="O287">
        <f>'Kullanılan gübre'!O287*'Gübre oranlar'!R$3</f>
        <v>0</v>
      </c>
      <c r="P287">
        <f>'Kullanılan gübre'!P287*'Gübre oranlar'!S$3</f>
        <v>0</v>
      </c>
      <c r="Q287">
        <f>'Kullanılan gübre'!Q287*'Gübre oranlar'!T$3</f>
        <v>0</v>
      </c>
      <c r="R287">
        <f>'Kullanılan gübre'!R287*'Gübre oranlar'!U$3</f>
        <v>0</v>
      </c>
      <c r="S287">
        <f>'Kullanılan gübre'!S287*'Gübre oranlar'!V$3</f>
        <v>0</v>
      </c>
      <c r="T287">
        <f>'Kullanılan gübre'!T287*'Gübre oranlar'!W$3</f>
        <v>0</v>
      </c>
      <c r="U287">
        <f>'Kullanılan gübre'!U287*'Gübre oranlar'!X$3</f>
        <v>0</v>
      </c>
      <c r="V287">
        <f>'Kullanılan gübre'!V287*'Gübre oranlar'!Y$3</f>
        <v>0</v>
      </c>
      <c r="W287">
        <f>'Kullanılan gübre'!W287*'Gübre oranlar'!Z$3</f>
        <v>0</v>
      </c>
      <c r="X287">
        <f>'Kullanılan gübre'!X287*'Gübre oranlar'!AA$3</f>
        <v>0</v>
      </c>
      <c r="Y287">
        <f>'Kullanılan gübre'!Y287*'Gübre oranlar'!AB$3</f>
        <v>0</v>
      </c>
      <c r="Z287">
        <f>'Kullanılan gübre'!Z287*'Gübre oranlar'!AC$3</f>
        <v>0</v>
      </c>
      <c r="AA287">
        <f>'Kullanılan gübre'!AA287*'Gübre oranlar'!AD$3</f>
        <v>0</v>
      </c>
      <c r="AB287">
        <f>'Kullanılan gübre'!AB287*'Gübre oranlar'!AE$3</f>
        <v>0</v>
      </c>
      <c r="AC287">
        <f>'Kullanılan gübre'!AC287*'Gübre oranlar'!AF$3</f>
        <v>0</v>
      </c>
      <c r="AD287">
        <f>'Kullanılan gübre'!AD287*'Gübre oranlar'!AG$3</f>
        <v>0</v>
      </c>
      <c r="AE287">
        <f>'Kullanılan gübre'!AE287*'Gübre oranlar'!AH$3</f>
        <v>0</v>
      </c>
      <c r="AF287">
        <f>'Kullanılan gübre'!AF287*'Gübre oranlar'!AI$3</f>
        <v>0</v>
      </c>
      <c r="AG287">
        <f>'Kullanılan gübre'!AG287*'Gübre oranlar'!AJ$3</f>
        <v>0</v>
      </c>
      <c r="AH287">
        <f>'Kullanılan gübre'!AH287*'Gübre oranlar'!AK$3</f>
        <v>0</v>
      </c>
      <c r="AI287">
        <f>'Kullanılan gübre'!AI287*'Gübre oranlar'!AL$3</f>
        <v>0</v>
      </c>
      <c r="AJ287">
        <f>'Kullanılan gübre'!AJ287*'Gübre oranlar'!AM$3</f>
        <v>0</v>
      </c>
      <c r="AK287">
        <f>'Kullanılan gübre'!AK287*'Gübre oranlar'!AN$3</f>
        <v>0</v>
      </c>
      <c r="AL287">
        <f>'Kullanılan gübre'!AL287*'Gübre oranlar'!AO$3</f>
        <v>0</v>
      </c>
      <c r="AM287">
        <f>'Kullanılan gübre'!AM287*'Gübre oranlar'!AP$3</f>
        <v>0</v>
      </c>
      <c r="AN287">
        <f>'Kullanılan gübre'!AN287*'Gübre oranlar'!AQ$3</f>
        <v>0</v>
      </c>
      <c r="AO287">
        <f>'Kullanılan gübre'!AO287*'Gübre oranlar'!AR$3</f>
        <v>0</v>
      </c>
      <c r="AP287">
        <f>'Kullanılan gübre'!AP287*'Gübre oranlar'!AS$3</f>
        <v>0</v>
      </c>
      <c r="AQ287">
        <f>'Kullanılan gübre'!AQ287*'Gübre oranlar'!AT$3</f>
        <v>0</v>
      </c>
      <c r="AR287">
        <f>'Kullanılan gübre'!AR287*'Gübre oranlar'!AU$3</f>
        <v>0</v>
      </c>
      <c r="AS287">
        <f>'Kullanılan gübre'!AS287*'Gübre oranlar'!AV$3</f>
        <v>0</v>
      </c>
      <c r="AT287">
        <f>'Kullanılan gübre'!AT287*'Gübre oranlar'!AW$3</f>
        <v>0</v>
      </c>
      <c r="AU287">
        <f>'Kullanılan gübre'!AU287*'Gübre oranlar'!AX$3</f>
        <v>0</v>
      </c>
      <c r="AV287">
        <f>'Kullanılan gübre'!AV287*'Gübre oranlar'!AY$3</f>
        <v>0</v>
      </c>
      <c r="AW287">
        <f t="shared" si="4"/>
        <v>638.7025000000001</v>
      </c>
    </row>
    <row r="288" spans="1:49" x14ac:dyDescent="0.25">
      <c r="A288" t="str">
        <f>'Kullanılan gübre'!A288</f>
        <v>YI</v>
      </c>
      <c r="B288" t="str">
        <f>'Kullanılan gübre'!B288</f>
        <v>TOKAT</v>
      </c>
      <c r="C288" t="str">
        <f>'Kullanılan gübre'!C288</f>
        <v>NIKSAR</v>
      </c>
      <c r="D288">
        <f>'Kullanılan gübre'!D288</f>
        <v>2007</v>
      </c>
      <c r="E288">
        <f>'Kullanılan gübre'!E288*'Gübre oranlar'!H$3</f>
        <v>0</v>
      </c>
      <c r="F288">
        <f>'Kullanılan gübre'!F288*'Gübre oranlar'!I$3</f>
        <v>0</v>
      </c>
      <c r="G288">
        <f>'Kullanılan gübre'!G288*'Gübre oranlar'!J$3</f>
        <v>0</v>
      </c>
      <c r="H288">
        <f>'Kullanılan gübre'!H288*'Gübre oranlar'!K$3</f>
        <v>0</v>
      </c>
      <c r="I288">
        <f>'Kullanılan gübre'!I288*'Gübre oranlar'!L$3</f>
        <v>0</v>
      </c>
      <c r="J288">
        <f>'Kullanılan gübre'!J288*'Gübre oranlar'!M$3</f>
        <v>0</v>
      </c>
      <c r="K288">
        <f>'Kullanılan gübre'!K288*'Gübre oranlar'!N$3</f>
        <v>24.26</v>
      </c>
      <c r="L288">
        <f>'Kullanılan gübre'!L288*'Gübre oranlar'!O$3</f>
        <v>0</v>
      </c>
      <c r="M288">
        <f>'Kullanılan gübre'!M288*'Gübre oranlar'!P$3</f>
        <v>20.835000000000001</v>
      </c>
      <c r="N288">
        <f>'Kullanılan gübre'!N288*'Gübre oranlar'!Q$3</f>
        <v>0</v>
      </c>
      <c r="O288">
        <f>'Kullanılan gübre'!O288*'Gübre oranlar'!R$3</f>
        <v>0</v>
      </c>
      <c r="P288">
        <f>'Kullanılan gübre'!P288*'Gübre oranlar'!S$3</f>
        <v>0</v>
      </c>
      <c r="Q288">
        <f>'Kullanılan gübre'!Q288*'Gübre oranlar'!T$3</f>
        <v>0</v>
      </c>
      <c r="R288">
        <f>'Kullanılan gübre'!R288*'Gübre oranlar'!U$3</f>
        <v>0</v>
      </c>
      <c r="S288">
        <f>'Kullanılan gübre'!S288*'Gübre oranlar'!V$3</f>
        <v>0</v>
      </c>
      <c r="T288">
        <f>'Kullanılan gübre'!T288*'Gübre oranlar'!W$3</f>
        <v>0</v>
      </c>
      <c r="U288">
        <f>'Kullanılan gübre'!U288*'Gübre oranlar'!X$3</f>
        <v>0</v>
      </c>
      <c r="V288">
        <f>'Kullanılan gübre'!V288*'Gübre oranlar'!Y$3</f>
        <v>0</v>
      </c>
      <c r="W288">
        <f>'Kullanılan gübre'!W288*'Gübre oranlar'!Z$3</f>
        <v>0</v>
      </c>
      <c r="X288">
        <f>'Kullanılan gübre'!X288*'Gübre oranlar'!AA$3</f>
        <v>0</v>
      </c>
      <c r="Y288">
        <f>'Kullanılan gübre'!Y288*'Gübre oranlar'!AB$3</f>
        <v>0</v>
      </c>
      <c r="Z288">
        <f>'Kullanılan gübre'!Z288*'Gübre oranlar'!AC$3</f>
        <v>0</v>
      </c>
      <c r="AA288">
        <f>'Kullanılan gübre'!AA288*'Gübre oranlar'!AD$3</f>
        <v>0</v>
      </c>
      <c r="AB288">
        <f>'Kullanılan gübre'!AB288*'Gübre oranlar'!AE$3</f>
        <v>0</v>
      </c>
      <c r="AC288">
        <f>'Kullanılan gübre'!AC288*'Gübre oranlar'!AF$3</f>
        <v>0</v>
      </c>
      <c r="AD288">
        <f>'Kullanılan gübre'!AD288*'Gübre oranlar'!AG$3</f>
        <v>0</v>
      </c>
      <c r="AE288">
        <f>'Kullanılan gübre'!AE288*'Gübre oranlar'!AH$3</f>
        <v>0</v>
      </c>
      <c r="AF288">
        <f>'Kullanılan gübre'!AF288*'Gübre oranlar'!AI$3</f>
        <v>0</v>
      </c>
      <c r="AG288">
        <f>'Kullanılan gübre'!AG288*'Gübre oranlar'!AJ$3</f>
        <v>0</v>
      </c>
      <c r="AH288">
        <f>'Kullanılan gübre'!AH288*'Gübre oranlar'!AK$3</f>
        <v>0</v>
      </c>
      <c r="AI288">
        <f>'Kullanılan gübre'!AI288*'Gübre oranlar'!AL$3</f>
        <v>0</v>
      </c>
      <c r="AJ288">
        <f>'Kullanılan gübre'!AJ288*'Gübre oranlar'!AM$3</f>
        <v>0</v>
      </c>
      <c r="AK288">
        <f>'Kullanılan gübre'!AK288*'Gübre oranlar'!AN$3</f>
        <v>0</v>
      </c>
      <c r="AL288">
        <f>'Kullanılan gübre'!AL288*'Gübre oranlar'!AO$3</f>
        <v>0</v>
      </c>
      <c r="AM288">
        <f>'Kullanılan gübre'!AM288*'Gübre oranlar'!AP$3</f>
        <v>0</v>
      </c>
      <c r="AN288">
        <f>'Kullanılan gübre'!AN288*'Gübre oranlar'!AQ$3</f>
        <v>0</v>
      </c>
      <c r="AO288">
        <f>'Kullanılan gübre'!AO288*'Gübre oranlar'!AR$3</f>
        <v>0</v>
      </c>
      <c r="AP288">
        <f>'Kullanılan gübre'!AP288*'Gübre oranlar'!AS$3</f>
        <v>0</v>
      </c>
      <c r="AQ288">
        <f>'Kullanılan gübre'!AQ288*'Gübre oranlar'!AT$3</f>
        <v>0</v>
      </c>
      <c r="AR288">
        <f>'Kullanılan gübre'!AR288*'Gübre oranlar'!AU$3</f>
        <v>0</v>
      </c>
      <c r="AS288">
        <f>'Kullanılan gübre'!AS288*'Gübre oranlar'!AV$3</f>
        <v>0</v>
      </c>
      <c r="AT288">
        <f>'Kullanılan gübre'!AT288*'Gübre oranlar'!AW$3</f>
        <v>0</v>
      </c>
      <c r="AU288">
        <f>'Kullanılan gübre'!AU288*'Gübre oranlar'!AX$3</f>
        <v>0</v>
      </c>
      <c r="AV288">
        <f>'Kullanılan gübre'!AV288*'Gübre oranlar'!AY$3</f>
        <v>0</v>
      </c>
      <c r="AW288">
        <f t="shared" si="4"/>
        <v>45.094999999999999</v>
      </c>
    </row>
    <row r="289" spans="1:49" x14ac:dyDescent="0.25">
      <c r="A289" t="str">
        <f>'Kullanılan gübre'!A289</f>
        <v>YI</v>
      </c>
      <c r="B289" t="str">
        <f>'Kullanılan gübre'!B289</f>
        <v>TOKAT</v>
      </c>
      <c r="C289" t="str">
        <f>'Kullanılan gübre'!C289</f>
        <v>PAZAR</v>
      </c>
      <c r="D289">
        <f>'Kullanılan gübre'!D289</f>
        <v>2007</v>
      </c>
      <c r="E289">
        <f>'Kullanılan gübre'!E289*'Gübre oranlar'!H$3</f>
        <v>0</v>
      </c>
      <c r="F289">
        <f>'Kullanılan gübre'!F289*'Gübre oranlar'!I$3</f>
        <v>0</v>
      </c>
      <c r="G289">
        <f>'Kullanılan gübre'!G289*'Gübre oranlar'!J$3</f>
        <v>0</v>
      </c>
      <c r="H289">
        <f>'Kullanılan gübre'!H289*'Gübre oranlar'!K$3</f>
        <v>0</v>
      </c>
      <c r="I289">
        <f>'Kullanılan gübre'!I289*'Gübre oranlar'!L$3</f>
        <v>21.5</v>
      </c>
      <c r="J289">
        <f>'Kullanılan gübre'!J289*'Gübre oranlar'!M$3</f>
        <v>0</v>
      </c>
      <c r="K289">
        <f>'Kullanılan gübre'!K289*'Gübre oranlar'!N$3</f>
        <v>3.9299999999999997</v>
      </c>
      <c r="L289">
        <f>'Kullanılan gübre'!L289*'Gübre oranlar'!O$3</f>
        <v>9.120000000000001</v>
      </c>
      <c r="M289">
        <f>'Kullanılan gübre'!M289*'Gübre oranlar'!P$3</f>
        <v>6.8474999999999993</v>
      </c>
      <c r="N289">
        <f>'Kullanılan gübre'!N289*'Gübre oranlar'!Q$3</f>
        <v>10.35</v>
      </c>
      <c r="O289">
        <f>'Kullanılan gübre'!O289*'Gübre oranlar'!R$3</f>
        <v>0</v>
      </c>
      <c r="P289">
        <f>'Kullanılan gübre'!P289*'Gübre oranlar'!S$3</f>
        <v>0</v>
      </c>
      <c r="Q289">
        <f>'Kullanılan gübre'!Q289*'Gübre oranlar'!T$3</f>
        <v>138.33000000000001</v>
      </c>
      <c r="R289">
        <f>'Kullanılan gübre'!R289*'Gübre oranlar'!U$3</f>
        <v>0</v>
      </c>
      <c r="S289">
        <f>'Kullanılan gübre'!S289*'Gübre oranlar'!V$3</f>
        <v>0</v>
      </c>
      <c r="T289">
        <f>'Kullanılan gübre'!T289*'Gübre oranlar'!W$3</f>
        <v>0</v>
      </c>
      <c r="U289">
        <f>'Kullanılan gübre'!U289*'Gübre oranlar'!X$3</f>
        <v>0</v>
      </c>
      <c r="V289">
        <f>'Kullanılan gübre'!V289*'Gübre oranlar'!Y$3</f>
        <v>0</v>
      </c>
      <c r="W289">
        <f>'Kullanılan gübre'!W289*'Gübre oranlar'!Z$3</f>
        <v>0</v>
      </c>
      <c r="X289">
        <f>'Kullanılan gübre'!X289*'Gübre oranlar'!AA$3</f>
        <v>0</v>
      </c>
      <c r="Y289">
        <f>'Kullanılan gübre'!Y289*'Gübre oranlar'!AB$3</f>
        <v>0</v>
      </c>
      <c r="Z289">
        <f>'Kullanılan gübre'!Z289*'Gübre oranlar'!AC$3</f>
        <v>0</v>
      </c>
      <c r="AA289">
        <f>'Kullanılan gübre'!AA289*'Gübre oranlar'!AD$3</f>
        <v>0</v>
      </c>
      <c r="AB289">
        <f>'Kullanılan gübre'!AB289*'Gübre oranlar'!AE$3</f>
        <v>0</v>
      </c>
      <c r="AC289">
        <f>'Kullanılan gübre'!AC289*'Gübre oranlar'!AF$3</f>
        <v>0</v>
      </c>
      <c r="AD289">
        <f>'Kullanılan gübre'!AD289*'Gübre oranlar'!AG$3</f>
        <v>0</v>
      </c>
      <c r="AE289">
        <f>'Kullanılan gübre'!AE289*'Gübre oranlar'!AH$3</f>
        <v>0</v>
      </c>
      <c r="AF289">
        <f>'Kullanılan gübre'!AF289*'Gübre oranlar'!AI$3</f>
        <v>0</v>
      </c>
      <c r="AG289">
        <f>'Kullanılan gübre'!AG289*'Gübre oranlar'!AJ$3</f>
        <v>0</v>
      </c>
      <c r="AH289">
        <f>'Kullanılan gübre'!AH289*'Gübre oranlar'!AK$3</f>
        <v>0</v>
      </c>
      <c r="AI289">
        <f>'Kullanılan gübre'!AI289*'Gübre oranlar'!AL$3</f>
        <v>0</v>
      </c>
      <c r="AJ289">
        <f>'Kullanılan gübre'!AJ289*'Gübre oranlar'!AM$3</f>
        <v>0</v>
      </c>
      <c r="AK289">
        <f>'Kullanılan gübre'!AK289*'Gübre oranlar'!AN$3</f>
        <v>0</v>
      </c>
      <c r="AL289">
        <f>'Kullanılan gübre'!AL289*'Gübre oranlar'!AO$3</f>
        <v>0</v>
      </c>
      <c r="AM289">
        <f>'Kullanılan gübre'!AM289*'Gübre oranlar'!AP$3</f>
        <v>0</v>
      </c>
      <c r="AN289">
        <f>'Kullanılan gübre'!AN289*'Gübre oranlar'!AQ$3</f>
        <v>0</v>
      </c>
      <c r="AO289">
        <f>'Kullanılan gübre'!AO289*'Gübre oranlar'!AR$3</f>
        <v>0</v>
      </c>
      <c r="AP289">
        <f>'Kullanılan gübre'!AP289*'Gübre oranlar'!AS$3</f>
        <v>0</v>
      </c>
      <c r="AQ289">
        <f>'Kullanılan gübre'!AQ289*'Gübre oranlar'!AT$3</f>
        <v>0</v>
      </c>
      <c r="AR289">
        <f>'Kullanılan gübre'!AR289*'Gübre oranlar'!AU$3</f>
        <v>0</v>
      </c>
      <c r="AS289">
        <f>'Kullanılan gübre'!AS289*'Gübre oranlar'!AV$3</f>
        <v>0</v>
      </c>
      <c r="AT289">
        <f>'Kullanılan gübre'!AT289*'Gübre oranlar'!AW$3</f>
        <v>0</v>
      </c>
      <c r="AU289">
        <f>'Kullanılan gübre'!AU289*'Gübre oranlar'!AX$3</f>
        <v>0</v>
      </c>
      <c r="AV289">
        <f>'Kullanılan gübre'!AV289*'Gübre oranlar'!AY$3</f>
        <v>0</v>
      </c>
      <c r="AW289">
        <f t="shared" si="4"/>
        <v>190.07750000000001</v>
      </c>
    </row>
    <row r="290" spans="1:49" x14ac:dyDescent="0.25">
      <c r="A290" t="str">
        <f>'Kullanılan gübre'!A290</f>
        <v>YI</v>
      </c>
      <c r="B290" t="str">
        <f>'Kullanılan gübre'!B290</f>
        <v>TOKAT</v>
      </c>
      <c r="C290" t="str">
        <f>'Kullanılan gübre'!C290</f>
        <v>RESADIYE</v>
      </c>
      <c r="D290">
        <f>'Kullanılan gübre'!D290</f>
        <v>2007</v>
      </c>
      <c r="E290">
        <f>'Kullanılan gübre'!E290*'Gübre oranlar'!H$3</f>
        <v>0</v>
      </c>
      <c r="F290">
        <f>'Kullanılan gübre'!F290*'Gübre oranlar'!I$3</f>
        <v>0</v>
      </c>
      <c r="G290">
        <f>'Kullanılan gübre'!G290*'Gübre oranlar'!J$3</f>
        <v>0</v>
      </c>
      <c r="H290">
        <f>'Kullanılan gübre'!H290*'Gübre oranlar'!K$3</f>
        <v>0</v>
      </c>
      <c r="I290">
        <f>'Kullanılan gübre'!I290*'Gübre oranlar'!L$3</f>
        <v>0</v>
      </c>
      <c r="J290">
        <f>'Kullanılan gübre'!J290*'Gübre oranlar'!M$3</f>
        <v>0</v>
      </c>
      <c r="K290">
        <f>'Kullanılan gübre'!K290*'Gübre oranlar'!N$3</f>
        <v>0</v>
      </c>
      <c r="L290">
        <f>'Kullanılan gübre'!L290*'Gübre oranlar'!O$3</f>
        <v>0</v>
      </c>
      <c r="M290">
        <f>'Kullanılan gübre'!M290*'Gübre oranlar'!P$3</f>
        <v>0</v>
      </c>
      <c r="N290">
        <f>'Kullanılan gübre'!N290*'Gübre oranlar'!Q$3</f>
        <v>0</v>
      </c>
      <c r="O290">
        <f>'Kullanılan gübre'!O290*'Gübre oranlar'!R$3</f>
        <v>0</v>
      </c>
      <c r="P290">
        <f>'Kullanılan gübre'!P290*'Gübre oranlar'!S$3</f>
        <v>0</v>
      </c>
      <c r="Q290">
        <f>'Kullanılan gübre'!Q290*'Gübre oranlar'!T$3</f>
        <v>0</v>
      </c>
      <c r="R290">
        <f>'Kullanılan gübre'!R290*'Gübre oranlar'!U$3</f>
        <v>0</v>
      </c>
      <c r="S290">
        <f>'Kullanılan gübre'!S290*'Gübre oranlar'!V$3</f>
        <v>0</v>
      </c>
      <c r="T290">
        <f>'Kullanılan gübre'!T290*'Gübre oranlar'!W$3</f>
        <v>0</v>
      </c>
      <c r="U290">
        <f>'Kullanılan gübre'!U290*'Gübre oranlar'!X$3</f>
        <v>0</v>
      </c>
      <c r="V290">
        <f>'Kullanılan gübre'!V290*'Gübre oranlar'!Y$3</f>
        <v>0</v>
      </c>
      <c r="W290">
        <f>'Kullanılan gübre'!W290*'Gübre oranlar'!Z$3</f>
        <v>0</v>
      </c>
      <c r="X290">
        <f>'Kullanılan gübre'!X290*'Gübre oranlar'!AA$3</f>
        <v>0</v>
      </c>
      <c r="Y290">
        <f>'Kullanılan gübre'!Y290*'Gübre oranlar'!AB$3</f>
        <v>0</v>
      </c>
      <c r="Z290">
        <f>'Kullanılan gübre'!Z290*'Gübre oranlar'!AC$3</f>
        <v>0</v>
      </c>
      <c r="AA290">
        <f>'Kullanılan gübre'!AA290*'Gübre oranlar'!AD$3</f>
        <v>0</v>
      </c>
      <c r="AB290">
        <f>'Kullanılan gübre'!AB290*'Gübre oranlar'!AE$3</f>
        <v>0</v>
      </c>
      <c r="AC290">
        <f>'Kullanılan gübre'!AC290*'Gübre oranlar'!AF$3</f>
        <v>0</v>
      </c>
      <c r="AD290">
        <f>'Kullanılan gübre'!AD290*'Gübre oranlar'!AG$3</f>
        <v>0</v>
      </c>
      <c r="AE290">
        <f>'Kullanılan gübre'!AE290*'Gübre oranlar'!AH$3</f>
        <v>0</v>
      </c>
      <c r="AF290">
        <f>'Kullanılan gübre'!AF290*'Gübre oranlar'!AI$3</f>
        <v>0</v>
      </c>
      <c r="AG290">
        <f>'Kullanılan gübre'!AG290*'Gübre oranlar'!AJ$3</f>
        <v>0</v>
      </c>
      <c r="AH290">
        <f>'Kullanılan gübre'!AH290*'Gübre oranlar'!AK$3</f>
        <v>0</v>
      </c>
      <c r="AI290">
        <f>'Kullanılan gübre'!AI290*'Gübre oranlar'!AL$3</f>
        <v>0</v>
      </c>
      <c r="AJ290">
        <f>'Kullanılan gübre'!AJ290*'Gübre oranlar'!AM$3</f>
        <v>0</v>
      </c>
      <c r="AK290">
        <f>'Kullanılan gübre'!AK290*'Gübre oranlar'!AN$3</f>
        <v>0</v>
      </c>
      <c r="AL290">
        <f>'Kullanılan gübre'!AL290*'Gübre oranlar'!AO$3</f>
        <v>0</v>
      </c>
      <c r="AM290">
        <f>'Kullanılan gübre'!AM290*'Gübre oranlar'!AP$3</f>
        <v>0</v>
      </c>
      <c r="AN290">
        <f>'Kullanılan gübre'!AN290*'Gübre oranlar'!AQ$3</f>
        <v>0</v>
      </c>
      <c r="AO290">
        <f>'Kullanılan gübre'!AO290*'Gübre oranlar'!AR$3</f>
        <v>0</v>
      </c>
      <c r="AP290">
        <f>'Kullanılan gübre'!AP290*'Gübre oranlar'!AS$3</f>
        <v>0</v>
      </c>
      <c r="AQ290">
        <f>'Kullanılan gübre'!AQ290*'Gübre oranlar'!AT$3</f>
        <v>0</v>
      </c>
      <c r="AR290">
        <f>'Kullanılan gübre'!AR290*'Gübre oranlar'!AU$3</f>
        <v>0</v>
      </c>
      <c r="AS290">
        <f>'Kullanılan gübre'!AS290*'Gübre oranlar'!AV$3</f>
        <v>0</v>
      </c>
      <c r="AT290">
        <f>'Kullanılan gübre'!AT290*'Gübre oranlar'!AW$3</f>
        <v>0</v>
      </c>
      <c r="AU290">
        <f>'Kullanılan gübre'!AU290*'Gübre oranlar'!AX$3</f>
        <v>0</v>
      </c>
      <c r="AV290">
        <f>'Kullanılan gübre'!AV290*'Gübre oranlar'!AY$3</f>
        <v>0</v>
      </c>
      <c r="AW290">
        <f t="shared" si="4"/>
        <v>0</v>
      </c>
    </row>
    <row r="291" spans="1:49" x14ac:dyDescent="0.25">
      <c r="A291" t="str">
        <f>'Kullanılan gübre'!A291</f>
        <v>YI</v>
      </c>
      <c r="B291" t="str">
        <f>'Kullanılan gübre'!B291</f>
        <v>TOKAT</v>
      </c>
      <c r="C291" t="str">
        <f>'Kullanılan gübre'!C291</f>
        <v>SULUSARAY</v>
      </c>
      <c r="D291">
        <f>'Kullanılan gübre'!D291</f>
        <v>2007</v>
      </c>
      <c r="E291">
        <f>'Kullanılan gübre'!E291*'Gübre oranlar'!H$3</f>
        <v>0</v>
      </c>
      <c r="F291">
        <f>'Kullanılan gübre'!F291*'Gübre oranlar'!I$3</f>
        <v>0</v>
      </c>
      <c r="G291">
        <f>'Kullanılan gübre'!G291*'Gübre oranlar'!J$3</f>
        <v>0</v>
      </c>
      <c r="H291">
        <f>'Kullanılan gübre'!H291*'Gübre oranlar'!K$3</f>
        <v>0</v>
      </c>
      <c r="I291">
        <f>'Kullanılan gübre'!I291*'Gübre oranlar'!L$3</f>
        <v>0</v>
      </c>
      <c r="J291">
        <f>'Kullanılan gübre'!J291*'Gübre oranlar'!M$3</f>
        <v>0</v>
      </c>
      <c r="K291">
        <f>'Kullanılan gübre'!K291*'Gübre oranlar'!N$3</f>
        <v>34.510000000000005</v>
      </c>
      <c r="L291">
        <f>'Kullanılan gübre'!L291*'Gübre oranlar'!O$3</f>
        <v>44.980000000000004</v>
      </c>
      <c r="M291">
        <f>'Kullanılan gübre'!M291*'Gübre oranlar'!P$3</f>
        <v>0</v>
      </c>
      <c r="N291">
        <f>'Kullanılan gübre'!N291*'Gübre oranlar'!Q$3</f>
        <v>0</v>
      </c>
      <c r="O291">
        <f>'Kullanılan gübre'!O291*'Gübre oranlar'!R$3</f>
        <v>0</v>
      </c>
      <c r="P291">
        <f>'Kullanılan gübre'!P291*'Gübre oranlar'!S$3</f>
        <v>0</v>
      </c>
      <c r="Q291">
        <f>'Kullanılan gübre'!Q291*'Gübre oranlar'!T$3</f>
        <v>0</v>
      </c>
      <c r="R291">
        <f>'Kullanılan gübre'!R291*'Gübre oranlar'!U$3</f>
        <v>14.219999999999999</v>
      </c>
      <c r="S291">
        <f>'Kullanılan gübre'!S291*'Gübre oranlar'!V$3</f>
        <v>0</v>
      </c>
      <c r="T291">
        <f>'Kullanılan gübre'!T291*'Gübre oranlar'!W$3</f>
        <v>0</v>
      </c>
      <c r="U291">
        <f>'Kullanılan gübre'!U291*'Gübre oranlar'!X$3</f>
        <v>0</v>
      </c>
      <c r="V291">
        <f>'Kullanılan gübre'!V291*'Gübre oranlar'!Y$3</f>
        <v>0</v>
      </c>
      <c r="W291">
        <f>'Kullanılan gübre'!W291*'Gübre oranlar'!Z$3</f>
        <v>0</v>
      </c>
      <c r="X291">
        <f>'Kullanılan gübre'!X291*'Gübre oranlar'!AA$3</f>
        <v>0</v>
      </c>
      <c r="Y291">
        <f>'Kullanılan gübre'!Y291*'Gübre oranlar'!AB$3</f>
        <v>0</v>
      </c>
      <c r="Z291">
        <f>'Kullanılan gübre'!Z291*'Gübre oranlar'!AC$3</f>
        <v>0</v>
      </c>
      <c r="AA291">
        <f>'Kullanılan gübre'!AA291*'Gübre oranlar'!AD$3</f>
        <v>0</v>
      </c>
      <c r="AB291">
        <f>'Kullanılan gübre'!AB291*'Gübre oranlar'!AE$3</f>
        <v>0</v>
      </c>
      <c r="AC291">
        <f>'Kullanılan gübre'!AC291*'Gübre oranlar'!AF$3</f>
        <v>0</v>
      </c>
      <c r="AD291">
        <f>'Kullanılan gübre'!AD291*'Gübre oranlar'!AG$3</f>
        <v>0</v>
      </c>
      <c r="AE291">
        <f>'Kullanılan gübre'!AE291*'Gübre oranlar'!AH$3</f>
        <v>0</v>
      </c>
      <c r="AF291">
        <f>'Kullanılan gübre'!AF291*'Gübre oranlar'!AI$3</f>
        <v>0</v>
      </c>
      <c r="AG291">
        <f>'Kullanılan gübre'!AG291*'Gübre oranlar'!AJ$3</f>
        <v>0</v>
      </c>
      <c r="AH291">
        <f>'Kullanılan gübre'!AH291*'Gübre oranlar'!AK$3</f>
        <v>0</v>
      </c>
      <c r="AI291">
        <f>'Kullanılan gübre'!AI291*'Gübre oranlar'!AL$3</f>
        <v>0</v>
      </c>
      <c r="AJ291">
        <f>'Kullanılan gübre'!AJ291*'Gübre oranlar'!AM$3</f>
        <v>0</v>
      </c>
      <c r="AK291">
        <f>'Kullanılan gübre'!AK291*'Gübre oranlar'!AN$3</f>
        <v>0</v>
      </c>
      <c r="AL291">
        <f>'Kullanılan gübre'!AL291*'Gübre oranlar'!AO$3</f>
        <v>0</v>
      </c>
      <c r="AM291">
        <f>'Kullanılan gübre'!AM291*'Gübre oranlar'!AP$3</f>
        <v>0</v>
      </c>
      <c r="AN291">
        <f>'Kullanılan gübre'!AN291*'Gübre oranlar'!AQ$3</f>
        <v>0</v>
      </c>
      <c r="AO291">
        <f>'Kullanılan gübre'!AO291*'Gübre oranlar'!AR$3</f>
        <v>0</v>
      </c>
      <c r="AP291">
        <f>'Kullanılan gübre'!AP291*'Gübre oranlar'!AS$3</f>
        <v>0</v>
      </c>
      <c r="AQ291">
        <f>'Kullanılan gübre'!AQ291*'Gübre oranlar'!AT$3</f>
        <v>0</v>
      </c>
      <c r="AR291">
        <f>'Kullanılan gübre'!AR291*'Gübre oranlar'!AU$3</f>
        <v>0</v>
      </c>
      <c r="AS291">
        <f>'Kullanılan gübre'!AS291*'Gübre oranlar'!AV$3</f>
        <v>0</v>
      </c>
      <c r="AT291">
        <f>'Kullanılan gübre'!AT291*'Gübre oranlar'!AW$3</f>
        <v>0</v>
      </c>
      <c r="AU291">
        <f>'Kullanılan gübre'!AU291*'Gübre oranlar'!AX$3</f>
        <v>0</v>
      </c>
      <c r="AV291">
        <f>'Kullanılan gübre'!AV291*'Gübre oranlar'!AY$3</f>
        <v>0</v>
      </c>
      <c r="AW291">
        <f t="shared" si="4"/>
        <v>93.710000000000008</v>
      </c>
    </row>
    <row r="292" spans="1:49" x14ac:dyDescent="0.25">
      <c r="A292" t="str">
        <f>'Kullanılan gübre'!A292</f>
        <v>YI</v>
      </c>
      <c r="B292" t="str">
        <f>'Kullanılan gübre'!B292</f>
        <v>TOKAT</v>
      </c>
      <c r="C292" t="str">
        <f>'Kullanılan gübre'!C292</f>
        <v>TURHAL</v>
      </c>
      <c r="D292">
        <f>'Kullanılan gübre'!D292</f>
        <v>2007</v>
      </c>
      <c r="E292">
        <f>'Kullanılan gübre'!E292*'Gübre oranlar'!H$3</f>
        <v>0</v>
      </c>
      <c r="F292">
        <f>'Kullanılan gübre'!F292*'Gübre oranlar'!I$3</f>
        <v>0</v>
      </c>
      <c r="G292">
        <f>'Kullanılan gübre'!G292*'Gübre oranlar'!J$3</f>
        <v>0</v>
      </c>
      <c r="H292">
        <f>'Kullanılan gübre'!H292*'Gübre oranlar'!K$3</f>
        <v>0</v>
      </c>
      <c r="I292">
        <f>'Kullanılan gübre'!I292*'Gübre oranlar'!L$3</f>
        <v>132.87</v>
      </c>
      <c r="J292">
        <f>'Kullanılan gübre'!J292*'Gübre oranlar'!M$3</f>
        <v>0</v>
      </c>
      <c r="K292">
        <f>'Kullanılan gübre'!K292*'Gübre oranlar'!N$3</f>
        <v>44.6</v>
      </c>
      <c r="L292">
        <f>'Kullanılan gübre'!L292*'Gübre oranlar'!O$3</f>
        <v>90.18</v>
      </c>
      <c r="M292">
        <f>'Kullanılan gübre'!M292*'Gübre oranlar'!P$3</f>
        <v>0.3</v>
      </c>
      <c r="N292">
        <f>'Kullanılan gübre'!N292*'Gübre oranlar'!Q$3</f>
        <v>0</v>
      </c>
      <c r="O292">
        <f>'Kullanılan gübre'!O292*'Gübre oranlar'!R$3</f>
        <v>0</v>
      </c>
      <c r="P292">
        <f>'Kullanılan gübre'!P292*'Gübre oranlar'!S$3</f>
        <v>0</v>
      </c>
      <c r="Q292">
        <f>'Kullanılan gübre'!Q292*'Gübre oranlar'!T$3</f>
        <v>258.89999999999998</v>
      </c>
      <c r="R292">
        <f>'Kullanılan gübre'!R292*'Gübre oranlar'!U$3</f>
        <v>6.9389999999999992</v>
      </c>
      <c r="S292">
        <f>'Kullanılan gübre'!S292*'Gübre oranlar'!V$3</f>
        <v>0</v>
      </c>
      <c r="T292">
        <f>'Kullanılan gübre'!T292*'Gübre oranlar'!W$3</f>
        <v>0</v>
      </c>
      <c r="U292">
        <f>'Kullanılan gübre'!U292*'Gübre oranlar'!X$3</f>
        <v>0</v>
      </c>
      <c r="V292">
        <f>'Kullanılan gübre'!V292*'Gübre oranlar'!Y$3</f>
        <v>0</v>
      </c>
      <c r="W292">
        <f>'Kullanılan gübre'!W292*'Gübre oranlar'!Z$3</f>
        <v>0</v>
      </c>
      <c r="X292">
        <f>'Kullanılan gübre'!X292*'Gübre oranlar'!AA$3</f>
        <v>0</v>
      </c>
      <c r="Y292">
        <f>'Kullanılan gübre'!Y292*'Gübre oranlar'!AB$3</f>
        <v>0</v>
      </c>
      <c r="Z292">
        <f>'Kullanılan gübre'!Z292*'Gübre oranlar'!AC$3</f>
        <v>0</v>
      </c>
      <c r="AA292">
        <f>'Kullanılan gübre'!AA292*'Gübre oranlar'!AD$3</f>
        <v>0</v>
      </c>
      <c r="AB292">
        <f>'Kullanılan gübre'!AB292*'Gübre oranlar'!AE$3</f>
        <v>0</v>
      </c>
      <c r="AC292">
        <f>'Kullanılan gübre'!AC292*'Gübre oranlar'!AF$3</f>
        <v>0</v>
      </c>
      <c r="AD292">
        <f>'Kullanılan gübre'!AD292*'Gübre oranlar'!AG$3</f>
        <v>0</v>
      </c>
      <c r="AE292">
        <f>'Kullanılan gübre'!AE292*'Gübre oranlar'!AH$3</f>
        <v>0</v>
      </c>
      <c r="AF292">
        <f>'Kullanılan gübre'!AF292*'Gübre oranlar'!AI$3</f>
        <v>0</v>
      </c>
      <c r="AG292">
        <f>'Kullanılan gübre'!AG292*'Gübre oranlar'!AJ$3</f>
        <v>0</v>
      </c>
      <c r="AH292">
        <f>'Kullanılan gübre'!AH292*'Gübre oranlar'!AK$3</f>
        <v>0</v>
      </c>
      <c r="AI292">
        <f>'Kullanılan gübre'!AI292*'Gübre oranlar'!AL$3</f>
        <v>0</v>
      </c>
      <c r="AJ292">
        <f>'Kullanılan gübre'!AJ292*'Gübre oranlar'!AM$3</f>
        <v>0</v>
      </c>
      <c r="AK292">
        <f>'Kullanılan gübre'!AK292*'Gübre oranlar'!AN$3</f>
        <v>0</v>
      </c>
      <c r="AL292">
        <f>'Kullanılan gübre'!AL292*'Gübre oranlar'!AO$3</f>
        <v>0</v>
      </c>
      <c r="AM292">
        <f>'Kullanılan gübre'!AM292*'Gübre oranlar'!AP$3</f>
        <v>0</v>
      </c>
      <c r="AN292">
        <f>'Kullanılan gübre'!AN292*'Gübre oranlar'!AQ$3</f>
        <v>0</v>
      </c>
      <c r="AO292">
        <f>'Kullanılan gübre'!AO292*'Gübre oranlar'!AR$3</f>
        <v>0</v>
      </c>
      <c r="AP292">
        <f>'Kullanılan gübre'!AP292*'Gübre oranlar'!AS$3</f>
        <v>0</v>
      </c>
      <c r="AQ292">
        <f>'Kullanılan gübre'!AQ292*'Gübre oranlar'!AT$3</f>
        <v>0</v>
      </c>
      <c r="AR292">
        <f>'Kullanılan gübre'!AR292*'Gübre oranlar'!AU$3</f>
        <v>0</v>
      </c>
      <c r="AS292">
        <f>'Kullanılan gübre'!AS292*'Gübre oranlar'!AV$3</f>
        <v>0</v>
      </c>
      <c r="AT292">
        <f>'Kullanılan gübre'!AT292*'Gübre oranlar'!AW$3</f>
        <v>0</v>
      </c>
      <c r="AU292">
        <f>'Kullanılan gübre'!AU292*'Gübre oranlar'!AX$3</f>
        <v>0</v>
      </c>
      <c r="AV292">
        <f>'Kullanılan gübre'!AV292*'Gübre oranlar'!AY$3</f>
        <v>0</v>
      </c>
      <c r="AW292">
        <f t="shared" si="4"/>
        <v>533.78899999999987</v>
      </c>
    </row>
    <row r="293" spans="1:49" x14ac:dyDescent="0.25">
      <c r="A293" t="str">
        <f>'Kullanılan gübre'!A293</f>
        <v>YI</v>
      </c>
      <c r="B293" t="str">
        <f>'Kullanılan gübre'!B293</f>
        <v>TOKAT</v>
      </c>
      <c r="C293" t="str">
        <f>'Kullanılan gübre'!C293</f>
        <v>YESILYURT</v>
      </c>
      <c r="D293">
        <f>'Kullanılan gübre'!D293</f>
        <v>2007</v>
      </c>
      <c r="E293">
        <f>'Kullanılan gübre'!E293*'Gübre oranlar'!H$3</f>
        <v>0</v>
      </c>
      <c r="F293">
        <f>'Kullanılan gübre'!F293*'Gübre oranlar'!I$3</f>
        <v>0</v>
      </c>
      <c r="G293">
        <f>'Kullanılan gübre'!G293*'Gübre oranlar'!J$3</f>
        <v>0</v>
      </c>
      <c r="H293">
        <f>'Kullanılan gübre'!H293*'Gübre oranlar'!K$3</f>
        <v>0</v>
      </c>
      <c r="I293">
        <f>'Kullanılan gübre'!I293*'Gübre oranlar'!L$3</f>
        <v>0</v>
      </c>
      <c r="J293">
        <f>'Kullanılan gübre'!J293*'Gübre oranlar'!M$3</f>
        <v>0</v>
      </c>
      <c r="K293">
        <f>'Kullanılan gübre'!K293*'Gübre oranlar'!N$3</f>
        <v>41.6</v>
      </c>
      <c r="L293">
        <f>'Kullanılan gübre'!L293*'Gübre oranlar'!O$3</f>
        <v>15</v>
      </c>
      <c r="M293">
        <f>'Kullanılan gübre'!M293*'Gübre oranlar'!P$3</f>
        <v>1.5</v>
      </c>
      <c r="N293">
        <f>'Kullanılan gübre'!N293*'Gübre oranlar'!Q$3</f>
        <v>3.3</v>
      </c>
      <c r="O293">
        <f>'Kullanılan gübre'!O293*'Gübre oranlar'!R$3</f>
        <v>0</v>
      </c>
      <c r="P293">
        <f>'Kullanılan gübre'!P293*'Gübre oranlar'!S$3</f>
        <v>0</v>
      </c>
      <c r="Q293">
        <f>'Kullanılan gübre'!Q293*'Gübre oranlar'!T$3</f>
        <v>0</v>
      </c>
      <c r="R293">
        <f>'Kullanılan gübre'!R293*'Gübre oranlar'!U$3</f>
        <v>0</v>
      </c>
      <c r="S293">
        <f>'Kullanılan gübre'!S293*'Gübre oranlar'!V$3</f>
        <v>0</v>
      </c>
      <c r="T293">
        <f>'Kullanılan gübre'!T293*'Gübre oranlar'!W$3</f>
        <v>0</v>
      </c>
      <c r="U293">
        <f>'Kullanılan gübre'!U293*'Gübre oranlar'!X$3</f>
        <v>0</v>
      </c>
      <c r="V293">
        <f>'Kullanılan gübre'!V293*'Gübre oranlar'!Y$3</f>
        <v>0</v>
      </c>
      <c r="W293">
        <f>'Kullanılan gübre'!W293*'Gübre oranlar'!Z$3</f>
        <v>0</v>
      </c>
      <c r="X293">
        <f>'Kullanılan gübre'!X293*'Gübre oranlar'!AA$3</f>
        <v>0</v>
      </c>
      <c r="Y293">
        <f>'Kullanılan gübre'!Y293*'Gübre oranlar'!AB$3</f>
        <v>0</v>
      </c>
      <c r="Z293">
        <f>'Kullanılan gübre'!Z293*'Gübre oranlar'!AC$3</f>
        <v>0</v>
      </c>
      <c r="AA293">
        <f>'Kullanılan gübre'!AA293*'Gübre oranlar'!AD$3</f>
        <v>0</v>
      </c>
      <c r="AB293">
        <f>'Kullanılan gübre'!AB293*'Gübre oranlar'!AE$3</f>
        <v>0</v>
      </c>
      <c r="AC293">
        <f>'Kullanılan gübre'!AC293*'Gübre oranlar'!AF$3</f>
        <v>0</v>
      </c>
      <c r="AD293">
        <f>'Kullanılan gübre'!AD293*'Gübre oranlar'!AG$3</f>
        <v>0</v>
      </c>
      <c r="AE293">
        <f>'Kullanılan gübre'!AE293*'Gübre oranlar'!AH$3</f>
        <v>0</v>
      </c>
      <c r="AF293">
        <f>'Kullanılan gübre'!AF293*'Gübre oranlar'!AI$3</f>
        <v>0</v>
      </c>
      <c r="AG293">
        <f>'Kullanılan gübre'!AG293*'Gübre oranlar'!AJ$3</f>
        <v>0</v>
      </c>
      <c r="AH293">
        <f>'Kullanılan gübre'!AH293*'Gübre oranlar'!AK$3</f>
        <v>0</v>
      </c>
      <c r="AI293">
        <f>'Kullanılan gübre'!AI293*'Gübre oranlar'!AL$3</f>
        <v>0</v>
      </c>
      <c r="AJ293">
        <f>'Kullanılan gübre'!AJ293*'Gübre oranlar'!AM$3</f>
        <v>0</v>
      </c>
      <c r="AK293">
        <f>'Kullanılan gübre'!AK293*'Gübre oranlar'!AN$3</f>
        <v>0</v>
      </c>
      <c r="AL293">
        <f>'Kullanılan gübre'!AL293*'Gübre oranlar'!AO$3</f>
        <v>0</v>
      </c>
      <c r="AM293">
        <f>'Kullanılan gübre'!AM293*'Gübre oranlar'!AP$3</f>
        <v>0</v>
      </c>
      <c r="AN293">
        <f>'Kullanılan gübre'!AN293*'Gübre oranlar'!AQ$3</f>
        <v>0</v>
      </c>
      <c r="AO293">
        <f>'Kullanılan gübre'!AO293*'Gübre oranlar'!AR$3</f>
        <v>0</v>
      </c>
      <c r="AP293">
        <f>'Kullanılan gübre'!AP293*'Gübre oranlar'!AS$3</f>
        <v>0</v>
      </c>
      <c r="AQ293">
        <f>'Kullanılan gübre'!AQ293*'Gübre oranlar'!AT$3</f>
        <v>0</v>
      </c>
      <c r="AR293">
        <f>'Kullanılan gübre'!AR293*'Gübre oranlar'!AU$3</f>
        <v>0</v>
      </c>
      <c r="AS293">
        <f>'Kullanılan gübre'!AS293*'Gübre oranlar'!AV$3</f>
        <v>0</v>
      </c>
      <c r="AT293">
        <f>'Kullanılan gübre'!AT293*'Gübre oranlar'!AW$3</f>
        <v>0</v>
      </c>
      <c r="AU293">
        <f>'Kullanılan gübre'!AU293*'Gübre oranlar'!AX$3</f>
        <v>0</v>
      </c>
      <c r="AV293">
        <f>'Kullanılan gübre'!AV293*'Gübre oranlar'!AY$3</f>
        <v>0</v>
      </c>
      <c r="AW293">
        <f t="shared" si="4"/>
        <v>61.4</v>
      </c>
    </row>
    <row r="294" spans="1:49" x14ac:dyDescent="0.25">
      <c r="A294" t="str">
        <f>'Kullanılan gübre'!A294</f>
        <v>YI</v>
      </c>
      <c r="B294" t="str">
        <f>'Kullanılan gübre'!B294</f>
        <v>TOKAT</v>
      </c>
      <c r="C294" t="str">
        <f>'Kullanılan gübre'!C294</f>
        <v>ZILE</v>
      </c>
      <c r="D294">
        <f>'Kullanılan gübre'!D294</f>
        <v>2007</v>
      </c>
      <c r="E294">
        <f>'Kullanılan gübre'!E294*'Gübre oranlar'!H$3</f>
        <v>0</v>
      </c>
      <c r="F294">
        <f>'Kullanılan gübre'!F294*'Gübre oranlar'!I$3</f>
        <v>0</v>
      </c>
      <c r="G294">
        <f>'Kullanılan gübre'!G294*'Gübre oranlar'!J$3</f>
        <v>0</v>
      </c>
      <c r="H294">
        <f>'Kullanılan gübre'!H294*'Gübre oranlar'!K$3</f>
        <v>0</v>
      </c>
      <c r="I294">
        <f>'Kullanılan gübre'!I294*'Gübre oranlar'!L$3</f>
        <v>0</v>
      </c>
      <c r="J294">
        <f>'Kullanılan gübre'!J294*'Gübre oranlar'!M$3</f>
        <v>0</v>
      </c>
      <c r="K294">
        <f>'Kullanılan gübre'!K294*'Gübre oranlar'!N$3</f>
        <v>277.34000000000003</v>
      </c>
      <c r="L294">
        <f>'Kullanılan gübre'!L294*'Gübre oranlar'!O$3</f>
        <v>54.470000000000006</v>
      </c>
      <c r="M294">
        <f>'Kullanılan gübre'!M294*'Gübre oranlar'!P$3</f>
        <v>12</v>
      </c>
      <c r="N294">
        <f>'Kullanılan gübre'!N294*'Gübre oranlar'!Q$3</f>
        <v>0</v>
      </c>
      <c r="O294">
        <f>'Kullanılan gübre'!O294*'Gübre oranlar'!R$3</f>
        <v>0</v>
      </c>
      <c r="P294">
        <f>'Kullanılan gübre'!P294*'Gübre oranlar'!S$3</f>
        <v>0</v>
      </c>
      <c r="Q294">
        <f>'Kullanılan gübre'!Q294*'Gübre oranlar'!T$3</f>
        <v>69.209999999999994</v>
      </c>
      <c r="R294">
        <f>'Kullanılan gübre'!R294*'Gübre oranlar'!U$3</f>
        <v>7.29</v>
      </c>
      <c r="S294">
        <f>'Kullanılan gübre'!S294*'Gübre oranlar'!V$3</f>
        <v>0</v>
      </c>
      <c r="T294">
        <f>'Kullanılan gübre'!T294*'Gübre oranlar'!W$3</f>
        <v>0</v>
      </c>
      <c r="U294">
        <f>'Kullanılan gübre'!U294*'Gübre oranlar'!X$3</f>
        <v>0</v>
      </c>
      <c r="V294">
        <f>'Kullanılan gübre'!V294*'Gübre oranlar'!Y$3</f>
        <v>0</v>
      </c>
      <c r="W294">
        <f>'Kullanılan gübre'!W294*'Gübre oranlar'!Z$3</f>
        <v>0</v>
      </c>
      <c r="X294">
        <f>'Kullanılan gübre'!X294*'Gübre oranlar'!AA$3</f>
        <v>0</v>
      </c>
      <c r="Y294">
        <f>'Kullanılan gübre'!Y294*'Gübre oranlar'!AB$3</f>
        <v>0</v>
      </c>
      <c r="Z294">
        <f>'Kullanılan gübre'!Z294*'Gübre oranlar'!AC$3</f>
        <v>0</v>
      </c>
      <c r="AA294">
        <f>'Kullanılan gübre'!AA294*'Gübre oranlar'!AD$3</f>
        <v>0</v>
      </c>
      <c r="AB294">
        <f>'Kullanılan gübre'!AB294*'Gübre oranlar'!AE$3</f>
        <v>0</v>
      </c>
      <c r="AC294">
        <f>'Kullanılan gübre'!AC294*'Gübre oranlar'!AF$3</f>
        <v>0</v>
      </c>
      <c r="AD294">
        <f>'Kullanılan gübre'!AD294*'Gübre oranlar'!AG$3</f>
        <v>0</v>
      </c>
      <c r="AE294">
        <f>'Kullanılan gübre'!AE294*'Gübre oranlar'!AH$3</f>
        <v>0</v>
      </c>
      <c r="AF294">
        <f>'Kullanılan gübre'!AF294*'Gübre oranlar'!AI$3</f>
        <v>0</v>
      </c>
      <c r="AG294">
        <f>'Kullanılan gübre'!AG294*'Gübre oranlar'!AJ$3</f>
        <v>0</v>
      </c>
      <c r="AH294">
        <f>'Kullanılan gübre'!AH294*'Gübre oranlar'!AK$3</f>
        <v>0</v>
      </c>
      <c r="AI294">
        <f>'Kullanılan gübre'!AI294*'Gübre oranlar'!AL$3</f>
        <v>0</v>
      </c>
      <c r="AJ294">
        <f>'Kullanılan gübre'!AJ294*'Gübre oranlar'!AM$3</f>
        <v>0</v>
      </c>
      <c r="AK294">
        <f>'Kullanılan gübre'!AK294*'Gübre oranlar'!AN$3</f>
        <v>0</v>
      </c>
      <c r="AL294">
        <f>'Kullanılan gübre'!AL294*'Gübre oranlar'!AO$3</f>
        <v>0</v>
      </c>
      <c r="AM294">
        <f>'Kullanılan gübre'!AM294*'Gübre oranlar'!AP$3</f>
        <v>0</v>
      </c>
      <c r="AN294">
        <f>'Kullanılan gübre'!AN294*'Gübre oranlar'!AQ$3</f>
        <v>0</v>
      </c>
      <c r="AO294">
        <f>'Kullanılan gübre'!AO294*'Gübre oranlar'!AR$3</f>
        <v>0</v>
      </c>
      <c r="AP294">
        <f>'Kullanılan gübre'!AP294*'Gübre oranlar'!AS$3</f>
        <v>0</v>
      </c>
      <c r="AQ294">
        <f>'Kullanılan gübre'!AQ294*'Gübre oranlar'!AT$3</f>
        <v>0</v>
      </c>
      <c r="AR294">
        <f>'Kullanılan gübre'!AR294*'Gübre oranlar'!AU$3</f>
        <v>0</v>
      </c>
      <c r="AS294">
        <f>'Kullanılan gübre'!AS294*'Gübre oranlar'!AV$3</f>
        <v>0</v>
      </c>
      <c r="AT294">
        <f>'Kullanılan gübre'!AT294*'Gübre oranlar'!AW$3</f>
        <v>0</v>
      </c>
      <c r="AU294">
        <f>'Kullanılan gübre'!AU294*'Gübre oranlar'!AX$3</f>
        <v>0</v>
      </c>
      <c r="AV294">
        <f>'Kullanılan gübre'!AV294*'Gübre oranlar'!AY$3</f>
        <v>0</v>
      </c>
      <c r="AW294">
        <f t="shared" si="4"/>
        <v>420.31000000000006</v>
      </c>
    </row>
    <row r="295" spans="1:49" x14ac:dyDescent="0.25">
      <c r="A295" t="str">
        <f>'Kullanılan gübre'!A295</f>
        <v>YI</v>
      </c>
      <c r="B295" t="str">
        <f>'Kullanılan gübre'!B295</f>
        <v>TOKAT</v>
      </c>
      <c r="C295" t="str">
        <f>'Kullanılan gübre'!C295</f>
        <v>MERKEZ</v>
      </c>
      <c r="D295">
        <f>'Kullanılan gübre'!D295</f>
        <v>2008</v>
      </c>
      <c r="E295">
        <f>'Kullanılan gübre'!E295*'Gübre oranlar'!H$3</f>
        <v>0</v>
      </c>
      <c r="F295">
        <f>'Kullanılan gübre'!F295*'Gübre oranlar'!I$3</f>
        <v>0</v>
      </c>
      <c r="G295">
        <f>'Kullanılan gübre'!G295*'Gübre oranlar'!J$3</f>
        <v>0</v>
      </c>
      <c r="H295">
        <f>'Kullanılan gübre'!H295*'Gübre oranlar'!K$3</f>
        <v>0</v>
      </c>
      <c r="I295">
        <f>'Kullanılan gübre'!I295*'Gübre oranlar'!L$3</f>
        <v>41.043500000000002</v>
      </c>
      <c r="J295">
        <f>'Kullanılan gübre'!J295*'Gübre oranlar'!M$3</f>
        <v>0</v>
      </c>
      <c r="K295">
        <f>'Kullanılan gübre'!K295*'Gübre oranlar'!N$3</f>
        <v>76.430000000000007</v>
      </c>
      <c r="L295">
        <f>'Kullanılan gübre'!L295*'Gübre oranlar'!O$3</f>
        <v>26.170000000000005</v>
      </c>
      <c r="M295">
        <f>'Kullanılan gübre'!M295*'Gübre oranlar'!P$3</f>
        <v>30.832500000000003</v>
      </c>
      <c r="N295">
        <f>'Kullanılan gübre'!N295*'Gübre oranlar'!Q$3</f>
        <v>24.24</v>
      </c>
      <c r="O295">
        <f>'Kullanılan gübre'!O295*'Gübre oranlar'!R$3</f>
        <v>0</v>
      </c>
      <c r="P295">
        <f>'Kullanılan gübre'!P295*'Gübre oranlar'!S$3</f>
        <v>0</v>
      </c>
      <c r="Q295">
        <f>'Kullanılan gübre'!Q295*'Gübre oranlar'!T$3</f>
        <v>0.6</v>
      </c>
      <c r="R295">
        <f>'Kullanılan gübre'!R295*'Gübre oranlar'!U$3</f>
        <v>0</v>
      </c>
      <c r="S295">
        <f>'Kullanılan gübre'!S295*'Gübre oranlar'!V$3</f>
        <v>0</v>
      </c>
      <c r="T295">
        <f>'Kullanılan gübre'!T295*'Gübre oranlar'!W$3</f>
        <v>0</v>
      </c>
      <c r="U295">
        <f>'Kullanılan gübre'!U295*'Gübre oranlar'!X$3</f>
        <v>0</v>
      </c>
      <c r="V295">
        <f>'Kullanılan gübre'!V295*'Gübre oranlar'!Y$3</f>
        <v>0</v>
      </c>
      <c r="W295">
        <f>'Kullanılan gübre'!W295*'Gübre oranlar'!Z$3</f>
        <v>0</v>
      </c>
      <c r="X295">
        <f>'Kullanılan gübre'!X295*'Gübre oranlar'!AA$3</f>
        <v>0</v>
      </c>
      <c r="Y295">
        <f>'Kullanılan gübre'!Y295*'Gübre oranlar'!AB$3</f>
        <v>0</v>
      </c>
      <c r="Z295">
        <f>'Kullanılan gübre'!Z295*'Gübre oranlar'!AC$3</f>
        <v>0</v>
      </c>
      <c r="AA295">
        <f>'Kullanılan gübre'!AA295*'Gübre oranlar'!AD$3</f>
        <v>0</v>
      </c>
      <c r="AB295">
        <f>'Kullanılan gübre'!AB295*'Gübre oranlar'!AE$3</f>
        <v>0</v>
      </c>
      <c r="AC295">
        <f>'Kullanılan gübre'!AC295*'Gübre oranlar'!AF$3</f>
        <v>0</v>
      </c>
      <c r="AD295">
        <f>'Kullanılan gübre'!AD295*'Gübre oranlar'!AG$3</f>
        <v>0</v>
      </c>
      <c r="AE295">
        <f>'Kullanılan gübre'!AE295*'Gübre oranlar'!AH$3</f>
        <v>0</v>
      </c>
      <c r="AF295">
        <f>'Kullanılan gübre'!AF295*'Gübre oranlar'!AI$3</f>
        <v>0</v>
      </c>
      <c r="AG295">
        <f>'Kullanılan gübre'!AG295*'Gübre oranlar'!AJ$3</f>
        <v>0</v>
      </c>
      <c r="AH295">
        <f>'Kullanılan gübre'!AH295*'Gübre oranlar'!AK$3</f>
        <v>0</v>
      </c>
      <c r="AI295">
        <f>'Kullanılan gübre'!AI295*'Gübre oranlar'!AL$3</f>
        <v>0</v>
      </c>
      <c r="AJ295">
        <f>'Kullanılan gübre'!AJ295*'Gübre oranlar'!AM$3</f>
        <v>0</v>
      </c>
      <c r="AK295">
        <f>'Kullanılan gübre'!AK295*'Gübre oranlar'!AN$3</f>
        <v>0</v>
      </c>
      <c r="AL295">
        <f>'Kullanılan gübre'!AL295*'Gübre oranlar'!AO$3</f>
        <v>0</v>
      </c>
      <c r="AM295">
        <f>'Kullanılan gübre'!AM295*'Gübre oranlar'!AP$3</f>
        <v>0</v>
      </c>
      <c r="AN295">
        <f>'Kullanılan gübre'!AN295*'Gübre oranlar'!AQ$3</f>
        <v>0</v>
      </c>
      <c r="AO295">
        <f>'Kullanılan gübre'!AO295*'Gübre oranlar'!AR$3</f>
        <v>0</v>
      </c>
      <c r="AP295">
        <f>'Kullanılan gübre'!AP295*'Gübre oranlar'!AS$3</f>
        <v>0</v>
      </c>
      <c r="AQ295">
        <f>'Kullanılan gübre'!AQ295*'Gübre oranlar'!AT$3</f>
        <v>0</v>
      </c>
      <c r="AR295">
        <f>'Kullanılan gübre'!AR295*'Gübre oranlar'!AU$3</f>
        <v>0</v>
      </c>
      <c r="AS295">
        <f>'Kullanılan gübre'!AS295*'Gübre oranlar'!AV$3</f>
        <v>0</v>
      </c>
      <c r="AT295">
        <f>'Kullanılan gübre'!AT295*'Gübre oranlar'!AW$3</f>
        <v>0</v>
      </c>
      <c r="AU295">
        <f>'Kullanılan gübre'!AU295*'Gübre oranlar'!AX$3</f>
        <v>0</v>
      </c>
      <c r="AV295">
        <f>'Kullanılan gübre'!AV295*'Gübre oranlar'!AY$3</f>
        <v>0</v>
      </c>
      <c r="AW295">
        <f t="shared" si="4"/>
        <v>199.31600000000003</v>
      </c>
    </row>
    <row r="296" spans="1:49" x14ac:dyDescent="0.25">
      <c r="A296" t="str">
        <f>'Kullanılan gübre'!A296</f>
        <v>YI</v>
      </c>
      <c r="B296" t="str">
        <f>'Kullanılan gübre'!B296</f>
        <v>TOKAT</v>
      </c>
      <c r="C296" t="str">
        <f>'Kullanılan gübre'!C296</f>
        <v>ALMUS</v>
      </c>
      <c r="D296">
        <f>'Kullanılan gübre'!D296</f>
        <v>2008</v>
      </c>
      <c r="E296">
        <f>'Kullanılan gübre'!E296*'Gübre oranlar'!H$3</f>
        <v>0</v>
      </c>
      <c r="F296">
        <f>'Kullanılan gübre'!F296*'Gübre oranlar'!I$3</f>
        <v>0</v>
      </c>
      <c r="G296">
        <f>'Kullanılan gübre'!G296*'Gübre oranlar'!J$3</f>
        <v>0</v>
      </c>
      <c r="H296">
        <f>'Kullanılan gübre'!H296*'Gübre oranlar'!K$3</f>
        <v>0</v>
      </c>
      <c r="I296">
        <f>'Kullanılan gübre'!I296*'Gübre oranlar'!L$3</f>
        <v>0</v>
      </c>
      <c r="J296">
        <f>'Kullanılan gübre'!J296*'Gübre oranlar'!M$3</f>
        <v>0</v>
      </c>
      <c r="K296">
        <f>'Kullanılan gübre'!K296*'Gübre oranlar'!N$3</f>
        <v>0</v>
      </c>
      <c r="L296">
        <f>'Kullanılan gübre'!L296*'Gübre oranlar'!O$3</f>
        <v>0</v>
      </c>
      <c r="M296">
        <f>'Kullanılan gübre'!M296*'Gübre oranlar'!P$3</f>
        <v>0</v>
      </c>
      <c r="N296">
        <f>'Kullanılan gübre'!N296*'Gübre oranlar'!Q$3</f>
        <v>0</v>
      </c>
      <c r="O296">
        <f>'Kullanılan gübre'!O296*'Gübre oranlar'!R$3</f>
        <v>0</v>
      </c>
      <c r="P296">
        <f>'Kullanılan gübre'!P296*'Gübre oranlar'!S$3</f>
        <v>0</v>
      </c>
      <c r="Q296">
        <f>'Kullanılan gübre'!Q296*'Gübre oranlar'!T$3</f>
        <v>0</v>
      </c>
      <c r="R296">
        <f>'Kullanılan gübre'!R296*'Gübre oranlar'!U$3</f>
        <v>0</v>
      </c>
      <c r="S296">
        <f>'Kullanılan gübre'!S296*'Gübre oranlar'!V$3</f>
        <v>0</v>
      </c>
      <c r="T296">
        <f>'Kullanılan gübre'!T296*'Gübre oranlar'!W$3</f>
        <v>0</v>
      </c>
      <c r="U296">
        <f>'Kullanılan gübre'!U296*'Gübre oranlar'!X$3</f>
        <v>0</v>
      </c>
      <c r="V296">
        <f>'Kullanılan gübre'!V296*'Gübre oranlar'!Y$3</f>
        <v>0</v>
      </c>
      <c r="W296">
        <f>'Kullanılan gübre'!W296*'Gübre oranlar'!Z$3</f>
        <v>0</v>
      </c>
      <c r="X296">
        <f>'Kullanılan gübre'!X296*'Gübre oranlar'!AA$3</f>
        <v>0</v>
      </c>
      <c r="Y296">
        <f>'Kullanılan gübre'!Y296*'Gübre oranlar'!AB$3</f>
        <v>0</v>
      </c>
      <c r="Z296">
        <f>'Kullanılan gübre'!Z296*'Gübre oranlar'!AC$3</f>
        <v>0</v>
      </c>
      <c r="AA296">
        <f>'Kullanılan gübre'!AA296*'Gübre oranlar'!AD$3</f>
        <v>0</v>
      </c>
      <c r="AB296">
        <f>'Kullanılan gübre'!AB296*'Gübre oranlar'!AE$3</f>
        <v>0</v>
      </c>
      <c r="AC296">
        <f>'Kullanılan gübre'!AC296*'Gübre oranlar'!AF$3</f>
        <v>0</v>
      </c>
      <c r="AD296">
        <f>'Kullanılan gübre'!AD296*'Gübre oranlar'!AG$3</f>
        <v>0</v>
      </c>
      <c r="AE296">
        <f>'Kullanılan gübre'!AE296*'Gübre oranlar'!AH$3</f>
        <v>0</v>
      </c>
      <c r="AF296">
        <f>'Kullanılan gübre'!AF296*'Gübre oranlar'!AI$3</f>
        <v>0</v>
      </c>
      <c r="AG296">
        <f>'Kullanılan gübre'!AG296*'Gübre oranlar'!AJ$3</f>
        <v>0</v>
      </c>
      <c r="AH296">
        <f>'Kullanılan gübre'!AH296*'Gübre oranlar'!AK$3</f>
        <v>0</v>
      </c>
      <c r="AI296">
        <f>'Kullanılan gübre'!AI296*'Gübre oranlar'!AL$3</f>
        <v>0</v>
      </c>
      <c r="AJ296">
        <f>'Kullanılan gübre'!AJ296*'Gübre oranlar'!AM$3</f>
        <v>0</v>
      </c>
      <c r="AK296">
        <f>'Kullanılan gübre'!AK296*'Gübre oranlar'!AN$3</f>
        <v>0</v>
      </c>
      <c r="AL296">
        <f>'Kullanılan gübre'!AL296*'Gübre oranlar'!AO$3</f>
        <v>0</v>
      </c>
      <c r="AM296">
        <f>'Kullanılan gübre'!AM296*'Gübre oranlar'!AP$3</f>
        <v>0</v>
      </c>
      <c r="AN296">
        <f>'Kullanılan gübre'!AN296*'Gübre oranlar'!AQ$3</f>
        <v>0</v>
      </c>
      <c r="AO296">
        <f>'Kullanılan gübre'!AO296*'Gübre oranlar'!AR$3</f>
        <v>0</v>
      </c>
      <c r="AP296">
        <f>'Kullanılan gübre'!AP296*'Gübre oranlar'!AS$3</f>
        <v>0</v>
      </c>
      <c r="AQ296">
        <f>'Kullanılan gübre'!AQ296*'Gübre oranlar'!AT$3</f>
        <v>0</v>
      </c>
      <c r="AR296">
        <f>'Kullanılan gübre'!AR296*'Gübre oranlar'!AU$3</f>
        <v>0</v>
      </c>
      <c r="AS296">
        <f>'Kullanılan gübre'!AS296*'Gübre oranlar'!AV$3</f>
        <v>0</v>
      </c>
      <c r="AT296">
        <f>'Kullanılan gübre'!AT296*'Gübre oranlar'!AW$3</f>
        <v>0</v>
      </c>
      <c r="AU296">
        <f>'Kullanılan gübre'!AU296*'Gübre oranlar'!AX$3</f>
        <v>0</v>
      </c>
      <c r="AV296">
        <f>'Kullanılan gübre'!AV296*'Gübre oranlar'!AY$3</f>
        <v>0</v>
      </c>
      <c r="AW296">
        <f t="shared" si="4"/>
        <v>0</v>
      </c>
    </row>
    <row r="297" spans="1:49" x14ac:dyDescent="0.25">
      <c r="A297" t="str">
        <f>'Kullanılan gübre'!A297</f>
        <v>YI</v>
      </c>
      <c r="B297" t="str">
        <f>'Kullanılan gübre'!B297</f>
        <v>TOKAT</v>
      </c>
      <c r="C297" t="str">
        <f>'Kullanılan gübre'!C297</f>
        <v>ARTOVA</v>
      </c>
      <c r="D297">
        <f>'Kullanılan gübre'!D297</f>
        <v>2008</v>
      </c>
      <c r="E297">
        <f>'Kullanılan gübre'!E297*'Gübre oranlar'!H$3</f>
        <v>0</v>
      </c>
      <c r="F297">
        <f>'Kullanılan gübre'!F297*'Gübre oranlar'!I$3</f>
        <v>0</v>
      </c>
      <c r="G297">
        <f>'Kullanılan gübre'!G297*'Gübre oranlar'!J$3</f>
        <v>0</v>
      </c>
      <c r="H297">
        <f>'Kullanılan gübre'!H297*'Gübre oranlar'!K$3</f>
        <v>0</v>
      </c>
      <c r="I297">
        <f>'Kullanılan gübre'!I297*'Gübre oranlar'!L$3</f>
        <v>0</v>
      </c>
      <c r="J297">
        <f>'Kullanılan gübre'!J297*'Gübre oranlar'!M$3</f>
        <v>0</v>
      </c>
      <c r="K297">
        <f>'Kullanılan gübre'!K297*'Gübre oranlar'!N$3</f>
        <v>13.4</v>
      </c>
      <c r="L297">
        <f>'Kullanılan gübre'!L297*'Gübre oranlar'!O$3</f>
        <v>26.510000000000005</v>
      </c>
      <c r="M297">
        <f>'Kullanılan gübre'!M297*'Gübre oranlar'!P$3</f>
        <v>2.2499999999999999E-2</v>
      </c>
      <c r="N297">
        <f>'Kullanılan gübre'!N297*'Gübre oranlar'!Q$3</f>
        <v>1.5</v>
      </c>
      <c r="O297">
        <f>'Kullanılan gübre'!O297*'Gübre oranlar'!R$3</f>
        <v>0</v>
      </c>
      <c r="P297">
        <f>'Kullanılan gübre'!P297*'Gübre oranlar'!S$3</f>
        <v>0</v>
      </c>
      <c r="Q297">
        <f>'Kullanılan gübre'!Q297*'Gübre oranlar'!T$3</f>
        <v>0</v>
      </c>
      <c r="R297">
        <f>'Kullanılan gübre'!R297*'Gübre oranlar'!U$3</f>
        <v>0</v>
      </c>
      <c r="S297">
        <f>'Kullanılan gübre'!S297*'Gübre oranlar'!V$3</f>
        <v>0</v>
      </c>
      <c r="T297">
        <f>'Kullanılan gübre'!T297*'Gübre oranlar'!W$3</f>
        <v>0</v>
      </c>
      <c r="U297">
        <f>'Kullanılan gübre'!U297*'Gübre oranlar'!X$3</f>
        <v>0</v>
      </c>
      <c r="V297">
        <f>'Kullanılan gübre'!V297*'Gübre oranlar'!Y$3</f>
        <v>0</v>
      </c>
      <c r="W297">
        <f>'Kullanılan gübre'!W297*'Gübre oranlar'!Z$3</f>
        <v>0</v>
      </c>
      <c r="X297">
        <f>'Kullanılan gübre'!X297*'Gübre oranlar'!AA$3</f>
        <v>0</v>
      </c>
      <c r="Y297">
        <f>'Kullanılan gübre'!Y297*'Gübre oranlar'!AB$3</f>
        <v>0</v>
      </c>
      <c r="Z297">
        <f>'Kullanılan gübre'!Z297*'Gübre oranlar'!AC$3</f>
        <v>0</v>
      </c>
      <c r="AA297">
        <f>'Kullanılan gübre'!AA297*'Gübre oranlar'!AD$3</f>
        <v>0</v>
      </c>
      <c r="AB297">
        <f>'Kullanılan gübre'!AB297*'Gübre oranlar'!AE$3</f>
        <v>0</v>
      </c>
      <c r="AC297">
        <f>'Kullanılan gübre'!AC297*'Gübre oranlar'!AF$3</f>
        <v>0</v>
      </c>
      <c r="AD297">
        <f>'Kullanılan gübre'!AD297*'Gübre oranlar'!AG$3</f>
        <v>0</v>
      </c>
      <c r="AE297">
        <f>'Kullanılan gübre'!AE297*'Gübre oranlar'!AH$3</f>
        <v>0</v>
      </c>
      <c r="AF297">
        <f>'Kullanılan gübre'!AF297*'Gübre oranlar'!AI$3</f>
        <v>0</v>
      </c>
      <c r="AG297">
        <f>'Kullanılan gübre'!AG297*'Gübre oranlar'!AJ$3</f>
        <v>0</v>
      </c>
      <c r="AH297">
        <f>'Kullanılan gübre'!AH297*'Gübre oranlar'!AK$3</f>
        <v>0</v>
      </c>
      <c r="AI297">
        <f>'Kullanılan gübre'!AI297*'Gübre oranlar'!AL$3</f>
        <v>0</v>
      </c>
      <c r="AJ297">
        <f>'Kullanılan gübre'!AJ297*'Gübre oranlar'!AM$3</f>
        <v>0</v>
      </c>
      <c r="AK297">
        <f>'Kullanılan gübre'!AK297*'Gübre oranlar'!AN$3</f>
        <v>0</v>
      </c>
      <c r="AL297">
        <f>'Kullanılan gübre'!AL297*'Gübre oranlar'!AO$3</f>
        <v>0</v>
      </c>
      <c r="AM297">
        <f>'Kullanılan gübre'!AM297*'Gübre oranlar'!AP$3</f>
        <v>0</v>
      </c>
      <c r="AN297">
        <f>'Kullanılan gübre'!AN297*'Gübre oranlar'!AQ$3</f>
        <v>0</v>
      </c>
      <c r="AO297">
        <f>'Kullanılan gübre'!AO297*'Gübre oranlar'!AR$3</f>
        <v>0</v>
      </c>
      <c r="AP297">
        <f>'Kullanılan gübre'!AP297*'Gübre oranlar'!AS$3</f>
        <v>0</v>
      </c>
      <c r="AQ297">
        <f>'Kullanılan gübre'!AQ297*'Gübre oranlar'!AT$3</f>
        <v>0</v>
      </c>
      <c r="AR297">
        <f>'Kullanılan gübre'!AR297*'Gübre oranlar'!AU$3</f>
        <v>0</v>
      </c>
      <c r="AS297">
        <f>'Kullanılan gübre'!AS297*'Gübre oranlar'!AV$3</f>
        <v>0</v>
      </c>
      <c r="AT297">
        <f>'Kullanılan gübre'!AT297*'Gübre oranlar'!AW$3</f>
        <v>0</v>
      </c>
      <c r="AU297">
        <f>'Kullanılan gübre'!AU297*'Gübre oranlar'!AX$3</f>
        <v>0</v>
      </c>
      <c r="AV297">
        <f>'Kullanılan gübre'!AV297*'Gübre oranlar'!AY$3</f>
        <v>0</v>
      </c>
      <c r="AW297">
        <f t="shared" si="4"/>
        <v>41.432500000000005</v>
      </c>
    </row>
    <row r="298" spans="1:49" x14ac:dyDescent="0.25">
      <c r="A298" t="str">
        <f>'Kullanılan gübre'!A298</f>
        <v>YI</v>
      </c>
      <c r="B298" t="str">
        <f>'Kullanılan gübre'!B298</f>
        <v>TOKAT</v>
      </c>
      <c r="C298" t="str">
        <f>'Kullanılan gübre'!C298</f>
        <v>BASCIFTLIK</v>
      </c>
      <c r="D298">
        <f>'Kullanılan gübre'!D298</f>
        <v>2008</v>
      </c>
      <c r="E298">
        <f>'Kullanılan gübre'!E298*'Gübre oranlar'!H$3</f>
        <v>0</v>
      </c>
      <c r="F298">
        <f>'Kullanılan gübre'!F298*'Gübre oranlar'!I$3</f>
        <v>0</v>
      </c>
      <c r="G298">
        <f>'Kullanılan gübre'!G298*'Gübre oranlar'!J$3</f>
        <v>0</v>
      </c>
      <c r="H298">
        <f>'Kullanılan gübre'!H298*'Gübre oranlar'!K$3</f>
        <v>0</v>
      </c>
      <c r="I298">
        <f>'Kullanılan gübre'!I298*'Gübre oranlar'!L$3</f>
        <v>0</v>
      </c>
      <c r="J298">
        <f>'Kullanılan gübre'!J298*'Gübre oranlar'!M$3</f>
        <v>0</v>
      </c>
      <c r="K298">
        <f>'Kullanılan gübre'!K298*'Gübre oranlar'!N$3</f>
        <v>0</v>
      </c>
      <c r="L298">
        <f>'Kullanılan gübre'!L298*'Gübre oranlar'!O$3</f>
        <v>0</v>
      </c>
      <c r="M298">
        <f>'Kullanılan gübre'!M298*'Gübre oranlar'!P$3</f>
        <v>0</v>
      </c>
      <c r="N298">
        <f>'Kullanılan gübre'!N298*'Gübre oranlar'!Q$3</f>
        <v>0</v>
      </c>
      <c r="O298">
        <f>'Kullanılan gübre'!O298*'Gübre oranlar'!R$3</f>
        <v>0</v>
      </c>
      <c r="P298">
        <f>'Kullanılan gübre'!P298*'Gübre oranlar'!S$3</f>
        <v>0</v>
      </c>
      <c r="Q298">
        <f>'Kullanılan gübre'!Q298*'Gübre oranlar'!T$3</f>
        <v>0</v>
      </c>
      <c r="R298">
        <f>'Kullanılan gübre'!R298*'Gübre oranlar'!U$3</f>
        <v>0</v>
      </c>
      <c r="S298">
        <f>'Kullanılan gübre'!S298*'Gübre oranlar'!V$3</f>
        <v>0</v>
      </c>
      <c r="T298">
        <f>'Kullanılan gübre'!T298*'Gübre oranlar'!W$3</f>
        <v>0</v>
      </c>
      <c r="U298">
        <f>'Kullanılan gübre'!U298*'Gübre oranlar'!X$3</f>
        <v>0</v>
      </c>
      <c r="V298">
        <f>'Kullanılan gübre'!V298*'Gübre oranlar'!Y$3</f>
        <v>0</v>
      </c>
      <c r="W298">
        <f>'Kullanılan gübre'!W298*'Gübre oranlar'!Z$3</f>
        <v>0</v>
      </c>
      <c r="X298">
        <f>'Kullanılan gübre'!X298*'Gübre oranlar'!AA$3</f>
        <v>0</v>
      </c>
      <c r="Y298">
        <f>'Kullanılan gübre'!Y298*'Gübre oranlar'!AB$3</f>
        <v>0</v>
      </c>
      <c r="Z298">
        <f>'Kullanılan gübre'!Z298*'Gübre oranlar'!AC$3</f>
        <v>0</v>
      </c>
      <c r="AA298">
        <f>'Kullanılan gübre'!AA298*'Gübre oranlar'!AD$3</f>
        <v>0</v>
      </c>
      <c r="AB298">
        <f>'Kullanılan gübre'!AB298*'Gübre oranlar'!AE$3</f>
        <v>0</v>
      </c>
      <c r="AC298">
        <f>'Kullanılan gübre'!AC298*'Gübre oranlar'!AF$3</f>
        <v>0</v>
      </c>
      <c r="AD298">
        <f>'Kullanılan gübre'!AD298*'Gübre oranlar'!AG$3</f>
        <v>0</v>
      </c>
      <c r="AE298">
        <f>'Kullanılan gübre'!AE298*'Gübre oranlar'!AH$3</f>
        <v>0</v>
      </c>
      <c r="AF298">
        <f>'Kullanılan gübre'!AF298*'Gübre oranlar'!AI$3</f>
        <v>0</v>
      </c>
      <c r="AG298">
        <f>'Kullanılan gübre'!AG298*'Gübre oranlar'!AJ$3</f>
        <v>0</v>
      </c>
      <c r="AH298">
        <f>'Kullanılan gübre'!AH298*'Gübre oranlar'!AK$3</f>
        <v>0</v>
      </c>
      <c r="AI298">
        <f>'Kullanılan gübre'!AI298*'Gübre oranlar'!AL$3</f>
        <v>0</v>
      </c>
      <c r="AJ298">
        <f>'Kullanılan gübre'!AJ298*'Gübre oranlar'!AM$3</f>
        <v>0</v>
      </c>
      <c r="AK298">
        <f>'Kullanılan gübre'!AK298*'Gübre oranlar'!AN$3</f>
        <v>0</v>
      </c>
      <c r="AL298">
        <f>'Kullanılan gübre'!AL298*'Gübre oranlar'!AO$3</f>
        <v>0</v>
      </c>
      <c r="AM298">
        <f>'Kullanılan gübre'!AM298*'Gübre oranlar'!AP$3</f>
        <v>0</v>
      </c>
      <c r="AN298">
        <f>'Kullanılan gübre'!AN298*'Gübre oranlar'!AQ$3</f>
        <v>0</v>
      </c>
      <c r="AO298">
        <f>'Kullanılan gübre'!AO298*'Gübre oranlar'!AR$3</f>
        <v>0</v>
      </c>
      <c r="AP298">
        <f>'Kullanılan gübre'!AP298*'Gübre oranlar'!AS$3</f>
        <v>0</v>
      </c>
      <c r="AQ298">
        <f>'Kullanılan gübre'!AQ298*'Gübre oranlar'!AT$3</f>
        <v>0</v>
      </c>
      <c r="AR298">
        <f>'Kullanılan gübre'!AR298*'Gübre oranlar'!AU$3</f>
        <v>0</v>
      </c>
      <c r="AS298">
        <f>'Kullanılan gübre'!AS298*'Gübre oranlar'!AV$3</f>
        <v>0</v>
      </c>
      <c r="AT298">
        <f>'Kullanılan gübre'!AT298*'Gübre oranlar'!AW$3</f>
        <v>0</v>
      </c>
      <c r="AU298">
        <f>'Kullanılan gübre'!AU298*'Gübre oranlar'!AX$3</f>
        <v>0</v>
      </c>
      <c r="AV298">
        <f>'Kullanılan gübre'!AV298*'Gübre oranlar'!AY$3</f>
        <v>0</v>
      </c>
      <c r="AW298">
        <f t="shared" si="4"/>
        <v>0</v>
      </c>
    </row>
    <row r="299" spans="1:49" x14ac:dyDescent="0.25">
      <c r="A299" t="str">
        <f>'Kullanılan gübre'!A299</f>
        <v>YI</v>
      </c>
      <c r="B299" t="str">
        <f>'Kullanılan gübre'!B299</f>
        <v>TOKAT</v>
      </c>
      <c r="C299" t="str">
        <f>'Kullanılan gübre'!C299</f>
        <v>ERBAA</v>
      </c>
      <c r="D299">
        <f>'Kullanılan gübre'!D299</f>
        <v>2008</v>
      </c>
      <c r="E299">
        <f>'Kullanılan gübre'!E299*'Gübre oranlar'!H$3</f>
        <v>0</v>
      </c>
      <c r="F299">
        <f>'Kullanılan gübre'!F299*'Gübre oranlar'!I$3</f>
        <v>0</v>
      </c>
      <c r="G299">
        <f>'Kullanılan gübre'!G299*'Gübre oranlar'!J$3</f>
        <v>0</v>
      </c>
      <c r="H299">
        <f>'Kullanılan gübre'!H299*'Gübre oranlar'!K$3</f>
        <v>0</v>
      </c>
      <c r="I299">
        <f>'Kullanılan gübre'!I299*'Gübre oranlar'!L$3</f>
        <v>11.18</v>
      </c>
      <c r="J299">
        <f>'Kullanılan gübre'!J299*'Gübre oranlar'!M$3</f>
        <v>0</v>
      </c>
      <c r="K299">
        <f>'Kullanılan gübre'!K299*'Gübre oranlar'!N$3</f>
        <v>156.22000000000003</v>
      </c>
      <c r="L299">
        <f>'Kullanılan gübre'!L299*'Gübre oranlar'!O$3</f>
        <v>0</v>
      </c>
      <c r="M299">
        <f>'Kullanılan gübre'!M299*'Gübre oranlar'!P$3</f>
        <v>246.66749999999999</v>
      </c>
      <c r="N299">
        <f>'Kullanılan gübre'!N299*'Gübre oranlar'!Q$3</f>
        <v>0</v>
      </c>
      <c r="O299">
        <f>'Kullanılan gübre'!O299*'Gübre oranlar'!R$3</f>
        <v>0</v>
      </c>
      <c r="P299">
        <f>'Kullanılan gübre'!P299*'Gübre oranlar'!S$3</f>
        <v>0</v>
      </c>
      <c r="Q299">
        <f>'Kullanılan gübre'!Q299*'Gübre oranlar'!T$3</f>
        <v>0</v>
      </c>
      <c r="R299">
        <f>'Kullanılan gübre'!R299*'Gübre oranlar'!U$3</f>
        <v>0</v>
      </c>
      <c r="S299">
        <f>'Kullanılan gübre'!S299*'Gübre oranlar'!V$3</f>
        <v>0</v>
      </c>
      <c r="T299">
        <f>'Kullanılan gübre'!T299*'Gübre oranlar'!W$3</f>
        <v>0</v>
      </c>
      <c r="U299">
        <f>'Kullanılan gübre'!U299*'Gübre oranlar'!X$3</f>
        <v>0</v>
      </c>
      <c r="V299">
        <f>'Kullanılan gübre'!V299*'Gübre oranlar'!Y$3</f>
        <v>0</v>
      </c>
      <c r="W299">
        <f>'Kullanılan gübre'!W299*'Gübre oranlar'!Z$3</f>
        <v>0</v>
      </c>
      <c r="X299">
        <f>'Kullanılan gübre'!X299*'Gübre oranlar'!AA$3</f>
        <v>0</v>
      </c>
      <c r="Y299">
        <f>'Kullanılan gübre'!Y299*'Gübre oranlar'!AB$3</f>
        <v>0</v>
      </c>
      <c r="Z299">
        <f>'Kullanılan gübre'!Z299*'Gübre oranlar'!AC$3</f>
        <v>0</v>
      </c>
      <c r="AA299">
        <f>'Kullanılan gübre'!AA299*'Gübre oranlar'!AD$3</f>
        <v>0</v>
      </c>
      <c r="AB299">
        <f>'Kullanılan gübre'!AB299*'Gübre oranlar'!AE$3</f>
        <v>0</v>
      </c>
      <c r="AC299">
        <f>'Kullanılan gübre'!AC299*'Gübre oranlar'!AF$3</f>
        <v>0</v>
      </c>
      <c r="AD299">
        <f>'Kullanılan gübre'!AD299*'Gübre oranlar'!AG$3</f>
        <v>0</v>
      </c>
      <c r="AE299">
        <f>'Kullanılan gübre'!AE299*'Gübre oranlar'!AH$3</f>
        <v>0</v>
      </c>
      <c r="AF299">
        <f>'Kullanılan gübre'!AF299*'Gübre oranlar'!AI$3</f>
        <v>0</v>
      </c>
      <c r="AG299">
        <f>'Kullanılan gübre'!AG299*'Gübre oranlar'!AJ$3</f>
        <v>0</v>
      </c>
      <c r="AH299">
        <f>'Kullanılan gübre'!AH299*'Gübre oranlar'!AK$3</f>
        <v>0</v>
      </c>
      <c r="AI299">
        <f>'Kullanılan gübre'!AI299*'Gübre oranlar'!AL$3</f>
        <v>0</v>
      </c>
      <c r="AJ299">
        <f>'Kullanılan gübre'!AJ299*'Gübre oranlar'!AM$3</f>
        <v>0</v>
      </c>
      <c r="AK299">
        <f>'Kullanılan gübre'!AK299*'Gübre oranlar'!AN$3</f>
        <v>0</v>
      </c>
      <c r="AL299">
        <f>'Kullanılan gübre'!AL299*'Gübre oranlar'!AO$3</f>
        <v>0</v>
      </c>
      <c r="AM299">
        <f>'Kullanılan gübre'!AM299*'Gübre oranlar'!AP$3</f>
        <v>0</v>
      </c>
      <c r="AN299">
        <f>'Kullanılan gübre'!AN299*'Gübre oranlar'!AQ$3</f>
        <v>0</v>
      </c>
      <c r="AO299">
        <f>'Kullanılan gübre'!AO299*'Gübre oranlar'!AR$3</f>
        <v>0</v>
      </c>
      <c r="AP299">
        <f>'Kullanılan gübre'!AP299*'Gübre oranlar'!AS$3</f>
        <v>0</v>
      </c>
      <c r="AQ299">
        <f>'Kullanılan gübre'!AQ299*'Gübre oranlar'!AT$3</f>
        <v>0</v>
      </c>
      <c r="AR299">
        <f>'Kullanılan gübre'!AR299*'Gübre oranlar'!AU$3</f>
        <v>0</v>
      </c>
      <c r="AS299">
        <f>'Kullanılan gübre'!AS299*'Gübre oranlar'!AV$3</f>
        <v>0</v>
      </c>
      <c r="AT299">
        <f>'Kullanılan gübre'!AT299*'Gübre oranlar'!AW$3</f>
        <v>0</v>
      </c>
      <c r="AU299">
        <f>'Kullanılan gübre'!AU299*'Gübre oranlar'!AX$3</f>
        <v>0</v>
      </c>
      <c r="AV299">
        <f>'Kullanılan gübre'!AV299*'Gübre oranlar'!AY$3</f>
        <v>0</v>
      </c>
      <c r="AW299">
        <f t="shared" si="4"/>
        <v>414.0675</v>
      </c>
    </row>
    <row r="300" spans="1:49" x14ac:dyDescent="0.25">
      <c r="A300" t="str">
        <f>'Kullanılan gübre'!A300</f>
        <v>YI</v>
      </c>
      <c r="B300" t="str">
        <f>'Kullanılan gübre'!B300</f>
        <v>TOKAT</v>
      </c>
      <c r="C300" t="str">
        <f>'Kullanılan gübre'!C300</f>
        <v>NIKSAR</v>
      </c>
      <c r="D300">
        <f>'Kullanılan gübre'!D300</f>
        <v>2008</v>
      </c>
      <c r="E300">
        <f>'Kullanılan gübre'!E300*'Gübre oranlar'!H$3</f>
        <v>0</v>
      </c>
      <c r="F300">
        <f>'Kullanılan gübre'!F300*'Gübre oranlar'!I$3</f>
        <v>0</v>
      </c>
      <c r="G300">
        <f>'Kullanılan gübre'!G300*'Gübre oranlar'!J$3</f>
        <v>0</v>
      </c>
      <c r="H300">
        <f>'Kullanılan gübre'!H300*'Gübre oranlar'!K$3</f>
        <v>0</v>
      </c>
      <c r="I300">
        <f>'Kullanılan gübre'!I300*'Gübre oranlar'!L$3</f>
        <v>0</v>
      </c>
      <c r="J300">
        <f>'Kullanılan gübre'!J300*'Gübre oranlar'!M$3</f>
        <v>0</v>
      </c>
      <c r="K300">
        <f>'Kullanılan gübre'!K300*'Gübre oranlar'!N$3</f>
        <v>2.92</v>
      </c>
      <c r="L300">
        <f>'Kullanılan gübre'!L300*'Gübre oranlar'!O$3</f>
        <v>49.2</v>
      </c>
      <c r="M300">
        <f>'Kullanılan gübre'!M300*'Gübre oranlar'!P$3</f>
        <v>3.2775000000000003</v>
      </c>
      <c r="N300">
        <f>'Kullanılan gübre'!N300*'Gübre oranlar'!Q$3</f>
        <v>105.84</v>
      </c>
      <c r="O300">
        <f>'Kullanılan gübre'!O300*'Gübre oranlar'!R$3</f>
        <v>0</v>
      </c>
      <c r="P300">
        <f>'Kullanılan gübre'!P300*'Gübre oranlar'!S$3</f>
        <v>0</v>
      </c>
      <c r="Q300">
        <f>'Kullanılan gübre'!Q300*'Gübre oranlar'!T$3</f>
        <v>0</v>
      </c>
      <c r="R300">
        <f>'Kullanılan gübre'!R300*'Gübre oranlar'!U$3</f>
        <v>0</v>
      </c>
      <c r="S300">
        <f>'Kullanılan gübre'!S300*'Gübre oranlar'!V$3</f>
        <v>0</v>
      </c>
      <c r="T300">
        <f>'Kullanılan gübre'!T300*'Gübre oranlar'!W$3</f>
        <v>0</v>
      </c>
      <c r="U300">
        <f>'Kullanılan gübre'!U300*'Gübre oranlar'!X$3</f>
        <v>0</v>
      </c>
      <c r="V300">
        <f>'Kullanılan gübre'!V300*'Gübre oranlar'!Y$3</f>
        <v>0</v>
      </c>
      <c r="W300">
        <f>'Kullanılan gübre'!W300*'Gübre oranlar'!Z$3</f>
        <v>0</v>
      </c>
      <c r="X300">
        <f>'Kullanılan gübre'!X300*'Gübre oranlar'!AA$3</f>
        <v>0</v>
      </c>
      <c r="Y300">
        <f>'Kullanılan gübre'!Y300*'Gübre oranlar'!AB$3</f>
        <v>0</v>
      </c>
      <c r="Z300">
        <f>'Kullanılan gübre'!Z300*'Gübre oranlar'!AC$3</f>
        <v>0</v>
      </c>
      <c r="AA300">
        <f>'Kullanılan gübre'!AA300*'Gübre oranlar'!AD$3</f>
        <v>0</v>
      </c>
      <c r="AB300">
        <f>'Kullanılan gübre'!AB300*'Gübre oranlar'!AE$3</f>
        <v>0</v>
      </c>
      <c r="AC300">
        <f>'Kullanılan gübre'!AC300*'Gübre oranlar'!AF$3</f>
        <v>0</v>
      </c>
      <c r="AD300">
        <f>'Kullanılan gübre'!AD300*'Gübre oranlar'!AG$3</f>
        <v>0</v>
      </c>
      <c r="AE300">
        <f>'Kullanılan gübre'!AE300*'Gübre oranlar'!AH$3</f>
        <v>0</v>
      </c>
      <c r="AF300">
        <f>'Kullanılan gübre'!AF300*'Gübre oranlar'!AI$3</f>
        <v>0</v>
      </c>
      <c r="AG300">
        <f>'Kullanılan gübre'!AG300*'Gübre oranlar'!AJ$3</f>
        <v>0</v>
      </c>
      <c r="AH300">
        <f>'Kullanılan gübre'!AH300*'Gübre oranlar'!AK$3</f>
        <v>0</v>
      </c>
      <c r="AI300">
        <f>'Kullanılan gübre'!AI300*'Gübre oranlar'!AL$3</f>
        <v>0</v>
      </c>
      <c r="AJ300">
        <f>'Kullanılan gübre'!AJ300*'Gübre oranlar'!AM$3</f>
        <v>0</v>
      </c>
      <c r="AK300">
        <f>'Kullanılan gübre'!AK300*'Gübre oranlar'!AN$3</f>
        <v>0</v>
      </c>
      <c r="AL300">
        <f>'Kullanılan gübre'!AL300*'Gübre oranlar'!AO$3</f>
        <v>0</v>
      </c>
      <c r="AM300">
        <f>'Kullanılan gübre'!AM300*'Gübre oranlar'!AP$3</f>
        <v>0</v>
      </c>
      <c r="AN300">
        <f>'Kullanılan gübre'!AN300*'Gübre oranlar'!AQ$3</f>
        <v>0</v>
      </c>
      <c r="AO300">
        <f>'Kullanılan gübre'!AO300*'Gübre oranlar'!AR$3</f>
        <v>0</v>
      </c>
      <c r="AP300">
        <f>'Kullanılan gübre'!AP300*'Gübre oranlar'!AS$3</f>
        <v>0</v>
      </c>
      <c r="AQ300">
        <f>'Kullanılan gübre'!AQ300*'Gübre oranlar'!AT$3</f>
        <v>0</v>
      </c>
      <c r="AR300">
        <f>'Kullanılan gübre'!AR300*'Gübre oranlar'!AU$3</f>
        <v>0</v>
      </c>
      <c r="AS300">
        <f>'Kullanılan gübre'!AS300*'Gübre oranlar'!AV$3</f>
        <v>0</v>
      </c>
      <c r="AT300">
        <f>'Kullanılan gübre'!AT300*'Gübre oranlar'!AW$3</f>
        <v>0</v>
      </c>
      <c r="AU300">
        <f>'Kullanılan gübre'!AU300*'Gübre oranlar'!AX$3</f>
        <v>0</v>
      </c>
      <c r="AV300">
        <f>'Kullanılan gübre'!AV300*'Gübre oranlar'!AY$3</f>
        <v>0</v>
      </c>
      <c r="AW300">
        <f t="shared" si="4"/>
        <v>161.23750000000001</v>
      </c>
    </row>
    <row r="301" spans="1:49" x14ac:dyDescent="0.25">
      <c r="A301" t="str">
        <f>'Kullanılan gübre'!A301</f>
        <v>YI</v>
      </c>
      <c r="B301" t="str">
        <f>'Kullanılan gübre'!B301</f>
        <v>TOKAT</v>
      </c>
      <c r="C301" t="str">
        <f>'Kullanılan gübre'!C301</f>
        <v>PAZAR</v>
      </c>
      <c r="D301">
        <f>'Kullanılan gübre'!D301</f>
        <v>2008</v>
      </c>
      <c r="E301">
        <f>'Kullanılan gübre'!E301*'Gübre oranlar'!H$3</f>
        <v>0</v>
      </c>
      <c r="F301">
        <f>'Kullanılan gübre'!F301*'Gübre oranlar'!I$3</f>
        <v>0</v>
      </c>
      <c r="G301">
        <f>'Kullanılan gübre'!G301*'Gübre oranlar'!J$3</f>
        <v>0</v>
      </c>
      <c r="H301">
        <f>'Kullanılan gübre'!H301*'Gübre oranlar'!K$3</f>
        <v>0</v>
      </c>
      <c r="I301">
        <f>'Kullanılan gübre'!I301*'Gübre oranlar'!L$3</f>
        <v>26.1096</v>
      </c>
      <c r="J301">
        <f>'Kullanılan gübre'!J301*'Gübre oranlar'!M$3</f>
        <v>0</v>
      </c>
      <c r="K301">
        <f>'Kullanılan gübre'!K301*'Gübre oranlar'!N$3</f>
        <v>4.4400000000000004</v>
      </c>
      <c r="L301">
        <f>'Kullanılan gübre'!L301*'Gübre oranlar'!O$3</f>
        <v>3.6</v>
      </c>
      <c r="M301">
        <f>'Kullanılan gübre'!M301*'Gübre oranlar'!P$3</f>
        <v>8.6100000000000012</v>
      </c>
      <c r="N301">
        <f>'Kullanılan gübre'!N301*'Gübre oranlar'!Q$3</f>
        <v>44.482499999999995</v>
      </c>
      <c r="O301">
        <f>'Kullanılan gübre'!O301*'Gübre oranlar'!R$3</f>
        <v>0</v>
      </c>
      <c r="P301">
        <f>'Kullanılan gübre'!P301*'Gübre oranlar'!S$3</f>
        <v>0</v>
      </c>
      <c r="Q301">
        <f>'Kullanılan gübre'!Q301*'Gübre oranlar'!T$3</f>
        <v>164.93999999999997</v>
      </c>
      <c r="R301">
        <f>'Kullanılan gübre'!R301*'Gübre oranlar'!U$3</f>
        <v>0</v>
      </c>
      <c r="S301">
        <f>'Kullanılan gübre'!S301*'Gübre oranlar'!V$3</f>
        <v>0</v>
      </c>
      <c r="T301">
        <f>'Kullanılan gübre'!T301*'Gübre oranlar'!W$3</f>
        <v>0</v>
      </c>
      <c r="U301">
        <f>'Kullanılan gübre'!U301*'Gübre oranlar'!X$3</f>
        <v>0</v>
      </c>
      <c r="V301">
        <f>'Kullanılan gübre'!V301*'Gübre oranlar'!Y$3</f>
        <v>0</v>
      </c>
      <c r="W301">
        <f>'Kullanılan gübre'!W301*'Gübre oranlar'!Z$3</f>
        <v>0</v>
      </c>
      <c r="X301">
        <f>'Kullanılan gübre'!X301*'Gübre oranlar'!AA$3</f>
        <v>0</v>
      </c>
      <c r="Y301">
        <f>'Kullanılan gübre'!Y301*'Gübre oranlar'!AB$3</f>
        <v>0</v>
      </c>
      <c r="Z301">
        <f>'Kullanılan gübre'!Z301*'Gübre oranlar'!AC$3</f>
        <v>0</v>
      </c>
      <c r="AA301">
        <f>'Kullanılan gübre'!AA301*'Gübre oranlar'!AD$3</f>
        <v>0</v>
      </c>
      <c r="AB301">
        <f>'Kullanılan gübre'!AB301*'Gübre oranlar'!AE$3</f>
        <v>0</v>
      </c>
      <c r="AC301">
        <f>'Kullanılan gübre'!AC301*'Gübre oranlar'!AF$3</f>
        <v>0</v>
      </c>
      <c r="AD301">
        <f>'Kullanılan gübre'!AD301*'Gübre oranlar'!AG$3</f>
        <v>0</v>
      </c>
      <c r="AE301">
        <f>'Kullanılan gübre'!AE301*'Gübre oranlar'!AH$3</f>
        <v>0</v>
      </c>
      <c r="AF301">
        <f>'Kullanılan gübre'!AF301*'Gübre oranlar'!AI$3</f>
        <v>0</v>
      </c>
      <c r="AG301">
        <f>'Kullanılan gübre'!AG301*'Gübre oranlar'!AJ$3</f>
        <v>0</v>
      </c>
      <c r="AH301">
        <f>'Kullanılan gübre'!AH301*'Gübre oranlar'!AK$3</f>
        <v>0</v>
      </c>
      <c r="AI301">
        <f>'Kullanılan gübre'!AI301*'Gübre oranlar'!AL$3</f>
        <v>0</v>
      </c>
      <c r="AJ301">
        <f>'Kullanılan gübre'!AJ301*'Gübre oranlar'!AM$3</f>
        <v>0</v>
      </c>
      <c r="AK301">
        <f>'Kullanılan gübre'!AK301*'Gübre oranlar'!AN$3</f>
        <v>0</v>
      </c>
      <c r="AL301">
        <f>'Kullanılan gübre'!AL301*'Gübre oranlar'!AO$3</f>
        <v>0</v>
      </c>
      <c r="AM301">
        <f>'Kullanılan gübre'!AM301*'Gübre oranlar'!AP$3</f>
        <v>0</v>
      </c>
      <c r="AN301">
        <f>'Kullanılan gübre'!AN301*'Gübre oranlar'!AQ$3</f>
        <v>0</v>
      </c>
      <c r="AO301">
        <f>'Kullanılan gübre'!AO301*'Gübre oranlar'!AR$3</f>
        <v>0</v>
      </c>
      <c r="AP301">
        <f>'Kullanılan gübre'!AP301*'Gübre oranlar'!AS$3</f>
        <v>0</v>
      </c>
      <c r="AQ301">
        <f>'Kullanılan gübre'!AQ301*'Gübre oranlar'!AT$3</f>
        <v>0</v>
      </c>
      <c r="AR301">
        <f>'Kullanılan gübre'!AR301*'Gübre oranlar'!AU$3</f>
        <v>0</v>
      </c>
      <c r="AS301">
        <f>'Kullanılan gübre'!AS301*'Gübre oranlar'!AV$3</f>
        <v>0</v>
      </c>
      <c r="AT301">
        <f>'Kullanılan gübre'!AT301*'Gübre oranlar'!AW$3</f>
        <v>0</v>
      </c>
      <c r="AU301">
        <f>'Kullanılan gübre'!AU301*'Gübre oranlar'!AX$3</f>
        <v>0</v>
      </c>
      <c r="AV301">
        <f>'Kullanılan gübre'!AV301*'Gübre oranlar'!AY$3</f>
        <v>0</v>
      </c>
      <c r="AW301">
        <f t="shared" si="4"/>
        <v>252.18209999999996</v>
      </c>
    </row>
    <row r="302" spans="1:49" x14ac:dyDescent="0.25">
      <c r="A302" t="str">
        <f>'Kullanılan gübre'!A302</f>
        <v>YI</v>
      </c>
      <c r="B302" t="str">
        <f>'Kullanılan gübre'!B302</f>
        <v>TOKAT</v>
      </c>
      <c r="C302" t="str">
        <f>'Kullanılan gübre'!C302</f>
        <v>RESADIYE</v>
      </c>
      <c r="D302">
        <f>'Kullanılan gübre'!D302</f>
        <v>2008</v>
      </c>
      <c r="E302">
        <f>'Kullanılan gübre'!E302*'Gübre oranlar'!H$3</f>
        <v>0</v>
      </c>
      <c r="F302">
        <f>'Kullanılan gübre'!F302*'Gübre oranlar'!I$3</f>
        <v>0</v>
      </c>
      <c r="G302">
        <f>'Kullanılan gübre'!G302*'Gübre oranlar'!J$3</f>
        <v>0</v>
      </c>
      <c r="H302">
        <f>'Kullanılan gübre'!H302*'Gübre oranlar'!K$3</f>
        <v>0</v>
      </c>
      <c r="I302">
        <f>'Kullanılan gübre'!I302*'Gübre oranlar'!L$3</f>
        <v>0</v>
      </c>
      <c r="J302">
        <f>'Kullanılan gübre'!J302*'Gübre oranlar'!M$3</f>
        <v>0</v>
      </c>
      <c r="K302">
        <f>'Kullanılan gübre'!K302*'Gübre oranlar'!N$3</f>
        <v>0</v>
      </c>
      <c r="L302">
        <f>'Kullanılan gübre'!L302*'Gübre oranlar'!O$3</f>
        <v>0</v>
      </c>
      <c r="M302">
        <f>'Kullanılan gübre'!M302*'Gübre oranlar'!P$3</f>
        <v>0</v>
      </c>
      <c r="N302">
        <f>'Kullanılan gübre'!N302*'Gübre oranlar'!Q$3</f>
        <v>0</v>
      </c>
      <c r="O302">
        <f>'Kullanılan gübre'!O302*'Gübre oranlar'!R$3</f>
        <v>0</v>
      </c>
      <c r="P302">
        <f>'Kullanılan gübre'!P302*'Gübre oranlar'!S$3</f>
        <v>0</v>
      </c>
      <c r="Q302">
        <f>'Kullanılan gübre'!Q302*'Gübre oranlar'!T$3</f>
        <v>0</v>
      </c>
      <c r="R302">
        <f>'Kullanılan gübre'!R302*'Gübre oranlar'!U$3</f>
        <v>0</v>
      </c>
      <c r="S302">
        <f>'Kullanılan gübre'!S302*'Gübre oranlar'!V$3</f>
        <v>0</v>
      </c>
      <c r="T302">
        <f>'Kullanılan gübre'!T302*'Gübre oranlar'!W$3</f>
        <v>0</v>
      </c>
      <c r="U302">
        <f>'Kullanılan gübre'!U302*'Gübre oranlar'!X$3</f>
        <v>0</v>
      </c>
      <c r="V302">
        <f>'Kullanılan gübre'!V302*'Gübre oranlar'!Y$3</f>
        <v>0</v>
      </c>
      <c r="W302">
        <f>'Kullanılan gübre'!W302*'Gübre oranlar'!Z$3</f>
        <v>0</v>
      </c>
      <c r="X302">
        <f>'Kullanılan gübre'!X302*'Gübre oranlar'!AA$3</f>
        <v>0</v>
      </c>
      <c r="Y302">
        <f>'Kullanılan gübre'!Y302*'Gübre oranlar'!AB$3</f>
        <v>0</v>
      </c>
      <c r="Z302">
        <f>'Kullanılan gübre'!Z302*'Gübre oranlar'!AC$3</f>
        <v>0</v>
      </c>
      <c r="AA302">
        <f>'Kullanılan gübre'!AA302*'Gübre oranlar'!AD$3</f>
        <v>0</v>
      </c>
      <c r="AB302">
        <f>'Kullanılan gübre'!AB302*'Gübre oranlar'!AE$3</f>
        <v>0</v>
      </c>
      <c r="AC302">
        <f>'Kullanılan gübre'!AC302*'Gübre oranlar'!AF$3</f>
        <v>0</v>
      </c>
      <c r="AD302">
        <f>'Kullanılan gübre'!AD302*'Gübre oranlar'!AG$3</f>
        <v>0</v>
      </c>
      <c r="AE302">
        <f>'Kullanılan gübre'!AE302*'Gübre oranlar'!AH$3</f>
        <v>0</v>
      </c>
      <c r="AF302">
        <f>'Kullanılan gübre'!AF302*'Gübre oranlar'!AI$3</f>
        <v>0</v>
      </c>
      <c r="AG302">
        <f>'Kullanılan gübre'!AG302*'Gübre oranlar'!AJ$3</f>
        <v>0</v>
      </c>
      <c r="AH302">
        <f>'Kullanılan gübre'!AH302*'Gübre oranlar'!AK$3</f>
        <v>0</v>
      </c>
      <c r="AI302">
        <f>'Kullanılan gübre'!AI302*'Gübre oranlar'!AL$3</f>
        <v>0</v>
      </c>
      <c r="AJ302">
        <f>'Kullanılan gübre'!AJ302*'Gübre oranlar'!AM$3</f>
        <v>0</v>
      </c>
      <c r="AK302">
        <f>'Kullanılan gübre'!AK302*'Gübre oranlar'!AN$3</f>
        <v>0</v>
      </c>
      <c r="AL302">
        <f>'Kullanılan gübre'!AL302*'Gübre oranlar'!AO$3</f>
        <v>0</v>
      </c>
      <c r="AM302">
        <f>'Kullanılan gübre'!AM302*'Gübre oranlar'!AP$3</f>
        <v>0</v>
      </c>
      <c r="AN302">
        <f>'Kullanılan gübre'!AN302*'Gübre oranlar'!AQ$3</f>
        <v>0</v>
      </c>
      <c r="AO302">
        <f>'Kullanılan gübre'!AO302*'Gübre oranlar'!AR$3</f>
        <v>0</v>
      </c>
      <c r="AP302">
        <f>'Kullanılan gübre'!AP302*'Gübre oranlar'!AS$3</f>
        <v>0</v>
      </c>
      <c r="AQ302">
        <f>'Kullanılan gübre'!AQ302*'Gübre oranlar'!AT$3</f>
        <v>0</v>
      </c>
      <c r="AR302">
        <f>'Kullanılan gübre'!AR302*'Gübre oranlar'!AU$3</f>
        <v>0</v>
      </c>
      <c r="AS302">
        <f>'Kullanılan gübre'!AS302*'Gübre oranlar'!AV$3</f>
        <v>0</v>
      </c>
      <c r="AT302">
        <f>'Kullanılan gübre'!AT302*'Gübre oranlar'!AW$3</f>
        <v>0</v>
      </c>
      <c r="AU302">
        <f>'Kullanılan gübre'!AU302*'Gübre oranlar'!AX$3</f>
        <v>0</v>
      </c>
      <c r="AV302">
        <f>'Kullanılan gübre'!AV302*'Gübre oranlar'!AY$3</f>
        <v>0</v>
      </c>
      <c r="AW302">
        <f t="shared" si="4"/>
        <v>0</v>
      </c>
    </row>
    <row r="303" spans="1:49" x14ac:dyDescent="0.25">
      <c r="A303" t="str">
        <f>'Kullanılan gübre'!A303</f>
        <v>YI</v>
      </c>
      <c r="B303" t="str">
        <f>'Kullanılan gübre'!B303</f>
        <v>TOKAT</v>
      </c>
      <c r="C303" t="str">
        <f>'Kullanılan gübre'!C303</f>
        <v>SULUSARAY</v>
      </c>
      <c r="D303">
        <f>'Kullanılan gübre'!D303</f>
        <v>2008</v>
      </c>
      <c r="E303">
        <f>'Kullanılan gübre'!E303*'Gübre oranlar'!H$3</f>
        <v>0</v>
      </c>
      <c r="F303">
        <f>'Kullanılan gübre'!F303*'Gübre oranlar'!I$3</f>
        <v>0</v>
      </c>
      <c r="G303">
        <f>'Kullanılan gübre'!G303*'Gübre oranlar'!J$3</f>
        <v>0</v>
      </c>
      <c r="H303">
        <f>'Kullanılan gübre'!H303*'Gübre oranlar'!K$3</f>
        <v>0</v>
      </c>
      <c r="I303">
        <f>'Kullanılan gübre'!I303*'Gübre oranlar'!L$3</f>
        <v>43</v>
      </c>
      <c r="J303">
        <f>'Kullanılan gübre'!J303*'Gübre oranlar'!M$3</f>
        <v>0</v>
      </c>
      <c r="K303">
        <f>'Kullanılan gübre'!K303*'Gübre oranlar'!N$3</f>
        <v>0.26</v>
      </c>
      <c r="L303">
        <f>'Kullanılan gübre'!L303*'Gübre oranlar'!O$3</f>
        <v>0</v>
      </c>
      <c r="M303">
        <f>'Kullanılan gübre'!M303*'Gübre oranlar'!P$3</f>
        <v>0</v>
      </c>
      <c r="N303">
        <f>'Kullanılan gübre'!N303*'Gübre oranlar'!Q$3</f>
        <v>0</v>
      </c>
      <c r="O303">
        <f>'Kullanılan gübre'!O303*'Gübre oranlar'!R$3</f>
        <v>0</v>
      </c>
      <c r="P303">
        <f>'Kullanılan gübre'!P303*'Gübre oranlar'!S$3</f>
        <v>0</v>
      </c>
      <c r="Q303">
        <f>'Kullanılan gübre'!Q303*'Gübre oranlar'!T$3</f>
        <v>0</v>
      </c>
      <c r="R303">
        <f>'Kullanılan gübre'!R303*'Gübre oranlar'!U$3</f>
        <v>3.5999999999999996</v>
      </c>
      <c r="S303">
        <f>'Kullanılan gübre'!S303*'Gübre oranlar'!V$3</f>
        <v>0</v>
      </c>
      <c r="T303">
        <f>'Kullanılan gübre'!T303*'Gübre oranlar'!W$3</f>
        <v>0</v>
      </c>
      <c r="U303">
        <f>'Kullanılan gübre'!U303*'Gübre oranlar'!X$3</f>
        <v>0</v>
      </c>
      <c r="V303">
        <f>'Kullanılan gübre'!V303*'Gübre oranlar'!Y$3</f>
        <v>0</v>
      </c>
      <c r="W303">
        <f>'Kullanılan gübre'!W303*'Gübre oranlar'!Z$3</f>
        <v>0</v>
      </c>
      <c r="X303">
        <f>'Kullanılan gübre'!X303*'Gübre oranlar'!AA$3</f>
        <v>0</v>
      </c>
      <c r="Y303">
        <f>'Kullanılan gübre'!Y303*'Gübre oranlar'!AB$3</f>
        <v>0</v>
      </c>
      <c r="Z303">
        <f>'Kullanılan gübre'!Z303*'Gübre oranlar'!AC$3</f>
        <v>0</v>
      </c>
      <c r="AA303">
        <f>'Kullanılan gübre'!AA303*'Gübre oranlar'!AD$3</f>
        <v>0</v>
      </c>
      <c r="AB303">
        <f>'Kullanılan gübre'!AB303*'Gübre oranlar'!AE$3</f>
        <v>0</v>
      </c>
      <c r="AC303">
        <f>'Kullanılan gübre'!AC303*'Gübre oranlar'!AF$3</f>
        <v>0</v>
      </c>
      <c r="AD303">
        <f>'Kullanılan gübre'!AD303*'Gübre oranlar'!AG$3</f>
        <v>0</v>
      </c>
      <c r="AE303">
        <f>'Kullanılan gübre'!AE303*'Gübre oranlar'!AH$3</f>
        <v>0</v>
      </c>
      <c r="AF303">
        <f>'Kullanılan gübre'!AF303*'Gübre oranlar'!AI$3</f>
        <v>0</v>
      </c>
      <c r="AG303">
        <f>'Kullanılan gübre'!AG303*'Gübre oranlar'!AJ$3</f>
        <v>0</v>
      </c>
      <c r="AH303">
        <f>'Kullanılan gübre'!AH303*'Gübre oranlar'!AK$3</f>
        <v>0</v>
      </c>
      <c r="AI303">
        <f>'Kullanılan gübre'!AI303*'Gübre oranlar'!AL$3</f>
        <v>0</v>
      </c>
      <c r="AJ303">
        <f>'Kullanılan gübre'!AJ303*'Gübre oranlar'!AM$3</f>
        <v>0</v>
      </c>
      <c r="AK303">
        <f>'Kullanılan gübre'!AK303*'Gübre oranlar'!AN$3</f>
        <v>0</v>
      </c>
      <c r="AL303">
        <f>'Kullanılan gübre'!AL303*'Gübre oranlar'!AO$3</f>
        <v>0</v>
      </c>
      <c r="AM303">
        <f>'Kullanılan gübre'!AM303*'Gübre oranlar'!AP$3</f>
        <v>0</v>
      </c>
      <c r="AN303">
        <f>'Kullanılan gübre'!AN303*'Gübre oranlar'!AQ$3</f>
        <v>0</v>
      </c>
      <c r="AO303">
        <f>'Kullanılan gübre'!AO303*'Gübre oranlar'!AR$3</f>
        <v>0</v>
      </c>
      <c r="AP303">
        <f>'Kullanılan gübre'!AP303*'Gübre oranlar'!AS$3</f>
        <v>0</v>
      </c>
      <c r="AQ303">
        <f>'Kullanılan gübre'!AQ303*'Gübre oranlar'!AT$3</f>
        <v>0</v>
      </c>
      <c r="AR303">
        <f>'Kullanılan gübre'!AR303*'Gübre oranlar'!AU$3</f>
        <v>0</v>
      </c>
      <c r="AS303">
        <f>'Kullanılan gübre'!AS303*'Gübre oranlar'!AV$3</f>
        <v>0</v>
      </c>
      <c r="AT303">
        <f>'Kullanılan gübre'!AT303*'Gübre oranlar'!AW$3</f>
        <v>0</v>
      </c>
      <c r="AU303">
        <f>'Kullanılan gübre'!AU303*'Gübre oranlar'!AX$3</f>
        <v>0</v>
      </c>
      <c r="AV303">
        <f>'Kullanılan gübre'!AV303*'Gübre oranlar'!AY$3</f>
        <v>0</v>
      </c>
      <c r="AW303">
        <f t="shared" si="4"/>
        <v>46.86</v>
      </c>
    </row>
    <row r="304" spans="1:49" x14ac:dyDescent="0.25">
      <c r="A304" t="str">
        <f>'Kullanılan gübre'!A304</f>
        <v>YI</v>
      </c>
      <c r="B304" t="str">
        <f>'Kullanılan gübre'!B304</f>
        <v>TOKAT</v>
      </c>
      <c r="C304" t="str">
        <f>'Kullanılan gübre'!C304</f>
        <v>TURHAL</v>
      </c>
      <c r="D304">
        <f>'Kullanılan gübre'!D304</f>
        <v>2008</v>
      </c>
      <c r="E304">
        <f>'Kullanılan gübre'!E304*'Gübre oranlar'!H$3</f>
        <v>0</v>
      </c>
      <c r="F304">
        <f>'Kullanılan gübre'!F304*'Gübre oranlar'!I$3</f>
        <v>0</v>
      </c>
      <c r="G304">
        <f>'Kullanılan gübre'!G304*'Gübre oranlar'!J$3</f>
        <v>0</v>
      </c>
      <c r="H304">
        <f>'Kullanılan gübre'!H304*'Gübre oranlar'!K$3</f>
        <v>0</v>
      </c>
      <c r="I304">
        <f>'Kullanılan gübre'!I304*'Gübre oranlar'!L$3</f>
        <v>5.4824999999999999</v>
      </c>
      <c r="J304">
        <f>'Kullanılan gübre'!J304*'Gübre oranlar'!M$3</f>
        <v>0</v>
      </c>
      <c r="K304">
        <f>'Kullanılan gübre'!K304*'Gübre oranlar'!N$3</f>
        <v>38.03</v>
      </c>
      <c r="L304">
        <f>'Kullanılan gübre'!L304*'Gübre oranlar'!O$3</f>
        <v>32.54</v>
      </c>
      <c r="M304">
        <f>'Kullanılan gübre'!M304*'Gübre oranlar'!P$3</f>
        <v>3.9</v>
      </c>
      <c r="N304">
        <f>'Kullanılan gübre'!N304*'Gübre oranlar'!Q$3</f>
        <v>1.425</v>
      </c>
      <c r="O304">
        <f>'Kullanılan gübre'!O304*'Gübre oranlar'!R$3</f>
        <v>0</v>
      </c>
      <c r="P304">
        <f>'Kullanılan gübre'!P304*'Gübre oranlar'!S$3</f>
        <v>0</v>
      </c>
      <c r="Q304">
        <f>'Kullanılan gübre'!Q304*'Gübre oranlar'!T$3</f>
        <v>210.6</v>
      </c>
      <c r="R304">
        <f>'Kullanılan gübre'!R304*'Gübre oranlar'!U$3</f>
        <v>1.26</v>
      </c>
      <c r="S304">
        <f>'Kullanılan gübre'!S304*'Gübre oranlar'!V$3</f>
        <v>0</v>
      </c>
      <c r="T304">
        <f>'Kullanılan gübre'!T304*'Gübre oranlar'!W$3</f>
        <v>0</v>
      </c>
      <c r="U304">
        <f>'Kullanılan gübre'!U304*'Gübre oranlar'!X$3</f>
        <v>0</v>
      </c>
      <c r="V304">
        <f>'Kullanılan gübre'!V304*'Gübre oranlar'!Y$3</f>
        <v>0</v>
      </c>
      <c r="W304">
        <f>'Kullanılan gübre'!W304*'Gübre oranlar'!Z$3</f>
        <v>0</v>
      </c>
      <c r="X304">
        <f>'Kullanılan gübre'!X304*'Gübre oranlar'!AA$3</f>
        <v>0</v>
      </c>
      <c r="Y304">
        <f>'Kullanılan gübre'!Y304*'Gübre oranlar'!AB$3</f>
        <v>0</v>
      </c>
      <c r="Z304">
        <f>'Kullanılan gübre'!Z304*'Gübre oranlar'!AC$3</f>
        <v>0</v>
      </c>
      <c r="AA304">
        <f>'Kullanılan gübre'!AA304*'Gübre oranlar'!AD$3</f>
        <v>0</v>
      </c>
      <c r="AB304">
        <f>'Kullanılan gübre'!AB304*'Gübre oranlar'!AE$3</f>
        <v>0</v>
      </c>
      <c r="AC304">
        <f>'Kullanılan gübre'!AC304*'Gübre oranlar'!AF$3</f>
        <v>0</v>
      </c>
      <c r="AD304">
        <f>'Kullanılan gübre'!AD304*'Gübre oranlar'!AG$3</f>
        <v>0</v>
      </c>
      <c r="AE304">
        <f>'Kullanılan gübre'!AE304*'Gübre oranlar'!AH$3</f>
        <v>0</v>
      </c>
      <c r="AF304">
        <f>'Kullanılan gübre'!AF304*'Gübre oranlar'!AI$3</f>
        <v>0</v>
      </c>
      <c r="AG304">
        <f>'Kullanılan gübre'!AG304*'Gübre oranlar'!AJ$3</f>
        <v>0</v>
      </c>
      <c r="AH304">
        <f>'Kullanılan gübre'!AH304*'Gübre oranlar'!AK$3</f>
        <v>0</v>
      </c>
      <c r="AI304">
        <f>'Kullanılan gübre'!AI304*'Gübre oranlar'!AL$3</f>
        <v>0</v>
      </c>
      <c r="AJ304">
        <f>'Kullanılan gübre'!AJ304*'Gübre oranlar'!AM$3</f>
        <v>0</v>
      </c>
      <c r="AK304">
        <f>'Kullanılan gübre'!AK304*'Gübre oranlar'!AN$3</f>
        <v>0</v>
      </c>
      <c r="AL304">
        <f>'Kullanılan gübre'!AL304*'Gübre oranlar'!AO$3</f>
        <v>0</v>
      </c>
      <c r="AM304">
        <f>'Kullanılan gübre'!AM304*'Gübre oranlar'!AP$3</f>
        <v>0</v>
      </c>
      <c r="AN304">
        <f>'Kullanılan gübre'!AN304*'Gübre oranlar'!AQ$3</f>
        <v>0</v>
      </c>
      <c r="AO304">
        <f>'Kullanılan gübre'!AO304*'Gübre oranlar'!AR$3</f>
        <v>0</v>
      </c>
      <c r="AP304">
        <f>'Kullanılan gübre'!AP304*'Gübre oranlar'!AS$3</f>
        <v>0</v>
      </c>
      <c r="AQ304">
        <f>'Kullanılan gübre'!AQ304*'Gübre oranlar'!AT$3</f>
        <v>0</v>
      </c>
      <c r="AR304">
        <f>'Kullanılan gübre'!AR304*'Gübre oranlar'!AU$3</f>
        <v>0</v>
      </c>
      <c r="AS304">
        <f>'Kullanılan gübre'!AS304*'Gübre oranlar'!AV$3</f>
        <v>0</v>
      </c>
      <c r="AT304">
        <f>'Kullanılan gübre'!AT304*'Gübre oranlar'!AW$3</f>
        <v>0</v>
      </c>
      <c r="AU304">
        <f>'Kullanılan gübre'!AU304*'Gübre oranlar'!AX$3</f>
        <v>0</v>
      </c>
      <c r="AV304">
        <f>'Kullanılan gübre'!AV304*'Gübre oranlar'!AY$3</f>
        <v>0</v>
      </c>
      <c r="AW304">
        <f t="shared" si="4"/>
        <v>293.23750000000001</v>
      </c>
    </row>
    <row r="305" spans="1:49" x14ac:dyDescent="0.25">
      <c r="A305" t="str">
        <f>'Kullanılan gübre'!A305</f>
        <v>YI</v>
      </c>
      <c r="B305" t="str">
        <f>'Kullanılan gübre'!B305</f>
        <v>TOKAT</v>
      </c>
      <c r="C305" t="str">
        <f>'Kullanılan gübre'!C305</f>
        <v>YESILYURT</v>
      </c>
      <c r="D305">
        <f>'Kullanılan gübre'!D305</f>
        <v>2008</v>
      </c>
      <c r="E305">
        <f>'Kullanılan gübre'!E305*'Gübre oranlar'!H$3</f>
        <v>0</v>
      </c>
      <c r="F305">
        <f>'Kullanılan gübre'!F305*'Gübre oranlar'!I$3</f>
        <v>0</v>
      </c>
      <c r="G305">
        <f>'Kullanılan gübre'!G305*'Gübre oranlar'!J$3</f>
        <v>0</v>
      </c>
      <c r="H305">
        <f>'Kullanılan gübre'!H305*'Gübre oranlar'!K$3</f>
        <v>0</v>
      </c>
      <c r="I305">
        <f>'Kullanılan gübre'!I305*'Gübre oranlar'!L$3</f>
        <v>0</v>
      </c>
      <c r="J305">
        <f>'Kullanılan gübre'!J305*'Gübre oranlar'!M$3</f>
        <v>0</v>
      </c>
      <c r="K305">
        <f>'Kullanılan gübre'!K305*'Gübre oranlar'!N$3</f>
        <v>32.200000000000003</v>
      </c>
      <c r="L305">
        <f>'Kullanılan gübre'!L305*'Gübre oranlar'!O$3</f>
        <v>33.71</v>
      </c>
      <c r="M305">
        <f>'Kullanılan gübre'!M305*'Gübre oranlar'!P$3</f>
        <v>0</v>
      </c>
      <c r="N305">
        <f>'Kullanılan gübre'!N305*'Gübre oranlar'!Q$3</f>
        <v>6.1499999999999995</v>
      </c>
      <c r="O305">
        <f>'Kullanılan gübre'!O305*'Gübre oranlar'!R$3</f>
        <v>0</v>
      </c>
      <c r="P305">
        <f>'Kullanılan gübre'!P305*'Gübre oranlar'!S$3</f>
        <v>0</v>
      </c>
      <c r="Q305">
        <f>'Kullanılan gübre'!Q305*'Gübre oranlar'!T$3</f>
        <v>0</v>
      </c>
      <c r="R305">
        <f>'Kullanılan gübre'!R305*'Gübre oranlar'!U$3</f>
        <v>0</v>
      </c>
      <c r="S305">
        <f>'Kullanılan gübre'!S305*'Gübre oranlar'!V$3</f>
        <v>0</v>
      </c>
      <c r="T305">
        <f>'Kullanılan gübre'!T305*'Gübre oranlar'!W$3</f>
        <v>0</v>
      </c>
      <c r="U305">
        <f>'Kullanılan gübre'!U305*'Gübre oranlar'!X$3</f>
        <v>0</v>
      </c>
      <c r="V305">
        <f>'Kullanılan gübre'!V305*'Gübre oranlar'!Y$3</f>
        <v>0</v>
      </c>
      <c r="W305">
        <f>'Kullanılan gübre'!W305*'Gübre oranlar'!Z$3</f>
        <v>0</v>
      </c>
      <c r="X305">
        <f>'Kullanılan gübre'!X305*'Gübre oranlar'!AA$3</f>
        <v>0</v>
      </c>
      <c r="Y305">
        <f>'Kullanılan gübre'!Y305*'Gübre oranlar'!AB$3</f>
        <v>0</v>
      </c>
      <c r="Z305">
        <f>'Kullanılan gübre'!Z305*'Gübre oranlar'!AC$3</f>
        <v>0</v>
      </c>
      <c r="AA305">
        <f>'Kullanılan gübre'!AA305*'Gübre oranlar'!AD$3</f>
        <v>0</v>
      </c>
      <c r="AB305">
        <f>'Kullanılan gübre'!AB305*'Gübre oranlar'!AE$3</f>
        <v>0</v>
      </c>
      <c r="AC305">
        <f>'Kullanılan gübre'!AC305*'Gübre oranlar'!AF$3</f>
        <v>0</v>
      </c>
      <c r="AD305">
        <f>'Kullanılan gübre'!AD305*'Gübre oranlar'!AG$3</f>
        <v>0</v>
      </c>
      <c r="AE305">
        <f>'Kullanılan gübre'!AE305*'Gübre oranlar'!AH$3</f>
        <v>0</v>
      </c>
      <c r="AF305">
        <f>'Kullanılan gübre'!AF305*'Gübre oranlar'!AI$3</f>
        <v>0</v>
      </c>
      <c r="AG305">
        <f>'Kullanılan gübre'!AG305*'Gübre oranlar'!AJ$3</f>
        <v>0</v>
      </c>
      <c r="AH305">
        <f>'Kullanılan gübre'!AH305*'Gübre oranlar'!AK$3</f>
        <v>0</v>
      </c>
      <c r="AI305">
        <f>'Kullanılan gübre'!AI305*'Gübre oranlar'!AL$3</f>
        <v>0</v>
      </c>
      <c r="AJ305">
        <f>'Kullanılan gübre'!AJ305*'Gübre oranlar'!AM$3</f>
        <v>0</v>
      </c>
      <c r="AK305">
        <f>'Kullanılan gübre'!AK305*'Gübre oranlar'!AN$3</f>
        <v>0</v>
      </c>
      <c r="AL305">
        <f>'Kullanılan gübre'!AL305*'Gübre oranlar'!AO$3</f>
        <v>0</v>
      </c>
      <c r="AM305">
        <f>'Kullanılan gübre'!AM305*'Gübre oranlar'!AP$3</f>
        <v>0</v>
      </c>
      <c r="AN305">
        <f>'Kullanılan gübre'!AN305*'Gübre oranlar'!AQ$3</f>
        <v>0</v>
      </c>
      <c r="AO305">
        <f>'Kullanılan gübre'!AO305*'Gübre oranlar'!AR$3</f>
        <v>0</v>
      </c>
      <c r="AP305">
        <f>'Kullanılan gübre'!AP305*'Gübre oranlar'!AS$3</f>
        <v>0</v>
      </c>
      <c r="AQ305">
        <f>'Kullanılan gübre'!AQ305*'Gübre oranlar'!AT$3</f>
        <v>0</v>
      </c>
      <c r="AR305">
        <f>'Kullanılan gübre'!AR305*'Gübre oranlar'!AU$3</f>
        <v>0</v>
      </c>
      <c r="AS305">
        <f>'Kullanılan gübre'!AS305*'Gübre oranlar'!AV$3</f>
        <v>0</v>
      </c>
      <c r="AT305">
        <f>'Kullanılan gübre'!AT305*'Gübre oranlar'!AW$3</f>
        <v>0</v>
      </c>
      <c r="AU305">
        <f>'Kullanılan gübre'!AU305*'Gübre oranlar'!AX$3</f>
        <v>0</v>
      </c>
      <c r="AV305">
        <f>'Kullanılan gübre'!AV305*'Gübre oranlar'!AY$3</f>
        <v>0</v>
      </c>
      <c r="AW305">
        <f t="shared" si="4"/>
        <v>72.06</v>
      </c>
    </row>
    <row r="306" spans="1:49" x14ac:dyDescent="0.25">
      <c r="A306" t="str">
        <f>'Kullanılan gübre'!A306</f>
        <v>YI</v>
      </c>
      <c r="B306" t="str">
        <f>'Kullanılan gübre'!B306</f>
        <v>TOKAT</v>
      </c>
      <c r="C306" t="str">
        <f>'Kullanılan gübre'!C306</f>
        <v>ZILE</v>
      </c>
      <c r="D306">
        <f>'Kullanılan gübre'!D306</f>
        <v>2008</v>
      </c>
      <c r="E306">
        <f>'Kullanılan gübre'!E306*'Gübre oranlar'!H$3</f>
        <v>0</v>
      </c>
      <c r="F306">
        <f>'Kullanılan gübre'!F306*'Gübre oranlar'!I$3</f>
        <v>0</v>
      </c>
      <c r="G306">
        <f>'Kullanılan gübre'!G306*'Gübre oranlar'!J$3</f>
        <v>0</v>
      </c>
      <c r="H306">
        <f>'Kullanılan gübre'!H306*'Gübre oranlar'!K$3</f>
        <v>0</v>
      </c>
      <c r="I306">
        <f>'Kullanılan gübre'!I306*'Gübre oranlar'!L$3</f>
        <v>0</v>
      </c>
      <c r="J306">
        <f>'Kullanılan gübre'!J306*'Gübre oranlar'!M$3</f>
        <v>0</v>
      </c>
      <c r="K306">
        <f>'Kullanılan gübre'!K306*'Gübre oranlar'!N$3</f>
        <v>594.80000000000007</v>
      </c>
      <c r="L306">
        <f>'Kullanılan gübre'!L306*'Gübre oranlar'!O$3</f>
        <v>217.34000000000003</v>
      </c>
      <c r="M306">
        <f>'Kullanılan gübre'!M306*'Gübre oranlar'!P$3</f>
        <v>9.9</v>
      </c>
      <c r="N306">
        <f>'Kullanılan gübre'!N306*'Gübre oranlar'!Q$3</f>
        <v>3.3974999999999995</v>
      </c>
      <c r="O306">
        <f>'Kullanılan gübre'!O306*'Gübre oranlar'!R$3</f>
        <v>0</v>
      </c>
      <c r="P306">
        <f>'Kullanılan gübre'!P306*'Gübre oranlar'!S$3</f>
        <v>0</v>
      </c>
      <c r="Q306">
        <f>'Kullanılan gübre'!Q306*'Gübre oranlar'!T$3</f>
        <v>0</v>
      </c>
      <c r="R306">
        <f>'Kullanılan gübre'!R306*'Gübre oranlar'!U$3</f>
        <v>0</v>
      </c>
      <c r="S306">
        <f>'Kullanılan gübre'!S306*'Gübre oranlar'!V$3</f>
        <v>0</v>
      </c>
      <c r="T306">
        <f>'Kullanılan gübre'!T306*'Gübre oranlar'!W$3</f>
        <v>0</v>
      </c>
      <c r="U306">
        <f>'Kullanılan gübre'!U306*'Gübre oranlar'!X$3</f>
        <v>0</v>
      </c>
      <c r="V306">
        <f>'Kullanılan gübre'!V306*'Gübre oranlar'!Y$3</f>
        <v>0</v>
      </c>
      <c r="W306">
        <f>'Kullanılan gübre'!W306*'Gübre oranlar'!Z$3</f>
        <v>0</v>
      </c>
      <c r="X306">
        <f>'Kullanılan gübre'!X306*'Gübre oranlar'!AA$3</f>
        <v>0</v>
      </c>
      <c r="Y306">
        <f>'Kullanılan gübre'!Y306*'Gübre oranlar'!AB$3</f>
        <v>0</v>
      </c>
      <c r="Z306">
        <f>'Kullanılan gübre'!Z306*'Gübre oranlar'!AC$3</f>
        <v>0</v>
      </c>
      <c r="AA306">
        <f>'Kullanılan gübre'!AA306*'Gübre oranlar'!AD$3</f>
        <v>0</v>
      </c>
      <c r="AB306">
        <f>'Kullanılan gübre'!AB306*'Gübre oranlar'!AE$3</f>
        <v>0</v>
      </c>
      <c r="AC306">
        <f>'Kullanılan gübre'!AC306*'Gübre oranlar'!AF$3</f>
        <v>0</v>
      </c>
      <c r="AD306">
        <f>'Kullanılan gübre'!AD306*'Gübre oranlar'!AG$3</f>
        <v>0</v>
      </c>
      <c r="AE306">
        <f>'Kullanılan gübre'!AE306*'Gübre oranlar'!AH$3</f>
        <v>0</v>
      </c>
      <c r="AF306">
        <f>'Kullanılan gübre'!AF306*'Gübre oranlar'!AI$3</f>
        <v>0</v>
      </c>
      <c r="AG306">
        <f>'Kullanılan gübre'!AG306*'Gübre oranlar'!AJ$3</f>
        <v>0</v>
      </c>
      <c r="AH306">
        <f>'Kullanılan gübre'!AH306*'Gübre oranlar'!AK$3</f>
        <v>0</v>
      </c>
      <c r="AI306">
        <f>'Kullanılan gübre'!AI306*'Gübre oranlar'!AL$3</f>
        <v>0</v>
      </c>
      <c r="AJ306">
        <f>'Kullanılan gübre'!AJ306*'Gübre oranlar'!AM$3</f>
        <v>0</v>
      </c>
      <c r="AK306">
        <f>'Kullanılan gübre'!AK306*'Gübre oranlar'!AN$3</f>
        <v>0</v>
      </c>
      <c r="AL306">
        <f>'Kullanılan gübre'!AL306*'Gübre oranlar'!AO$3</f>
        <v>0</v>
      </c>
      <c r="AM306">
        <f>'Kullanılan gübre'!AM306*'Gübre oranlar'!AP$3</f>
        <v>0</v>
      </c>
      <c r="AN306">
        <f>'Kullanılan gübre'!AN306*'Gübre oranlar'!AQ$3</f>
        <v>0</v>
      </c>
      <c r="AO306">
        <f>'Kullanılan gübre'!AO306*'Gübre oranlar'!AR$3</f>
        <v>0</v>
      </c>
      <c r="AP306">
        <f>'Kullanılan gübre'!AP306*'Gübre oranlar'!AS$3</f>
        <v>0</v>
      </c>
      <c r="AQ306">
        <f>'Kullanılan gübre'!AQ306*'Gübre oranlar'!AT$3</f>
        <v>0</v>
      </c>
      <c r="AR306">
        <f>'Kullanılan gübre'!AR306*'Gübre oranlar'!AU$3</f>
        <v>0</v>
      </c>
      <c r="AS306">
        <f>'Kullanılan gübre'!AS306*'Gübre oranlar'!AV$3</f>
        <v>0</v>
      </c>
      <c r="AT306">
        <f>'Kullanılan gübre'!AT306*'Gübre oranlar'!AW$3</f>
        <v>0</v>
      </c>
      <c r="AU306">
        <f>'Kullanılan gübre'!AU306*'Gübre oranlar'!AX$3</f>
        <v>0</v>
      </c>
      <c r="AV306">
        <f>'Kullanılan gübre'!AV306*'Gübre oranlar'!AY$3</f>
        <v>0</v>
      </c>
      <c r="AW306">
        <f t="shared" si="4"/>
        <v>825.43750000000011</v>
      </c>
    </row>
    <row r="307" spans="1:49" x14ac:dyDescent="0.25">
      <c r="A307" t="str">
        <f>'Kullanılan gübre'!A307</f>
        <v>YI</v>
      </c>
      <c r="B307" t="str">
        <f>'Kullanılan gübre'!B307</f>
        <v>TOKAT</v>
      </c>
      <c r="C307" t="str">
        <f>'Kullanılan gübre'!C307</f>
        <v>MERKEZ</v>
      </c>
      <c r="D307">
        <f>'Kullanılan gübre'!D307</f>
        <v>2009</v>
      </c>
      <c r="E307">
        <f>'Kullanılan gübre'!E307*'Gübre oranlar'!H$3</f>
        <v>0</v>
      </c>
      <c r="F307">
        <f>'Kullanılan gübre'!F307*'Gübre oranlar'!I$3</f>
        <v>0</v>
      </c>
      <c r="G307">
        <f>'Kullanılan gübre'!G307*'Gübre oranlar'!J$3</f>
        <v>0</v>
      </c>
      <c r="H307">
        <f>'Kullanılan gübre'!H307*'Gübre oranlar'!K$3</f>
        <v>0</v>
      </c>
      <c r="I307">
        <f>'Kullanılan gübre'!I307*'Gübre oranlar'!L$3</f>
        <v>15.393999999999998</v>
      </c>
      <c r="J307">
        <f>'Kullanılan gübre'!J307*'Gübre oranlar'!M$3</f>
        <v>0</v>
      </c>
      <c r="K307">
        <f>'Kullanılan gübre'!K307*'Gübre oranlar'!N$3</f>
        <v>22.450000000000003</v>
      </c>
      <c r="L307">
        <f>'Kullanılan gübre'!L307*'Gübre oranlar'!O$3</f>
        <v>15.02</v>
      </c>
      <c r="M307">
        <f>'Kullanılan gübre'!M307*'Gübre oranlar'!P$3</f>
        <v>16.365000000000002</v>
      </c>
      <c r="N307">
        <f>'Kullanılan gübre'!N307*'Gübre oranlar'!Q$3</f>
        <v>13.897500000000001</v>
      </c>
      <c r="O307">
        <f>'Kullanılan gübre'!O307*'Gübre oranlar'!R$3</f>
        <v>0</v>
      </c>
      <c r="P307">
        <f>'Kullanılan gübre'!P307*'Gübre oranlar'!S$3</f>
        <v>0</v>
      </c>
      <c r="Q307">
        <f>'Kullanılan gübre'!Q307*'Gübre oranlar'!T$3</f>
        <v>0</v>
      </c>
      <c r="R307">
        <f>'Kullanılan gübre'!R307*'Gübre oranlar'!U$3</f>
        <v>0</v>
      </c>
      <c r="S307">
        <f>'Kullanılan gübre'!S307*'Gübre oranlar'!V$3</f>
        <v>0</v>
      </c>
      <c r="T307">
        <f>'Kullanılan gübre'!T307*'Gübre oranlar'!W$3</f>
        <v>0</v>
      </c>
      <c r="U307">
        <f>'Kullanılan gübre'!U307*'Gübre oranlar'!X$3</f>
        <v>0</v>
      </c>
      <c r="V307">
        <f>'Kullanılan gübre'!V307*'Gübre oranlar'!Y$3</f>
        <v>0</v>
      </c>
      <c r="W307">
        <f>'Kullanılan gübre'!W307*'Gübre oranlar'!Z$3</f>
        <v>0</v>
      </c>
      <c r="X307">
        <f>'Kullanılan gübre'!X307*'Gübre oranlar'!AA$3</f>
        <v>0</v>
      </c>
      <c r="Y307">
        <f>'Kullanılan gübre'!Y307*'Gübre oranlar'!AB$3</f>
        <v>0</v>
      </c>
      <c r="Z307">
        <f>'Kullanılan gübre'!Z307*'Gübre oranlar'!AC$3</f>
        <v>0</v>
      </c>
      <c r="AA307">
        <f>'Kullanılan gübre'!AA307*'Gübre oranlar'!AD$3</f>
        <v>0</v>
      </c>
      <c r="AB307">
        <f>'Kullanılan gübre'!AB307*'Gübre oranlar'!AE$3</f>
        <v>0</v>
      </c>
      <c r="AC307">
        <f>'Kullanılan gübre'!AC307*'Gübre oranlar'!AF$3</f>
        <v>0</v>
      </c>
      <c r="AD307">
        <f>'Kullanılan gübre'!AD307*'Gübre oranlar'!AG$3</f>
        <v>0</v>
      </c>
      <c r="AE307">
        <f>'Kullanılan gübre'!AE307*'Gübre oranlar'!AH$3</f>
        <v>0</v>
      </c>
      <c r="AF307">
        <f>'Kullanılan gübre'!AF307*'Gübre oranlar'!AI$3</f>
        <v>0</v>
      </c>
      <c r="AG307">
        <f>'Kullanılan gübre'!AG307*'Gübre oranlar'!AJ$3</f>
        <v>0</v>
      </c>
      <c r="AH307">
        <f>'Kullanılan gübre'!AH307*'Gübre oranlar'!AK$3</f>
        <v>0</v>
      </c>
      <c r="AI307">
        <f>'Kullanılan gübre'!AI307*'Gübre oranlar'!AL$3</f>
        <v>0</v>
      </c>
      <c r="AJ307">
        <f>'Kullanılan gübre'!AJ307*'Gübre oranlar'!AM$3</f>
        <v>0</v>
      </c>
      <c r="AK307">
        <f>'Kullanılan gübre'!AK307*'Gübre oranlar'!AN$3</f>
        <v>0</v>
      </c>
      <c r="AL307">
        <f>'Kullanılan gübre'!AL307*'Gübre oranlar'!AO$3</f>
        <v>0</v>
      </c>
      <c r="AM307">
        <f>'Kullanılan gübre'!AM307*'Gübre oranlar'!AP$3</f>
        <v>0</v>
      </c>
      <c r="AN307">
        <f>'Kullanılan gübre'!AN307*'Gübre oranlar'!AQ$3</f>
        <v>0</v>
      </c>
      <c r="AO307">
        <f>'Kullanılan gübre'!AO307*'Gübre oranlar'!AR$3</f>
        <v>0</v>
      </c>
      <c r="AP307">
        <f>'Kullanılan gübre'!AP307*'Gübre oranlar'!AS$3</f>
        <v>0</v>
      </c>
      <c r="AQ307">
        <f>'Kullanılan gübre'!AQ307*'Gübre oranlar'!AT$3</f>
        <v>0</v>
      </c>
      <c r="AR307">
        <f>'Kullanılan gübre'!AR307*'Gübre oranlar'!AU$3</f>
        <v>0</v>
      </c>
      <c r="AS307">
        <f>'Kullanılan gübre'!AS307*'Gübre oranlar'!AV$3</f>
        <v>0</v>
      </c>
      <c r="AT307">
        <f>'Kullanılan gübre'!AT307*'Gübre oranlar'!AW$3</f>
        <v>0</v>
      </c>
      <c r="AU307">
        <f>'Kullanılan gübre'!AU307*'Gübre oranlar'!AX$3</f>
        <v>0</v>
      </c>
      <c r="AV307">
        <f>'Kullanılan gübre'!AV307*'Gübre oranlar'!AY$3</f>
        <v>0</v>
      </c>
      <c r="AW307">
        <f t="shared" si="4"/>
        <v>83.126500000000021</v>
      </c>
    </row>
    <row r="308" spans="1:49" x14ac:dyDescent="0.25">
      <c r="A308" t="str">
        <f>'Kullanılan gübre'!A308</f>
        <v>YI</v>
      </c>
      <c r="B308" t="str">
        <f>'Kullanılan gübre'!B308</f>
        <v>TOKAT</v>
      </c>
      <c r="C308" t="str">
        <f>'Kullanılan gübre'!C308</f>
        <v>ALMUS</v>
      </c>
      <c r="D308">
        <f>'Kullanılan gübre'!D308</f>
        <v>2009</v>
      </c>
      <c r="E308">
        <f>'Kullanılan gübre'!E308*'Gübre oranlar'!H$3</f>
        <v>0</v>
      </c>
      <c r="F308">
        <f>'Kullanılan gübre'!F308*'Gübre oranlar'!I$3</f>
        <v>0</v>
      </c>
      <c r="G308">
        <f>'Kullanılan gübre'!G308*'Gübre oranlar'!J$3</f>
        <v>0</v>
      </c>
      <c r="H308">
        <f>'Kullanılan gübre'!H308*'Gübre oranlar'!K$3</f>
        <v>0</v>
      </c>
      <c r="I308">
        <f>'Kullanılan gübre'!I308*'Gübre oranlar'!L$3</f>
        <v>0</v>
      </c>
      <c r="J308">
        <f>'Kullanılan gübre'!J308*'Gübre oranlar'!M$3</f>
        <v>0</v>
      </c>
      <c r="K308">
        <f>'Kullanılan gübre'!K308*'Gübre oranlar'!N$3</f>
        <v>0</v>
      </c>
      <c r="L308">
        <f>'Kullanılan gübre'!L308*'Gübre oranlar'!O$3</f>
        <v>0</v>
      </c>
      <c r="M308">
        <f>'Kullanılan gübre'!M308*'Gübre oranlar'!P$3</f>
        <v>0</v>
      </c>
      <c r="N308">
        <f>'Kullanılan gübre'!N308*'Gübre oranlar'!Q$3</f>
        <v>0</v>
      </c>
      <c r="O308">
        <f>'Kullanılan gübre'!O308*'Gübre oranlar'!R$3</f>
        <v>0</v>
      </c>
      <c r="P308">
        <f>'Kullanılan gübre'!P308*'Gübre oranlar'!S$3</f>
        <v>0</v>
      </c>
      <c r="Q308">
        <f>'Kullanılan gübre'!Q308*'Gübre oranlar'!T$3</f>
        <v>0</v>
      </c>
      <c r="R308">
        <f>'Kullanılan gübre'!R308*'Gübre oranlar'!U$3</f>
        <v>0</v>
      </c>
      <c r="S308">
        <f>'Kullanılan gübre'!S308*'Gübre oranlar'!V$3</f>
        <v>0</v>
      </c>
      <c r="T308">
        <f>'Kullanılan gübre'!T308*'Gübre oranlar'!W$3</f>
        <v>0</v>
      </c>
      <c r="U308">
        <f>'Kullanılan gübre'!U308*'Gübre oranlar'!X$3</f>
        <v>0</v>
      </c>
      <c r="V308">
        <f>'Kullanılan gübre'!V308*'Gübre oranlar'!Y$3</f>
        <v>0</v>
      </c>
      <c r="W308">
        <f>'Kullanılan gübre'!W308*'Gübre oranlar'!Z$3</f>
        <v>0</v>
      </c>
      <c r="X308">
        <f>'Kullanılan gübre'!X308*'Gübre oranlar'!AA$3</f>
        <v>0</v>
      </c>
      <c r="Y308">
        <f>'Kullanılan gübre'!Y308*'Gübre oranlar'!AB$3</f>
        <v>0</v>
      </c>
      <c r="Z308">
        <f>'Kullanılan gübre'!Z308*'Gübre oranlar'!AC$3</f>
        <v>0</v>
      </c>
      <c r="AA308">
        <f>'Kullanılan gübre'!AA308*'Gübre oranlar'!AD$3</f>
        <v>0</v>
      </c>
      <c r="AB308">
        <f>'Kullanılan gübre'!AB308*'Gübre oranlar'!AE$3</f>
        <v>0</v>
      </c>
      <c r="AC308">
        <f>'Kullanılan gübre'!AC308*'Gübre oranlar'!AF$3</f>
        <v>0</v>
      </c>
      <c r="AD308">
        <f>'Kullanılan gübre'!AD308*'Gübre oranlar'!AG$3</f>
        <v>0</v>
      </c>
      <c r="AE308">
        <f>'Kullanılan gübre'!AE308*'Gübre oranlar'!AH$3</f>
        <v>0</v>
      </c>
      <c r="AF308">
        <f>'Kullanılan gübre'!AF308*'Gübre oranlar'!AI$3</f>
        <v>0</v>
      </c>
      <c r="AG308">
        <f>'Kullanılan gübre'!AG308*'Gübre oranlar'!AJ$3</f>
        <v>0</v>
      </c>
      <c r="AH308">
        <f>'Kullanılan gübre'!AH308*'Gübre oranlar'!AK$3</f>
        <v>0</v>
      </c>
      <c r="AI308">
        <f>'Kullanılan gübre'!AI308*'Gübre oranlar'!AL$3</f>
        <v>0</v>
      </c>
      <c r="AJ308">
        <f>'Kullanılan gübre'!AJ308*'Gübre oranlar'!AM$3</f>
        <v>0</v>
      </c>
      <c r="AK308">
        <f>'Kullanılan gübre'!AK308*'Gübre oranlar'!AN$3</f>
        <v>0</v>
      </c>
      <c r="AL308">
        <f>'Kullanılan gübre'!AL308*'Gübre oranlar'!AO$3</f>
        <v>0</v>
      </c>
      <c r="AM308">
        <f>'Kullanılan gübre'!AM308*'Gübre oranlar'!AP$3</f>
        <v>0</v>
      </c>
      <c r="AN308">
        <f>'Kullanılan gübre'!AN308*'Gübre oranlar'!AQ$3</f>
        <v>0</v>
      </c>
      <c r="AO308">
        <f>'Kullanılan gübre'!AO308*'Gübre oranlar'!AR$3</f>
        <v>0</v>
      </c>
      <c r="AP308">
        <f>'Kullanılan gübre'!AP308*'Gübre oranlar'!AS$3</f>
        <v>0</v>
      </c>
      <c r="AQ308">
        <f>'Kullanılan gübre'!AQ308*'Gübre oranlar'!AT$3</f>
        <v>0</v>
      </c>
      <c r="AR308">
        <f>'Kullanılan gübre'!AR308*'Gübre oranlar'!AU$3</f>
        <v>0</v>
      </c>
      <c r="AS308">
        <f>'Kullanılan gübre'!AS308*'Gübre oranlar'!AV$3</f>
        <v>0</v>
      </c>
      <c r="AT308">
        <f>'Kullanılan gübre'!AT308*'Gübre oranlar'!AW$3</f>
        <v>0</v>
      </c>
      <c r="AU308">
        <f>'Kullanılan gübre'!AU308*'Gübre oranlar'!AX$3</f>
        <v>0</v>
      </c>
      <c r="AV308">
        <f>'Kullanılan gübre'!AV308*'Gübre oranlar'!AY$3</f>
        <v>0</v>
      </c>
      <c r="AW308">
        <f t="shared" si="4"/>
        <v>0</v>
      </c>
    </row>
    <row r="309" spans="1:49" x14ac:dyDescent="0.25">
      <c r="A309" t="str">
        <f>'Kullanılan gübre'!A309</f>
        <v>YI</v>
      </c>
      <c r="B309" t="str">
        <f>'Kullanılan gübre'!B309</f>
        <v>TOKAT</v>
      </c>
      <c r="C309" t="str">
        <f>'Kullanılan gübre'!C309</f>
        <v>ARTOVA</v>
      </c>
      <c r="D309">
        <f>'Kullanılan gübre'!D309</f>
        <v>2009</v>
      </c>
      <c r="E309">
        <f>'Kullanılan gübre'!E309*'Gübre oranlar'!H$3</f>
        <v>0</v>
      </c>
      <c r="F309">
        <f>'Kullanılan gübre'!F309*'Gübre oranlar'!I$3</f>
        <v>0</v>
      </c>
      <c r="G309">
        <f>'Kullanılan gübre'!G309*'Gübre oranlar'!J$3</f>
        <v>0</v>
      </c>
      <c r="H309">
        <f>'Kullanılan gübre'!H309*'Gübre oranlar'!K$3</f>
        <v>0</v>
      </c>
      <c r="I309">
        <f>'Kullanılan gübre'!I309*'Gübre oranlar'!L$3</f>
        <v>0</v>
      </c>
      <c r="J309">
        <f>'Kullanılan gübre'!J309*'Gübre oranlar'!M$3</f>
        <v>0</v>
      </c>
      <c r="K309">
        <f>'Kullanılan gübre'!K309*'Gübre oranlar'!N$3</f>
        <v>0</v>
      </c>
      <c r="L309">
        <f>'Kullanılan gübre'!L309*'Gübre oranlar'!O$3</f>
        <v>1.97</v>
      </c>
      <c r="M309">
        <f>'Kullanılan gübre'!M309*'Gübre oranlar'!P$3</f>
        <v>0</v>
      </c>
      <c r="N309">
        <f>'Kullanılan gübre'!N309*'Gübre oranlar'!Q$3</f>
        <v>0</v>
      </c>
      <c r="O309">
        <f>'Kullanılan gübre'!O309*'Gübre oranlar'!R$3</f>
        <v>0</v>
      </c>
      <c r="P309">
        <f>'Kullanılan gübre'!P309*'Gübre oranlar'!S$3</f>
        <v>0</v>
      </c>
      <c r="Q309">
        <f>'Kullanılan gübre'!Q309*'Gübre oranlar'!T$3</f>
        <v>0</v>
      </c>
      <c r="R309">
        <f>'Kullanılan gübre'!R309*'Gübre oranlar'!U$3</f>
        <v>0</v>
      </c>
      <c r="S309">
        <f>'Kullanılan gübre'!S309*'Gübre oranlar'!V$3</f>
        <v>0</v>
      </c>
      <c r="T309">
        <f>'Kullanılan gübre'!T309*'Gübre oranlar'!W$3</f>
        <v>0</v>
      </c>
      <c r="U309">
        <f>'Kullanılan gübre'!U309*'Gübre oranlar'!X$3</f>
        <v>0</v>
      </c>
      <c r="V309">
        <f>'Kullanılan gübre'!V309*'Gübre oranlar'!Y$3</f>
        <v>0</v>
      </c>
      <c r="W309">
        <f>'Kullanılan gübre'!W309*'Gübre oranlar'!Z$3</f>
        <v>0</v>
      </c>
      <c r="X309">
        <f>'Kullanılan gübre'!X309*'Gübre oranlar'!AA$3</f>
        <v>0</v>
      </c>
      <c r="Y309">
        <f>'Kullanılan gübre'!Y309*'Gübre oranlar'!AB$3</f>
        <v>0</v>
      </c>
      <c r="Z309">
        <f>'Kullanılan gübre'!Z309*'Gübre oranlar'!AC$3</f>
        <v>0</v>
      </c>
      <c r="AA309">
        <f>'Kullanılan gübre'!AA309*'Gübre oranlar'!AD$3</f>
        <v>0</v>
      </c>
      <c r="AB309">
        <f>'Kullanılan gübre'!AB309*'Gübre oranlar'!AE$3</f>
        <v>0</v>
      </c>
      <c r="AC309">
        <f>'Kullanılan gübre'!AC309*'Gübre oranlar'!AF$3</f>
        <v>0</v>
      </c>
      <c r="AD309">
        <f>'Kullanılan gübre'!AD309*'Gübre oranlar'!AG$3</f>
        <v>0</v>
      </c>
      <c r="AE309">
        <f>'Kullanılan gübre'!AE309*'Gübre oranlar'!AH$3</f>
        <v>0</v>
      </c>
      <c r="AF309">
        <f>'Kullanılan gübre'!AF309*'Gübre oranlar'!AI$3</f>
        <v>0</v>
      </c>
      <c r="AG309">
        <f>'Kullanılan gübre'!AG309*'Gübre oranlar'!AJ$3</f>
        <v>0</v>
      </c>
      <c r="AH309">
        <f>'Kullanılan gübre'!AH309*'Gübre oranlar'!AK$3</f>
        <v>0</v>
      </c>
      <c r="AI309">
        <f>'Kullanılan gübre'!AI309*'Gübre oranlar'!AL$3</f>
        <v>0</v>
      </c>
      <c r="AJ309">
        <f>'Kullanılan gübre'!AJ309*'Gübre oranlar'!AM$3</f>
        <v>0</v>
      </c>
      <c r="AK309">
        <f>'Kullanılan gübre'!AK309*'Gübre oranlar'!AN$3</f>
        <v>0</v>
      </c>
      <c r="AL309">
        <f>'Kullanılan gübre'!AL309*'Gübre oranlar'!AO$3</f>
        <v>0</v>
      </c>
      <c r="AM309">
        <f>'Kullanılan gübre'!AM309*'Gübre oranlar'!AP$3</f>
        <v>0</v>
      </c>
      <c r="AN309">
        <f>'Kullanılan gübre'!AN309*'Gübre oranlar'!AQ$3</f>
        <v>0</v>
      </c>
      <c r="AO309">
        <f>'Kullanılan gübre'!AO309*'Gübre oranlar'!AR$3</f>
        <v>0</v>
      </c>
      <c r="AP309">
        <f>'Kullanılan gübre'!AP309*'Gübre oranlar'!AS$3</f>
        <v>0</v>
      </c>
      <c r="AQ309">
        <f>'Kullanılan gübre'!AQ309*'Gübre oranlar'!AT$3</f>
        <v>0</v>
      </c>
      <c r="AR309">
        <f>'Kullanılan gübre'!AR309*'Gübre oranlar'!AU$3</f>
        <v>0</v>
      </c>
      <c r="AS309">
        <f>'Kullanılan gübre'!AS309*'Gübre oranlar'!AV$3</f>
        <v>0</v>
      </c>
      <c r="AT309">
        <f>'Kullanılan gübre'!AT309*'Gübre oranlar'!AW$3</f>
        <v>0</v>
      </c>
      <c r="AU309">
        <f>'Kullanılan gübre'!AU309*'Gübre oranlar'!AX$3</f>
        <v>0</v>
      </c>
      <c r="AV309">
        <f>'Kullanılan gübre'!AV309*'Gübre oranlar'!AY$3</f>
        <v>0</v>
      </c>
      <c r="AW309">
        <f t="shared" si="4"/>
        <v>1.97</v>
      </c>
    </row>
    <row r="310" spans="1:49" x14ac:dyDescent="0.25">
      <c r="A310" t="str">
        <f>'Kullanılan gübre'!A310</f>
        <v>YI</v>
      </c>
      <c r="B310" t="str">
        <f>'Kullanılan gübre'!B310</f>
        <v>TOKAT</v>
      </c>
      <c r="C310" t="str">
        <f>'Kullanılan gübre'!C310</f>
        <v>BASCIFTLIK</v>
      </c>
      <c r="D310">
        <f>'Kullanılan gübre'!D310</f>
        <v>2009</v>
      </c>
      <c r="E310">
        <f>'Kullanılan gübre'!E310*'Gübre oranlar'!H$3</f>
        <v>0</v>
      </c>
      <c r="F310">
        <f>'Kullanılan gübre'!F310*'Gübre oranlar'!I$3</f>
        <v>0</v>
      </c>
      <c r="G310">
        <f>'Kullanılan gübre'!G310*'Gübre oranlar'!J$3</f>
        <v>0</v>
      </c>
      <c r="H310">
        <f>'Kullanılan gübre'!H310*'Gübre oranlar'!K$3</f>
        <v>0</v>
      </c>
      <c r="I310">
        <f>'Kullanılan gübre'!I310*'Gübre oranlar'!L$3</f>
        <v>0</v>
      </c>
      <c r="J310">
        <f>'Kullanılan gübre'!J310*'Gübre oranlar'!M$3</f>
        <v>0</v>
      </c>
      <c r="K310">
        <f>'Kullanılan gübre'!K310*'Gübre oranlar'!N$3</f>
        <v>0</v>
      </c>
      <c r="L310">
        <f>'Kullanılan gübre'!L310*'Gübre oranlar'!O$3</f>
        <v>0</v>
      </c>
      <c r="M310">
        <f>'Kullanılan gübre'!M310*'Gübre oranlar'!P$3</f>
        <v>0</v>
      </c>
      <c r="N310">
        <f>'Kullanılan gübre'!N310*'Gübre oranlar'!Q$3</f>
        <v>0</v>
      </c>
      <c r="O310">
        <f>'Kullanılan gübre'!O310*'Gübre oranlar'!R$3</f>
        <v>0</v>
      </c>
      <c r="P310">
        <f>'Kullanılan gübre'!P310*'Gübre oranlar'!S$3</f>
        <v>0</v>
      </c>
      <c r="Q310">
        <f>'Kullanılan gübre'!Q310*'Gübre oranlar'!T$3</f>
        <v>0</v>
      </c>
      <c r="R310">
        <f>'Kullanılan gübre'!R310*'Gübre oranlar'!U$3</f>
        <v>0</v>
      </c>
      <c r="S310">
        <f>'Kullanılan gübre'!S310*'Gübre oranlar'!V$3</f>
        <v>0</v>
      </c>
      <c r="T310">
        <f>'Kullanılan gübre'!T310*'Gübre oranlar'!W$3</f>
        <v>0</v>
      </c>
      <c r="U310">
        <f>'Kullanılan gübre'!U310*'Gübre oranlar'!X$3</f>
        <v>0</v>
      </c>
      <c r="V310">
        <f>'Kullanılan gübre'!V310*'Gübre oranlar'!Y$3</f>
        <v>0</v>
      </c>
      <c r="W310">
        <f>'Kullanılan gübre'!W310*'Gübre oranlar'!Z$3</f>
        <v>0</v>
      </c>
      <c r="X310">
        <f>'Kullanılan gübre'!X310*'Gübre oranlar'!AA$3</f>
        <v>0</v>
      </c>
      <c r="Y310">
        <f>'Kullanılan gübre'!Y310*'Gübre oranlar'!AB$3</f>
        <v>0</v>
      </c>
      <c r="Z310">
        <f>'Kullanılan gübre'!Z310*'Gübre oranlar'!AC$3</f>
        <v>0</v>
      </c>
      <c r="AA310">
        <f>'Kullanılan gübre'!AA310*'Gübre oranlar'!AD$3</f>
        <v>0</v>
      </c>
      <c r="AB310">
        <f>'Kullanılan gübre'!AB310*'Gübre oranlar'!AE$3</f>
        <v>0</v>
      </c>
      <c r="AC310">
        <f>'Kullanılan gübre'!AC310*'Gübre oranlar'!AF$3</f>
        <v>0</v>
      </c>
      <c r="AD310">
        <f>'Kullanılan gübre'!AD310*'Gübre oranlar'!AG$3</f>
        <v>0</v>
      </c>
      <c r="AE310">
        <f>'Kullanılan gübre'!AE310*'Gübre oranlar'!AH$3</f>
        <v>0</v>
      </c>
      <c r="AF310">
        <f>'Kullanılan gübre'!AF310*'Gübre oranlar'!AI$3</f>
        <v>0</v>
      </c>
      <c r="AG310">
        <f>'Kullanılan gübre'!AG310*'Gübre oranlar'!AJ$3</f>
        <v>0</v>
      </c>
      <c r="AH310">
        <f>'Kullanılan gübre'!AH310*'Gübre oranlar'!AK$3</f>
        <v>0</v>
      </c>
      <c r="AI310">
        <f>'Kullanılan gübre'!AI310*'Gübre oranlar'!AL$3</f>
        <v>0</v>
      </c>
      <c r="AJ310">
        <f>'Kullanılan gübre'!AJ310*'Gübre oranlar'!AM$3</f>
        <v>0</v>
      </c>
      <c r="AK310">
        <f>'Kullanılan gübre'!AK310*'Gübre oranlar'!AN$3</f>
        <v>0</v>
      </c>
      <c r="AL310">
        <f>'Kullanılan gübre'!AL310*'Gübre oranlar'!AO$3</f>
        <v>0</v>
      </c>
      <c r="AM310">
        <f>'Kullanılan gübre'!AM310*'Gübre oranlar'!AP$3</f>
        <v>0</v>
      </c>
      <c r="AN310">
        <f>'Kullanılan gübre'!AN310*'Gübre oranlar'!AQ$3</f>
        <v>0</v>
      </c>
      <c r="AO310">
        <f>'Kullanılan gübre'!AO310*'Gübre oranlar'!AR$3</f>
        <v>0</v>
      </c>
      <c r="AP310">
        <f>'Kullanılan gübre'!AP310*'Gübre oranlar'!AS$3</f>
        <v>0</v>
      </c>
      <c r="AQ310">
        <f>'Kullanılan gübre'!AQ310*'Gübre oranlar'!AT$3</f>
        <v>0</v>
      </c>
      <c r="AR310">
        <f>'Kullanılan gübre'!AR310*'Gübre oranlar'!AU$3</f>
        <v>0</v>
      </c>
      <c r="AS310">
        <f>'Kullanılan gübre'!AS310*'Gübre oranlar'!AV$3</f>
        <v>0</v>
      </c>
      <c r="AT310">
        <f>'Kullanılan gübre'!AT310*'Gübre oranlar'!AW$3</f>
        <v>0</v>
      </c>
      <c r="AU310">
        <f>'Kullanılan gübre'!AU310*'Gübre oranlar'!AX$3</f>
        <v>0</v>
      </c>
      <c r="AV310">
        <f>'Kullanılan gübre'!AV310*'Gübre oranlar'!AY$3</f>
        <v>0</v>
      </c>
      <c r="AW310">
        <f t="shared" si="4"/>
        <v>0</v>
      </c>
    </row>
    <row r="311" spans="1:49" x14ac:dyDescent="0.25">
      <c r="A311" t="str">
        <f>'Kullanılan gübre'!A311</f>
        <v>YI</v>
      </c>
      <c r="B311" t="str">
        <f>'Kullanılan gübre'!B311</f>
        <v>TOKAT</v>
      </c>
      <c r="C311" t="str">
        <f>'Kullanılan gübre'!C311</f>
        <v>ERBAA</v>
      </c>
      <c r="D311">
        <f>'Kullanılan gübre'!D311</f>
        <v>2009</v>
      </c>
      <c r="E311">
        <f>'Kullanılan gübre'!E311*'Gübre oranlar'!H$3</f>
        <v>0</v>
      </c>
      <c r="F311">
        <f>'Kullanılan gübre'!F311*'Gübre oranlar'!I$3</f>
        <v>0</v>
      </c>
      <c r="G311">
        <f>'Kullanılan gübre'!G311*'Gübre oranlar'!J$3</f>
        <v>0</v>
      </c>
      <c r="H311">
        <f>'Kullanılan gübre'!H311*'Gübre oranlar'!K$3</f>
        <v>0</v>
      </c>
      <c r="I311">
        <f>'Kullanılan gübre'!I311*'Gübre oranlar'!L$3</f>
        <v>10.32</v>
      </c>
      <c r="J311">
        <f>'Kullanılan gübre'!J311*'Gübre oranlar'!M$3</f>
        <v>0</v>
      </c>
      <c r="K311">
        <f>'Kullanılan gübre'!K311*'Gübre oranlar'!N$3</f>
        <v>117.78</v>
      </c>
      <c r="L311">
        <f>'Kullanılan gübre'!L311*'Gübre oranlar'!O$3</f>
        <v>0</v>
      </c>
      <c r="M311">
        <f>'Kullanılan gübre'!M311*'Gübre oranlar'!P$3</f>
        <v>290.685</v>
      </c>
      <c r="N311">
        <f>'Kullanılan gübre'!N311*'Gübre oranlar'!Q$3</f>
        <v>0</v>
      </c>
      <c r="O311">
        <f>'Kullanılan gübre'!O311*'Gübre oranlar'!R$3</f>
        <v>0</v>
      </c>
      <c r="P311">
        <f>'Kullanılan gübre'!P311*'Gübre oranlar'!S$3</f>
        <v>0</v>
      </c>
      <c r="Q311">
        <f>'Kullanılan gübre'!Q311*'Gübre oranlar'!T$3</f>
        <v>0</v>
      </c>
      <c r="R311">
        <f>'Kullanılan gübre'!R311*'Gübre oranlar'!U$3</f>
        <v>0</v>
      </c>
      <c r="S311">
        <f>'Kullanılan gübre'!S311*'Gübre oranlar'!V$3</f>
        <v>0</v>
      </c>
      <c r="T311">
        <f>'Kullanılan gübre'!T311*'Gübre oranlar'!W$3</f>
        <v>0</v>
      </c>
      <c r="U311">
        <f>'Kullanılan gübre'!U311*'Gübre oranlar'!X$3</f>
        <v>0</v>
      </c>
      <c r="V311">
        <f>'Kullanılan gübre'!V311*'Gübre oranlar'!Y$3</f>
        <v>0</v>
      </c>
      <c r="W311">
        <f>'Kullanılan gübre'!W311*'Gübre oranlar'!Z$3</f>
        <v>0</v>
      </c>
      <c r="X311">
        <f>'Kullanılan gübre'!X311*'Gübre oranlar'!AA$3</f>
        <v>0</v>
      </c>
      <c r="Y311">
        <f>'Kullanılan gübre'!Y311*'Gübre oranlar'!AB$3</f>
        <v>0</v>
      </c>
      <c r="Z311">
        <f>'Kullanılan gübre'!Z311*'Gübre oranlar'!AC$3</f>
        <v>0</v>
      </c>
      <c r="AA311">
        <f>'Kullanılan gübre'!AA311*'Gübre oranlar'!AD$3</f>
        <v>0</v>
      </c>
      <c r="AB311">
        <f>'Kullanılan gübre'!AB311*'Gübre oranlar'!AE$3</f>
        <v>0</v>
      </c>
      <c r="AC311">
        <f>'Kullanılan gübre'!AC311*'Gübre oranlar'!AF$3</f>
        <v>0</v>
      </c>
      <c r="AD311">
        <f>'Kullanılan gübre'!AD311*'Gübre oranlar'!AG$3</f>
        <v>0</v>
      </c>
      <c r="AE311">
        <f>'Kullanılan gübre'!AE311*'Gübre oranlar'!AH$3</f>
        <v>0</v>
      </c>
      <c r="AF311">
        <f>'Kullanılan gübre'!AF311*'Gübre oranlar'!AI$3</f>
        <v>0</v>
      </c>
      <c r="AG311">
        <f>'Kullanılan gübre'!AG311*'Gübre oranlar'!AJ$3</f>
        <v>0</v>
      </c>
      <c r="AH311">
        <f>'Kullanılan gübre'!AH311*'Gübre oranlar'!AK$3</f>
        <v>0</v>
      </c>
      <c r="AI311">
        <f>'Kullanılan gübre'!AI311*'Gübre oranlar'!AL$3</f>
        <v>0</v>
      </c>
      <c r="AJ311">
        <f>'Kullanılan gübre'!AJ311*'Gübre oranlar'!AM$3</f>
        <v>0</v>
      </c>
      <c r="AK311">
        <f>'Kullanılan gübre'!AK311*'Gübre oranlar'!AN$3</f>
        <v>0</v>
      </c>
      <c r="AL311">
        <f>'Kullanılan gübre'!AL311*'Gübre oranlar'!AO$3</f>
        <v>0</v>
      </c>
      <c r="AM311">
        <f>'Kullanılan gübre'!AM311*'Gübre oranlar'!AP$3</f>
        <v>0</v>
      </c>
      <c r="AN311">
        <f>'Kullanılan gübre'!AN311*'Gübre oranlar'!AQ$3</f>
        <v>0</v>
      </c>
      <c r="AO311">
        <f>'Kullanılan gübre'!AO311*'Gübre oranlar'!AR$3</f>
        <v>0</v>
      </c>
      <c r="AP311">
        <f>'Kullanılan gübre'!AP311*'Gübre oranlar'!AS$3</f>
        <v>0</v>
      </c>
      <c r="AQ311">
        <f>'Kullanılan gübre'!AQ311*'Gübre oranlar'!AT$3</f>
        <v>0</v>
      </c>
      <c r="AR311">
        <f>'Kullanılan gübre'!AR311*'Gübre oranlar'!AU$3</f>
        <v>0</v>
      </c>
      <c r="AS311">
        <f>'Kullanılan gübre'!AS311*'Gübre oranlar'!AV$3</f>
        <v>0</v>
      </c>
      <c r="AT311">
        <f>'Kullanılan gübre'!AT311*'Gübre oranlar'!AW$3</f>
        <v>0</v>
      </c>
      <c r="AU311">
        <f>'Kullanılan gübre'!AU311*'Gübre oranlar'!AX$3</f>
        <v>0</v>
      </c>
      <c r="AV311">
        <f>'Kullanılan gübre'!AV311*'Gübre oranlar'!AY$3</f>
        <v>0</v>
      </c>
      <c r="AW311">
        <f t="shared" si="4"/>
        <v>418.78499999999997</v>
      </c>
    </row>
    <row r="312" spans="1:49" x14ac:dyDescent="0.25">
      <c r="A312" t="str">
        <f>'Kullanılan gübre'!A312</f>
        <v>YI</v>
      </c>
      <c r="B312" t="str">
        <f>'Kullanılan gübre'!B312</f>
        <v>TOKAT</v>
      </c>
      <c r="C312" t="str">
        <f>'Kullanılan gübre'!C312</f>
        <v>NIKSAR</v>
      </c>
      <c r="D312">
        <f>'Kullanılan gübre'!D312</f>
        <v>2009</v>
      </c>
      <c r="E312">
        <f>'Kullanılan gübre'!E312*'Gübre oranlar'!H$3</f>
        <v>0</v>
      </c>
      <c r="F312">
        <f>'Kullanılan gübre'!F312*'Gübre oranlar'!I$3</f>
        <v>0</v>
      </c>
      <c r="G312">
        <f>'Kullanılan gübre'!G312*'Gübre oranlar'!J$3</f>
        <v>0</v>
      </c>
      <c r="H312">
        <f>'Kullanılan gübre'!H312*'Gübre oranlar'!K$3</f>
        <v>0</v>
      </c>
      <c r="I312">
        <f>'Kullanılan gübre'!I312*'Gübre oranlar'!L$3</f>
        <v>0</v>
      </c>
      <c r="J312">
        <f>'Kullanılan gübre'!J312*'Gübre oranlar'!M$3</f>
        <v>0</v>
      </c>
      <c r="K312">
        <f>'Kullanılan gübre'!K312*'Gübre oranlar'!N$3</f>
        <v>0</v>
      </c>
      <c r="L312">
        <f>'Kullanılan gübre'!L312*'Gübre oranlar'!O$3</f>
        <v>0</v>
      </c>
      <c r="M312">
        <f>'Kullanılan gübre'!M312*'Gübre oranlar'!P$3</f>
        <v>0</v>
      </c>
      <c r="N312">
        <f>'Kullanılan gübre'!N312*'Gübre oranlar'!Q$3</f>
        <v>0</v>
      </c>
      <c r="O312">
        <f>'Kullanılan gübre'!O312*'Gübre oranlar'!R$3</f>
        <v>0</v>
      </c>
      <c r="P312">
        <f>'Kullanılan gübre'!P312*'Gübre oranlar'!S$3</f>
        <v>0</v>
      </c>
      <c r="Q312">
        <f>'Kullanılan gübre'!Q312*'Gübre oranlar'!T$3</f>
        <v>0</v>
      </c>
      <c r="R312">
        <f>'Kullanılan gübre'!R312*'Gübre oranlar'!U$3</f>
        <v>0</v>
      </c>
      <c r="S312">
        <f>'Kullanılan gübre'!S312*'Gübre oranlar'!V$3</f>
        <v>0</v>
      </c>
      <c r="T312">
        <f>'Kullanılan gübre'!T312*'Gübre oranlar'!W$3</f>
        <v>0</v>
      </c>
      <c r="U312">
        <f>'Kullanılan gübre'!U312*'Gübre oranlar'!X$3</f>
        <v>0</v>
      </c>
      <c r="V312">
        <f>'Kullanılan gübre'!V312*'Gübre oranlar'!Y$3</f>
        <v>0</v>
      </c>
      <c r="W312">
        <f>'Kullanılan gübre'!W312*'Gübre oranlar'!Z$3</f>
        <v>0</v>
      </c>
      <c r="X312">
        <f>'Kullanılan gübre'!X312*'Gübre oranlar'!AA$3</f>
        <v>0</v>
      </c>
      <c r="Y312">
        <f>'Kullanılan gübre'!Y312*'Gübre oranlar'!AB$3</f>
        <v>0</v>
      </c>
      <c r="Z312">
        <f>'Kullanılan gübre'!Z312*'Gübre oranlar'!AC$3</f>
        <v>0</v>
      </c>
      <c r="AA312">
        <f>'Kullanılan gübre'!AA312*'Gübre oranlar'!AD$3</f>
        <v>0</v>
      </c>
      <c r="AB312">
        <f>'Kullanılan gübre'!AB312*'Gübre oranlar'!AE$3</f>
        <v>0</v>
      </c>
      <c r="AC312">
        <f>'Kullanılan gübre'!AC312*'Gübre oranlar'!AF$3</f>
        <v>0</v>
      </c>
      <c r="AD312">
        <f>'Kullanılan gübre'!AD312*'Gübre oranlar'!AG$3</f>
        <v>0</v>
      </c>
      <c r="AE312">
        <f>'Kullanılan gübre'!AE312*'Gübre oranlar'!AH$3</f>
        <v>0</v>
      </c>
      <c r="AF312">
        <f>'Kullanılan gübre'!AF312*'Gübre oranlar'!AI$3</f>
        <v>0</v>
      </c>
      <c r="AG312">
        <f>'Kullanılan gübre'!AG312*'Gübre oranlar'!AJ$3</f>
        <v>0</v>
      </c>
      <c r="AH312">
        <f>'Kullanılan gübre'!AH312*'Gübre oranlar'!AK$3</f>
        <v>0</v>
      </c>
      <c r="AI312">
        <f>'Kullanılan gübre'!AI312*'Gübre oranlar'!AL$3</f>
        <v>0</v>
      </c>
      <c r="AJ312">
        <f>'Kullanılan gübre'!AJ312*'Gübre oranlar'!AM$3</f>
        <v>0</v>
      </c>
      <c r="AK312">
        <f>'Kullanılan gübre'!AK312*'Gübre oranlar'!AN$3</f>
        <v>0</v>
      </c>
      <c r="AL312">
        <f>'Kullanılan gübre'!AL312*'Gübre oranlar'!AO$3</f>
        <v>0</v>
      </c>
      <c r="AM312">
        <f>'Kullanılan gübre'!AM312*'Gübre oranlar'!AP$3</f>
        <v>0</v>
      </c>
      <c r="AN312">
        <f>'Kullanılan gübre'!AN312*'Gübre oranlar'!AQ$3</f>
        <v>0</v>
      </c>
      <c r="AO312">
        <f>'Kullanılan gübre'!AO312*'Gübre oranlar'!AR$3</f>
        <v>0</v>
      </c>
      <c r="AP312">
        <f>'Kullanılan gübre'!AP312*'Gübre oranlar'!AS$3</f>
        <v>0</v>
      </c>
      <c r="AQ312">
        <f>'Kullanılan gübre'!AQ312*'Gübre oranlar'!AT$3</f>
        <v>0</v>
      </c>
      <c r="AR312">
        <f>'Kullanılan gübre'!AR312*'Gübre oranlar'!AU$3</f>
        <v>0</v>
      </c>
      <c r="AS312">
        <f>'Kullanılan gübre'!AS312*'Gübre oranlar'!AV$3</f>
        <v>0</v>
      </c>
      <c r="AT312">
        <f>'Kullanılan gübre'!AT312*'Gübre oranlar'!AW$3</f>
        <v>0</v>
      </c>
      <c r="AU312">
        <f>'Kullanılan gübre'!AU312*'Gübre oranlar'!AX$3</f>
        <v>0</v>
      </c>
      <c r="AV312">
        <f>'Kullanılan gübre'!AV312*'Gübre oranlar'!AY$3</f>
        <v>0</v>
      </c>
      <c r="AW312">
        <f t="shared" si="4"/>
        <v>0</v>
      </c>
    </row>
    <row r="313" spans="1:49" x14ac:dyDescent="0.25">
      <c r="A313" t="str">
        <f>'Kullanılan gübre'!A313</f>
        <v>YI</v>
      </c>
      <c r="B313" t="str">
        <f>'Kullanılan gübre'!B313</f>
        <v>TOKAT</v>
      </c>
      <c r="C313" t="str">
        <f>'Kullanılan gübre'!C313</f>
        <v>PAZAR</v>
      </c>
      <c r="D313">
        <f>'Kullanılan gübre'!D313</f>
        <v>2009</v>
      </c>
      <c r="E313">
        <f>'Kullanılan gübre'!E313*'Gübre oranlar'!H$3</f>
        <v>0</v>
      </c>
      <c r="F313">
        <f>'Kullanılan gübre'!F313*'Gübre oranlar'!I$3</f>
        <v>0</v>
      </c>
      <c r="G313">
        <f>'Kullanılan gübre'!G313*'Gübre oranlar'!J$3</f>
        <v>0</v>
      </c>
      <c r="H313">
        <f>'Kullanılan gübre'!H313*'Gübre oranlar'!K$3</f>
        <v>0</v>
      </c>
      <c r="I313">
        <f>'Kullanılan gübre'!I313*'Gübre oranlar'!L$3</f>
        <v>10.0405</v>
      </c>
      <c r="J313">
        <f>'Kullanılan gübre'!J313*'Gübre oranlar'!M$3</f>
        <v>0</v>
      </c>
      <c r="K313">
        <f>'Kullanılan gübre'!K313*'Gübre oranlar'!N$3</f>
        <v>0.25</v>
      </c>
      <c r="L313">
        <f>'Kullanılan gübre'!L313*'Gübre oranlar'!O$3</f>
        <v>3.9000000000000004</v>
      </c>
      <c r="M313">
        <f>'Kullanılan gübre'!M313*'Gübre oranlar'!P$3</f>
        <v>3.6749999999999998</v>
      </c>
      <c r="N313">
        <f>'Kullanılan gübre'!N313*'Gübre oranlar'!Q$3</f>
        <v>9.4275000000000002</v>
      </c>
      <c r="O313">
        <f>'Kullanılan gübre'!O313*'Gübre oranlar'!R$3</f>
        <v>0</v>
      </c>
      <c r="P313">
        <f>'Kullanılan gübre'!P313*'Gübre oranlar'!S$3</f>
        <v>0</v>
      </c>
      <c r="Q313">
        <f>'Kullanılan gübre'!Q313*'Gübre oranlar'!T$3</f>
        <v>153.29999999999998</v>
      </c>
      <c r="R313">
        <f>'Kullanılan gübre'!R313*'Gübre oranlar'!U$3</f>
        <v>0</v>
      </c>
      <c r="S313">
        <f>'Kullanılan gübre'!S313*'Gübre oranlar'!V$3</f>
        <v>0</v>
      </c>
      <c r="T313">
        <f>'Kullanılan gübre'!T313*'Gübre oranlar'!W$3</f>
        <v>0</v>
      </c>
      <c r="U313">
        <f>'Kullanılan gübre'!U313*'Gübre oranlar'!X$3</f>
        <v>0</v>
      </c>
      <c r="V313">
        <f>'Kullanılan gübre'!V313*'Gübre oranlar'!Y$3</f>
        <v>0</v>
      </c>
      <c r="W313">
        <f>'Kullanılan gübre'!W313*'Gübre oranlar'!Z$3</f>
        <v>0</v>
      </c>
      <c r="X313">
        <f>'Kullanılan gübre'!X313*'Gübre oranlar'!AA$3</f>
        <v>0</v>
      </c>
      <c r="Y313">
        <f>'Kullanılan gübre'!Y313*'Gübre oranlar'!AB$3</f>
        <v>0</v>
      </c>
      <c r="Z313">
        <f>'Kullanılan gübre'!Z313*'Gübre oranlar'!AC$3</f>
        <v>0</v>
      </c>
      <c r="AA313">
        <f>'Kullanılan gübre'!AA313*'Gübre oranlar'!AD$3</f>
        <v>0</v>
      </c>
      <c r="AB313">
        <f>'Kullanılan gübre'!AB313*'Gübre oranlar'!AE$3</f>
        <v>0</v>
      </c>
      <c r="AC313">
        <f>'Kullanılan gübre'!AC313*'Gübre oranlar'!AF$3</f>
        <v>0</v>
      </c>
      <c r="AD313">
        <f>'Kullanılan gübre'!AD313*'Gübre oranlar'!AG$3</f>
        <v>0</v>
      </c>
      <c r="AE313">
        <f>'Kullanılan gübre'!AE313*'Gübre oranlar'!AH$3</f>
        <v>0</v>
      </c>
      <c r="AF313">
        <f>'Kullanılan gübre'!AF313*'Gübre oranlar'!AI$3</f>
        <v>0</v>
      </c>
      <c r="AG313">
        <f>'Kullanılan gübre'!AG313*'Gübre oranlar'!AJ$3</f>
        <v>0</v>
      </c>
      <c r="AH313">
        <f>'Kullanılan gübre'!AH313*'Gübre oranlar'!AK$3</f>
        <v>0</v>
      </c>
      <c r="AI313">
        <f>'Kullanılan gübre'!AI313*'Gübre oranlar'!AL$3</f>
        <v>0</v>
      </c>
      <c r="AJ313">
        <f>'Kullanılan gübre'!AJ313*'Gübre oranlar'!AM$3</f>
        <v>0</v>
      </c>
      <c r="AK313">
        <f>'Kullanılan gübre'!AK313*'Gübre oranlar'!AN$3</f>
        <v>0</v>
      </c>
      <c r="AL313">
        <f>'Kullanılan gübre'!AL313*'Gübre oranlar'!AO$3</f>
        <v>0</v>
      </c>
      <c r="AM313">
        <f>'Kullanılan gübre'!AM313*'Gübre oranlar'!AP$3</f>
        <v>0</v>
      </c>
      <c r="AN313">
        <f>'Kullanılan gübre'!AN313*'Gübre oranlar'!AQ$3</f>
        <v>0</v>
      </c>
      <c r="AO313">
        <f>'Kullanılan gübre'!AO313*'Gübre oranlar'!AR$3</f>
        <v>0</v>
      </c>
      <c r="AP313">
        <f>'Kullanılan gübre'!AP313*'Gübre oranlar'!AS$3</f>
        <v>0</v>
      </c>
      <c r="AQ313">
        <f>'Kullanılan gübre'!AQ313*'Gübre oranlar'!AT$3</f>
        <v>0</v>
      </c>
      <c r="AR313">
        <f>'Kullanılan gübre'!AR313*'Gübre oranlar'!AU$3</f>
        <v>0</v>
      </c>
      <c r="AS313">
        <f>'Kullanılan gübre'!AS313*'Gübre oranlar'!AV$3</f>
        <v>0</v>
      </c>
      <c r="AT313">
        <f>'Kullanılan gübre'!AT313*'Gübre oranlar'!AW$3</f>
        <v>0</v>
      </c>
      <c r="AU313">
        <f>'Kullanılan gübre'!AU313*'Gübre oranlar'!AX$3</f>
        <v>0</v>
      </c>
      <c r="AV313">
        <f>'Kullanılan gübre'!AV313*'Gübre oranlar'!AY$3</f>
        <v>0</v>
      </c>
      <c r="AW313">
        <f t="shared" si="4"/>
        <v>180.59299999999999</v>
      </c>
    </row>
    <row r="314" spans="1:49" x14ac:dyDescent="0.25">
      <c r="A314" t="str">
        <f>'Kullanılan gübre'!A314</f>
        <v>YI</v>
      </c>
      <c r="B314" t="str">
        <f>'Kullanılan gübre'!B314</f>
        <v>TOKAT</v>
      </c>
      <c r="C314" t="str">
        <f>'Kullanılan gübre'!C314</f>
        <v>RESADIYE</v>
      </c>
      <c r="D314">
        <f>'Kullanılan gübre'!D314</f>
        <v>2009</v>
      </c>
      <c r="E314">
        <f>'Kullanılan gübre'!E314*'Gübre oranlar'!H$3</f>
        <v>0</v>
      </c>
      <c r="F314">
        <f>'Kullanılan gübre'!F314*'Gübre oranlar'!I$3</f>
        <v>0</v>
      </c>
      <c r="G314">
        <f>'Kullanılan gübre'!G314*'Gübre oranlar'!J$3</f>
        <v>0</v>
      </c>
      <c r="H314">
        <f>'Kullanılan gübre'!H314*'Gübre oranlar'!K$3</f>
        <v>0</v>
      </c>
      <c r="I314">
        <f>'Kullanılan gübre'!I314*'Gübre oranlar'!L$3</f>
        <v>0</v>
      </c>
      <c r="J314">
        <f>'Kullanılan gübre'!J314*'Gübre oranlar'!M$3</f>
        <v>0</v>
      </c>
      <c r="K314">
        <f>'Kullanılan gübre'!K314*'Gübre oranlar'!N$3</f>
        <v>0</v>
      </c>
      <c r="L314">
        <f>'Kullanılan gübre'!L314*'Gübre oranlar'!O$3</f>
        <v>0</v>
      </c>
      <c r="M314">
        <f>'Kullanılan gübre'!M314*'Gübre oranlar'!P$3</f>
        <v>0</v>
      </c>
      <c r="N314">
        <f>'Kullanılan gübre'!N314*'Gübre oranlar'!Q$3</f>
        <v>0</v>
      </c>
      <c r="O314">
        <f>'Kullanılan gübre'!O314*'Gübre oranlar'!R$3</f>
        <v>0</v>
      </c>
      <c r="P314">
        <f>'Kullanılan gübre'!P314*'Gübre oranlar'!S$3</f>
        <v>0</v>
      </c>
      <c r="Q314">
        <f>'Kullanılan gübre'!Q314*'Gübre oranlar'!T$3</f>
        <v>0</v>
      </c>
      <c r="R314">
        <f>'Kullanılan gübre'!R314*'Gübre oranlar'!U$3</f>
        <v>0</v>
      </c>
      <c r="S314">
        <f>'Kullanılan gübre'!S314*'Gübre oranlar'!V$3</f>
        <v>0</v>
      </c>
      <c r="T314">
        <f>'Kullanılan gübre'!T314*'Gübre oranlar'!W$3</f>
        <v>0</v>
      </c>
      <c r="U314">
        <f>'Kullanılan gübre'!U314*'Gübre oranlar'!X$3</f>
        <v>0</v>
      </c>
      <c r="V314">
        <f>'Kullanılan gübre'!V314*'Gübre oranlar'!Y$3</f>
        <v>0</v>
      </c>
      <c r="W314">
        <f>'Kullanılan gübre'!W314*'Gübre oranlar'!Z$3</f>
        <v>0</v>
      </c>
      <c r="X314">
        <f>'Kullanılan gübre'!X314*'Gübre oranlar'!AA$3</f>
        <v>0</v>
      </c>
      <c r="Y314">
        <f>'Kullanılan gübre'!Y314*'Gübre oranlar'!AB$3</f>
        <v>0</v>
      </c>
      <c r="Z314">
        <f>'Kullanılan gübre'!Z314*'Gübre oranlar'!AC$3</f>
        <v>0</v>
      </c>
      <c r="AA314">
        <f>'Kullanılan gübre'!AA314*'Gübre oranlar'!AD$3</f>
        <v>0</v>
      </c>
      <c r="AB314">
        <f>'Kullanılan gübre'!AB314*'Gübre oranlar'!AE$3</f>
        <v>0</v>
      </c>
      <c r="AC314">
        <f>'Kullanılan gübre'!AC314*'Gübre oranlar'!AF$3</f>
        <v>0</v>
      </c>
      <c r="AD314">
        <f>'Kullanılan gübre'!AD314*'Gübre oranlar'!AG$3</f>
        <v>0</v>
      </c>
      <c r="AE314">
        <f>'Kullanılan gübre'!AE314*'Gübre oranlar'!AH$3</f>
        <v>0</v>
      </c>
      <c r="AF314">
        <f>'Kullanılan gübre'!AF314*'Gübre oranlar'!AI$3</f>
        <v>0</v>
      </c>
      <c r="AG314">
        <f>'Kullanılan gübre'!AG314*'Gübre oranlar'!AJ$3</f>
        <v>0</v>
      </c>
      <c r="AH314">
        <f>'Kullanılan gübre'!AH314*'Gübre oranlar'!AK$3</f>
        <v>0</v>
      </c>
      <c r="AI314">
        <f>'Kullanılan gübre'!AI314*'Gübre oranlar'!AL$3</f>
        <v>0</v>
      </c>
      <c r="AJ314">
        <f>'Kullanılan gübre'!AJ314*'Gübre oranlar'!AM$3</f>
        <v>0</v>
      </c>
      <c r="AK314">
        <f>'Kullanılan gübre'!AK314*'Gübre oranlar'!AN$3</f>
        <v>0</v>
      </c>
      <c r="AL314">
        <f>'Kullanılan gübre'!AL314*'Gübre oranlar'!AO$3</f>
        <v>0</v>
      </c>
      <c r="AM314">
        <f>'Kullanılan gübre'!AM314*'Gübre oranlar'!AP$3</f>
        <v>0</v>
      </c>
      <c r="AN314">
        <f>'Kullanılan gübre'!AN314*'Gübre oranlar'!AQ$3</f>
        <v>0</v>
      </c>
      <c r="AO314">
        <f>'Kullanılan gübre'!AO314*'Gübre oranlar'!AR$3</f>
        <v>0</v>
      </c>
      <c r="AP314">
        <f>'Kullanılan gübre'!AP314*'Gübre oranlar'!AS$3</f>
        <v>0</v>
      </c>
      <c r="AQ314">
        <f>'Kullanılan gübre'!AQ314*'Gübre oranlar'!AT$3</f>
        <v>0</v>
      </c>
      <c r="AR314">
        <f>'Kullanılan gübre'!AR314*'Gübre oranlar'!AU$3</f>
        <v>0</v>
      </c>
      <c r="AS314">
        <f>'Kullanılan gübre'!AS314*'Gübre oranlar'!AV$3</f>
        <v>0</v>
      </c>
      <c r="AT314">
        <f>'Kullanılan gübre'!AT314*'Gübre oranlar'!AW$3</f>
        <v>0</v>
      </c>
      <c r="AU314">
        <f>'Kullanılan gübre'!AU314*'Gübre oranlar'!AX$3</f>
        <v>0</v>
      </c>
      <c r="AV314">
        <f>'Kullanılan gübre'!AV314*'Gübre oranlar'!AY$3</f>
        <v>0</v>
      </c>
      <c r="AW314">
        <f t="shared" si="4"/>
        <v>0</v>
      </c>
    </row>
    <row r="315" spans="1:49" x14ac:dyDescent="0.25">
      <c r="A315" t="str">
        <f>'Kullanılan gübre'!A315</f>
        <v>YI</v>
      </c>
      <c r="B315" t="str">
        <f>'Kullanılan gübre'!B315</f>
        <v>TOKAT</v>
      </c>
      <c r="C315" t="str">
        <f>'Kullanılan gübre'!C315</f>
        <v>SULUSARAY</v>
      </c>
      <c r="D315">
        <f>'Kullanılan gübre'!D315</f>
        <v>2009</v>
      </c>
      <c r="E315">
        <f>'Kullanılan gübre'!E315*'Gübre oranlar'!H$3</f>
        <v>0</v>
      </c>
      <c r="F315">
        <f>'Kullanılan gübre'!F315*'Gübre oranlar'!I$3</f>
        <v>0</v>
      </c>
      <c r="G315">
        <f>'Kullanılan gübre'!G315*'Gübre oranlar'!J$3</f>
        <v>0</v>
      </c>
      <c r="H315">
        <f>'Kullanılan gübre'!H315*'Gübre oranlar'!K$3</f>
        <v>0</v>
      </c>
      <c r="I315">
        <f>'Kullanılan gübre'!I315*'Gübre oranlar'!L$3</f>
        <v>0</v>
      </c>
      <c r="J315">
        <f>'Kullanılan gübre'!J315*'Gübre oranlar'!M$3</f>
        <v>0</v>
      </c>
      <c r="K315">
        <f>'Kullanılan gübre'!K315*'Gübre oranlar'!N$3</f>
        <v>16.61</v>
      </c>
      <c r="L315">
        <f>'Kullanılan gübre'!L315*'Gübre oranlar'!O$3</f>
        <v>14.37</v>
      </c>
      <c r="M315">
        <f>'Kullanılan gübre'!M315*'Gübre oranlar'!P$3</f>
        <v>0</v>
      </c>
      <c r="N315">
        <f>'Kullanılan gübre'!N315*'Gübre oranlar'!Q$3</f>
        <v>0</v>
      </c>
      <c r="O315">
        <f>'Kullanılan gübre'!O315*'Gübre oranlar'!R$3</f>
        <v>0</v>
      </c>
      <c r="P315">
        <f>'Kullanılan gübre'!P315*'Gübre oranlar'!S$3</f>
        <v>0</v>
      </c>
      <c r="Q315">
        <f>'Kullanılan gübre'!Q315*'Gübre oranlar'!T$3</f>
        <v>0</v>
      </c>
      <c r="R315">
        <f>'Kullanılan gübre'!R315*'Gübre oranlar'!U$3</f>
        <v>0</v>
      </c>
      <c r="S315">
        <f>'Kullanılan gübre'!S315*'Gübre oranlar'!V$3</f>
        <v>0</v>
      </c>
      <c r="T315">
        <f>'Kullanılan gübre'!T315*'Gübre oranlar'!W$3</f>
        <v>0</v>
      </c>
      <c r="U315">
        <f>'Kullanılan gübre'!U315*'Gübre oranlar'!X$3</f>
        <v>0</v>
      </c>
      <c r="V315">
        <f>'Kullanılan gübre'!V315*'Gübre oranlar'!Y$3</f>
        <v>0</v>
      </c>
      <c r="W315">
        <f>'Kullanılan gübre'!W315*'Gübre oranlar'!Z$3</f>
        <v>0</v>
      </c>
      <c r="X315">
        <f>'Kullanılan gübre'!X315*'Gübre oranlar'!AA$3</f>
        <v>0</v>
      </c>
      <c r="Y315">
        <f>'Kullanılan gübre'!Y315*'Gübre oranlar'!AB$3</f>
        <v>0</v>
      </c>
      <c r="Z315">
        <f>'Kullanılan gübre'!Z315*'Gübre oranlar'!AC$3</f>
        <v>0</v>
      </c>
      <c r="AA315">
        <f>'Kullanılan gübre'!AA315*'Gübre oranlar'!AD$3</f>
        <v>0</v>
      </c>
      <c r="AB315">
        <f>'Kullanılan gübre'!AB315*'Gübre oranlar'!AE$3</f>
        <v>0</v>
      </c>
      <c r="AC315">
        <f>'Kullanılan gübre'!AC315*'Gübre oranlar'!AF$3</f>
        <v>0</v>
      </c>
      <c r="AD315">
        <f>'Kullanılan gübre'!AD315*'Gübre oranlar'!AG$3</f>
        <v>0</v>
      </c>
      <c r="AE315">
        <f>'Kullanılan gübre'!AE315*'Gübre oranlar'!AH$3</f>
        <v>0</v>
      </c>
      <c r="AF315">
        <f>'Kullanılan gübre'!AF315*'Gübre oranlar'!AI$3</f>
        <v>0</v>
      </c>
      <c r="AG315">
        <f>'Kullanılan gübre'!AG315*'Gübre oranlar'!AJ$3</f>
        <v>0</v>
      </c>
      <c r="AH315">
        <f>'Kullanılan gübre'!AH315*'Gübre oranlar'!AK$3</f>
        <v>0</v>
      </c>
      <c r="AI315">
        <f>'Kullanılan gübre'!AI315*'Gübre oranlar'!AL$3</f>
        <v>0</v>
      </c>
      <c r="AJ315">
        <f>'Kullanılan gübre'!AJ315*'Gübre oranlar'!AM$3</f>
        <v>0</v>
      </c>
      <c r="AK315">
        <f>'Kullanılan gübre'!AK315*'Gübre oranlar'!AN$3</f>
        <v>0</v>
      </c>
      <c r="AL315">
        <f>'Kullanılan gübre'!AL315*'Gübre oranlar'!AO$3</f>
        <v>0</v>
      </c>
      <c r="AM315">
        <f>'Kullanılan gübre'!AM315*'Gübre oranlar'!AP$3</f>
        <v>0</v>
      </c>
      <c r="AN315">
        <f>'Kullanılan gübre'!AN315*'Gübre oranlar'!AQ$3</f>
        <v>0</v>
      </c>
      <c r="AO315">
        <f>'Kullanılan gübre'!AO315*'Gübre oranlar'!AR$3</f>
        <v>0</v>
      </c>
      <c r="AP315">
        <f>'Kullanılan gübre'!AP315*'Gübre oranlar'!AS$3</f>
        <v>0</v>
      </c>
      <c r="AQ315">
        <f>'Kullanılan gübre'!AQ315*'Gübre oranlar'!AT$3</f>
        <v>0</v>
      </c>
      <c r="AR315">
        <f>'Kullanılan gübre'!AR315*'Gübre oranlar'!AU$3</f>
        <v>0</v>
      </c>
      <c r="AS315">
        <f>'Kullanılan gübre'!AS315*'Gübre oranlar'!AV$3</f>
        <v>0</v>
      </c>
      <c r="AT315">
        <f>'Kullanılan gübre'!AT315*'Gübre oranlar'!AW$3</f>
        <v>0</v>
      </c>
      <c r="AU315">
        <f>'Kullanılan gübre'!AU315*'Gübre oranlar'!AX$3</f>
        <v>0</v>
      </c>
      <c r="AV315">
        <f>'Kullanılan gübre'!AV315*'Gübre oranlar'!AY$3</f>
        <v>0</v>
      </c>
      <c r="AW315">
        <f t="shared" si="4"/>
        <v>30.979999999999997</v>
      </c>
    </row>
    <row r="316" spans="1:49" x14ac:dyDescent="0.25">
      <c r="A316" t="str">
        <f>'Kullanılan gübre'!A316</f>
        <v>YI</v>
      </c>
      <c r="B316" t="str">
        <f>'Kullanılan gübre'!B316</f>
        <v>TOKAT</v>
      </c>
      <c r="C316" t="str">
        <f>'Kullanılan gübre'!C316</f>
        <v>TURHAL</v>
      </c>
      <c r="D316">
        <f>'Kullanılan gübre'!D316</f>
        <v>2009</v>
      </c>
      <c r="E316">
        <f>'Kullanılan gübre'!E316*'Gübre oranlar'!H$3</f>
        <v>0</v>
      </c>
      <c r="F316">
        <f>'Kullanılan gübre'!F316*'Gübre oranlar'!I$3</f>
        <v>0</v>
      </c>
      <c r="G316">
        <f>'Kullanılan gübre'!G316*'Gübre oranlar'!J$3</f>
        <v>0</v>
      </c>
      <c r="H316">
        <f>'Kullanılan gübre'!H316*'Gübre oranlar'!K$3</f>
        <v>0</v>
      </c>
      <c r="I316">
        <f>'Kullanılan gübre'!I316*'Gübre oranlar'!L$3</f>
        <v>4.9879999999999987</v>
      </c>
      <c r="J316">
        <f>'Kullanılan gübre'!J316*'Gübre oranlar'!M$3</f>
        <v>0</v>
      </c>
      <c r="K316">
        <f>'Kullanılan gübre'!K316*'Gübre oranlar'!N$3</f>
        <v>3.08</v>
      </c>
      <c r="L316">
        <f>'Kullanılan gübre'!L316*'Gübre oranlar'!O$3</f>
        <v>6.660000000000001</v>
      </c>
      <c r="M316">
        <f>'Kullanılan gübre'!M316*'Gübre oranlar'!P$3</f>
        <v>0.75</v>
      </c>
      <c r="N316">
        <f>'Kullanılan gübre'!N316*'Gübre oranlar'!Q$3</f>
        <v>3.9299999999999997</v>
      </c>
      <c r="O316">
        <f>'Kullanılan gübre'!O316*'Gübre oranlar'!R$3</f>
        <v>0</v>
      </c>
      <c r="P316">
        <f>'Kullanılan gübre'!P316*'Gübre oranlar'!S$3</f>
        <v>0</v>
      </c>
      <c r="Q316">
        <f>'Kullanılan gübre'!Q316*'Gübre oranlar'!T$3</f>
        <v>196.2</v>
      </c>
      <c r="R316">
        <f>'Kullanılan gübre'!R316*'Gübre oranlar'!U$3</f>
        <v>0</v>
      </c>
      <c r="S316">
        <f>'Kullanılan gübre'!S316*'Gübre oranlar'!V$3</f>
        <v>0</v>
      </c>
      <c r="T316">
        <f>'Kullanılan gübre'!T316*'Gübre oranlar'!W$3</f>
        <v>0</v>
      </c>
      <c r="U316">
        <f>'Kullanılan gübre'!U316*'Gübre oranlar'!X$3</f>
        <v>0</v>
      </c>
      <c r="V316">
        <f>'Kullanılan gübre'!V316*'Gübre oranlar'!Y$3</f>
        <v>0</v>
      </c>
      <c r="W316">
        <f>'Kullanılan gübre'!W316*'Gübre oranlar'!Z$3</f>
        <v>0</v>
      </c>
      <c r="X316">
        <f>'Kullanılan gübre'!X316*'Gübre oranlar'!AA$3</f>
        <v>0</v>
      </c>
      <c r="Y316">
        <f>'Kullanılan gübre'!Y316*'Gübre oranlar'!AB$3</f>
        <v>0</v>
      </c>
      <c r="Z316">
        <f>'Kullanılan gübre'!Z316*'Gübre oranlar'!AC$3</f>
        <v>0</v>
      </c>
      <c r="AA316">
        <f>'Kullanılan gübre'!AA316*'Gübre oranlar'!AD$3</f>
        <v>0</v>
      </c>
      <c r="AB316">
        <f>'Kullanılan gübre'!AB316*'Gübre oranlar'!AE$3</f>
        <v>0</v>
      </c>
      <c r="AC316">
        <f>'Kullanılan gübre'!AC316*'Gübre oranlar'!AF$3</f>
        <v>0</v>
      </c>
      <c r="AD316">
        <f>'Kullanılan gübre'!AD316*'Gübre oranlar'!AG$3</f>
        <v>0</v>
      </c>
      <c r="AE316">
        <f>'Kullanılan gübre'!AE316*'Gübre oranlar'!AH$3</f>
        <v>0</v>
      </c>
      <c r="AF316">
        <f>'Kullanılan gübre'!AF316*'Gübre oranlar'!AI$3</f>
        <v>0</v>
      </c>
      <c r="AG316">
        <f>'Kullanılan gübre'!AG316*'Gübre oranlar'!AJ$3</f>
        <v>0</v>
      </c>
      <c r="AH316">
        <f>'Kullanılan gübre'!AH316*'Gübre oranlar'!AK$3</f>
        <v>0</v>
      </c>
      <c r="AI316">
        <f>'Kullanılan gübre'!AI316*'Gübre oranlar'!AL$3</f>
        <v>0</v>
      </c>
      <c r="AJ316">
        <f>'Kullanılan gübre'!AJ316*'Gübre oranlar'!AM$3</f>
        <v>0</v>
      </c>
      <c r="AK316">
        <f>'Kullanılan gübre'!AK316*'Gübre oranlar'!AN$3</f>
        <v>0</v>
      </c>
      <c r="AL316">
        <f>'Kullanılan gübre'!AL316*'Gübre oranlar'!AO$3</f>
        <v>0</v>
      </c>
      <c r="AM316">
        <f>'Kullanılan gübre'!AM316*'Gübre oranlar'!AP$3</f>
        <v>0</v>
      </c>
      <c r="AN316">
        <f>'Kullanılan gübre'!AN316*'Gübre oranlar'!AQ$3</f>
        <v>0</v>
      </c>
      <c r="AO316">
        <f>'Kullanılan gübre'!AO316*'Gübre oranlar'!AR$3</f>
        <v>0</v>
      </c>
      <c r="AP316">
        <f>'Kullanılan gübre'!AP316*'Gübre oranlar'!AS$3</f>
        <v>0</v>
      </c>
      <c r="AQ316">
        <f>'Kullanılan gübre'!AQ316*'Gübre oranlar'!AT$3</f>
        <v>0</v>
      </c>
      <c r="AR316">
        <f>'Kullanılan gübre'!AR316*'Gübre oranlar'!AU$3</f>
        <v>0</v>
      </c>
      <c r="AS316">
        <f>'Kullanılan gübre'!AS316*'Gübre oranlar'!AV$3</f>
        <v>0</v>
      </c>
      <c r="AT316">
        <f>'Kullanılan gübre'!AT316*'Gübre oranlar'!AW$3</f>
        <v>0</v>
      </c>
      <c r="AU316">
        <f>'Kullanılan gübre'!AU316*'Gübre oranlar'!AX$3</f>
        <v>0</v>
      </c>
      <c r="AV316">
        <f>'Kullanılan gübre'!AV316*'Gübre oranlar'!AY$3</f>
        <v>0</v>
      </c>
      <c r="AW316">
        <f t="shared" si="4"/>
        <v>215.60799999999998</v>
      </c>
    </row>
    <row r="317" spans="1:49" x14ac:dyDescent="0.25">
      <c r="A317" t="str">
        <f>'Kullanılan gübre'!A317</f>
        <v>YI</v>
      </c>
      <c r="B317" t="str">
        <f>'Kullanılan gübre'!B317</f>
        <v>TOKAT</v>
      </c>
      <c r="C317" t="str">
        <f>'Kullanılan gübre'!C317</f>
        <v>YESILYURT</v>
      </c>
      <c r="D317">
        <f>'Kullanılan gübre'!D317</f>
        <v>2009</v>
      </c>
      <c r="E317">
        <f>'Kullanılan gübre'!E317*'Gübre oranlar'!H$3</f>
        <v>0</v>
      </c>
      <c r="F317">
        <f>'Kullanılan gübre'!F317*'Gübre oranlar'!I$3</f>
        <v>0</v>
      </c>
      <c r="G317">
        <f>'Kullanılan gübre'!G317*'Gübre oranlar'!J$3</f>
        <v>0</v>
      </c>
      <c r="H317">
        <f>'Kullanılan gübre'!H317*'Gübre oranlar'!K$3</f>
        <v>0</v>
      </c>
      <c r="I317">
        <f>'Kullanılan gübre'!I317*'Gübre oranlar'!L$3</f>
        <v>0</v>
      </c>
      <c r="J317">
        <f>'Kullanılan gübre'!J317*'Gübre oranlar'!M$3</f>
        <v>0</v>
      </c>
      <c r="K317">
        <f>'Kullanılan gübre'!K317*'Gübre oranlar'!N$3</f>
        <v>12.26</v>
      </c>
      <c r="L317">
        <f>'Kullanılan gübre'!L317*'Gübre oranlar'!O$3</f>
        <v>21.85</v>
      </c>
      <c r="M317">
        <f>'Kullanılan gübre'!M317*'Gübre oranlar'!P$3</f>
        <v>0</v>
      </c>
      <c r="N317">
        <f>'Kullanılan gübre'!N317*'Gübre oranlar'!Q$3</f>
        <v>12.4125</v>
      </c>
      <c r="O317">
        <f>'Kullanılan gübre'!O317*'Gübre oranlar'!R$3</f>
        <v>0</v>
      </c>
      <c r="P317">
        <f>'Kullanılan gübre'!P317*'Gübre oranlar'!S$3</f>
        <v>0</v>
      </c>
      <c r="Q317">
        <f>'Kullanılan gübre'!Q317*'Gübre oranlar'!T$3</f>
        <v>0</v>
      </c>
      <c r="R317">
        <f>'Kullanılan gübre'!R317*'Gübre oranlar'!U$3</f>
        <v>0</v>
      </c>
      <c r="S317">
        <f>'Kullanılan gübre'!S317*'Gübre oranlar'!V$3</f>
        <v>0</v>
      </c>
      <c r="T317">
        <f>'Kullanılan gübre'!T317*'Gübre oranlar'!W$3</f>
        <v>0</v>
      </c>
      <c r="U317">
        <f>'Kullanılan gübre'!U317*'Gübre oranlar'!X$3</f>
        <v>0</v>
      </c>
      <c r="V317">
        <f>'Kullanılan gübre'!V317*'Gübre oranlar'!Y$3</f>
        <v>0</v>
      </c>
      <c r="W317">
        <f>'Kullanılan gübre'!W317*'Gübre oranlar'!Z$3</f>
        <v>0</v>
      </c>
      <c r="X317">
        <f>'Kullanılan gübre'!X317*'Gübre oranlar'!AA$3</f>
        <v>0</v>
      </c>
      <c r="Y317">
        <f>'Kullanılan gübre'!Y317*'Gübre oranlar'!AB$3</f>
        <v>0</v>
      </c>
      <c r="Z317">
        <f>'Kullanılan gübre'!Z317*'Gübre oranlar'!AC$3</f>
        <v>0</v>
      </c>
      <c r="AA317">
        <f>'Kullanılan gübre'!AA317*'Gübre oranlar'!AD$3</f>
        <v>0</v>
      </c>
      <c r="AB317">
        <f>'Kullanılan gübre'!AB317*'Gübre oranlar'!AE$3</f>
        <v>0</v>
      </c>
      <c r="AC317">
        <f>'Kullanılan gübre'!AC317*'Gübre oranlar'!AF$3</f>
        <v>0</v>
      </c>
      <c r="AD317">
        <f>'Kullanılan gübre'!AD317*'Gübre oranlar'!AG$3</f>
        <v>0</v>
      </c>
      <c r="AE317">
        <f>'Kullanılan gübre'!AE317*'Gübre oranlar'!AH$3</f>
        <v>0</v>
      </c>
      <c r="AF317">
        <f>'Kullanılan gübre'!AF317*'Gübre oranlar'!AI$3</f>
        <v>0</v>
      </c>
      <c r="AG317">
        <f>'Kullanılan gübre'!AG317*'Gübre oranlar'!AJ$3</f>
        <v>0</v>
      </c>
      <c r="AH317">
        <f>'Kullanılan gübre'!AH317*'Gübre oranlar'!AK$3</f>
        <v>0</v>
      </c>
      <c r="AI317">
        <f>'Kullanılan gübre'!AI317*'Gübre oranlar'!AL$3</f>
        <v>0</v>
      </c>
      <c r="AJ317">
        <f>'Kullanılan gübre'!AJ317*'Gübre oranlar'!AM$3</f>
        <v>0</v>
      </c>
      <c r="AK317">
        <f>'Kullanılan gübre'!AK317*'Gübre oranlar'!AN$3</f>
        <v>0</v>
      </c>
      <c r="AL317">
        <f>'Kullanılan gübre'!AL317*'Gübre oranlar'!AO$3</f>
        <v>0</v>
      </c>
      <c r="AM317">
        <f>'Kullanılan gübre'!AM317*'Gübre oranlar'!AP$3</f>
        <v>0</v>
      </c>
      <c r="AN317">
        <f>'Kullanılan gübre'!AN317*'Gübre oranlar'!AQ$3</f>
        <v>0</v>
      </c>
      <c r="AO317">
        <f>'Kullanılan gübre'!AO317*'Gübre oranlar'!AR$3</f>
        <v>0</v>
      </c>
      <c r="AP317">
        <f>'Kullanılan gübre'!AP317*'Gübre oranlar'!AS$3</f>
        <v>0</v>
      </c>
      <c r="AQ317">
        <f>'Kullanılan gübre'!AQ317*'Gübre oranlar'!AT$3</f>
        <v>0</v>
      </c>
      <c r="AR317">
        <f>'Kullanılan gübre'!AR317*'Gübre oranlar'!AU$3</f>
        <v>0</v>
      </c>
      <c r="AS317">
        <f>'Kullanılan gübre'!AS317*'Gübre oranlar'!AV$3</f>
        <v>0</v>
      </c>
      <c r="AT317">
        <f>'Kullanılan gübre'!AT317*'Gübre oranlar'!AW$3</f>
        <v>0</v>
      </c>
      <c r="AU317">
        <f>'Kullanılan gübre'!AU317*'Gübre oranlar'!AX$3</f>
        <v>0</v>
      </c>
      <c r="AV317">
        <f>'Kullanılan gübre'!AV317*'Gübre oranlar'!AY$3</f>
        <v>0</v>
      </c>
      <c r="AW317">
        <f t="shared" si="4"/>
        <v>46.522500000000001</v>
      </c>
    </row>
    <row r="318" spans="1:49" x14ac:dyDescent="0.25">
      <c r="A318" t="str">
        <f>'Kullanılan gübre'!A318</f>
        <v>YI</v>
      </c>
      <c r="B318" t="str">
        <f>'Kullanılan gübre'!B318</f>
        <v>TOKAT</v>
      </c>
      <c r="C318" t="str">
        <f>'Kullanılan gübre'!C318</f>
        <v>ZILE</v>
      </c>
      <c r="D318">
        <f>'Kullanılan gübre'!D318</f>
        <v>2009</v>
      </c>
      <c r="E318">
        <f>'Kullanılan gübre'!E318*'Gübre oranlar'!H$3</f>
        <v>0</v>
      </c>
      <c r="F318">
        <f>'Kullanılan gübre'!F318*'Gübre oranlar'!I$3</f>
        <v>0</v>
      </c>
      <c r="G318">
        <f>'Kullanılan gübre'!G318*'Gübre oranlar'!J$3</f>
        <v>0</v>
      </c>
      <c r="H318">
        <f>'Kullanılan gübre'!H318*'Gübre oranlar'!K$3</f>
        <v>0</v>
      </c>
      <c r="I318">
        <f>'Kullanılan gübre'!I318*'Gübre oranlar'!L$3</f>
        <v>0</v>
      </c>
      <c r="J318">
        <f>'Kullanılan gübre'!J318*'Gübre oranlar'!M$3</f>
        <v>0</v>
      </c>
      <c r="K318">
        <f>'Kullanılan gübre'!K318*'Gübre oranlar'!N$3</f>
        <v>544.87000000000012</v>
      </c>
      <c r="L318">
        <f>'Kullanılan gübre'!L318*'Gübre oranlar'!O$3</f>
        <v>173.67</v>
      </c>
      <c r="M318">
        <f>'Kullanılan gübre'!M318*'Gübre oranlar'!P$3</f>
        <v>11.25</v>
      </c>
      <c r="N318">
        <f>'Kullanılan gübre'!N318*'Gübre oranlar'!Q$3</f>
        <v>1.7999999999999998</v>
      </c>
      <c r="O318">
        <f>'Kullanılan gübre'!O318*'Gübre oranlar'!R$3</f>
        <v>0</v>
      </c>
      <c r="P318">
        <f>'Kullanılan gübre'!P318*'Gübre oranlar'!S$3</f>
        <v>0</v>
      </c>
      <c r="Q318">
        <f>'Kullanılan gübre'!Q318*'Gübre oranlar'!T$3</f>
        <v>30.299999999999997</v>
      </c>
      <c r="R318">
        <f>'Kullanılan gübre'!R318*'Gübre oranlar'!U$3</f>
        <v>0</v>
      </c>
      <c r="S318">
        <f>'Kullanılan gübre'!S318*'Gübre oranlar'!V$3</f>
        <v>0</v>
      </c>
      <c r="T318">
        <f>'Kullanılan gübre'!T318*'Gübre oranlar'!W$3</f>
        <v>0</v>
      </c>
      <c r="U318">
        <f>'Kullanılan gübre'!U318*'Gübre oranlar'!X$3</f>
        <v>0</v>
      </c>
      <c r="V318">
        <f>'Kullanılan gübre'!V318*'Gübre oranlar'!Y$3</f>
        <v>0</v>
      </c>
      <c r="W318">
        <f>'Kullanılan gübre'!W318*'Gübre oranlar'!Z$3</f>
        <v>0</v>
      </c>
      <c r="X318">
        <f>'Kullanılan gübre'!X318*'Gübre oranlar'!AA$3</f>
        <v>0</v>
      </c>
      <c r="Y318">
        <f>'Kullanılan gübre'!Y318*'Gübre oranlar'!AB$3</f>
        <v>0</v>
      </c>
      <c r="Z318">
        <f>'Kullanılan gübre'!Z318*'Gübre oranlar'!AC$3</f>
        <v>0</v>
      </c>
      <c r="AA318">
        <f>'Kullanılan gübre'!AA318*'Gübre oranlar'!AD$3</f>
        <v>0</v>
      </c>
      <c r="AB318">
        <f>'Kullanılan gübre'!AB318*'Gübre oranlar'!AE$3</f>
        <v>0</v>
      </c>
      <c r="AC318">
        <f>'Kullanılan gübre'!AC318*'Gübre oranlar'!AF$3</f>
        <v>0</v>
      </c>
      <c r="AD318">
        <f>'Kullanılan gübre'!AD318*'Gübre oranlar'!AG$3</f>
        <v>0</v>
      </c>
      <c r="AE318">
        <f>'Kullanılan gübre'!AE318*'Gübre oranlar'!AH$3</f>
        <v>0</v>
      </c>
      <c r="AF318">
        <f>'Kullanılan gübre'!AF318*'Gübre oranlar'!AI$3</f>
        <v>0</v>
      </c>
      <c r="AG318">
        <f>'Kullanılan gübre'!AG318*'Gübre oranlar'!AJ$3</f>
        <v>0</v>
      </c>
      <c r="AH318">
        <f>'Kullanılan gübre'!AH318*'Gübre oranlar'!AK$3</f>
        <v>0</v>
      </c>
      <c r="AI318">
        <f>'Kullanılan gübre'!AI318*'Gübre oranlar'!AL$3</f>
        <v>0</v>
      </c>
      <c r="AJ318">
        <f>'Kullanılan gübre'!AJ318*'Gübre oranlar'!AM$3</f>
        <v>0</v>
      </c>
      <c r="AK318">
        <f>'Kullanılan gübre'!AK318*'Gübre oranlar'!AN$3</f>
        <v>0</v>
      </c>
      <c r="AL318">
        <f>'Kullanılan gübre'!AL318*'Gübre oranlar'!AO$3</f>
        <v>0</v>
      </c>
      <c r="AM318">
        <f>'Kullanılan gübre'!AM318*'Gübre oranlar'!AP$3</f>
        <v>0</v>
      </c>
      <c r="AN318">
        <f>'Kullanılan gübre'!AN318*'Gübre oranlar'!AQ$3</f>
        <v>0</v>
      </c>
      <c r="AO318">
        <f>'Kullanılan gübre'!AO318*'Gübre oranlar'!AR$3</f>
        <v>0</v>
      </c>
      <c r="AP318">
        <f>'Kullanılan gübre'!AP318*'Gübre oranlar'!AS$3</f>
        <v>0</v>
      </c>
      <c r="AQ318">
        <f>'Kullanılan gübre'!AQ318*'Gübre oranlar'!AT$3</f>
        <v>0</v>
      </c>
      <c r="AR318">
        <f>'Kullanılan gübre'!AR318*'Gübre oranlar'!AU$3</f>
        <v>0</v>
      </c>
      <c r="AS318">
        <f>'Kullanılan gübre'!AS318*'Gübre oranlar'!AV$3</f>
        <v>0</v>
      </c>
      <c r="AT318">
        <f>'Kullanılan gübre'!AT318*'Gübre oranlar'!AW$3</f>
        <v>0</v>
      </c>
      <c r="AU318">
        <f>'Kullanılan gübre'!AU318*'Gübre oranlar'!AX$3</f>
        <v>0</v>
      </c>
      <c r="AV318">
        <f>'Kullanılan gübre'!AV318*'Gübre oranlar'!AY$3</f>
        <v>0</v>
      </c>
      <c r="AW318">
        <f t="shared" si="4"/>
        <v>761.89</v>
      </c>
    </row>
    <row r="319" spans="1:49" x14ac:dyDescent="0.25">
      <c r="A319" t="str">
        <f>'Kullanılan gübre'!A319</f>
        <v>YI</v>
      </c>
      <c r="B319" t="str">
        <f>'Kullanılan gübre'!B319</f>
        <v>TOKAT</v>
      </c>
      <c r="C319" t="str">
        <f>'Kullanılan gübre'!C319</f>
        <v>MERKEZ</v>
      </c>
      <c r="D319">
        <f>'Kullanılan gübre'!D319</f>
        <v>2010</v>
      </c>
      <c r="E319">
        <f>'Kullanılan gübre'!E319*'Gübre oranlar'!H$3</f>
        <v>0</v>
      </c>
      <c r="F319">
        <f>'Kullanılan gübre'!F319*'Gübre oranlar'!I$3</f>
        <v>0</v>
      </c>
      <c r="G319">
        <f>'Kullanılan gübre'!G319*'Gübre oranlar'!J$3</f>
        <v>0</v>
      </c>
      <c r="H319">
        <f>'Kullanılan gübre'!H319*'Gübre oranlar'!K$3</f>
        <v>0</v>
      </c>
      <c r="I319">
        <f>'Kullanılan gübre'!I319*'Gübre oranlar'!L$3</f>
        <v>27.455500000000001</v>
      </c>
      <c r="J319">
        <f>'Kullanılan gübre'!J319*'Gübre oranlar'!M$3</f>
        <v>0</v>
      </c>
      <c r="K319">
        <f>'Kullanılan gübre'!K319*'Gübre oranlar'!N$3</f>
        <v>80.539999999999992</v>
      </c>
      <c r="L319">
        <f>'Kullanılan gübre'!L319*'Gübre oranlar'!O$3</f>
        <v>41.19</v>
      </c>
      <c r="M319">
        <f>'Kullanılan gübre'!M319*'Gübre oranlar'!P$3</f>
        <v>15.442499999999999</v>
      </c>
      <c r="N319">
        <f>'Kullanılan gübre'!N319*'Gübre oranlar'!Q$3</f>
        <v>20.9025</v>
      </c>
      <c r="O319">
        <f>'Kullanılan gübre'!O319*'Gübre oranlar'!R$3</f>
        <v>0</v>
      </c>
      <c r="P319">
        <f>'Kullanılan gübre'!P319*'Gübre oranlar'!S$3</f>
        <v>0</v>
      </c>
      <c r="Q319">
        <f>'Kullanılan gübre'!Q319*'Gübre oranlar'!T$3</f>
        <v>0</v>
      </c>
      <c r="R319">
        <f>'Kullanılan gübre'!R319*'Gübre oranlar'!U$3</f>
        <v>0</v>
      </c>
      <c r="S319">
        <f>'Kullanılan gübre'!S319*'Gübre oranlar'!V$3</f>
        <v>0</v>
      </c>
      <c r="T319">
        <f>'Kullanılan gübre'!T319*'Gübre oranlar'!W$3</f>
        <v>0</v>
      </c>
      <c r="U319">
        <f>'Kullanılan gübre'!U319*'Gübre oranlar'!X$3</f>
        <v>0</v>
      </c>
      <c r="V319">
        <f>'Kullanılan gübre'!V319*'Gübre oranlar'!Y$3</f>
        <v>0</v>
      </c>
      <c r="W319">
        <f>'Kullanılan gübre'!W319*'Gübre oranlar'!Z$3</f>
        <v>0</v>
      </c>
      <c r="X319">
        <f>'Kullanılan gübre'!X319*'Gübre oranlar'!AA$3</f>
        <v>0</v>
      </c>
      <c r="Y319">
        <f>'Kullanılan gübre'!Y319*'Gübre oranlar'!AB$3</f>
        <v>0</v>
      </c>
      <c r="Z319">
        <f>'Kullanılan gübre'!Z319*'Gübre oranlar'!AC$3</f>
        <v>0</v>
      </c>
      <c r="AA319">
        <f>'Kullanılan gübre'!AA319*'Gübre oranlar'!AD$3</f>
        <v>0</v>
      </c>
      <c r="AB319">
        <f>'Kullanılan gübre'!AB319*'Gübre oranlar'!AE$3</f>
        <v>0</v>
      </c>
      <c r="AC319">
        <f>'Kullanılan gübre'!AC319*'Gübre oranlar'!AF$3</f>
        <v>0</v>
      </c>
      <c r="AD319">
        <f>'Kullanılan gübre'!AD319*'Gübre oranlar'!AG$3</f>
        <v>0</v>
      </c>
      <c r="AE319">
        <f>'Kullanılan gübre'!AE319*'Gübre oranlar'!AH$3</f>
        <v>0</v>
      </c>
      <c r="AF319">
        <f>'Kullanılan gübre'!AF319*'Gübre oranlar'!AI$3</f>
        <v>0</v>
      </c>
      <c r="AG319">
        <f>'Kullanılan gübre'!AG319*'Gübre oranlar'!AJ$3</f>
        <v>0</v>
      </c>
      <c r="AH319">
        <f>'Kullanılan gübre'!AH319*'Gübre oranlar'!AK$3</f>
        <v>0</v>
      </c>
      <c r="AI319">
        <f>'Kullanılan gübre'!AI319*'Gübre oranlar'!AL$3</f>
        <v>0</v>
      </c>
      <c r="AJ319">
        <f>'Kullanılan gübre'!AJ319*'Gübre oranlar'!AM$3</f>
        <v>0</v>
      </c>
      <c r="AK319">
        <f>'Kullanılan gübre'!AK319*'Gübre oranlar'!AN$3</f>
        <v>0</v>
      </c>
      <c r="AL319">
        <f>'Kullanılan gübre'!AL319*'Gübre oranlar'!AO$3</f>
        <v>0</v>
      </c>
      <c r="AM319">
        <f>'Kullanılan gübre'!AM319*'Gübre oranlar'!AP$3</f>
        <v>0</v>
      </c>
      <c r="AN319">
        <f>'Kullanılan gübre'!AN319*'Gübre oranlar'!AQ$3</f>
        <v>0</v>
      </c>
      <c r="AO319">
        <f>'Kullanılan gübre'!AO319*'Gübre oranlar'!AR$3</f>
        <v>0</v>
      </c>
      <c r="AP319">
        <f>'Kullanılan gübre'!AP319*'Gübre oranlar'!AS$3</f>
        <v>0</v>
      </c>
      <c r="AQ319">
        <f>'Kullanılan gübre'!AQ319*'Gübre oranlar'!AT$3</f>
        <v>0</v>
      </c>
      <c r="AR319">
        <f>'Kullanılan gübre'!AR319*'Gübre oranlar'!AU$3</f>
        <v>0</v>
      </c>
      <c r="AS319">
        <f>'Kullanılan gübre'!AS319*'Gübre oranlar'!AV$3</f>
        <v>0</v>
      </c>
      <c r="AT319">
        <f>'Kullanılan gübre'!AT319*'Gübre oranlar'!AW$3</f>
        <v>0</v>
      </c>
      <c r="AU319">
        <f>'Kullanılan gübre'!AU319*'Gübre oranlar'!AX$3</f>
        <v>0</v>
      </c>
      <c r="AV319">
        <f>'Kullanılan gübre'!AV319*'Gübre oranlar'!AY$3</f>
        <v>0</v>
      </c>
      <c r="AW319">
        <f t="shared" si="4"/>
        <v>185.53049999999999</v>
      </c>
    </row>
    <row r="320" spans="1:49" x14ac:dyDescent="0.25">
      <c r="A320" t="str">
        <f>'Kullanılan gübre'!A320</f>
        <v>YI</v>
      </c>
      <c r="B320" t="str">
        <f>'Kullanılan gübre'!B320</f>
        <v>TOKAT</v>
      </c>
      <c r="C320" t="str">
        <f>'Kullanılan gübre'!C320</f>
        <v>ALMUS</v>
      </c>
      <c r="D320">
        <f>'Kullanılan gübre'!D320</f>
        <v>2010</v>
      </c>
      <c r="E320">
        <f>'Kullanılan gübre'!E320*'Gübre oranlar'!H$3</f>
        <v>0</v>
      </c>
      <c r="F320">
        <f>'Kullanılan gübre'!F320*'Gübre oranlar'!I$3</f>
        <v>0</v>
      </c>
      <c r="G320">
        <f>'Kullanılan gübre'!G320*'Gübre oranlar'!J$3</f>
        <v>0</v>
      </c>
      <c r="H320">
        <f>'Kullanılan gübre'!H320*'Gübre oranlar'!K$3</f>
        <v>0</v>
      </c>
      <c r="I320">
        <f>'Kullanılan gübre'!I320*'Gübre oranlar'!L$3</f>
        <v>0</v>
      </c>
      <c r="J320">
        <f>'Kullanılan gübre'!J320*'Gübre oranlar'!M$3</f>
        <v>0</v>
      </c>
      <c r="K320">
        <f>'Kullanılan gübre'!K320*'Gübre oranlar'!N$3</f>
        <v>0</v>
      </c>
      <c r="L320">
        <f>'Kullanılan gübre'!L320*'Gübre oranlar'!O$3</f>
        <v>0</v>
      </c>
      <c r="M320">
        <f>'Kullanılan gübre'!M320*'Gübre oranlar'!P$3</f>
        <v>0</v>
      </c>
      <c r="N320">
        <f>'Kullanılan gübre'!N320*'Gübre oranlar'!Q$3</f>
        <v>0</v>
      </c>
      <c r="O320">
        <f>'Kullanılan gübre'!O320*'Gübre oranlar'!R$3</f>
        <v>0</v>
      </c>
      <c r="P320">
        <f>'Kullanılan gübre'!P320*'Gübre oranlar'!S$3</f>
        <v>0</v>
      </c>
      <c r="Q320">
        <f>'Kullanılan gübre'!Q320*'Gübre oranlar'!T$3</f>
        <v>0</v>
      </c>
      <c r="R320">
        <f>'Kullanılan gübre'!R320*'Gübre oranlar'!U$3</f>
        <v>0</v>
      </c>
      <c r="S320">
        <f>'Kullanılan gübre'!S320*'Gübre oranlar'!V$3</f>
        <v>0</v>
      </c>
      <c r="T320">
        <f>'Kullanılan gübre'!T320*'Gübre oranlar'!W$3</f>
        <v>0</v>
      </c>
      <c r="U320">
        <f>'Kullanılan gübre'!U320*'Gübre oranlar'!X$3</f>
        <v>0</v>
      </c>
      <c r="V320">
        <f>'Kullanılan gübre'!V320*'Gübre oranlar'!Y$3</f>
        <v>0</v>
      </c>
      <c r="W320">
        <f>'Kullanılan gübre'!W320*'Gübre oranlar'!Z$3</f>
        <v>0</v>
      </c>
      <c r="X320">
        <f>'Kullanılan gübre'!X320*'Gübre oranlar'!AA$3</f>
        <v>0</v>
      </c>
      <c r="Y320">
        <f>'Kullanılan gübre'!Y320*'Gübre oranlar'!AB$3</f>
        <v>0</v>
      </c>
      <c r="Z320">
        <f>'Kullanılan gübre'!Z320*'Gübre oranlar'!AC$3</f>
        <v>0</v>
      </c>
      <c r="AA320">
        <f>'Kullanılan gübre'!AA320*'Gübre oranlar'!AD$3</f>
        <v>0</v>
      </c>
      <c r="AB320">
        <f>'Kullanılan gübre'!AB320*'Gübre oranlar'!AE$3</f>
        <v>0</v>
      </c>
      <c r="AC320">
        <f>'Kullanılan gübre'!AC320*'Gübre oranlar'!AF$3</f>
        <v>0</v>
      </c>
      <c r="AD320">
        <f>'Kullanılan gübre'!AD320*'Gübre oranlar'!AG$3</f>
        <v>0</v>
      </c>
      <c r="AE320">
        <f>'Kullanılan gübre'!AE320*'Gübre oranlar'!AH$3</f>
        <v>0</v>
      </c>
      <c r="AF320">
        <f>'Kullanılan gübre'!AF320*'Gübre oranlar'!AI$3</f>
        <v>0</v>
      </c>
      <c r="AG320">
        <f>'Kullanılan gübre'!AG320*'Gübre oranlar'!AJ$3</f>
        <v>0</v>
      </c>
      <c r="AH320">
        <f>'Kullanılan gübre'!AH320*'Gübre oranlar'!AK$3</f>
        <v>0</v>
      </c>
      <c r="AI320">
        <f>'Kullanılan gübre'!AI320*'Gübre oranlar'!AL$3</f>
        <v>0</v>
      </c>
      <c r="AJ320">
        <f>'Kullanılan gübre'!AJ320*'Gübre oranlar'!AM$3</f>
        <v>0</v>
      </c>
      <c r="AK320">
        <f>'Kullanılan gübre'!AK320*'Gübre oranlar'!AN$3</f>
        <v>0</v>
      </c>
      <c r="AL320">
        <f>'Kullanılan gübre'!AL320*'Gübre oranlar'!AO$3</f>
        <v>0</v>
      </c>
      <c r="AM320">
        <f>'Kullanılan gübre'!AM320*'Gübre oranlar'!AP$3</f>
        <v>0</v>
      </c>
      <c r="AN320">
        <f>'Kullanılan gübre'!AN320*'Gübre oranlar'!AQ$3</f>
        <v>0</v>
      </c>
      <c r="AO320">
        <f>'Kullanılan gübre'!AO320*'Gübre oranlar'!AR$3</f>
        <v>0</v>
      </c>
      <c r="AP320">
        <f>'Kullanılan gübre'!AP320*'Gübre oranlar'!AS$3</f>
        <v>0</v>
      </c>
      <c r="AQ320">
        <f>'Kullanılan gübre'!AQ320*'Gübre oranlar'!AT$3</f>
        <v>0</v>
      </c>
      <c r="AR320">
        <f>'Kullanılan gübre'!AR320*'Gübre oranlar'!AU$3</f>
        <v>0</v>
      </c>
      <c r="AS320">
        <f>'Kullanılan gübre'!AS320*'Gübre oranlar'!AV$3</f>
        <v>0</v>
      </c>
      <c r="AT320">
        <f>'Kullanılan gübre'!AT320*'Gübre oranlar'!AW$3</f>
        <v>0</v>
      </c>
      <c r="AU320">
        <f>'Kullanılan gübre'!AU320*'Gübre oranlar'!AX$3</f>
        <v>0</v>
      </c>
      <c r="AV320">
        <f>'Kullanılan gübre'!AV320*'Gübre oranlar'!AY$3</f>
        <v>0</v>
      </c>
      <c r="AW320">
        <f t="shared" si="4"/>
        <v>0</v>
      </c>
    </row>
    <row r="321" spans="1:49" x14ac:dyDescent="0.25">
      <c r="A321" t="str">
        <f>'Kullanılan gübre'!A321</f>
        <v>YI</v>
      </c>
      <c r="B321" t="str">
        <f>'Kullanılan gübre'!B321</f>
        <v>TOKAT</v>
      </c>
      <c r="C321" t="str">
        <f>'Kullanılan gübre'!C321</f>
        <v>ARTOVA</v>
      </c>
      <c r="D321">
        <f>'Kullanılan gübre'!D321</f>
        <v>2010</v>
      </c>
      <c r="E321">
        <f>'Kullanılan gübre'!E321*'Gübre oranlar'!H$3</f>
        <v>0</v>
      </c>
      <c r="F321">
        <f>'Kullanılan gübre'!F321*'Gübre oranlar'!I$3</f>
        <v>0</v>
      </c>
      <c r="G321">
        <f>'Kullanılan gübre'!G321*'Gübre oranlar'!J$3</f>
        <v>0</v>
      </c>
      <c r="H321">
        <f>'Kullanılan gübre'!H321*'Gübre oranlar'!K$3</f>
        <v>0</v>
      </c>
      <c r="I321">
        <f>'Kullanılan gübre'!I321*'Gübre oranlar'!L$3</f>
        <v>0</v>
      </c>
      <c r="J321">
        <f>'Kullanılan gübre'!J321*'Gübre oranlar'!M$3</f>
        <v>0</v>
      </c>
      <c r="K321">
        <f>'Kullanılan gübre'!K321*'Gübre oranlar'!N$3</f>
        <v>4.53</v>
      </c>
      <c r="L321">
        <f>'Kullanılan gübre'!L321*'Gübre oranlar'!O$3</f>
        <v>0</v>
      </c>
      <c r="M321">
        <f>'Kullanılan gübre'!M321*'Gübre oranlar'!P$3</f>
        <v>0</v>
      </c>
      <c r="N321">
        <f>'Kullanılan gübre'!N321*'Gübre oranlar'!Q$3</f>
        <v>0</v>
      </c>
      <c r="O321">
        <f>'Kullanılan gübre'!O321*'Gübre oranlar'!R$3</f>
        <v>0</v>
      </c>
      <c r="P321">
        <f>'Kullanılan gübre'!P321*'Gübre oranlar'!S$3</f>
        <v>0</v>
      </c>
      <c r="Q321">
        <f>'Kullanılan gübre'!Q321*'Gübre oranlar'!T$3</f>
        <v>0</v>
      </c>
      <c r="R321">
        <f>'Kullanılan gübre'!R321*'Gübre oranlar'!U$3</f>
        <v>0</v>
      </c>
      <c r="S321">
        <f>'Kullanılan gübre'!S321*'Gübre oranlar'!V$3</f>
        <v>0</v>
      </c>
      <c r="T321">
        <f>'Kullanılan gübre'!T321*'Gübre oranlar'!W$3</f>
        <v>0</v>
      </c>
      <c r="U321">
        <f>'Kullanılan gübre'!U321*'Gübre oranlar'!X$3</f>
        <v>0</v>
      </c>
      <c r="V321">
        <f>'Kullanılan gübre'!V321*'Gübre oranlar'!Y$3</f>
        <v>0</v>
      </c>
      <c r="W321">
        <f>'Kullanılan gübre'!W321*'Gübre oranlar'!Z$3</f>
        <v>0</v>
      </c>
      <c r="X321">
        <f>'Kullanılan gübre'!X321*'Gübre oranlar'!AA$3</f>
        <v>0</v>
      </c>
      <c r="Y321">
        <f>'Kullanılan gübre'!Y321*'Gübre oranlar'!AB$3</f>
        <v>0</v>
      </c>
      <c r="Z321">
        <f>'Kullanılan gübre'!Z321*'Gübre oranlar'!AC$3</f>
        <v>0</v>
      </c>
      <c r="AA321">
        <f>'Kullanılan gübre'!AA321*'Gübre oranlar'!AD$3</f>
        <v>0</v>
      </c>
      <c r="AB321">
        <f>'Kullanılan gübre'!AB321*'Gübre oranlar'!AE$3</f>
        <v>0</v>
      </c>
      <c r="AC321">
        <f>'Kullanılan gübre'!AC321*'Gübre oranlar'!AF$3</f>
        <v>0</v>
      </c>
      <c r="AD321">
        <f>'Kullanılan gübre'!AD321*'Gübre oranlar'!AG$3</f>
        <v>0</v>
      </c>
      <c r="AE321">
        <f>'Kullanılan gübre'!AE321*'Gübre oranlar'!AH$3</f>
        <v>0</v>
      </c>
      <c r="AF321">
        <f>'Kullanılan gübre'!AF321*'Gübre oranlar'!AI$3</f>
        <v>0</v>
      </c>
      <c r="AG321">
        <f>'Kullanılan gübre'!AG321*'Gübre oranlar'!AJ$3</f>
        <v>0</v>
      </c>
      <c r="AH321">
        <f>'Kullanılan gübre'!AH321*'Gübre oranlar'!AK$3</f>
        <v>0</v>
      </c>
      <c r="AI321">
        <f>'Kullanılan gübre'!AI321*'Gübre oranlar'!AL$3</f>
        <v>0</v>
      </c>
      <c r="AJ321">
        <f>'Kullanılan gübre'!AJ321*'Gübre oranlar'!AM$3</f>
        <v>0</v>
      </c>
      <c r="AK321">
        <f>'Kullanılan gübre'!AK321*'Gübre oranlar'!AN$3</f>
        <v>0</v>
      </c>
      <c r="AL321">
        <f>'Kullanılan gübre'!AL321*'Gübre oranlar'!AO$3</f>
        <v>0</v>
      </c>
      <c r="AM321">
        <f>'Kullanılan gübre'!AM321*'Gübre oranlar'!AP$3</f>
        <v>0</v>
      </c>
      <c r="AN321">
        <f>'Kullanılan gübre'!AN321*'Gübre oranlar'!AQ$3</f>
        <v>0</v>
      </c>
      <c r="AO321">
        <f>'Kullanılan gübre'!AO321*'Gübre oranlar'!AR$3</f>
        <v>0</v>
      </c>
      <c r="AP321">
        <f>'Kullanılan gübre'!AP321*'Gübre oranlar'!AS$3</f>
        <v>0</v>
      </c>
      <c r="AQ321">
        <f>'Kullanılan gübre'!AQ321*'Gübre oranlar'!AT$3</f>
        <v>0</v>
      </c>
      <c r="AR321">
        <f>'Kullanılan gübre'!AR321*'Gübre oranlar'!AU$3</f>
        <v>0</v>
      </c>
      <c r="AS321">
        <f>'Kullanılan gübre'!AS321*'Gübre oranlar'!AV$3</f>
        <v>0</v>
      </c>
      <c r="AT321">
        <f>'Kullanılan gübre'!AT321*'Gübre oranlar'!AW$3</f>
        <v>0</v>
      </c>
      <c r="AU321">
        <f>'Kullanılan gübre'!AU321*'Gübre oranlar'!AX$3</f>
        <v>0</v>
      </c>
      <c r="AV321">
        <f>'Kullanılan gübre'!AV321*'Gübre oranlar'!AY$3</f>
        <v>0</v>
      </c>
      <c r="AW321">
        <f t="shared" si="4"/>
        <v>4.53</v>
      </c>
    </row>
    <row r="322" spans="1:49" x14ac:dyDescent="0.25">
      <c r="A322" t="str">
        <f>'Kullanılan gübre'!A322</f>
        <v>YI</v>
      </c>
      <c r="B322" t="str">
        <f>'Kullanılan gübre'!B322</f>
        <v>TOKAT</v>
      </c>
      <c r="C322" t="str">
        <f>'Kullanılan gübre'!C322</f>
        <v>BASCIFTLIK</v>
      </c>
      <c r="D322">
        <f>'Kullanılan gübre'!D322</f>
        <v>2010</v>
      </c>
      <c r="E322">
        <f>'Kullanılan gübre'!E322*'Gübre oranlar'!H$3</f>
        <v>0</v>
      </c>
      <c r="F322">
        <f>'Kullanılan gübre'!F322*'Gübre oranlar'!I$3</f>
        <v>0</v>
      </c>
      <c r="G322">
        <f>'Kullanılan gübre'!G322*'Gübre oranlar'!J$3</f>
        <v>0</v>
      </c>
      <c r="H322">
        <f>'Kullanılan gübre'!H322*'Gübre oranlar'!K$3</f>
        <v>0</v>
      </c>
      <c r="I322">
        <f>'Kullanılan gübre'!I322*'Gübre oranlar'!L$3</f>
        <v>0</v>
      </c>
      <c r="J322">
        <f>'Kullanılan gübre'!J322*'Gübre oranlar'!M$3</f>
        <v>0</v>
      </c>
      <c r="K322">
        <f>'Kullanılan gübre'!K322*'Gübre oranlar'!N$3</f>
        <v>0</v>
      </c>
      <c r="L322">
        <f>'Kullanılan gübre'!L322*'Gübre oranlar'!O$3</f>
        <v>0</v>
      </c>
      <c r="M322">
        <f>'Kullanılan gübre'!M322*'Gübre oranlar'!P$3</f>
        <v>0</v>
      </c>
      <c r="N322">
        <f>'Kullanılan gübre'!N322*'Gübre oranlar'!Q$3</f>
        <v>0</v>
      </c>
      <c r="O322">
        <f>'Kullanılan gübre'!O322*'Gübre oranlar'!R$3</f>
        <v>0</v>
      </c>
      <c r="P322">
        <f>'Kullanılan gübre'!P322*'Gübre oranlar'!S$3</f>
        <v>0</v>
      </c>
      <c r="Q322">
        <f>'Kullanılan gübre'!Q322*'Gübre oranlar'!T$3</f>
        <v>0</v>
      </c>
      <c r="R322">
        <f>'Kullanılan gübre'!R322*'Gübre oranlar'!U$3</f>
        <v>0</v>
      </c>
      <c r="S322">
        <f>'Kullanılan gübre'!S322*'Gübre oranlar'!V$3</f>
        <v>0</v>
      </c>
      <c r="T322">
        <f>'Kullanılan gübre'!T322*'Gübre oranlar'!W$3</f>
        <v>0</v>
      </c>
      <c r="U322">
        <f>'Kullanılan gübre'!U322*'Gübre oranlar'!X$3</f>
        <v>0</v>
      </c>
      <c r="V322">
        <f>'Kullanılan gübre'!V322*'Gübre oranlar'!Y$3</f>
        <v>0</v>
      </c>
      <c r="W322">
        <f>'Kullanılan gübre'!W322*'Gübre oranlar'!Z$3</f>
        <v>0</v>
      </c>
      <c r="X322">
        <f>'Kullanılan gübre'!X322*'Gübre oranlar'!AA$3</f>
        <v>0</v>
      </c>
      <c r="Y322">
        <f>'Kullanılan gübre'!Y322*'Gübre oranlar'!AB$3</f>
        <v>0</v>
      </c>
      <c r="Z322">
        <f>'Kullanılan gübre'!Z322*'Gübre oranlar'!AC$3</f>
        <v>0</v>
      </c>
      <c r="AA322">
        <f>'Kullanılan gübre'!AA322*'Gübre oranlar'!AD$3</f>
        <v>0</v>
      </c>
      <c r="AB322">
        <f>'Kullanılan gübre'!AB322*'Gübre oranlar'!AE$3</f>
        <v>0</v>
      </c>
      <c r="AC322">
        <f>'Kullanılan gübre'!AC322*'Gübre oranlar'!AF$3</f>
        <v>0</v>
      </c>
      <c r="AD322">
        <f>'Kullanılan gübre'!AD322*'Gübre oranlar'!AG$3</f>
        <v>0</v>
      </c>
      <c r="AE322">
        <f>'Kullanılan gübre'!AE322*'Gübre oranlar'!AH$3</f>
        <v>0</v>
      </c>
      <c r="AF322">
        <f>'Kullanılan gübre'!AF322*'Gübre oranlar'!AI$3</f>
        <v>0</v>
      </c>
      <c r="AG322">
        <f>'Kullanılan gübre'!AG322*'Gübre oranlar'!AJ$3</f>
        <v>0</v>
      </c>
      <c r="AH322">
        <f>'Kullanılan gübre'!AH322*'Gübre oranlar'!AK$3</f>
        <v>0</v>
      </c>
      <c r="AI322">
        <f>'Kullanılan gübre'!AI322*'Gübre oranlar'!AL$3</f>
        <v>0</v>
      </c>
      <c r="AJ322">
        <f>'Kullanılan gübre'!AJ322*'Gübre oranlar'!AM$3</f>
        <v>0</v>
      </c>
      <c r="AK322">
        <f>'Kullanılan gübre'!AK322*'Gübre oranlar'!AN$3</f>
        <v>0</v>
      </c>
      <c r="AL322">
        <f>'Kullanılan gübre'!AL322*'Gübre oranlar'!AO$3</f>
        <v>0</v>
      </c>
      <c r="AM322">
        <f>'Kullanılan gübre'!AM322*'Gübre oranlar'!AP$3</f>
        <v>0</v>
      </c>
      <c r="AN322">
        <f>'Kullanılan gübre'!AN322*'Gübre oranlar'!AQ$3</f>
        <v>0</v>
      </c>
      <c r="AO322">
        <f>'Kullanılan gübre'!AO322*'Gübre oranlar'!AR$3</f>
        <v>0</v>
      </c>
      <c r="AP322">
        <f>'Kullanılan gübre'!AP322*'Gübre oranlar'!AS$3</f>
        <v>0</v>
      </c>
      <c r="AQ322">
        <f>'Kullanılan gübre'!AQ322*'Gübre oranlar'!AT$3</f>
        <v>0</v>
      </c>
      <c r="AR322">
        <f>'Kullanılan gübre'!AR322*'Gübre oranlar'!AU$3</f>
        <v>0</v>
      </c>
      <c r="AS322">
        <f>'Kullanılan gübre'!AS322*'Gübre oranlar'!AV$3</f>
        <v>0</v>
      </c>
      <c r="AT322">
        <f>'Kullanılan gübre'!AT322*'Gübre oranlar'!AW$3</f>
        <v>0</v>
      </c>
      <c r="AU322">
        <f>'Kullanılan gübre'!AU322*'Gübre oranlar'!AX$3</f>
        <v>0</v>
      </c>
      <c r="AV322">
        <f>'Kullanılan gübre'!AV322*'Gübre oranlar'!AY$3</f>
        <v>0</v>
      </c>
      <c r="AW322">
        <f t="shared" si="4"/>
        <v>0</v>
      </c>
    </row>
    <row r="323" spans="1:49" x14ac:dyDescent="0.25">
      <c r="A323" t="str">
        <f>'Kullanılan gübre'!A323</f>
        <v>YI</v>
      </c>
      <c r="B323" t="str">
        <f>'Kullanılan gübre'!B323</f>
        <v>TOKAT</v>
      </c>
      <c r="C323" t="str">
        <f>'Kullanılan gübre'!C323</f>
        <v>ERBAA</v>
      </c>
      <c r="D323">
        <f>'Kullanılan gübre'!D323</f>
        <v>2010</v>
      </c>
      <c r="E323">
        <f>'Kullanılan gübre'!E323*'Gübre oranlar'!H$3</f>
        <v>0</v>
      </c>
      <c r="F323">
        <f>'Kullanılan gübre'!F323*'Gübre oranlar'!I$3</f>
        <v>0</v>
      </c>
      <c r="G323">
        <f>'Kullanılan gübre'!G323*'Gübre oranlar'!J$3</f>
        <v>0</v>
      </c>
      <c r="H323">
        <f>'Kullanılan gübre'!H323*'Gübre oranlar'!K$3</f>
        <v>0</v>
      </c>
      <c r="I323">
        <f>'Kullanılan gübre'!I323*'Gübre oranlar'!L$3</f>
        <v>1.548</v>
      </c>
      <c r="J323">
        <f>'Kullanılan gübre'!J323*'Gübre oranlar'!M$3</f>
        <v>0</v>
      </c>
      <c r="K323">
        <f>'Kullanılan gübre'!K323*'Gübre oranlar'!N$3</f>
        <v>117.80000000000001</v>
      </c>
      <c r="L323">
        <f>'Kullanılan gübre'!L323*'Gübre oranlar'!O$3</f>
        <v>0</v>
      </c>
      <c r="M323">
        <f>'Kullanılan gübre'!M323*'Gübre oranlar'!P$3</f>
        <v>74.017499999999998</v>
      </c>
      <c r="N323">
        <f>'Kullanılan gübre'!N323*'Gübre oranlar'!Q$3</f>
        <v>0</v>
      </c>
      <c r="O323">
        <f>'Kullanılan gübre'!O323*'Gübre oranlar'!R$3</f>
        <v>0</v>
      </c>
      <c r="P323">
        <f>'Kullanılan gübre'!P323*'Gübre oranlar'!S$3</f>
        <v>0</v>
      </c>
      <c r="Q323">
        <f>'Kullanılan gübre'!Q323*'Gübre oranlar'!T$3</f>
        <v>0</v>
      </c>
      <c r="R323">
        <f>'Kullanılan gübre'!R323*'Gübre oranlar'!U$3</f>
        <v>0</v>
      </c>
      <c r="S323">
        <f>'Kullanılan gübre'!S323*'Gübre oranlar'!V$3</f>
        <v>0</v>
      </c>
      <c r="T323">
        <f>'Kullanılan gübre'!T323*'Gübre oranlar'!W$3</f>
        <v>0</v>
      </c>
      <c r="U323">
        <f>'Kullanılan gübre'!U323*'Gübre oranlar'!X$3</f>
        <v>0</v>
      </c>
      <c r="V323">
        <f>'Kullanılan gübre'!V323*'Gübre oranlar'!Y$3</f>
        <v>0</v>
      </c>
      <c r="W323">
        <f>'Kullanılan gübre'!W323*'Gübre oranlar'!Z$3</f>
        <v>0</v>
      </c>
      <c r="X323">
        <f>'Kullanılan gübre'!X323*'Gübre oranlar'!AA$3</f>
        <v>0</v>
      </c>
      <c r="Y323">
        <f>'Kullanılan gübre'!Y323*'Gübre oranlar'!AB$3</f>
        <v>0</v>
      </c>
      <c r="Z323">
        <f>'Kullanılan gübre'!Z323*'Gübre oranlar'!AC$3</f>
        <v>0</v>
      </c>
      <c r="AA323">
        <f>'Kullanılan gübre'!AA323*'Gübre oranlar'!AD$3</f>
        <v>0</v>
      </c>
      <c r="AB323">
        <f>'Kullanılan gübre'!AB323*'Gübre oranlar'!AE$3</f>
        <v>0</v>
      </c>
      <c r="AC323">
        <f>'Kullanılan gübre'!AC323*'Gübre oranlar'!AF$3</f>
        <v>0</v>
      </c>
      <c r="AD323">
        <f>'Kullanılan gübre'!AD323*'Gübre oranlar'!AG$3</f>
        <v>0</v>
      </c>
      <c r="AE323">
        <f>'Kullanılan gübre'!AE323*'Gübre oranlar'!AH$3</f>
        <v>0</v>
      </c>
      <c r="AF323">
        <f>'Kullanılan gübre'!AF323*'Gübre oranlar'!AI$3</f>
        <v>0</v>
      </c>
      <c r="AG323">
        <f>'Kullanılan gübre'!AG323*'Gübre oranlar'!AJ$3</f>
        <v>0</v>
      </c>
      <c r="AH323">
        <f>'Kullanılan gübre'!AH323*'Gübre oranlar'!AK$3</f>
        <v>0</v>
      </c>
      <c r="AI323">
        <f>'Kullanılan gübre'!AI323*'Gübre oranlar'!AL$3</f>
        <v>0</v>
      </c>
      <c r="AJ323">
        <f>'Kullanılan gübre'!AJ323*'Gübre oranlar'!AM$3</f>
        <v>0</v>
      </c>
      <c r="AK323">
        <f>'Kullanılan gübre'!AK323*'Gübre oranlar'!AN$3</f>
        <v>0</v>
      </c>
      <c r="AL323">
        <f>'Kullanılan gübre'!AL323*'Gübre oranlar'!AO$3</f>
        <v>0</v>
      </c>
      <c r="AM323">
        <f>'Kullanılan gübre'!AM323*'Gübre oranlar'!AP$3</f>
        <v>0</v>
      </c>
      <c r="AN323">
        <f>'Kullanılan gübre'!AN323*'Gübre oranlar'!AQ$3</f>
        <v>0</v>
      </c>
      <c r="AO323">
        <f>'Kullanılan gübre'!AO323*'Gübre oranlar'!AR$3</f>
        <v>0</v>
      </c>
      <c r="AP323">
        <f>'Kullanılan gübre'!AP323*'Gübre oranlar'!AS$3</f>
        <v>0</v>
      </c>
      <c r="AQ323">
        <f>'Kullanılan gübre'!AQ323*'Gübre oranlar'!AT$3</f>
        <v>0</v>
      </c>
      <c r="AR323">
        <f>'Kullanılan gübre'!AR323*'Gübre oranlar'!AU$3</f>
        <v>0</v>
      </c>
      <c r="AS323">
        <f>'Kullanılan gübre'!AS323*'Gübre oranlar'!AV$3</f>
        <v>0</v>
      </c>
      <c r="AT323">
        <f>'Kullanılan gübre'!AT323*'Gübre oranlar'!AW$3</f>
        <v>0</v>
      </c>
      <c r="AU323">
        <f>'Kullanılan gübre'!AU323*'Gübre oranlar'!AX$3</f>
        <v>0</v>
      </c>
      <c r="AV323">
        <f>'Kullanılan gübre'!AV323*'Gübre oranlar'!AY$3</f>
        <v>0</v>
      </c>
      <c r="AW323">
        <f t="shared" ref="AW323:AW386" si="5">SUM(E323:AV323)</f>
        <v>193.3655</v>
      </c>
    </row>
    <row r="324" spans="1:49" x14ac:dyDescent="0.25">
      <c r="A324" t="str">
        <f>'Kullanılan gübre'!A324</f>
        <v>YI</v>
      </c>
      <c r="B324" t="str">
        <f>'Kullanılan gübre'!B324</f>
        <v>TOKAT</v>
      </c>
      <c r="C324" t="str">
        <f>'Kullanılan gübre'!C324</f>
        <v>NIKSAR</v>
      </c>
      <c r="D324">
        <f>'Kullanılan gübre'!D324</f>
        <v>2010</v>
      </c>
      <c r="E324">
        <f>'Kullanılan gübre'!E324*'Gübre oranlar'!H$3</f>
        <v>0</v>
      </c>
      <c r="F324">
        <f>'Kullanılan gübre'!F324*'Gübre oranlar'!I$3</f>
        <v>0</v>
      </c>
      <c r="G324">
        <f>'Kullanılan gübre'!G324*'Gübre oranlar'!J$3</f>
        <v>0</v>
      </c>
      <c r="H324">
        <f>'Kullanılan gübre'!H324*'Gübre oranlar'!K$3</f>
        <v>0</v>
      </c>
      <c r="I324">
        <f>'Kullanılan gübre'!I324*'Gübre oranlar'!L$3</f>
        <v>0</v>
      </c>
      <c r="J324">
        <f>'Kullanılan gübre'!J324*'Gübre oranlar'!M$3</f>
        <v>0</v>
      </c>
      <c r="K324">
        <f>'Kullanılan gübre'!K324*'Gübre oranlar'!N$3</f>
        <v>57.210000000000008</v>
      </c>
      <c r="L324">
        <f>'Kullanılan gübre'!L324*'Gübre oranlar'!O$3</f>
        <v>0</v>
      </c>
      <c r="M324">
        <f>'Kullanılan gübre'!M324*'Gübre oranlar'!P$3</f>
        <v>47.032499999999999</v>
      </c>
      <c r="N324">
        <f>'Kullanılan gübre'!N324*'Gübre oranlar'!Q$3</f>
        <v>0</v>
      </c>
      <c r="O324">
        <f>'Kullanılan gübre'!O324*'Gübre oranlar'!R$3</f>
        <v>0</v>
      </c>
      <c r="P324">
        <f>'Kullanılan gübre'!P324*'Gübre oranlar'!S$3</f>
        <v>0</v>
      </c>
      <c r="Q324">
        <f>'Kullanılan gübre'!Q324*'Gübre oranlar'!T$3</f>
        <v>0</v>
      </c>
      <c r="R324">
        <f>'Kullanılan gübre'!R324*'Gübre oranlar'!U$3</f>
        <v>0</v>
      </c>
      <c r="S324">
        <f>'Kullanılan gübre'!S324*'Gübre oranlar'!V$3</f>
        <v>0</v>
      </c>
      <c r="T324">
        <f>'Kullanılan gübre'!T324*'Gübre oranlar'!W$3</f>
        <v>0</v>
      </c>
      <c r="U324">
        <f>'Kullanılan gübre'!U324*'Gübre oranlar'!X$3</f>
        <v>0</v>
      </c>
      <c r="V324">
        <f>'Kullanılan gübre'!V324*'Gübre oranlar'!Y$3</f>
        <v>0</v>
      </c>
      <c r="W324">
        <f>'Kullanılan gübre'!W324*'Gübre oranlar'!Z$3</f>
        <v>0</v>
      </c>
      <c r="X324">
        <f>'Kullanılan gübre'!X324*'Gübre oranlar'!AA$3</f>
        <v>0</v>
      </c>
      <c r="Y324">
        <f>'Kullanılan gübre'!Y324*'Gübre oranlar'!AB$3</f>
        <v>0</v>
      </c>
      <c r="Z324">
        <f>'Kullanılan gübre'!Z324*'Gübre oranlar'!AC$3</f>
        <v>0</v>
      </c>
      <c r="AA324">
        <f>'Kullanılan gübre'!AA324*'Gübre oranlar'!AD$3</f>
        <v>0</v>
      </c>
      <c r="AB324">
        <f>'Kullanılan gübre'!AB324*'Gübre oranlar'!AE$3</f>
        <v>0</v>
      </c>
      <c r="AC324">
        <f>'Kullanılan gübre'!AC324*'Gübre oranlar'!AF$3</f>
        <v>0</v>
      </c>
      <c r="AD324">
        <f>'Kullanılan gübre'!AD324*'Gübre oranlar'!AG$3</f>
        <v>0</v>
      </c>
      <c r="AE324">
        <f>'Kullanılan gübre'!AE324*'Gübre oranlar'!AH$3</f>
        <v>0</v>
      </c>
      <c r="AF324">
        <f>'Kullanılan gübre'!AF324*'Gübre oranlar'!AI$3</f>
        <v>0</v>
      </c>
      <c r="AG324">
        <f>'Kullanılan gübre'!AG324*'Gübre oranlar'!AJ$3</f>
        <v>0</v>
      </c>
      <c r="AH324">
        <f>'Kullanılan gübre'!AH324*'Gübre oranlar'!AK$3</f>
        <v>0</v>
      </c>
      <c r="AI324">
        <f>'Kullanılan gübre'!AI324*'Gübre oranlar'!AL$3</f>
        <v>0</v>
      </c>
      <c r="AJ324">
        <f>'Kullanılan gübre'!AJ324*'Gübre oranlar'!AM$3</f>
        <v>0</v>
      </c>
      <c r="AK324">
        <f>'Kullanılan gübre'!AK324*'Gübre oranlar'!AN$3</f>
        <v>0</v>
      </c>
      <c r="AL324">
        <f>'Kullanılan gübre'!AL324*'Gübre oranlar'!AO$3</f>
        <v>0</v>
      </c>
      <c r="AM324">
        <f>'Kullanılan gübre'!AM324*'Gübre oranlar'!AP$3</f>
        <v>0</v>
      </c>
      <c r="AN324">
        <f>'Kullanılan gübre'!AN324*'Gübre oranlar'!AQ$3</f>
        <v>0</v>
      </c>
      <c r="AO324">
        <f>'Kullanılan gübre'!AO324*'Gübre oranlar'!AR$3</f>
        <v>0</v>
      </c>
      <c r="AP324">
        <f>'Kullanılan gübre'!AP324*'Gübre oranlar'!AS$3</f>
        <v>0</v>
      </c>
      <c r="AQ324">
        <f>'Kullanılan gübre'!AQ324*'Gübre oranlar'!AT$3</f>
        <v>0</v>
      </c>
      <c r="AR324">
        <f>'Kullanılan gübre'!AR324*'Gübre oranlar'!AU$3</f>
        <v>0</v>
      </c>
      <c r="AS324">
        <f>'Kullanılan gübre'!AS324*'Gübre oranlar'!AV$3</f>
        <v>0</v>
      </c>
      <c r="AT324">
        <f>'Kullanılan gübre'!AT324*'Gübre oranlar'!AW$3</f>
        <v>0</v>
      </c>
      <c r="AU324">
        <f>'Kullanılan gübre'!AU324*'Gübre oranlar'!AX$3</f>
        <v>0</v>
      </c>
      <c r="AV324">
        <f>'Kullanılan gübre'!AV324*'Gübre oranlar'!AY$3</f>
        <v>0</v>
      </c>
      <c r="AW324">
        <f t="shared" si="5"/>
        <v>104.24250000000001</v>
      </c>
    </row>
    <row r="325" spans="1:49" x14ac:dyDescent="0.25">
      <c r="A325" t="str">
        <f>'Kullanılan gübre'!A325</f>
        <v>YI</v>
      </c>
      <c r="B325" t="str">
        <f>'Kullanılan gübre'!B325</f>
        <v>TOKAT</v>
      </c>
      <c r="C325" t="str">
        <f>'Kullanılan gübre'!C325</f>
        <v>PAZAR</v>
      </c>
      <c r="D325">
        <f>'Kullanılan gübre'!D325</f>
        <v>2010</v>
      </c>
      <c r="E325">
        <f>'Kullanılan gübre'!E325*'Gübre oranlar'!H$3</f>
        <v>0</v>
      </c>
      <c r="F325">
        <f>'Kullanılan gübre'!F325*'Gübre oranlar'!I$3</f>
        <v>0</v>
      </c>
      <c r="G325">
        <f>'Kullanılan gübre'!G325*'Gübre oranlar'!J$3</f>
        <v>0</v>
      </c>
      <c r="H325">
        <f>'Kullanılan gübre'!H325*'Gübre oranlar'!K$3</f>
        <v>0</v>
      </c>
      <c r="I325">
        <f>'Kullanılan gübre'!I325*'Gübre oranlar'!L$3</f>
        <v>21.757999999999996</v>
      </c>
      <c r="J325">
        <f>'Kullanılan gübre'!J325*'Gübre oranlar'!M$3</f>
        <v>0</v>
      </c>
      <c r="K325">
        <f>'Kullanılan gübre'!K325*'Gübre oranlar'!N$3</f>
        <v>0</v>
      </c>
      <c r="L325">
        <f>'Kullanılan gübre'!L325*'Gübre oranlar'!O$3</f>
        <v>3.1000000000000005</v>
      </c>
      <c r="M325">
        <f>'Kullanılan gübre'!M325*'Gübre oranlar'!P$3</f>
        <v>4.6425000000000001</v>
      </c>
      <c r="N325">
        <f>'Kullanılan gübre'!N325*'Gübre oranlar'!Q$3</f>
        <v>18.532499999999999</v>
      </c>
      <c r="O325">
        <f>'Kullanılan gübre'!O325*'Gübre oranlar'!R$3</f>
        <v>0</v>
      </c>
      <c r="P325">
        <f>'Kullanılan gübre'!P325*'Gübre oranlar'!S$3</f>
        <v>0</v>
      </c>
      <c r="Q325">
        <f>'Kullanılan gübre'!Q325*'Gübre oranlar'!T$3</f>
        <v>147.6</v>
      </c>
      <c r="R325">
        <f>'Kullanılan gübre'!R325*'Gübre oranlar'!U$3</f>
        <v>0</v>
      </c>
      <c r="S325">
        <f>'Kullanılan gübre'!S325*'Gübre oranlar'!V$3</f>
        <v>0</v>
      </c>
      <c r="T325">
        <f>'Kullanılan gübre'!T325*'Gübre oranlar'!W$3</f>
        <v>0</v>
      </c>
      <c r="U325">
        <f>'Kullanılan gübre'!U325*'Gübre oranlar'!X$3</f>
        <v>0</v>
      </c>
      <c r="V325">
        <f>'Kullanılan gübre'!V325*'Gübre oranlar'!Y$3</f>
        <v>0</v>
      </c>
      <c r="W325">
        <f>'Kullanılan gübre'!W325*'Gübre oranlar'!Z$3</f>
        <v>0</v>
      </c>
      <c r="X325">
        <f>'Kullanılan gübre'!X325*'Gübre oranlar'!AA$3</f>
        <v>0</v>
      </c>
      <c r="Y325">
        <f>'Kullanılan gübre'!Y325*'Gübre oranlar'!AB$3</f>
        <v>0</v>
      </c>
      <c r="Z325">
        <f>'Kullanılan gübre'!Z325*'Gübre oranlar'!AC$3</f>
        <v>0</v>
      </c>
      <c r="AA325">
        <f>'Kullanılan gübre'!AA325*'Gübre oranlar'!AD$3</f>
        <v>0</v>
      </c>
      <c r="AB325">
        <f>'Kullanılan gübre'!AB325*'Gübre oranlar'!AE$3</f>
        <v>0</v>
      </c>
      <c r="AC325">
        <f>'Kullanılan gübre'!AC325*'Gübre oranlar'!AF$3</f>
        <v>0</v>
      </c>
      <c r="AD325">
        <f>'Kullanılan gübre'!AD325*'Gübre oranlar'!AG$3</f>
        <v>0</v>
      </c>
      <c r="AE325">
        <f>'Kullanılan gübre'!AE325*'Gübre oranlar'!AH$3</f>
        <v>0</v>
      </c>
      <c r="AF325">
        <f>'Kullanılan gübre'!AF325*'Gübre oranlar'!AI$3</f>
        <v>0</v>
      </c>
      <c r="AG325">
        <f>'Kullanılan gübre'!AG325*'Gübre oranlar'!AJ$3</f>
        <v>0</v>
      </c>
      <c r="AH325">
        <f>'Kullanılan gübre'!AH325*'Gübre oranlar'!AK$3</f>
        <v>0</v>
      </c>
      <c r="AI325">
        <f>'Kullanılan gübre'!AI325*'Gübre oranlar'!AL$3</f>
        <v>0</v>
      </c>
      <c r="AJ325">
        <f>'Kullanılan gübre'!AJ325*'Gübre oranlar'!AM$3</f>
        <v>0</v>
      </c>
      <c r="AK325">
        <f>'Kullanılan gübre'!AK325*'Gübre oranlar'!AN$3</f>
        <v>0</v>
      </c>
      <c r="AL325">
        <f>'Kullanılan gübre'!AL325*'Gübre oranlar'!AO$3</f>
        <v>0</v>
      </c>
      <c r="AM325">
        <f>'Kullanılan gübre'!AM325*'Gübre oranlar'!AP$3</f>
        <v>0</v>
      </c>
      <c r="AN325">
        <f>'Kullanılan gübre'!AN325*'Gübre oranlar'!AQ$3</f>
        <v>0</v>
      </c>
      <c r="AO325">
        <f>'Kullanılan gübre'!AO325*'Gübre oranlar'!AR$3</f>
        <v>0</v>
      </c>
      <c r="AP325">
        <f>'Kullanılan gübre'!AP325*'Gübre oranlar'!AS$3</f>
        <v>0</v>
      </c>
      <c r="AQ325">
        <f>'Kullanılan gübre'!AQ325*'Gübre oranlar'!AT$3</f>
        <v>0</v>
      </c>
      <c r="AR325">
        <f>'Kullanılan gübre'!AR325*'Gübre oranlar'!AU$3</f>
        <v>0</v>
      </c>
      <c r="AS325">
        <f>'Kullanılan gübre'!AS325*'Gübre oranlar'!AV$3</f>
        <v>0</v>
      </c>
      <c r="AT325">
        <f>'Kullanılan gübre'!AT325*'Gübre oranlar'!AW$3</f>
        <v>0</v>
      </c>
      <c r="AU325">
        <f>'Kullanılan gübre'!AU325*'Gübre oranlar'!AX$3</f>
        <v>0</v>
      </c>
      <c r="AV325">
        <f>'Kullanılan gübre'!AV325*'Gübre oranlar'!AY$3</f>
        <v>0</v>
      </c>
      <c r="AW325">
        <f t="shared" si="5"/>
        <v>195.63299999999998</v>
      </c>
    </row>
    <row r="326" spans="1:49" x14ac:dyDescent="0.25">
      <c r="A326" t="str">
        <f>'Kullanılan gübre'!A326</f>
        <v>YI</v>
      </c>
      <c r="B326" t="str">
        <f>'Kullanılan gübre'!B326</f>
        <v>TOKAT</v>
      </c>
      <c r="C326" t="str">
        <f>'Kullanılan gübre'!C326</f>
        <v>RESADIYE</v>
      </c>
      <c r="D326">
        <f>'Kullanılan gübre'!D326</f>
        <v>2010</v>
      </c>
      <c r="E326">
        <f>'Kullanılan gübre'!E326*'Gübre oranlar'!H$3</f>
        <v>0</v>
      </c>
      <c r="F326">
        <f>'Kullanılan gübre'!F326*'Gübre oranlar'!I$3</f>
        <v>0</v>
      </c>
      <c r="G326">
        <f>'Kullanılan gübre'!G326*'Gübre oranlar'!J$3</f>
        <v>0</v>
      </c>
      <c r="H326">
        <f>'Kullanılan gübre'!H326*'Gübre oranlar'!K$3</f>
        <v>0</v>
      </c>
      <c r="I326">
        <f>'Kullanılan gübre'!I326*'Gübre oranlar'!L$3</f>
        <v>0</v>
      </c>
      <c r="J326">
        <f>'Kullanılan gübre'!J326*'Gübre oranlar'!M$3</f>
        <v>0</v>
      </c>
      <c r="K326">
        <f>'Kullanılan gübre'!K326*'Gübre oranlar'!N$3</f>
        <v>0</v>
      </c>
      <c r="L326">
        <f>'Kullanılan gübre'!L326*'Gübre oranlar'!O$3</f>
        <v>0</v>
      </c>
      <c r="M326">
        <f>'Kullanılan gübre'!M326*'Gübre oranlar'!P$3</f>
        <v>0</v>
      </c>
      <c r="N326">
        <f>'Kullanılan gübre'!N326*'Gübre oranlar'!Q$3</f>
        <v>0</v>
      </c>
      <c r="O326">
        <f>'Kullanılan gübre'!O326*'Gübre oranlar'!R$3</f>
        <v>0</v>
      </c>
      <c r="P326">
        <f>'Kullanılan gübre'!P326*'Gübre oranlar'!S$3</f>
        <v>0</v>
      </c>
      <c r="Q326">
        <f>'Kullanılan gübre'!Q326*'Gübre oranlar'!T$3</f>
        <v>0</v>
      </c>
      <c r="R326">
        <f>'Kullanılan gübre'!R326*'Gübre oranlar'!U$3</f>
        <v>0</v>
      </c>
      <c r="S326">
        <f>'Kullanılan gübre'!S326*'Gübre oranlar'!V$3</f>
        <v>0</v>
      </c>
      <c r="T326">
        <f>'Kullanılan gübre'!T326*'Gübre oranlar'!W$3</f>
        <v>0</v>
      </c>
      <c r="U326">
        <f>'Kullanılan gübre'!U326*'Gübre oranlar'!X$3</f>
        <v>0</v>
      </c>
      <c r="V326">
        <f>'Kullanılan gübre'!V326*'Gübre oranlar'!Y$3</f>
        <v>0</v>
      </c>
      <c r="W326">
        <f>'Kullanılan gübre'!W326*'Gübre oranlar'!Z$3</f>
        <v>0</v>
      </c>
      <c r="X326">
        <f>'Kullanılan gübre'!X326*'Gübre oranlar'!AA$3</f>
        <v>0</v>
      </c>
      <c r="Y326">
        <f>'Kullanılan gübre'!Y326*'Gübre oranlar'!AB$3</f>
        <v>0</v>
      </c>
      <c r="Z326">
        <f>'Kullanılan gübre'!Z326*'Gübre oranlar'!AC$3</f>
        <v>0</v>
      </c>
      <c r="AA326">
        <f>'Kullanılan gübre'!AA326*'Gübre oranlar'!AD$3</f>
        <v>0</v>
      </c>
      <c r="AB326">
        <f>'Kullanılan gübre'!AB326*'Gübre oranlar'!AE$3</f>
        <v>0</v>
      </c>
      <c r="AC326">
        <f>'Kullanılan gübre'!AC326*'Gübre oranlar'!AF$3</f>
        <v>0</v>
      </c>
      <c r="AD326">
        <f>'Kullanılan gübre'!AD326*'Gübre oranlar'!AG$3</f>
        <v>0</v>
      </c>
      <c r="AE326">
        <f>'Kullanılan gübre'!AE326*'Gübre oranlar'!AH$3</f>
        <v>0</v>
      </c>
      <c r="AF326">
        <f>'Kullanılan gübre'!AF326*'Gübre oranlar'!AI$3</f>
        <v>0</v>
      </c>
      <c r="AG326">
        <f>'Kullanılan gübre'!AG326*'Gübre oranlar'!AJ$3</f>
        <v>0</v>
      </c>
      <c r="AH326">
        <f>'Kullanılan gübre'!AH326*'Gübre oranlar'!AK$3</f>
        <v>0</v>
      </c>
      <c r="AI326">
        <f>'Kullanılan gübre'!AI326*'Gübre oranlar'!AL$3</f>
        <v>0</v>
      </c>
      <c r="AJ326">
        <f>'Kullanılan gübre'!AJ326*'Gübre oranlar'!AM$3</f>
        <v>0</v>
      </c>
      <c r="AK326">
        <f>'Kullanılan gübre'!AK326*'Gübre oranlar'!AN$3</f>
        <v>0</v>
      </c>
      <c r="AL326">
        <f>'Kullanılan gübre'!AL326*'Gübre oranlar'!AO$3</f>
        <v>0</v>
      </c>
      <c r="AM326">
        <f>'Kullanılan gübre'!AM326*'Gübre oranlar'!AP$3</f>
        <v>0</v>
      </c>
      <c r="AN326">
        <f>'Kullanılan gübre'!AN326*'Gübre oranlar'!AQ$3</f>
        <v>0</v>
      </c>
      <c r="AO326">
        <f>'Kullanılan gübre'!AO326*'Gübre oranlar'!AR$3</f>
        <v>0</v>
      </c>
      <c r="AP326">
        <f>'Kullanılan gübre'!AP326*'Gübre oranlar'!AS$3</f>
        <v>0</v>
      </c>
      <c r="AQ326">
        <f>'Kullanılan gübre'!AQ326*'Gübre oranlar'!AT$3</f>
        <v>0</v>
      </c>
      <c r="AR326">
        <f>'Kullanılan gübre'!AR326*'Gübre oranlar'!AU$3</f>
        <v>0</v>
      </c>
      <c r="AS326">
        <f>'Kullanılan gübre'!AS326*'Gübre oranlar'!AV$3</f>
        <v>0</v>
      </c>
      <c r="AT326">
        <f>'Kullanılan gübre'!AT326*'Gübre oranlar'!AW$3</f>
        <v>0</v>
      </c>
      <c r="AU326">
        <f>'Kullanılan gübre'!AU326*'Gübre oranlar'!AX$3</f>
        <v>0</v>
      </c>
      <c r="AV326">
        <f>'Kullanılan gübre'!AV326*'Gübre oranlar'!AY$3</f>
        <v>0</v>
      </c>
      <c r="AW326">
        <f t="shared" si="5"/>
        <v>0</v>
      </c>
    </row>
    <row r="327" spans="1:49" x14ac:dyDescent="0.25">
      <c r="A327" t="str">
        <f>'Kullanılan gübre'!A327</f>
        <v>YI</v>
      </c>
      <c r="B327" t="str">
        <f>'Kullanılan gübre'!B327</f>
        <v>TOKAT</v>
      </c>
      <c r="C327" t="str">
        <f>'Kullanılan gübre'!C327</f>
        <v>SULUSARAY</v>
      </c>
      <c r="D327">
        <f>'Kullanılan gübre'!D327</f>
        <v>2010</v>
      </c>
      <c r="E327">
        <f>'Kullanılan gübre'!E327*'Gübre oranlar'!H$3</f>
        <v>0</v>
      </c>
      <c r="F327">
        <f>'Kullanılan gübre'!F327*'Gübre oranlar'!I$3</f>
        <v>0</v>
      </c>
      <c r="G327">
        <f>'Kullanılan gübre'!G327*'Gübre oranlar'!J$3</f>
        <v>0</v>
      </c>
      <c r="H327">
        <f>'Kullanılan gübre'!H327*'Gübre oranlar'!K$3</f>
        <v>0</v>
      </c>
      <c r="I327">
        <f>'Kullanılan gübre'!I327*'Gübre oranlar'!L$3</f>
        <v>0</v>
      </c>
      <c r="J327">
        <f>'Kullanılan gübre'!J327*'Gübre oranlar'!M$3</f>
        <v>0</v>
      </c>
      <c r="K327">
        <f>'Kullanılan gübre'!K327*'Gübre oranlar'!N$3</f>
        <v>12.47</v>
      </c>
      <c r="L327">
        <f>'Kullanılan gübre'!L327*'Gübre oranlar'!O$3</f>
        <v>15.12</v>
      </c>
      <c r="M327">
        <f>'Kullanılan gübre'!M327*'Gübre oranlar'!P$3</f>
        <v>0</v>
      </c>
      <c r="N327">
        <f>'Kullanılan gübre'!N327*'Gübre oranlar'!Q$3</f>
        <v>0</v>
      </c>
      <c r="O327">
        <f>'Kullanılan gübre'!O327*'Gübre oranlar'!R$3</f>
        <v>0</v>
      </c>
      <c r="P327">
        <f>'Kullanılan gübre'!P327*'Gübre oranlar'!S$3</f>
        <v>0</v>
      </c>
      <c r="Q327">
        <f>'Kullanılan gübre'!Q327*'Gübre oranlar'!T$3</f>
        <v>0</v>
      </c>
      <c r="R327">
        <f>'Kullanılan gübre'!R327*'Gübre oranlar'!U$3</f>
        <v>0</v>
      </c>
      <c r="S327">
        <f>'Kullanılan gübre'!S327*'Gübre oranlar'!V$3</f>
        <v>0</v>
      </c>
      <c r="T327">
        <f>'Kullanılan gübre'!T327*'Gübre oranlar'!W$3</f>
        <v>0</v>
      </c>
      <c r="U327">
        <f>'Kullanılan gübre'!U327*'Gübre oranlar'!X$3</f>
        <v>0</v>
      </c>
      <c r="V327">
        <f>'Kullanılan gübre'!V327*'Gübre oranlar'!Y$3</f>
        <v>0</v>
      </c>
      <c r="W327">
        <f>'Kullanılan gübre'!W327*'Gübre oranlar'!Z$3</f>
        <v>0</v>
      </c>
      <c r="X327">
        <f>'Kullanılan gübre'!X327*'Gübre oranlar'!AA$3</f>
        <v>0</v>
      </c>
      <c r="Y327">
        <f>'Kullanılan gübre'!Y327*'Gübre oranlar'!AB$3</f>
        <v>0</v>
      </c>
      <c r="Z327">
        <f>'Kullanılan gübre'!Z327*'Gübre oranlar'!AC$3</f>
        <v>0</v>
      </c>
      <c r="AA327">
        <f>'Kullanılan gübre'!AA327*'Gübre oranlar'!AD$3</f>
        <v>0</v>
      </c>
      <c r="AB327">
        <f>'Kullanılan gübre'!AB327*'Gübre oranlar'!AE$3</f>
        <v>0</v>
      </c>
      <c r="AC327">
        <f>'Kullanılan gübre'!AC327*'Gübre oranlar'!AF$3</f>
        <v>0</v>
      </c>
      <c r="AD327">
        <f>'Kullanılan gübre'!AD327*'Gübre oranlar'!AG$3</f>
        <v>0</v>
      </c>
      <c r="AE327">
        <f>'Kullanılan gübre'!AE327*'Gübre oranlar'!AH$3</f>
        <v>0</v>
      </c>
      <c r="AF327">
        <f>'Kullanılan gübre'!AF327*'Gübre oranlar'!AI$3</f>
        <v>0</v>
      </c>
      <c r="AG327">
        <f>'Kullanılan gübre'!AG327*'Gübre oranlar'!AJ$3</f>
        <v>0</v>
      </c>
      <c r="AH327">
        <f>'Kullanılan gübre'!AH327*'Gübre oranlar'!AK$3</f>
        <v>0</v>
      </c>
      <c r="AI327">
        <f>'Kullanılan gübre'!AI327*'Gübre oranlar'!AL$3</f>
        <v>0</v>
      </c>
      <c r="AJ327">
        <f>'Kullanılan gübre'!AJ327*'Gübre oranlar'!AM$3</f>
        <v>0</v>
      </c>
      <c r="AK327">
        <f>'Kullanılan gübre'!AK327*'Gübre oranlar'!AN$3</f>
        <v>0</v>
      </c>
      <c r="AL327">
        <f>'Kullanılan gübre'!AL327*'Gübre oranlar'!AO$3</f>
        <v>0</v>
      </c>
      <c r="AM327">
        <f>'Kullanılan gübre'!AM327*'Gübre oranlar'!AP$3</f>
        <v>0</v>
      </c>
      <c r="AN327">
        <f>'Kullanılan gübre'!AN327*'Gübre oranlar'!AQ$3</f>
        <v>0</v>
      </c>
      <c r="AO327">
        <f>'Kullanılan gübre'!AO327*'Gübre oranlar'!AR$3</f>
        <v>0</v>
      </c>
      <c r="AP327">
        <f>'Kullanılan gübre'!AP327*'Gübre oranlar'!AS$3</f>
        <v>0</v>
      </c>
      <c r="AQ327">
        <f>'Kullanılan gübre'!AQ327*'Gübre oranlar'!AT$3</f>
        <v>0</v>
      </c>
      <c r="AR327">
        <f>'Kullanılan gübre'!AR327*'Gübre oranlar'!AU$3</f>
        <v>0</v>
      </c>
      <c r="AS327">
        <f>'Kullanılan gübre'!AS327*'Gübre oranlar'!AV$3</f>
        <v>0</v>
      </c>
      <c r="AT327">
        <f>'Kullanılan gübre'!AT327*'Gübre oranlar'!AW$3</f>
        <v>0</v>
      </c>
      <c r="AU327">
        <f>'Kullanılan gübre'!AU327*'Gübre oranlar'!AX$3</f>
        <v>0</v>
      </c>
      <c r="AV327">
        <f>'Kullanılan gübre'!AV327*'Gübre oranlar'!AY$3</f>
        <v>0</v>
      </c>
      <c r="AW327">
        <f t="shared" si="5"/>
        <v>27.59</v>
      </c>
    </row>
    <row r="328" spans="1:49" x14ac:dyDescent="0.25">
      <c r="A328" t="str">
        <f>'Kullanılan gübre'!A328</f>
        <v>YI</v>
      </c>
      <c r="B328" t="str">
        <f>'Kullanılan gübre'!B328</f>
        <v>TOKAT</v>
      </c>
      <c r="C328" t="str">
        <f>'Kullanılan gübre'!C328</f>
        <v>TURHAL</v>
      </c>
      <c r="D328">
        <f>'Kullanılan gübre'!D328</f>
        <v>2010</v>
      </c>
      <c r="E328">
        <f>'Kullanılan gübre'!E328*'Gübre oranlar'!H$3</f>
        <v>0</v>
      </c>
      <c r="F328">
        <f>'Kullanılan gübre'!F328*'Gübre oranlar'!I$3</f>
        <v>0</v>
      </c>
      <c r="G328">
        <f>'Kullanılan gübre'!G328*'Gübre oranlar'!J$3</f>
        <v>0</v>
      </c>
      <c r="H328">
        <f>'Kullanılan gübre'!H328*'Gübre oranlar'!K$3</f>
        <v>0</v>
      </c>
      <c r="I328">
        <f>'Kullanılan gübre'!I328*'Gübre oranlar'!L$3</f>
        <v>8.9224999999999994</v>
      </c>
      <c r="J328">
        <f>'Kullanılan gübre'!J328*'Gübre oranlar'!M$3</f>
        <v>0</v>
      </c>
      <c r="K328">
        <f>'Kullanılan gübre'!K328*'Gübre oranlar'!N$3</f>
        <v>1.26</v>
      </c>
      <c r="L328">
        <f>'Kullanılan gübre'!L328*'Gübre oranlar'!O$3</f>
        <v>29.430000000000003</v>
      </c>
      <c r="M328">
        <f>'Kullanılan gübre'!M328*'Gübre oranlar'!P$3</f>
        <v>2.5425</v>
      </c>
      <c r="N328">
        <f>'Kullanılan gübre'!N328*'Gübre oranlar'!Q$3</f>
        <v>3.51</v>
      </c>
      <c r="O328">
        <f>'Kullanılan gübre'!O328*'Gübre oranlar'!R$3</f>
        <v>0</v>
      </c>
      <c r="P328">
        <f>'Kullanılan gübre'!P328*'Gübre oranlar'!S$3</f>
        <v>0</v>
      </c>
      <c r="Q328">
        <f>'Kullanılan gübre'!Q328*'Gübre oranlar'!T$3</f>
        <v>210.97499999999999</v>
      </c>
      <c r="R328">
        <f>'Kullanılan gübre'!R328*'Gübre oranlar'!U$3</f>
        <v>0</v>
      </c>
      <c r="S328">
        <f>'Kullanılan gübre'!S328*'Gübre oranlar'!V$3</f>
        <v>0</v>
      </c>
      <c r="T328">
        <f>'Kullanılan gübre'!T328*'Gübre oranlar'!W$3</f>
        <v>0</v>
      </c>
      <c r="U328">
        <f>'Kullanılan gübre'!U328*'Gübre oranlar'!X$3</f>
        <v>0</v>
      </c>
      <c r="V328">
        <f>'Kullanılan gübre'!V328*'Gübre oranlar'!Y$3</f>
        <v>0</v>
      </c>
      <c r="W328">
        <f>'Kullanılan gübre'!W328*'Gübre oranlar'!Z$3</f>
        <v>0</v>
      </c>
      <c r="X328">
        <f>'Kullanılan gübre'!X328*'Gübre oranlar'!AA$3</f>
        <v>0</v>
      </c>
      <c r="Y328">
        <f>'Kullanılan gübre'!Y328*'Gübre oranlar'!AB$3</f>
        <v>0</v>
      </c>
      <c r="Z328">
        <f>'Kullanılan gübre'!Z328*'Gübre oranlar'!AC$3</f>
        <v>0</v>
      </c>
      <c r="AA328">
        <f>'Kullanılan gübre'!AA328*'Gübre oranlar'!AD$3</f>
        <v>0</v>
      </c>
      <c r="AB328">
        <f>'Kullanılan gübre'!AB328*'Gübre oranlar'!AE$3</f>
        <v>0</v>
      </c>
      <c r="AC328">
        <f>'Kullanılan gübre'!AC328*'Gübre oranlar'!AF$3</f>
        <v>0</v>
      </c>
      <c r="AD328">
        <f>'Kullanılan gübre'!AD328*'Gübre oranlar'!AG$3</f>
        <v>0</v>
      </c>
      <c r="AE328">
        <f>'Kullanılan gübre'!AE328*'Gübre oranlar'!AH$3</f>
        <v>0</v>
      </c>
      <c r="AF328">
        <f>'Kullanılan gübre'!AF328*'Gübre oranlar'!AI$3</f>
        <v>0</v>
      </c>
      <c r="AG328">
        <f>'Kullanılan gübre'!AG328*'Gübre oranlar'!AJ$3</f>
        <v>0</v>
      </c>
      <c r="AH328">
        <f>'Kullanılan gübre'!AH328*'Gübre oranlar'!AK$3</f>
        <v>0</v>
      </c>
      <c r="AI328">
        <f>'Kullanılan gübre'!AI328*'Gübre oranlar'!AL$3</f>
        <v>0</v>
      </c>
      <c r="AJ328">
        <f>'Kullanılan gübre'!AJ328*'Gübre oranlar'!AM$3</f>
        <v>0</v>
      </c>
      <c r="AK328">
        <f>'Kullanılan gübre'!AK328*'Gübre oranlar'!AN$3</f>
        <v>0</v>
      </c>
      <c r="AL328">
        <f>'Kullanılan gübre'!AL328*'Gübre oranlar'!AO$3</f>
        <v>0</v>
      </c>
      <c r="AM328">
        <f>'Kullanılan gübre'!AM328*'Gübre oranlar'!AP$3</f>
        <v>0</v>
      </c>
      <c r="AN328">
        <f>'Kullanılan gübre'!AN328*'Gübre oranlar'!AQ$3</f>
        <v>0</v>
      </c>
      <c r="AO328">
        <f>'Kullanılan gübre'!AO328*'Gübre oranlar'!AR$3</f>
        <v>0</v>
      </c>
      <c r="AP328">
        <f>'Kullanılan gübre'!AP328*'Gübre oranlar'!AS$3</f>
        <v>0</v>
      </c>
      <c r="AQ328">
        <f>'Kullanılan gübre'!AQ328*'Gübre oranlar'!AT$3</f>
        <v>0</v>
      </c>
      <c r="AR328">
        <f>'Kullanılan gübre'!AR328*'Gübre oranlar'!AU$3</f>
        <v>0</v>
      </c>
      <c r="AS328">
        <f>'Kullanılan gübre'!AS328*'Gübre oranlar'!AV$3</f>
        <v>0</v>
      </c>
      <c r="AT328">
        <f>'Kullanılan gübre'!AT328*'Gübre oranlar'!AW$3</f>
        <v>0</v>
      </c>
      <c r="AU328">
        <f>'Kullanılan gübre'!AU328*'Gübre oranlar'!AX$3</f>
        <v>0</v>
      </c>
      <c r="AV328">
        <f>'Kullanılan gübre'!AV328*'Gübre oranlar'!AY$3</f>
        <v>0</v>
      </c>
      <c r="AW328">
        <f t="shared" si="5"/>
        <v>256.64</v>
      </c>
    </row>
    <row r="329" spans="1:49" x14ac:dyDescent="0.25">
      <c r="A329" t="str">
        <f>'Kullanılan gübre'!A329</f>
        <v>YI</v>
      </c>
      <c r="B329" t="str">
        <f>'Kullanılan gübre'!B329</f>
        <v>TOKAT</v>
      </c>
      <c r="C329" t="str">
        <f>'Kullanılan gübre'!C329</f>
        <v>YESILYURT</v>
      </c>
      <c r="D329">
        <f>'Kullanılan gübre'!D329</f>
        <v>2010</v>
      </c>
      <c r="E329">
        <f>'Kullanılan gübre'!E329*'Gübre oranlar'!H$3</f>
        <v>0</v>
      </c>
      <c r="F329">
        <f>'Kullanılan gübre'!F329*'Gübre oranlar'!I$3</f>
        <v>0</v>
      </c>
      <c r="G329">
        <f>'Kullanılan gübre'!G329*'Gübre oranlar'!J$3</f>
        <v>0</v>
      </c>
      <c r="H329">
        <f>'Kullanılan gübre'!H329*'Gübre oranlar'!K$3</f>
        <v>0</v>
      </c>
      <c r="I329">
        <f>'Kullanılan gübre'!I329*'Gübre oranlar'!L$3</f>
        <v>0</v>
      </c>
      <c r="J329">
        <f>'Kullanılan gübre'!J329*'Gübre oranlar'!M$3</f>
        <v>0</v>
      </c>
      <c r="K329">
        <f>'Kullanılan gübre'!K329*'Gübre oranlar'!N$3</f>
        <v>16.240000000000002</v>
      </c>
      <c r="L329">
        <f>'Kullanılan gübre'!L329*'Gübre oranlar'!O$3</f>
        <v>20.130000000000003</v>
      </c>
      <c r="M329">
        <f>'Kullanılan gübre'!M329*'Gübre oranlar'!P$3</f>
        <v>0</v>
      </c>
      <c r="N329">
        <f>'Kullanılan gübre'!N329*'Gübre oranlar'!Q$3</f>
        <v>9.75</v>
      </c>
      <c r="O329">
        <f>'Kullanılan gübre'!O329*'Gübre oranlar'!R$3</f>
        <v>0</v>
      </c>
      <c r="P329">
        <f>'Kullanılan gübre'!P329*'Gübre oranlar'!S$3</f>
        <v>0</v>
      </c>
      <c r="Q329">
        <f>'Kullanılan gübre'!Q329*'Gübre oranlar'!T$3</f>
        <v>0</v>
      </c>
      <c r="R329">
        <f>'Kullanılan gübre'!R329*'Gübre oranlar'!U$3</f>
        <v>0</v>
      </c>
      <c r="S329">
        <f>'Kullanılan gübre'!S329*'Gübre oranlar'!V$3</f>
        <v>0</v>
      </c>
      <c r="T329">
        <f>'Kullanılan gübre'!T329*'Gübre oranlar'!W$3</f>
        <v>0</v>
      </c>
      <c r="U329">
        <f>'Kullanılan gübre'!U329*'Gübre oranlar'!X$3</f>
        <v>0</v>
      </c>
      <c r="V329">
        <f>'Kullanılan gübre'!V329*'Gübre oranlar'!Y$3</f>
        <v>0</v>
      </c>
      <c r="W329">
        <f>'Kullanılan gübre'!W329*'Gübre oranlar'!Z$3</f>
        <v>0</v>
      </c>
      <c r="X329">
        <f>'Kullanılan gübre'!X329*'Gübre oranlar'!AA$3</f>
        <v>0</v>
      </c>
      <c r="Y329">
        <f>'Kullanılan gübre'!Y329*'Gübre oranlar'!AB$3</f>
        <v>0</v>
      </c>
      <c r="Z329">
        <f>'Kullanılan gübre'!Z329*'Gübre oranlar'!AC$3</f>
        <v>0</v>
      </c>
      <c r="AA329">
        <f>'Kullanılan gübre'!AA329*'Gübre oranlar'!AD$3</f>
        <v>0</v>
      </c>
      <c r="AB329">
        <f>'Kullanılan gübre'!AB329*'Gübre oranlar'!AE$3</f>
        <v>0</v>
      </c>
      <c r="AC329">
        <f>'Kullanılan gübre'!AC329*'Gübre oranlar'!AF$3</f>
        <v>0</v>
      </c>
      <c r="AD329">
        <f>'Kullanılan gübre'!AD329*'Gübre oranlar'!AG$3</f>
        <v>0</v>
      </c>
      <c r="AE329">
        <f>'Kullanılan gübre'!AE329*'Gübre oranlar'!AH$3</f>
        <v>0</v>
      </c>
      <c r="AF329">
        <f>'Kullanılan gübre'!AF329*'Gübre oranlar'!AI$3</f>
        <v>0</v>
      </c>
      <c r="AG329">
        <f>'Kullanılan gübre'!AG329*'Gübre oranlar'!AJ$3</f>
        <v>0</v>
      </c>
      <c r="AH329">
        <f>'Kullanılan gübre'!AH329*'Gübre oranlar'!AK$3</f>
        <v>0</v>
      </c>
      <c r="AI329">
        <f>'Kullanılan gübre'!AI329*'Gübre oranlar'!AL$3</f>
        <v>0</v>
      </c>
      <c r="AJ329">
        <f>'Kullanılan gübre'!AJ329*'Gübre oranlar'!AM$3</f>
        <v>0</v>
      </c>
      <c r="AK329">
        <f>'Kullanılan gübre'!AK329*'Gübre oranlar'!AN$3</f>
        <v>0</v>
      </c>
      <c r="AL329">
        <f>'Kullanılan gübre'!AL329*'Gübre oranlar'!AO$3</f>
        <v>0</v>
      </c>
      <c r="AM329">
        <f>'Kullanılan gübre'!AM329*'Gübre oranlar'!AP$3</f>
        <v>0</v>
      </c>
      <c r="AN329">
        <f>'Kullanılan gübre'!AN329*'Gübre oranlar'!AQ$3</f>
        <v>0</v>
      </c>
      <c r="AO329">
        <f>'Kullanılan gübre'!AO329*'Gübre oranlar'!AR$3</f>
        <v>0</v>
      </c>
      <c r="AP329">
        <f>'Kullanılan gübre'!AP329*'Gübre oranlar'!AS$3</f>
        <v>0</v>
      </c>
      <c r="AQ329">
        <f>'Kullanılan gübre'!AQ329*'Gübre oranlar'!AT$3</f>
        <v>0</v>
      </c>
      <c r="AR329">
        <f>'Kullanılan gübre'!AR329*'Gübre oranlar'!AU$3</f>
        <v>0</v>
      </c>
      <c r="AS329">
        <f>'Kullanılan gübre'!AS329*'Gübre oranlar'!AV$3</f>
        <v>0</v>
      </c>
      <c r="AT329">
        <f>'Kullanılan gübre'!AT329*'Gübre oranlar'!AW$3</f>
        <v>0</v>
      </c>
      <c r="AU329">
        <f>'Kullanılan gübre'!AU329*'Gübre oranlar'!AX$3</f>
        <v>0</v>
      </c>
      <c r="AV329">
        <f>'Kullanılan gübre'!AV329*'Gübre oranlar'!AY$3</f>
        <v>0</v>
      </c>
      <c r="AW329">
        <f t="shared" si="5"/>
        <v>46.120000000000005</v>
      </c>
    </row>
    <row r="330" spans="1:49" x14ac:dyDescent="0.25">
      <c r="A330" t="str">
        <f>'Kullanılan gübre'!A330</f>
        <v>YI</v>
      </c>
      <c r="B330" t="str">
        <f>'Kullanılan gübre'!B330</f>
        <v>TOKAT</v>
      </c>
      <c r="C330" t="str">
        <f>'Kullanılan gübre'!C330</f>
        <v>ZILE</v>
      </c>
      <c r="D330">
        <f>'Kullanılan gübre'!D330</f>
        <v>2010</v>
      </c>
      <c r="E330">
        <f>'Kullanılan gübre'!E330*'Gübre oranlar'!H$3</f>
        <v>0</v>
      </c>
      <c r="F330">
        <f>'Kullanılan gübre'!F330*'Gübre oranlar'!I$3</f>
        <v>0</v>
      </c>
      <c r="G330">
        <f>'Kullanılan gübre'!G330*'Gübre oranlar'!J$3</f>
        <v>0</v>
      </c>
      <c r="H330">
        <f>'Kullanılan gübre'!H330*'Gübre oranlar'!K$3</f>
        <v>0</v>
      </c>
      <c r="I330">
        <f>'Kullanılan gübre'!I330*'Gübre oranlar'!L$3</f>
        <v>4.3</v>
      </c>
      <c r="J330">
        <f>'Kullanılan gübre'!J330*'Gübre oranlar'!M$3</f>
        <v>0</v>
      </c>
      <c r="K330">
        <f>'Kullanılan gübre'!K330*'Gübre oranlar'!N$3</f>
        <v>360.83000000000004</v>
      </c>
      <c r="L330">
        <f>'Kullanılan gübre'!L330*'Gübre oranlar'!O$3</f>
        <v>158.34000000000003</v>
      </c>
      <c r="M330">
        <f>'Kullanılan gübre'!M330*'Gübre oranlar'!P$3</f>
        <v>33.734999999999999</v>
      </c>
      <c r="N330">
        <f>'Kullanılan gübre'!N330*'Gübre oranlar'!Q$3</f>
        <v>3.3</v>
      </c>
      <c r="O330">
        <f>'Kullanılan gübre'!O330*'Gübre oranlar'!R$3</f>
        <v>0</v>
      </c>
      <c r="P330">
        <f>'Kullanılan gübre'!P330*'Gübre oranlar'!S$3</f>
        <v>0</v>
      </c>
      <c r="Q330">
        <f>'Kullanılan gübre'!Q330*'Gübre oranlar'!T$3</f>
        <v>0</v>
      </c>
      <c r="R330">
        <f>'Kullanılan gübre'!R330*'Gübre oranlar'!U$3</f>
        <v>0</v>
      </c>
      <c r="S330">
        <f>'Kullanılan gübre'!S330*'Gübre oranlar'!V$3</f>
        <v>0</v>
      </c>
      <c r="T330">
        <f>'Kullanılan gübre'!T330*'Gübre oranlar'!W$3</f>
        <v>0</v>
      </c>
      <c r="U330">
        <f>'Kullanılan gübre'!U330*'Gübre oranlar'!X$3</f>
        <v>0</v>
      </c>
      <c r="V330">
        <f>'Kullanılan gübre'!V330*'Gübre oranlar'!Y$3</f>
        <v>0</v>
      </c>
      <c r="W330">
        <f>'Kullanılan gübre'!W330*'Gübre oranlar'!Z$3</f>
        <v>0</v>
      </c>
      <c r="X330">
        <f>'Kullanılan gübre'!X330*'Gübre oranlar'!AA$3</f>
        <v>0</v>
      </c>
      <c r="Y330">
        <f>'Kullanılan gübre'!Y330*'Gübre oranlar'!AB$3</f>
        <v>0</v>
      </c>
      <c r="Z330">
        <f>'Kullanılan gübre'!Z330*'Gübre oranlar'!AC$3</f>
        <v>0</v>
      </c>
      <c r="AA330">
        <f>'Kullanılan gübre'!AA330*'Gübre oranlar'!AD$3</f>
        <v>0</v>
      </c>
      <c r="AB330">
        <f>'Kullanılan gübre'!AB330*'Gübre oranlar'!AE$3</f>
        <v>0</v>
      </c>
      <c r="AC330">
        <f>'Kullanılan gübre'!AC330*'Gübre oranlar'!AF$3</f>
        <v>0</v>
      </c>
      <c r="AD330">
        <f>'Kullanılan gübre'!AD330*'Gübre oranlar'!AG$3</f>
        <v>0</v>
      </c>
      <c r="AE330">
        <f>'Kullanılan gübre'!AE330*'Gübre oranlar'!AH$3</f>
        <v>0</v>
      </c>
      <c r="AF330">
        <f>'Kullanılan gübre'!AF330*'Gübre oranlar'!AI$3</f>
        <v>0</v>
      </c>
      <c r="AG330">
        <f>'Kullanılan gübre'!AG330*'Gübre oranlar'!AJ$3</f>
        <v>0</v>
      </c>
      <c r="AH330">
        <f>'Kullanılan gübre'!AH330*'Gübre oranlar'!AK$3</f>
        <v>0</v>
      </c>
      <c r="AI330">
        <f>'Kullanılan gübre'!AI330*'Gübre oranlar'!AL$3</f>
        <v>0</v>
      </c>
      <c r="AJ330">
        <f>'Kullanılan gübre'!AJ330*'Gübre oranlar'!AM$3</f>
        <v>0</v>
      </c>
      <c r="AK330">
        <f>'Kullanılan gübre'!AK330*'Gübre oranlar'!AN$3</f>
        <v>0</v>
      </c>
      <c r="AL330">
        <f>'Kullanılan gübre'!AL330*'Gübre oranlar'!AO$3</f>
        <v>0</v>
      </c>
      <c r="AM330">
        <f>'Kullanılan gübre'!AM330*'Gübre oranlar'!AP$3</f>
        <v>0</v>
      </c>
      <c r="AN330">
        <f>'Kullanılan gübre'!AN330*'Gübre oranlar'!AQ$3</f>
        <v>0</v>
      </c>
      <c r="AO330">
        <f>'Kullanılan gübre'!AO330*'Gübre oranlar'!AR$3</f>
        <v>0</v>
      </c>
      <c r="AP330">
        <f>'Kullanılan gübre'!AP330*'Gübre oranlar'!AS$3</f>
        <v>0</v>
      </c>
      <c r="AQ330">
        <f>'Kullanılan gübre'!AQ330*'Gübre oranlar'!AT$3</f>
        <v>0</v>
      </c>
      <c r="AR330">
        <f>'Kullanılan gübre'!AR330*'Gübre oranlar'!AU$3</f>
        <v>0</v>
      </c>
      <c r="AS330">
        <f>'Kullanılan gübre'!AS330*'Gübre oranlar'!AV$3</f>
        <v>0</v>
      </c>
      <c r="AT330">
        <f>'Kullanılan gübre'!AT330*'Gübre oranlar'!AW$3</f>
        <v>0</v>
      </c>
      <c r="AU330">
        <f>'Kullanılan gübre'!AU330*'Gübre oranlar'!AX$3</f>
        <v>0</v>
      </c>
      <c r="AV330">
        <f>'Kullanılan gübre'!AV330*'Gübre oranlar'!AY$3</f>
        <v>0</v>
      </c>
      <c r="AW330">
        <f t="shared" si="5"/>
        <v>560.505</v>
      </c>
    </row>
    <row r="331" spans="1:49" x14ac:dyDescent="0.25">
      <c r="A331" t="str">
        <f>'Kullanılan gübre'!A331</f>
        <v>YI</v>
      </c>
      <c r="B331" t="str">
        <f>'Kullanılan gübre'!B331</f>
        <v>TOKAT</v>
      </c>
      <c r="C331" t="str">
        <f>'Kullanılan gübre'!C331</f>
        <v>MERKEZ</v>
      </c>
      <c r="D331">
        <f>'Kullanılan gübre'!D331</f>
        <v>2011</v>
      </c>
      <c r="E331">
        <f>'Kullanılan gübre'!E331*'Gübre oranlar'!H$3</f>
        <v>0</v>
      </c>
      <c r="F331">
        <f>'Kullanılan gübre'!F331*'Gübre oranlar'!I$3</f>
        <v>0</v>
      </c>
      <c r="G331">
        <f>'Kullanılan gübre'!G331*'Gübre oranlar'!J$3</f>
        <v>0</v>
      </c>
      <c r="H331">
        <f>'Kullanılan gübre'!H331*'Gübre oranlar'!K$3</f>
        <v>0</v>
      </c>
      <c r="I331">
        <f>'Kullanılan gübre'!I331*'Gübre oranlar'!L$3</f>
        <v>7.4819999999999993</v>
      </c>
      <c r="J331">
        <f>'Kullanılan gübre'!J331*'Gübre oranlar'!M$3</f>
        <v>0</v>
      </c>
      <c r="K331">
        <f>'Kullanılan gübre'!K331*'Gübre oranlar'!N$3</f>
        <v>23.980000000000004</v>
      </c>
      <c r="L331">
        <f>'Kullanılan gübre'!L331*'Gübre oranlar'!O$3</f>
        <v>14.16</v>
      </c>
      <c r="M331">
        <f>'Kullanılan gübre'!M331*'Gübre oranlar'!P$3</f>
        <v>6.57</v>
      </c>
      <c r="N331">
        <f>'Kullanılan gübre'!N331*'Gübre oranlar'!Q$3</f>
        <v>17.657999999999998</v>
      </c>
      <c r="O331">
        <f>'Kullanılan gübre'!O331*'Gübre oranlar'!R$3</f>
        <v>0</v>
      </c>
      <c r="P331">
        <f>'Kullanılan gübre'!P331*'Gübre oranlar'!S$3</f>
        <v>0</v>
      </c>
      <c r="Q331">
        <f>'Kullanılan gübre'!Q331*'Gübre oranlar'!T$3</f>
        <v>0</v>
      </c>
      <c r="R331">
        <f>'Kullanılan gübre'!R331*'Gübre oranlar'!U$3</f>
        <v>0</v>
      </c>
      <c r="S331">
        <f>'Kullanılan gübre'!S331*'Gübre oranlar'!V$3</f>
        <v>0</v>
      </c>
      <c r="T331">
        <f>'Kullanılan gübre'!T331*'Gübre oranlar'!W$3</f>
        <v>0</v>
      </c>
      <c r="U331">
        <f>'Kullanılan gübre'!U331*'Gübre oranlar'!X$3</f>
        <v>0</v>
      </c>
      <c r="V331">
        <f>'Kullanılan gübre'!V331*'Gübre oranlar'!Y$3</f>
        <v>0</v>
      </c>
      <c r="W331">
        <f>'Kullanılan gübre'!W331*'Gübre oranlar'!Z$3</f>
        <v>0</v>
      </c>
      <c r="X331">
        <f>'Kullanılan gübre'!X331*'Gübre oranlar'!AA$3</f>
        <v>0</v>
      </c>
      <c r="Y331">
        <f>'Kullanılan gübre'!Y331*'Gübre oranlar'!AB$3</f>
        <v>0</v>
      </c>
      <c r="Z331">
        <f>'Kullanılan gübre'!Z331*'Gübre oranlar'!AC$3</f>
        <v>0</v>
      </c>
      <c r="AA331">
        <f>'Kullanılan gübre'!AA331*'Gübre oranlar'!AD$3</f>
        <v>0</v>
      </c>
      <c r="AB331">
        <f>'Kullanılan gübre'!AB331*'Gübre oranlar'!AE$3</f>
        <v>0</v>
      </c>
      <c r="AC331">
        <f>'Kullanılan gübre'!AC331*'Gübre oranlar'!AF$3</f>
        <v>0</v>
      </c>
      <c r="AD331">
        <f>'Kullanılan gübre'!AD331*'Gübre oranlar'!AG$3</f>
        <v>0</v>
      </c>
      <c r="AE331">
        <f>'Kullanılan gübre'!AE331*'Gübre oranlar'!AH$3</f>
        <v>0</v>
      </c>
      <c r="AF331">
        <f>'Kullanılan gübre'!AF331*'Gübre oranlar'!AI$3</f>
        <v>0</v>
      </c>
      <c r="AG331">
        <f>'Kullanılan gübre'!AG331*'Gübre oranlar'!AJ$3</f>
        <v>0</v>
      </c>
      <c r="AH331">
        <f>'Kullanılan gübre'!AH331*'Gübre oranlar'!AK$3</f>
        <v>0</v>
      </c>
      <c r="AI331">
        <f>'Kullanılan gübre'!AI331*'Gübre oranlar'!AL$3</f>
        <v>0</v>
      </c>
      <c r="AJ331">
        <f>'Kullanılan gübre'!AJ331*'Gübre oranlar'!AM$3</f>
        <v>0</v>
      </c>
      <c r="AK331">
        <f>'Kullanılan gübre'!AK331*'Gübre oranlar'!AN$3</f>
        <v>0</v>
      </c>
      <c r="AL331">
        <f>'Kullanılan gübre'!AL331*'Gübre oranlar'!AO$3</f>
        <v>0</v>
      </c>
      <c r="AM331">
        <f>'Kullanılan gübre'!AM331*'Gübre oranlar'!AP$3</f>
        <v>0</v>
      </c>
      <c r="AN331">
        <f>'Kullanılan gübre'!AN331*'Gübre oranlar'!AQ$3</f>
        <v>0</v>
      </c>
      <c r="AO331">
        <f>'Kullanılan gübre'!AO331*'Gübre oranlar'!AR$3</f>
        <v>0</v>
      </c>
      <c r="AP331">
        <f>'Kullanılan gübre'!AP331*'Gübre oranlar'!AS$3</f>
        <v>0</v>
      </c>
      <c r="AQ331">
        <f>'Kullanılan gübre'!AQ331*'Gübre oranlar'!AT$3</f>
        <v>0</v>
      </c>
      <c r="AR331">
        <f>'Kullanılan gübre'!AR331*'Gübre oranlar'!AU$3</f>
        <v>0</v>
      </c>
      <c r="AS331">
        <f>'Kullanılan gübre'!AS331*'Gübre oranlar'!AV$3</f>
        <v>0</v>
      </c>
      <c r="AT331">
        <f>'Kullanılan gübre'!AT331*'Gübre oranlar'!AW$3</f>
        <v>0</v>
      </c>
      <c r="AU331">
        <f>'Kullanılan gübre'!AU331*'Gübre oranlar'!AX$3</f>
        <v>0</v>
      </c>
      <c r="AV331">
        <f>'Kullanılan gübre'!AV331*'Gübre oranlar'!AY$3</f>
        <v>0</v>
      </c>
      <c r="AW331">
        <f t="shared" si="5"/>
        <v>69.849999999999994</v>
      </c>
    </row>
    <row r="332" spans="1:49" x14ac:dyDescent="0.25">
      <c r="A332" t="str">
        <f>'Kullanılan gübre'!A332</f>
        <v>YI</v>
      </c>
      <c r="B332" t="str">
        <f>'Kullanılan gübre'!B332</f>
        <v>TOKAT</v>
      </c>
      <c r="C332" t="str">
        <f>'Kullanılan gübre'!C332</f>
        <v>ALMUS</v>
      </c>
      <c r="D332">
        <f>'Kullanılan gübre'!D332</f>
        <v>2011</v>
      </c>
      <c r="E332">
        <f>'Kullanılan gübre'!E332*'Gübre oranlar'!H$3</f>
        <v>0</v>
      </c>
      <c r="F332">
        <f>'Kullanılan gübre'!F332*'Gübre oranlar'!I$3</f>
        <v>0</v>
      </c>
      <c r="G332">
        <f>'Kullanılan gübre'!G332*'Gübre oranlar'!J$3</f>
        <v>0</v>
      </c>
      <c r="H332">
        <f>'Kullanılan gübre'!H332*'Gübre oranlar'!K$3</f>
        <v>0</v>
      </c>
      <c r="I332">
        <f>'Kullanılan gübre'!I332*'Gübre oranlar'!L$3</f>
        <v>0</v>
      </c>
      <c r="J332">
        <f>'Kullanılan gübre'!J332*'Gübre oranlar'!M$3</f>
        <v>0</v>
      </c>
      <c r="K332">
        <f>'Kullanılan gübre'!K332*'Gübre oranlar'!N$3</f>
        <v>0.70000000000000007</v>
      </c>
      <c r="L332">
        <f>'Kullanılan gübre'!L332*'Gübre oranlar'!O$3</f>
        <v>0</v>
      </c>
      <c r="M332">
        <f>'Kullanılan gübre'!M332*'Gübre oranlar'!P$3</f>
        <v>0</v>
      </c>
      <c r="N332">
        <f>'Kullanılan gübre'!N332*'Gübre oranlar'!Q$3</f>
        <v>0</v>
      </c>
      <c r="O332">
        <f>'Kullanılan gübre'!O332*'Gübre oranlar'!R$3</f>
        <v>0</v>
      </c>
      <c r="P332">
        <f>'Kullanılan gübre'!P332*'Gübre oranlar'!S$3</f>
        <v>0</v>
      </c>
      <c r="Q332">
        <f>'Kullanılan gübre'!Q332*'Gübre oranlar'!T$3</f>
        <v>0</v>
      </c>
      <c r="R332">
        <f>'Kullanılan gübre'!R332*'Gübre oranlar'!U$3</f>
        <v>0</v>
      </c>
      <c r="S332">
        <f>'Kullanılan gübre'!S332*'Gübre oranlar'!V$3</f>
        <v>0</v>
      </c>
      <c r="T332">
        <f>'Kullanılan gübre'!T332*'Gübre oranlar'!W$3</f>
        <v>0</v>
      </c>
      <c r="U332">
        <f>'Kullanılan gübre'!U332*'Gübre oranlar'!X$3</f>
        <v>0</v>
      </c>
      <c r="V332">
        <f>'Kullanılan gübre'!V332*'Gübre oranlar'!Y$3</f>
        <v>0</v>
      </c>
      <c r="W332">
        <f>'Kullanılan gübre'!W332*'Gübre oranlar'!Z$3</f>
        <v>0</v>
      </c>
      <c r="X332">
        <f>'Kullanılan gübre'!X332*'Gübre oranlar'!AA$3</f>
        <v>0</v>
      </c>
      <c r="Y332">
        <f>'Kullanılan gübre'!Y332*'Gübre oranlar'!AB$3</f>
        <v>0</v>
      </c>
      <c r="Z332">
        <f>'Kullanılan gübre'!Z332*'Gübre oranlar'!AC$3</f>
        <v>0</v>
      </c>
      <c r="AA332">
        <f>'Kullanılan gübre'!AA332*'Gübre oranlar'!AD$3</f>
        <v>0</v>
      </c>
      <c r="AB332">
        <f>'Kullanılan gübre'!AB332*'Gübre oranlar'!AE$3</f>
        <v>0</v>
      </c>
      <c r="AC332">
        <f>'Kullanılan gübre'!AC332*'Gübre oranlar'!AF$3</f>
        <v>0</v>
      </c>
      <c r="AD332">
        <f>'Kullanılan gübre'!AD332*'Gübre oranlar'!AG$3</f>
        <v>0</v>
      </c>
      <c r="AE332">
        <f>'Kullanılan gübre'!AE332*'Gübre oranlar'!AH$3</f>
        <v>0</v>
      </c>
      <c r="AF332">
        <f>'Kullanılan gübre'!AF332*'Gübre oranlar'!AI$3</f>
        <v>0</v>
      </c>
      <c r="AG332">
        <f>'Kullanılan gübre'!AG332*'Gübre oranlar'!AJ$3</f>
        <v>0</v>
      </c>
      <c r="AH332">
        <f>'Kullanılan gübre'!AH332*'Gübre oranlar'!AK$3</f>
        <v>0</v>
      </c>
      <c r="AI332">
        <f>'Kullanılan gübre'!AI332*'Gübre oranlar'!AL$3</f>
        <v>0</v>
      </c>
      <c r="AJ332">
        <f>'Kullanılan gübre'!AJ332*'Gübre oranlar'!AM$3</f>
        <v>0</v>
      </c>
      <c r="AK332">
        <f>'Kullanılan gübre'!AK332*'Gübre oranlar'!AN$3</f>
        <v>0</v>
      </c>
      <c r="AL332">
        <f>'Kullanılan gübre'!AL332*'Gübre oranlar'!AO$3</f>
        <v>0</v>
      </c>
      <c r="AM332">
        <f>'Kullanılan gübre'!AM332*'Gübre oranlar'!AP$3</f>
        <v>0</v>
      </c>
      <c r="AN332">
        <f>'Kullanılan gübre'!AN332*'Gübre oranlar'!AQ$3</f>
        <v>0</v>
      </c>
      <c r="AO332">
        <f>'Kullanılan gübre'!AO332*'Gübre oranlar'!AR$3</f>
        <v>0</v>
      </c>
      <c r="AP332">
        <f>'Kullanılan gübre'!AP332*'Gübre oranlar'!AS$3</f>
        <v>0</v>
      </c>
      <c r="AQ332">
        <f>'Kullanılan gübre'!AQ332*'Gübre oranlar'!AT$3</f>
        <v>0</v>
      </c>
      <c r="AR332">
        <f>'Kullanılan gübre'!AR332*'Gübre oranlar'!AU$3</f>
        <v>0</v>
      </c>
      <c r="AS332">
        <f>'Kullanılan gübre'!AS332*'Gübre oranlar'!AV$3</f>
        <v>0</v>
      </c>
      <c r="AT332">
        <f>'Kullanılan gübre'!AT332*'Gübre oranlar'!AW$3</f>
        <v>0</v>
      </c>
      <c r="AU332">
        <f>'Kullanılan gübre'!AU332*'Gübre oranlar'!AX$3</f>
        <v>0</v>
      </c>
      <c r="AV332">
        <f>'Kullanılan gübre'!AV332*'Gübre oranlar'!AY$3</f>
        <v>0</v>
      </c>
      <c r="AW332">
        <f t="shared" si="5"/>
        <v>0.70000000000000007</v>
      </c>
    </row>
    <row r="333" spans="1:49" x14ac:dyDescent="0.25">
      <c r="A333" t="str">
        <f>'Kullanılan gübre'!A333</f>
        <v>YI</v>
      </c>
      <c r="B333" t="str">
        <f>'Kullanılan gübre'!B333</f>
        <v>TOKAT</v>
      </c>
      <c r="C333" t="str">
        <f>'Kullanılan gübre'!C333</f>
        <v>ARTOVA</v>
      </c>
      <c r="D333">
        <f>'Kullanılan gübre'!D333</f>
        <v>2011</v>
      </c>
      <c r="E333">
        <f>'Kullanılan gübre'!E333*'Gübre oranlar'!H$3</f>
        <v>0</v>
      </c>
      <c r="F333">
        <f>'Kullanılan gübre'!F333*'Gübre oranlar'!I$3</f>
        <v>0</v>
      </c>
      <c r="G333">
        <f>'Kullanılan gübre'!G333*'Gübre oranlar'!J$3</f>
        <v>0</v>
      </c>
      <c r="H333">
        <f>'Kullanılan gübre'!H333*'Gübre oranlar'!K$3</f>
        <v>0</v>
      </c>
      <c r="I333">
        <f>'Kullanılan gübre'!I333*'Gübre oranlar'!L$3</f>
        <v>0</v>
      </c>
      <c r="J333">
        <f>'Kullanılan gübre'!J333*'Gübre oranlar'!M$3</f>
        <v>0</v>
      </c>
      <c r="K333">
        <f>'Kullanılan gübre'!K333*'Gübre oranlar'!N$3</f>
        <v>0</v>
      </c>
      <c r="L333">
        <f>'Kullanılan gübre'!L333*'Gübre oranlar'!O$3</f>
        <v>0</v>
      </c>
      <c r="M333">
        <f>'Kullanılan gübre'!M333*'Gübre oranlar'!P$3</f>
        <v>0</v>
      </c>
      <c r="N333">
        <f>'Kullanılan gübre'!N333*'Gübre oranlar'!Q$3</f>
        <v>0</v>
      </c>
      <c r="O333">
        <f>'Kullanılan gübre'!O333*'Gübre oranlar'!R$3</f>
        <v>0</v>
      </c>
      <c r="P333">
        <f>'Kullanılan gübre'!P333*'Gübre oranlar'!S$3</f>
        <v>0</v>
      </c>
      <c r="Q333">
        <f>'Kullanılan gübre'!Q333*'Gübre oranlar'!T$3</f>
        <v>0</v>
      </c>
      <c r="R333">
        <f>'Kullanılan gübre'!R333*'Gübre oranlar'!U$3</f>
        <v>0</v>
      </c>
      <c r="S333">
        <f>'Kullanılan gübre'!S333*'Gübre oranlar'!V$3</f>
        <v>0</v>
      </c>
      <c r="T333">
        <f>'Kullanılan gübre'!T333*'Gübre oranlar'!W$3</f>
        <v>0</v>
      </c>
      <c r="U333">
        <f>'Kullanılan gübre'!U333*'Gübre oranlar'!X$3</f>
        <v>0</v>
      </c>
      <c r="V333">
        <f>'Kullanılan gübre'!V333*'Gübre oranlar'!Y$3</f>
        <v>0</v>
      </c>
      <c r="W333">
        <f>'Kullanılan gübre'!W333*'Gübre oranlar'!Z$3</f>
        <v>0</v>
      </c>
      <c r="X333">
        <f>'Kullanılan gübre'!X333*'Gübre oranlar'!AA$3</f>
        <v>0</v>
      </c>
      <c r="Y333">
        <f>'Kullanılan gübre'!Y333*'Gübre oranlar'!AB$3</f>
        <v>0</v>
      </c>
      <c r="Z333">
        <f>'Kullanılan gübre'!Z333*'Gübre oranlar'!AC$3</f>
        <v>0</v>
      </c>
      <c r="AA333">
        <f>'Kullanılan gübre'!AA333*'Gübre oranlar'!AD$3</f>
        <v>0</v>
      </c>
      <c r="AB333">
        <f>'Kullanılan gübre'!AB333*'Gübre oranlar'!AE$3</f>
        <v>0</v>
      </c>
      <c r="AC333">
        <f>'Kullanılan gübre'!AC333*'Gübre oranlar'!AF$3</f>
        <v>0</v>
      </c>
      <c r="AD333">
        <f>'Kullanılan gübre'!AD333*'Gübre oranlar'!AG$3</f>
        <v>0</v>
      </c>
      <c r="AE333">
        <f>'Kullanılan gübre'!AE333*'Gübre oranlar'!AH$3</f>
        <v>0</v>
      </c>
      <c r="AF333">
        <f>'Kullanılan gübre'!AF333*'Gübre oranlar'!AI$3</f>
        <v>0</v>
      </c>
      <c r="AG333">
        <f>'Kullanılan gübre'!AG333*'Gübre oranlar'!AJ$3</f>
        <v>0</v>
      </c>
      <c r="AH333">
        <f>'Kullanılan gübre'!AH333*'Gübre oranlar'!AK$3</f>
        <v>0</v>
      </c>
      <c r="AI333">
        <f>'Kullanılan gübre'!AI333*'Gübre oranlar'!AL$3</f>
        <v>0</v>
      </c>
      <c r="AJ333">
        <f>'Kullanılan gübre'!AJ333*'Gübre oranlar'!AM$3</f>
        <v>0</v>
      </c>
      <c r="AK333">
        <f>'Kullanılan gübre'!AK333*'Gübre oranlar'!AN$3</f>
        <v>0</v>
      </c>
      <c r="AL333">
        <f>'Kullanılan gübre'!AL333*'Gübre oranlar'!AO$3</f>
        <v>0</v>
      </c>
      <c r="AM333">
        <f>'Kullanılan gübre'!AM333*'Gübre oranlar'!AP$3</f>
        <v>0</v>
      </c>
      <c r="AN333">
        <f>'Kullanılan gübre'!AN333*'Gübre oranlar'!AQ$3</f>
        <v>0</v>
      </c>
      <c r="AO333">
        <f>'Kullanılan gübre'!AO333*'Gübre oranlar'!AR$3</f>
        <v>0</v>
      </c>
      <c r="AP333">
        <f>'Kullanılan gübre'!AP333*'Gübre oranlar'!AS$3</f>
        <v>0</v>
      </c>
      <c r="AQ333">
        <f>'Kullanılan gübre'!AQ333*'Gübre oranlar'!AT$3</f>
        <v>0</v>
      </c>
      <c r="AR333">
        <f>'Kullanılan gübre'!AR333*'Gübre oranlar'!AU$3</f>
        <v>0</v>
      </c>
      <c r="AS333">
        <f>'Kullanılan gübre'!AS333*'Gübre oranlar'!AV$3</f>
        <v>0</v>
      </c>
      <c r="AT333">
        <f>'Kullanılan gübre'!AT333*'Gübre oranlar'!AW$3</f>
        <v>0</v>
      </c>
      <c r="AU333">
        <f>'Kullanılan gübre'!AU333*'Gübre oranlar'!AX$3</f>
        <v>0</v>
      </c>
      <c r="AV333">
        <f>'Kullanılan gübre'!AV333*'Gübre oranlar'!AY$3</f>
        <v>0</v>
      </c>
      <c r="AW333">
        <f t="shared" si="5"/>
        <v>0</v>
      </c>
    </row>
    <row r="334" spans="1:49" x14ac:dyDescent="0.25">
      <c r="A334" t="str">
        <f>'Kullanılan gübre'!A334</f>
        <v>YI</v>
      </c>
      <c r="B334" t="str">
        <f>'Kullanılan gübre'!B334</f>
        <v>TOKAT</v>
      </c>
      <c r="C334" t="str">
        <f>'Kullanılan gübre'!C334</f>
        <v>BASCIFTLIK</v>
      </c>
      <c r="D334">
        <f>'Kullanılan gübre'!D334</f>
        <v>2011</v>
      </c>
      <c r="E334">
        <f>'Kullanılan gübre'!E334*'Gübre oranlar'!H$3</f>
        <v>0</v>
      </c>
      <c r="F334">
        <f>'Kullanılan gübre'!F334*'Gübre oranlar'!I$3</f>
        <v>0</v>
      </c>
      <c r="G334">
        <f>'Kullanılan gübre'!G334*'Gübre oranlar'!J$3</f>
        <v>0</v>
      </c>
      <c r="H334">
        <f>'Kullanılan gübre'!H334*'Gübre oranlar'!K$3</f>
        <v>0</v>
      </c>
      <c r="I334">
        <f>'Kullanılan gübre'!I334*'Gübre oranlar'!L$3</f>
        <v>0</v>
      </c>
      <c r="J334">
        <f>'Kullanılan gübre'!J334*'Gübre oranlar'!M$3</f>
        <v>0</v>
      </c>
      <c r="K334">
        <f>'Kullanılan gübre'!K334*'Gübre oranlar'!N$3</f>
        <v>0</v>
      </c>
      <c r="L334">
        <f>'Kullanılan gübre'!L334*'Gübre oranlar'!O$3</f>
        <v>0</v>
      </c>
      <c r="M334">
        <f>'Kullanılan gübre'!M334*'Gübre oranlar'!P$3</f>
        <v>0</v>
      </c>
      <c r="N334">
        <f>'Kullanılan gübre'!N334*'Gübre oranlar'!Q$3</f>
        <v>0</v>
      </c>
      <c r="O334">
        <f>'Kullanılan gübre'!O334*'Gübre oranlar'!R$3</f>
        <v>0</v>
      </c>
      <c r="P334">
        <f>'Kullanılan gübre'!P334*'Gübre oranlar'!S$3</f>
        <v>0</v>
      </c>
      <c r="Q334">
        <f>'Kullanılan gübre'!Q334*'Gübre oranlar'!T$3</f>
        <v>0</v>
      </c>
      <c r="R334">
        <f>'Kullanılan gübre'!R334*'Gübre oranlar'!U$3</f>
        <v>0</v>
      </c>
      <c r="S334">
        <f>'Kullanılan gübre'!S334*'Gübre oranlar'!V$3</f>
        <v>0</v>
      </c>
      <c r="T334">
        <f>'Kullanılan gübre'!T334*'Gübre oranlar'!W$3</f>
        <v>0</v>
      </c>
      <c r="U334">
        <f>'Kullanılan gübre'!U334*'Gübre oranlar'!X$3</f>
        <v>0</v>
      </c>
      <c r="V334">
        <f>'Kullanılan gübre'!V334*'Gübre oranlar'!Y$3</f>
        <v>0</v>
      </c>
      <c r="W334">
        <f>'Kullanılan gübre'!W334*'Gübre oranlar'!Z$3</f>
        <v>0</v>
      </c>
      <c r="X334">
        <f>'Kullanılan gübre'!X334*'Gübre oranlar'!AA$3</f>
        <v>0</v>
      </c>
      <c r="Y334">
        <f>'Kullanılan gübre'!Y334*'Gübre oranlar'!AB$3</f>
        <v>0</v>
      </c>
      <c r="Z334">
        <f>'Kullanılan gübre'!Z334*'Gübre oranlar'!AC$3</f>
        <v>0</v>
      </c>
      <c r="AA334">
        <f>'Kullanılan gübre'!AA334*'Gübre oranlar'!AD$3</f>
        <v>0</v>
      </c>
      <c r="AB334">
        <f>'Kullanılan gübre'!AB334*'Gübre oranlar'!AE$3</f>
        <v>0</v>
      </c>
      <c r="AC334">
        <f>'Kullanılan gübre'!AC334*'Gübre oranlar'!AF$3</f>
        <v>0</v>
      </c>
      <c r="AD334">
        <f>'Kullanılan gübre'!AD334*'Gübre oranlar'!AG$3</f>
        <v>0</v>
      </c>
      <c r="AE334">
        <f>'Kullanılan gübre'!AE334*'Gübre oranlar'!AH$3</f>
        <v>0</v>
      </c>
      <c r="AF334">
        <f>'Kullanılan gübre'!AF334*'Gübre oranlar'!AI$3</f>
        <v>0</v>
      </c>
      <c r="AG334">
        <f>'Kullanılan gübre'!AG334*'Gübre oranlar'!AJ$3</f>
        <v>0</v>
      </c>
      <c r="AH334">
        <f>'Kullanılan gübre'!AH334*'Gübre oranlar'!AK$3</f>
        <v>0</v>
      </c>
      <c r="AI334">
        <f>'Kullanılan gübre'!AI334*'Gübre oranlar'!AL$3</f>
        <v>0</v>
      </c>
      <c r="AJ334">
        <f>'Kullanılan gübre'!AJ334*'Gübre oranlar'!AM$3</f>
        <v>0</v>
      </c>
      <c r="AK334">
        <f>'Kullanılan gübre'!AK334*'Gübre oranlar'!AN$3</f>
        <v>0</v>
      </c>
      <c r="AL334">
        <f>'Kullanılan gübre'!AL334*'Gübre oranlar'!AO$3</f>
        <v>0</v>
      </c>
      <c r="AM334">
        <f>'Kullanılan gübre'!AM334*'Gübre oranlar'!AP$3</f>
        <v>0</v>
      </c>
      <c r="AN334">
        <f>'Kullanılan gübre'!AN334*'Gübre oranlar'!AQ$3</f>
        <v>0</v>
      </c>
      <c r="AO334">
        <f>'Kullanılan gübre'!AO334*'Gübre oranlar'!AR$3</f>
        <v>0</v>
      </c>
      <c r="AP334">
        <f>'Kullanılan gübre'!AP334*'Gübre oranlar'!AS$3</f>
        <v>0</v>
      </c>
      <c r="AQ334">
        <f>'Kullanılan gübre'!AQ334*'Gübre oranlar'!AT$3</f>
        <v>0</v>
      </c>
      <c r="AR334">
        <f>'Kullanılan gübre'!AR334*'Gübre oranlar'!AU$3</f>
        <v>0</v>
      </c>
      <c r="AS334">
        <f>'Kullanılan gübre'!AS334*'Gübre oranlar'!AV$3</f>
        <v>0</v>
      </c>
      <c r="AT334">
        <f>'Kullanılan gübre'!AT334*'Gübre oranlar'!AW$3</f>
        <v>0</v>
      </c>
      <c r="AU334">
        <f>'Kullanılan gübre'!AU334*'Gübre oranlar'!AX$3</f>
        <v>0</v>
      </c>
      <c r="AV334">
        <f>'Kullanılan gübre'!AV334*'Gübre oranlar'!AY$3</f>
        <v>0</v>
      </c>
      <c r="AW334">
        <f t="shared" si="5"/>
        <v>0</v>
      </c>
    </row>
    <row r="335" spans="1:49" x14ac:dyDescent="0.25">
      <c r="A335" t="str">
        <f>'Kullanılan gübre'!A335</f>
        <v>YI</v>
      </c>
      <c r="B335" t="str">
        <f>'Kullanılan gübre'!B335</f>
        <v>TOKAT</v>
      </c>
      <c r="C335" t="str">
        <f>'Kullanılan gübre'!C335</f>
        <v>ERBAA</v>
      </c>
      <c r="D335">
        <f>'Kullanılan gübre'!D335</f>
        <v>2011</v>
      </c>
      <c r="E335">
        <f>'Kullanılan gübre'!E335*'Gübre oranlar'!H$3</f>
        <v>0</v>
      </c>
      <c r="F335">
        <f>'Kullanılan gübre'!F335*'Gübre oranlar'!I$3</f>
        <v>0</v>
      </c>
      <c r="G335">
        <f>'Kullanılan gübre'!G335*'Gübre oranlar'!J$3</f>
        <v>0</v>
      </c>
      <c r="H335">
        <f>'Kullanılan gübre'!H335*'Gübre oranlar'!K$3</f>
        <v>0</v>
      </c>
      <c r="I335">
        <f>'Kullanılan gübre'!I335*'Gübre oranlar'!L$3</f>
        <v>0</v>
      </c>
      <c r="J335">
        <f>'Kullanılan gübre'!J335*'Gübre oranlar'!M$3</f>
        <v>0</v>
      </c>
      <c r="K335">
        <f>'Kullanılan gübre'!K335*'Gübre oranlar'!N$3</f>
        <v>0</v>
      </c>
      <c r="L335">
        <f>'Kullanılan gübre'!L335*'Gübre oranlar'!O$3</f>
        <v>0</v>
      </c>
      <c r="M335">
        <f>'Kullanılan gübre'!M335*'Gübre oranlar'!P$3</f>
        <v>0</v>
      </c>
      <c r="N335">
        <f>'Kullanılan gübre'!N335*'Gübre oranlar'!Q$3</f>
        <v>0</v>
      </c>
      <c r="O335">
        <f>'Kullanılan gübre'!O335*'Gübre oranlar'!R$3</f>
        <v>0</v>
      </c>
      <c r="P335">
        <f>'Kullanılan gübre'!P335*'Gübre oranlar'!S$3</f>
        <v>0</v>
      </c>
      <c r="Q335">
        <f>'Kullanılan gübre'!Q335*'Gübre oranlar'!T$3</f>
        <v>0</v>
      </c>
      <c r="R335">
        <f>'Kullanılan gübre'!R335*'Gübre oranlar'!U$3</f>
        <v>0</v>
      </c>
      <c r="S335">
        <f>'Kullanılan gübre'!S335*'Gübre oranlar'!V$3</f>
        <v>0</v>
      </c>
      <c r="T335">
        <f>'Kullanılan gübre'!T335*'Gübre oranlar'!W$3</f>
        <v>0</v>
      </c>
      <c r="U335">
        <f>'Kullanılan gübre'!U335*'Gübre oranlar'!X$3</f>
        <v>0</v>
      </c>
      <c r="V335">
        <f>'Kullanılan gübre'!V335*'Gübre oranlar'!Y$3</f>
        <v>0</v>
      </c>
      <c r="W335">
        <f>'Kullanılan gübre'!W335*'Gübre oranlar'!Z$3</f>
        <v>0</v>
      </c>
      <c r="X335">
        <f>'Kullanılan gübre'!X335*'Gübre oranlar'!AA$3</f>
        <v>0</v>
      </c>
      <c r="Y335">
        <f>'Kullanılan gübre'!Y335*'Gübre oranlar'!AB$3</f>
        <v>0</v>
      </c>
      <c r="Z335">
        <f>'Kullanılan gübre'!Z335*'Gübre oranlar'!AC$3</f>
        <v>0</v>
      </c>
      <c r="AA335">
        <f>'Kullanılan gübre'!AA335*'Gübre oranlar'!AD$3</f>
        <v>0</v>
      </c>
      <c r="AB335">
        <f>'Kullanılan gübre'!AB335*'Gübre oranlar'!AE$3</f>
        <v>0</v>
      </c>
      <c r="AC335">
        <f>'Kullanılan gübre'!AC335*'Gübre oranlar'!AF$3</f>
        <v>0</v>
      </c>
      <c r="AD335">
        <f>'Kullanılan gübre'!AD335*'Gübre oranlar'!AG$3</f>
        <v>0</v>
      </c>
      <c r="AE335">
        <f>'Kullanılan gübre'!AE335*'Gübre oranlar'!AH$3</f>
        <v>0</v>
      </c>
      <c r="AF335">
        <f>'Kullanılan gübre'!AF335*'Gübre oranlar'!AI$3</f>
        <v>0</v>
      </c>
      <c r="AG335">
        <f>'Kullanılan gübre'!AG335*'Gübre oranlar'!AJ$3</f>
        <v>0</v>
      </c>
      <c r="AH335">
        <f>'Kullanılan gübre'!AH335*'Gübre oranlar'!AK$3</f>
        <v>0</v>
      </c>
      <c r="AI335">
        <f>'Kullanılan gübre'!AI335*'Gübre oranlar'!AL$3</f>
        <v>0</v>
      </c>
      <c r="AJ335">
        <f>'Kullanılan gübre'!AJ335*'Gübre oranlar'!AM$3</f>
        <v>0</v>
      </c>
      <c r="AK335">
        <f>'Kullanılan gübre'!AK335*'Gübre oranlar'!AN$3</f>
        <v>0</v>
      </c>
      <c r="AL335">
        <f>'Kullanılan gübre'!AL335*'Gübre oranlar'!AO$3</f>
        <v>0</v>
      </c>
      <c r="AM335">
        <f>'Kullanılan gübre'!AM335*'Gübre oranlar'!AP$3</f>
        <v>0</v>
      </c>
      <c r="AN335">
        <f>'Kullanılan gübre'!AN335*'Gübre oranlar'!AQ$3</f>
        <v>0</v>
      </c>
      <c r="AO335">
        <f>'Kullanılan gübre'!AO335*'Gübre oranlar'!AR$3</f>
        <v>0</v>
      </c>
      <c r="AP335">
        <f>'Kullanılan gübre'!AP335*'Gübre oranlar'!AS$3</f>
        <v>0</v>
      </c>
      <c r="AQ335">
        <f>'Kullanılan gübre'!AQ335*'Gübre oranlar'!AT$3</f>
        <v>0</v>
      </c>
      <c r="AR335">
        <f>'Kullanılan gübre'!AR335*'Gübre oranlar'!AU$3</f>
        <v>0</v>
      </c>
      <c r="AS335">
        <f>'Kullanılan gübre'!AS335*'Gübre oranlar'!AV$3</f>
        <v>0</v>
      </c>
      <c r="AT335">
        <f>'Kullanılan gübre'!AT335*'Gübre oranlar'!AW$3</f>
        <v>0</v>
      </c>
      <c r="AU335">
        <f>'Kullanılan gübre'!AU335*'Gübre oranlar'!AX$3</f>
        <v>0</v>
      </c>
      <c r="AV335">
        <f>'Kullanılan gübre'!AV335*'Gübre oranlar'!AY$3</f>
        <v>0</v>
      </c>
      <c r="AW335">
        <f t="shared" si="5"/>
        <v>0</v>
      </c>
    </row>
    <row r="336" spans="1:49" x14ac:dyDescent="0.25">
      <c r="A336" t="str">
        <f>'Kullanılan gübre'!A336</f>
        <v>YI</v>
      </c>
      <c r="B336" t="str">
        <f>'Kullanılan gübre'!B336</f>
        <v>TOKAT</v>
      </c>
      <c r="C336" t="str">
        <f>'Kullanılan gübre'!C336</f>
        <v>NIKSAR</v>
      </c>
      <c r="D336">
        <f>'Kullanılan gübre'!D336</f>
        <v>2011</v>
      </c>
      <c r="E336">
        <f>'Kullanılan gübre'!E336*'Gübre oranlar'!H$3</f>
        <v>0</v>
      </c>
      <c r="F336">
        <f>'Kullanılan gübre'!F336*'Gübre oranlar'!I$3</f>
        <v>0</v>
      </c>
      <c r="G336">
        <f>'Kullanılan gübre'!G336*'Gübre oranlar'!J$3</f>
        <v>0</v>
      </c>
      <c r="H336">
        <f>'Kullanılan gübre'!H336*'Gübre oranlar'!K$3</f>
        <v>0</v>
      </c>
      <c r="I336">
        <f>'Kullanılan gübre'!I336*'Gübre oranlar'!L$3</f>
        <v>0</v>
      </c>
      <c r="J336">
        <f>'Kullanılan gübre'!J336*'Gübre oranlar'!M$3</f>
        <v>0</v>
      </c>
      <c r="K336">
        <f>'Kullanılan gübre'!K336*'Gübre oranlar'!N$3</f>
        <v>0</v>
      </c>
      <c r="L336">
        <f>'Kullanılan gübre'!L336*'Gübre oranlar'!O$3</f>
        <v>0</v>
      </c>
      <c r="M336">
        <f>'Kullanılan gübre'!M336*'Gübre oranlar'!P$3</f>
        <v>0</v>
      </c>
      <c r="N336">
        <f>'Kullanılan gübre'!N336*'Gübre oranlar'!Q$3</f>
        <v>0</v>
      </c>
      <c r="O336">
        <f>'Kullanılan gübre'!O336*'Gübre oranlar'!R$3</f>
        <v>0</v>
      </c>
      <c r="P336">
        <f>'Kullanılan gübre'!P336*'Gübre oranlar'!S$3</f>
        <v>0</v>
      </c>
      <c r="Q336">
        <f>'Kullanılan gübre'!Q336*'Gübre oranlar'!T$3</f>
        <v>0</v>
      </c>
      <c r="R336">
        <f>'Kullanılan gübre'!R336*'Gübre oranlar'!U$3</f>
        <v>0</v>
      </c>
      <c r="S336">
        <f>'Kullanılan gübre'!S336*'Gübre oranlar'!V$3</f>
        <v>0</v>
      </c>
      <c r="T336">
        <f>'Kullanılan gübre'!T336*'Gübre oranlar'!W$3</f>
        <v>0</v>
      </c>
      <c r="U336">
        <f>'Kullanılan gübre'!U336*'Gübre oranlar'!X$3</f>
        <v>0</v>
      </c>
      <c r="V336">
        <f>'Kullanılan gübre'!V336*'Gübre oranlar'!Y$3</f>
        <v>0</v>
      </c>
      <c r="W336">
        <f>'Kullanılan gübre'!W336*'Gübre oranlar'!Z$3</f>
        <v>0</v>
      </c>
      <c r="X336">
        <f>'Kullanılan gübre'!X336*'Gübre oranlar'!AA$3</f>
        <v>0</v>
      </c>
      <c r="Y336">
        <f>'Kullanılan gübre'!Y336*'Gübre oranlar'!AB$3</f>
        <v>0</v>
      </c>
      <c r="Z336">
        <f>'Kullanılan gübre'!Z336*'Gübre oranlar'!AC$3</f>
        <v>0</v>
      </c>
      <c r="AA336">
        <f>'Kullanılan gübre'!AA336*'Gübre oranlar'!AD$3</f>
        <v>0</v>
      </c>
      <c r="AB336">
        <f>'Kullanılan gübre'!AB336*'Gübre oranlar'!AE$3</f>
        <v>0</v>
      </c>
      <c r="AC336">
        <f>'Kullanılan gübre'!AC336*'Gübre oranlar'!AF$3</f>
        <v>0</v>
      </c>
      <c r="AD336">
        <f>'Kullanılan gübre'!AD336*'Gübre oranlar'!AG$3</f>
        <v>0</v>
      </c>
      <c r="AE336">
        <f>'Kullanılan gübre'!AE336*'Gübre oranlar'!AH$3</f>
        <v>0</v>
      </c>
      <c r="AF336">
        <f>'Kullanılan gübre'!AF336*'Gübre oranlar'!AI$3</f>
        <v>0</v>
      </c>
      <c r="AG336">
        <f>'Kullanılan gübre'!AG336*'Gübre oranlar'!AJ$3</f>
        <v>0</v>
      </c>
      <c r="AH336">
        <f>'Kullanılan gübre'!AH336*'Gübre oranlar'!AK$3</f>
        <v>0</v>
      </c>
      <c r="AI336">
        <f>'Kullanılan gübre'!AI336*'Gübre oranlar'!AL$3</f>
        <v>0</v>
      </c>
      <c r="AJ336">
        <f>'Kullanılan gübre'!AJ336*'Gübre oranlar'!AM$3</f>
        <v>0</v>
      </c>
      <c r="AK336">
        <f>'Kullanılan gübre'!AK336*'Gübre oranlar'!AN$3</f>
        <v>0</v>
      </c>
      <c r="AL336">
        <f>'Kullanılan gübre'!AL336*'Gübre oranlar'!AO$3</f>
        <v>0</v>
      </c>
      <c r="AM336">
        <f>'Kullanılan gübre'!AM336*'Gübre oranlar'!AP$3</f>
        <v>0</v>
      </c>
      <c r="AN336">
        <f>'Kullanılan gübre'!AN336*'Gübre oranlar'!AQ$3</f>
        <v>0</v>
      </c>
      <c r="AO336">
        <f>'Kullanılan gübre'!AO336*'Gübre oranlar'!AR$3</f>
        <v>0</v>
      </c>
      <c r="AP336">
        <f>'Kullanılan gübre'!AP336*'Gübre oranlar'!AS$3</f>
        <v>0</v>
      </c>
      <c r="AQ336">
        <f>'Kullanılan gübre'!AQ336*'Gübre oranlar'!AT$3</f>
        <v>0</v>
      </c>
      <c r="AR336">
        <f>'Kullanılan gübre'!AR336*'Gübre oranlar'!AU$3</f>
        <v>0</v>
      </c>
      <c r="AS336">
        <f>'Kullanılan gübre'!AS336*'Gübre oranlar'!AV$3</f>
        <v>0</v>
      </c>
      <c r="AT336">
        <f>'Kullanılan gübre'!AT336*'Gübre oranlar'!AW$3</f>
        <v>0</v>
      </c>
      <c r="AU336">
        <f>'Kullanılan gübre'!AU336*'Gübre oranlar'!AX$3</f>
        <v>0</v>
      </c>
      <c r="AV336">
        <f>'Kullanılan gübre'!AV336*'Gübre oranlar'!AY$3</f>
        <v>0</v>
      </c>
      <c r="AW336">
        <f t="shared" si="5"/>
        <v>0</v>
      </c>
    </row>
    <row r="337" spans="1:49" x14ac:dyDescent="0.25">
      <c r="A337" t="str">
        <f>'Kullanılan gübre'!A337</f>
        <v>YI</v>
      </c>
      <c r="B337" t="str">
        <f>'Kullanılan gübre'!B337</f>
        <v>TOKAT</v>
      </c>
      <c r="C337" t="str">
        <f>'Kullanılan gübre'!C337</f>
        <v>PAZAR</v>
      </c>
      <c r="D337">
        <f>'Kullanılan gübre'!D337</f>
        <v>2011</v>
      </c>
      <c r="E337">
        <f>'Kullanılan gübre'!E337*'Gübre oranlar'!H$3</f>
        <v>0</v>
      </c>
      <c r="F337">
        <f>'Kullanılan gübre'!F337*'Gübre oranlar'!I$3</f>
        <v>0</v>
      </c>
      <c r="G337">
        <f>'Kullanılan gübre'!G337*'Gübre oranlar'!J$3</f>
        <v>0</v>
      </c>
      <c r="H337">
        <f>'Kullanılan gübre'!H337*'Gübre oranlar'!K$3</f>
        <v>0</v>
      </c>
      <c r="I337">
        <f>'Kullanılan gübre'!I337*'Gübre oranlar'!L$3</f>
        <v>30.852499999999999</v>
      </c>
      <c r="J337">
        <f>'Kullanılan gübre'!J337*'Gübre oranlar'!M$3</f>
        <v>0</v>
      </c>
      <c r="K337">
        <f>'Kullanılan gübre'!K337*'Gübre oranlar'!N$3</f>
        <v>0</v>
      </c>
      <c r="L337">
        <f>'Kullanılan gübre'!L337*'Gübre oranlar'!O$3</f>
        <v>18.080000000000002</v>
      </c>
      <c r="M337">
        <f>'Kullanılan gübre'!M337*'Gübre oranlar'!P$3</f>
        <v>0</v>
      </c>
      <c r="N337">
        <f>'Kullanılan gübre'!N337*'Gübre oranlar'!Q$3</f>
        <v>18.434999999999999</v>
      </c>
      <c r="O337">
        <f>'Kullanılan gübre'!O337*'Gübre oranlar'!R$3</f>
        <v>0</v>
      </c>
      <c r="P337">
        <f>'Kullanılan gübre'!P337*'Gübre oranlar'!S$3</f>
        <v>0</v>
      </c>
      <c r="Q337">
        <f>'Kullanılan gübre'!Q337*'Gübre oranlar'!T$3</f>
        <v>153.6</v>
      </c>
      <c r="R337">
        <f>'Kullanılan gübre'!R337*'Gübre oranlar'!U$3</f>
        <v>0</v>
      </c>
      <c r="S337">
        <f>'Kullanılan gübre'!S337*'Gübre oranlar'!V$3</f>
        <v>0</v>
      </c>
      <c r="T337">
        <f>'Kullanılan gübre'!T337*'Gübre oranlar'!W$3</f>
        <v>0</v>
      </c>
      <c r="U337">
        <f>'Kullanılan gübre'!U337*'Gübre oranlar'!X$3</f>
        <v>0</v>
      </c>
      <c r="V337">
        <f>'Kullanılan gübre'!V337*'Gübre oranlar'!Y$3</f>
        <v>0</v>
      </c>
      <c r="W337">
        <f>'Kullanılan gübre'!W337*'Gübre oranlar'!Z$3</f>
        <v>0</v>
      </c>
      <c r="X337">
        <f>'Kullanılan gübre'!X337*'Gübre oranlar'!AA$3</f>
        <v>0</v>
      </c>
      <c r="Y337">
        <f>'Kullanılan gübre'!Y337*'Gübre oranlar'!AB$3</f>
        <v>0</v>
      </c>
      <c r="Z337">
        <f>'Kullanılan gübre'!Z337*'Gübre oranlar'!AC$3</f>
        <v>0</v>
      </c>
      <c r="AA337">
        <f>'Kullanılan gübre'!AA337*'Gübre oranlar'!AD$3</f>
        <v>0</v>
      </c>
      <c r="AB337">
        <f>'Kullanılan gübre'!AB337*'Gübre oranlar'!AE$3</f>
        <v>0</v>
      </c>
      <c r="AC337">
        <f>'Kullanılan gübre'!AC337*'Gübre oranlar'!AF$3</f>
        <v>0</v>
      </c>
      <c r="AD337">
        <f>'Kullanılan gübre'!AD337*'Gübre oranlar'!AG$3</f>
        <v>0</v>
      </c>
      <c r="AE337">
        <f>'Kullanılan gübre'!AE337*'Gübre oranlar'!AH$3</f>
        <v>0</v>
      </c>
      <c r="AF337">
        <f>'Kullanılan gübre'!AF337*'Gübre oranlar'!AI$3</f>
        <v>0</v>
      </c>
      <c r="AG337">
        <f>'Kullanılan gübre'!AG337*'Gübre oranlar'!AJ$3</f>
        <v>0</v>
      </c>
      <c r="AH337">
        <f>'Kullanılan gübre'!AH337*'Gübre oranlar'!AK$3</f>
        <v>0</v>
      </c>
      <c r="AI337">
        <f>'Kullanılan gübre'!AI337*'Gübre oranlar'!AL$3</f>
        <v>0</v>
      </c>
      <c r="AJ337">
        <f>'Kullanılan gübre'!AJ337*'Gübre oranlar'!AM$3</f>
        <v>0</v>
      </c>
      <c r="AK337">
        <f>'Kullanılan gübre'!AK337*'Gübre oranlar'!AN$3</f>
        <v>0</v>
      </c>
      <c r="AL337">
        <f>'Kullanılan gübre'!AL337*'Gübre oranlar'!AO$3</f>
        <v>0</v>
      </c>
      <c r="AM337">
        <f>'Kullanılan gübre'!AM337*'Gübre oranlar'!AP$3</f>
        <v>0</v>
      </c>
      <c r="AN337">
        <f>'Kullanılan gübre'!AN337*'Gübre oranlar'!AQ$3</f>
        <v>0</v>
      </c>
      <c r="AO337">
        <f>'Kullanılan gübre'!AO337*'Gübre oranlar'!AR$3</f>
        <v>0</v>
      </c>
      <c r="AP337">
        <f>'Kullanılan gübre'!AP337*'Gübre oranlar'!AS$3</f>
        <v>0</v>
      </c>
      <c r="AQ337">
        <f>'Kullanılan gübre'!AQ337*'Gübre oranlar'!AT$3</f>
        <v>0</v>
      </c>
      <c r="AR337">
        <f>'Kullanılan gübre'!AR337*'Gübre oranlar'!AU$3</f>
        <v>0</v>
      </c>
      <c r="AS337">
        <f>'Kullanılan gübre'!AS337*'Gübre oranlar'!AV$3</f>
        <v>0</v>
      </c>
      <c r="AT337">
        <f>'Kullanılan gübre'!AT337*'Gübre oranlar'!AW$3</f>
        <v>0</v>
      </c>
      <c r="AU337">
        <f>'Kullanılan gübre'!AU337*'Gübre oranlar'!AX$3</f>
        <v>0</v>
      </c>
      <c r="AV337">
        <f>'Kullanılan gübre'!AV337*'Gübre oranlar'!AY$3</f>
        <v>0</v>
      </c>
      <c r="AW337">
        <f t="shared" si="5"/>
        <v>220.9675</v>
      </c>
    </row>
    <row r="338" spans="1:49" x14ac:dyDescent="0.25">
      <c r="A338" t="str">
        <f>'Kullanılan gübre'!A338</f>
        <v>YI</v>
      </c>
      <c r="B338" t="str">
        <f>'Kullanılan gübre'!B338</f>
        <v>TOKAT</v>
      </c>
      <c r="C338" t="str">
        <f>'Kullanılan gübre'!C338</f>
        <v>RESADIYE</v>
      </c>
      <c r="D338">
        <f>'Kullanılan gübre'!D338</f>
        <v>2011</v>
      </c>
      <c r="E338">
        <f>'Kullanılan gübre'!E338*'Gübre oranlar'!H$3</f>
        <v>0</v>
      </c>
      <c r="F338">
        <f>'Kullanılan gübre'!F338*'Gübre oranlar'!I$3</f>
        <v>0</v>
      </c>
      <c r="G338">
        <f>'Kullanılan gübre'!G338*'Gübre oranlar'!J$3</f>
        <v>0</v>
      </c>
      <c r="H338">
        <f>'Kullanılan gübre'!H338*'Gübre oranlar'!K$3</f>
        <v>0</v>
      </c>
      <c r="I338">
        <f>'Kullanılan gübre'!I338*'Gübre oranlar'!L$3</f>
        <v>0</v>
      </c>
      <c r="J338">
        <f>'Kullanılan gübre'!J338*'Gübre oranlar'!M$3</f>
        <v>0</v>
      </c>
      <c r="K338">
        <f>'Kullanılan gübre'!K338*'Gübre oranlar'!N$3</f>
        <v>1.2000000000000002</v>
      </c>
      <c r="L338">
        <f>'Kullanılan gübre'!L338*'Gübre oranlar'!O$3</f>
        <v>0</v>
      </c>
      <c r="M338">
        <f>'Kullanılan gübre'!M338*'Gübre oranlar'!P$3</f>
        <v>0</v>
      </c>
      <c r="N338">
        <f>'Kullanılan gübre'!N338*'Gübre oranlar'!Q$3</f>
        <v>0</v>
      </c>
      <c r="O338">
        <f>'Kullanılan gübre'!O338*'Gübre oranlar'!R$3</f>
        <v>0</v>
      </c>
      <c r="P338">
        <f>'Kullanılan gübre'!P338*'Gübre oranlar'!S$3</f>
        <v>0</v>
      </c>
      <c r="Q338">
        <f>'Kullanılan gübre'!Q338*'Gübre oranlar'!T$3</f>
        <v>0</v>
      </c>
      <c r="R338">
        <f>'Kullanılan gübre'!R338*'Gübre oranlar'!U$3</f>
        <v>0</v>
      </c>
      <c r="S338">
        <f>'Kullanılan gübre'!S338*'Gübre oranlar'!V$3</f>
        <v>0</v>
      </c>
      <c r="T338">
        <f>'Kullanılan gübre'!T338*'Gübre oranlar'!W$3</f>
        <v>0</v>
      </c>
      <c r="U338">
        <f>'Kullanılan gübre'!U338*'Gübre oranlar'!X$3</f>
        <v>0</v>
      </c>
      <c r="V338">
        <f>'Kullanılan gübre'!V338*'Gübre oranlar'!Y$3</f>
        <v>0</v>
      </c>
      <c r="W338">
        <f>'Kullanılan gübre'!W338*'Gübre oranlar'!Z$3</f>
        <v>0</v>
      </c>
      <c r="X338">
        <f>'Kullanılan gübre'!X338*'Gübre oranlar'!AA$3</f>
        <v>0</v>
      </c>
      <c r="Y338">
        <f>'Kullanılan gübre'!Y338*'Gübre oranlar'!AB$3</f>
        <v>0</v>
      </c>
      <c r="Z338">
        <f>'Kullanılan gübre'!Z338*'Gübre oranlar'!AC$3</f>
        <v>0</v>
      </c>
      <c r="AA338">
        <f>'Kullanılan gübre'!AA338*'Gübre oranlar'!AD$3</f>
        <v>0</v>
      </c>
      <c r="AB338">
        <f>'Kullanılan gübre'!AB338*'Gübre oranlar'!AE$3</f>
        <v>0</v>
      </c>
      <c r="AC338">
        <f>'Kullanılan gübre'!AC338*'Gübre oranlar'!AF$3</f>
        <v>0</v>
      </c>
      <c r="AD338">
        <f>'Kullanılan gübre'!AD338*'Gübre oranlar'!AG$3</f>
        <v>0</v>
      </c>
      <c r="AE338">
        <f>'Kullanılan gübre'!AE338*'Gübre oranlar'!AH$3</f>
        <v>0</v>
      </c>
      <c r="AF338">
        <f>'Kullanılan gübre'!AF338*'Gübre oranlar'!AI$3</f>
        <v>0</v>
      </c>
      <c r="AG338">
        <f>'Kullanılan gübre'!AG338*'Gübre oranlar'!AJ$3</f>
        <v>0</v>
      </c>
      <c r="AH338">
        <f>'Kullanılan gübre'!AH338*'Gübre oranlar'!AK$3</f>
        <v>0</v>
      </c>
      <c r="AI338">
        <f>'Kullanılan gübre'!AI338*'Gübre oranlar'!AL$3</f>
        <v>0</v>
      </c>
      <c r="AJ338">
        <f>'Kullanılan gübre'!AJ338*'Gübre oranlar'!AM$3</f>
        <v>0</v>
      </c>
      <c r="AK338">
        <f>'Kullanılan gübre'!AK338*'Gübre oranlar'!AN$3</f>
        <v>0</v>
      </c>
      <c r="AL338">
        <f>'Kullanılan gübre'!AL338*'Gübre oranlar'!AO$3</f>
        <v>0</v>
      </c>
      <c r="AM338">
        <f>'Kullanılan gübre'!AM338*'Gübre oranlar'!AP$3</f>
        <v>0</v>
      </c>
      <c r="AN338">
        <f>'Kullanılan gübre'!AN338*'Gübre oranlar'!AQ$3</f>
        <v>0</v>
      </c>
      <c r="AO338">
        <f>'Kullanılan gübre'!AO338*'Gübre oranlar'!AR$3</f>
        <v>0</v>
      </c>
      <c r="AP338">
        <f>'Kullanılan gübre'!AP338*'Gübre oranlar'!AS$3</f>
        <v>0</v>
      </c>
      <c r="AQ338">
        <f>'Kullanılan gübre'!AQ338*'Gübre oranlar'!AT$3</f>
        <v>0</v>
      </c>
      <c r="AR338">
        <f>'Kullanılan gübre'!AR338*'Gübre oranlar'!AU$3</f>
        <v>0</v>
      </c>
      <c r="AS338">
        <f>'Kullanılan gübre'!AS338*'Gübre oranlar'!AV$3</f>
        <v>0</v>
      </c>
      <c r="AT338">
        <f>'Kullanılan gübre'!AT338*'Gübre oranlar'!AW$3</f>
        <v>0</v>
      </c>
      <c r="AU338">
        <f>'Kullanılan gübre'!AU338*'Gübre oranlar'!AX$3</f>
        <v>0</v>
      </c>
      <c r="AV338">
        <f>'Kullanılan gübre'!AV338*'Gübre oranlar'!AY$3</f>
        <v>0</v>
      </c>
      <c r="AW338">
        <f t="shared" si="5"/>
        <v>1.2000000000000002</v>
      </c>
    </row>
    <row r="339" spans="1:49" x14ac:dyDescent="0.25">
      <c r="A339" t="str">
        <f>'Kullanılan gübre'!A339</f>
        <v>YI</v>
      </c>
      <c r="B339" t="str">
        <f>'Kullanılan gübre'!B339</f>
        <v>TOKAT</v>
      </c>
      <c r="C339" t="str">
        <f>'Kullanılan gübre'!C339</f>
        <v>SULUSARAY</v>
      </c>
      <c r="D339">
        <f>'Kullanılan gübre'!D339</f>
        <v>2011</v>
      </c>
      <c r="E339">
        <f>'Kullanılan gübre'!E339*'Gübre oranlar'!H$3</f>
        <v>0</v>
      </c>
      <c r="F339">
        <f>'Kullanılan gübre'!F339*'Gübre oranlar'!I$3</f>
        <v>0</v>
      </c>
      <c r="G339">
        <f>'Kullanılan gübre'!G339*'Gübre oranlar'!J$3</f>
        <v>0</v>
      </c>
      <c r="H339">
        <f>'Kullanılan gübre'!H339*'Gübre oranlar'!K$3</f>
        <v>0</v>
      </c>
      <c r="I339">
        <f>'Kullanılan gübre'!I339*'Gübre oranlar'!L$3</f>
        <v>0</v>
      </c>
      <c r="J339">
        <f>'Kullanılan gübre'!J339*'Gübre oranlar'!M$3</f>
        <v>0</v>
      </c>
      <c r="K339">
        <f>'Kullanılan gübre'!K339*'Gübre oranlar'!N$3</f>
        <v>7.9</v>
      </c>
      <c r="L339">
        <f>'Kullanılan gübre'!L339*'Gübre oranlar'!O$3</f>
        <v>10.950000000000001</v>
      </c>
      <c r="M339">
        <f>'Kullanılan gübre'!M339*'Gübre oranlar'!P$3</f>
        <v>0</v>
      </c>
      <c r="N339">
        <f>'Kullanılan gübre'!N339*'Gübre oranlar'!Q$3</f>
        <v>0</v>
      </c>
      <c r="O339">
        <f>'Kullanılan gübre'!O339*'Gübre oranlar'!R$3</f>
        <v>0</v>
      </c>
      <c r="P339">
        <f>'Kullanılan gübre'!P339*'Gübre oranlar'!S$3</f>
        <v>0</v>
      </c>
      <c r="Q339">
        <f>'Kullanılan gübre'!Q339*'Gübre oranlar'!T$3</f>
        <v>0</v>
      </c>
      <c r="R339">
        <f>'Kullanılan gübre'!R339*'Gübre oranlar'!U$3</f>
        <v>0</v>
      </c>
      <c r="S339">
        <f>'Kullanılan gübre'!S339*'Gübre oranlar'!V$3</f>
        <v>0</v>
      </c>
      <c r="T339">
        <f>'Kullanılan gübre'!T339*'Gübre oranlar'!W$3</f>
        <v>0</v>
      </c>
      <c r="U339">
        <f>'Kullanılan gübre'!U339*'Gübre oranlar'!X$3</f>
        <v>0</v>
      </c>
      <c r="V339">
        <f>'Kullanılan gübre'!V339*'Gübre oranlar'!Y$3</f>
        <v>0</v>
      </c>
      <c r="W339">
        <f>'Kullanılan gübre'!W339*'Gübre oranlar'!Z$3</f>
        <v>0</v>
      </c>
      <c r="X339">
        <f>'Kullanılan gübre'!X339*'Gübre oranlar'!AA$3</f>
        <v>0</v>
      </c>
      <c r="Y339">
        <f>'Kullanılan gübre'!Y339*'Gübre oranlar'!AB$3</f>
        <v>0</v>
      </c>
      <c r="Z339">
        <f>'Kullanılan gübre'!Z339*'Gübre oranlar'!AC$3</f>
        <v>0</v>
      </c>
      <c r="AA339">
        <f>'Kullanılan gübre'!AA339*'Gübre oranlar'!AD$3</f>
        <v>0</v>
      </c>
      <c r="AB339">
        <f>'Kullanılan gübre'!AB339*'Gübre oranlar'!AE$3</f>
        <v>0</v>
      </c>
      <c r="AC339">
        <f>'Kullanılan gübre'!AC339*'Gübre oranlar'!AF$3</f>
        <v>0</v>
      </c>
      <c r="AD339">
        <f>'Kullanılan gübre'!AD339*'Gübre oranlar'!AG$3</f>
        <v>0</v>
      </c>
      <c r="AE339">
        <f>'Kullanılan gübre'!AE339*'Gübre oranlar'!AH$3</f>
        <v>0</v>
      </c>
      <c r="AF339">
        <f>'Kullanılan gübre'!AF339*'Gübre oranlar'!AI$3</f>
        <v>0</v>
      </c>
      <c r="AG339">
        <f>'Kullanılan gübre'!AG339*'Gübre oranlar'!AJ$3</f>
        <v>0</v>
      </c>
      <c r="AH339">
        <f>'Kullanılan gübre'!AH339*'Gübre oranlar'!AK$3</f>
        <v>0</v>
      </c>
      <c r="AI339">
        <f>'Kullanılan gübre'!AI339*'Gübre oranlar'!AL$3</f>
        <v>0</v>
      </c>
      <c r="AJ339">
        <f>'Kullanılan gübre'!AJ339*'Gübre oranlar'!AM$3</f>
        <v>0</v>
      </c>
      <c r="AK339">
        <f>'Kullanılan gübre'!AK339*'Gübre oranlar'!AN$3</f>
        <v>0</v>
      </c>
      <c r="AL339">
        <f>'Kullanılan gübre'!AL339*'Gübre oranlar'!AO$3</f>
        <v>0</v>
      </c>
      <c r="AM339">
        <f>'Kullanılan gübre'!AM339*'Gübre oranlar'!AP$3</f>
        <v>0</v>
      </c>
      <c r="AN339">
        <f>'Kullanılan gübre'!AN339*'Gübre oranlar'!AQ$3</f>
        <v>0</v>
      </c>
      <c r="AO339">
        <f>'Kullanılan gübre'!AO339*'Gübre oranlar'!AR$3</f>
        <v>0</v>
      </c>
      <c r="AP339">
        <f>'Kullanılan gübre'!AP339*'Gübre oranlar'!AS$3</f>
        <v>0</v>
      </c>
      <c r="AQ339">
        <f>'Kullanılan gübre'!AQ339*'Gübre oranlar'!AT$3</f>
        <v>0</v>
      </c>
      <c r="AR339">
        <f>'Kullanılan gübre'!AR339*'Gübre oranlar'!AU$3</f>
        <v>0</v>
      </c>
      <c r="AS339">
        <f>'Kullanılan gübre'!AS339*'Gübre oranlar'!AV$3</f>
        <v>0</v>
      </c>
      <c r="AT339">
        <f>'Kullanılan gübre'!AT339*'Gübre oranlar'!AW$3</f>
        <v>0</v>
      </c>
      <c r="AU339">
        <f>'Kullanılan gübre'!AU339*'Gübre oranlar'!AX$3</f>
        <v>0</v>
      </c>
      <c r="AV339">
        <f>'Kullanılan gübre'!AV339*'Gübre oranlar'!AY$3</f>
        <v>0</v>
      </c>
      <c r="AW339">
        <f t="shared" si="5"/>
        <v>18.850000000000001</v>
      </c>
    </row>
    <row r="340" spans="1:49" x14ac:dyDescent="0.25">
      <c r="A340" t="str">
        <f>'Kullanılan gübre'!A340</f>
        <v>YI</v>
      </c>
      <c r="B340" t="str">
        <f>'Kullanılan gübre'!B340</f>
        <v>TOKAT</v>
      </c>
      <c r="C340" t="str">
        <f>'Kullanılan gübre'!C340</f>
        <v>TURHAL</v>
      </c>
      <c r="D340">
        <f>'Kullanılan gübre'!D340</f>
        <v>2011</v>
      </c>
      <c r="E340">
        <f>'Kullanılan gübre'!E340*'Gübre oranlar'!H$3</f>
        <v>0</v>
      </c>
      <c r="F340">
        <f>'Kullanılan gübre'!F340*'Gübre oranlar'!I$3</f>
        <v>0</v>
      </c>
      <c r="G340">
        <f>'Kullanılan gübre'!G340*'Gübre oranlar'!J$3</f>
        <v>0</v>
      </c>
      <c r="H340">
        <f>'Kullanılan gübre'!H340*'Gübre oranlar'!K$3</f>
        <v>0</v>
      </c>
      <c r="I340">
        <f>'Kullanılan gübre'!I340*'Gübre oranlar'!L$3</f>
        <v>28.960499999999996</v>
      </c>
      <c r="J340">
        <f>'Kullanılan gübre'!J340*'Gübre oranlar'!M$3</f>
        <v>0</v>
      </c>
      <c r="K340">
        <f>'Kullanılan gübre'!K340*'Gübre oranlar'!N$3</f>
        <v>50.39</v>
      </c>
      <c r="L340">
        <f>'Kullanılan gübre'!L340*'Gübre oranlar'!O$3</f>
        <v>28.1</v>
      </c>
      <c r="M340">
        <f>'Kullanılan gübre'!M340*'Gübre oranlar'!P$3</f>
        <v>0</v>
      </c>
      <c r="N340">
        <f>'Kullanılan gübre'!N340*'Gübre oranlar'!Q$3</f>
        <v>6.45</v>
      </c>
      <c r="O340">
        <f>'Kullanılan gübre'!O340*'Gübre oranlar'!R$3</f>
        <v>0</v>
      </c>
      <c r="P340">
        <f>'Kullanılan gübre'!P340*'Gübre oranlar'!S$3</f>
        <v>0</v>
      </c>
      <c r="Q340">
        <f>'Kullanılan gübre'!Q340*'Gübre oranlar'!T$3</f>
        <v>214.5</v>
      </c>
      <c r="R340">
        <f>'Kullanılan gübre'!R340*'Gübre oranlar'!U$3</f>
        <v>2.6999999999999997</v>
      </c>
      <c r="S340">
        <f>'Kullanılan gübre'!S340*'Gübre oranlar'!V$3</f>
        <v>0</v>
      </c>
      <c r="T340">
        <f>'Kullanılan gübre'!T340*'Gübre oranlar'!W$3</f>
        <v>0</v>
      </c>
      <c r="U340">
        <f>'Kullanılan gübre'!U340*'Gübre oranlar'!X$3</f>
        <v>0</v>
      </c>
      <c r="V340">
        <f>'Kullanılan gübre'!V340*'Gübre oranlar'!Y$3</f>
        <v>0</v>
      </c>
      <c r="W340">
        <f>'Kullanılan gübre'!W340*'Gübre oranlar'!Z$3</f>
        <v>0</v>
      </c>
      <c r="X340">
        <f>'Kullanılan gübre'!X340*'Gübre oranlar'!AA$3</f>
        <v>0</v>
      </c>
      <c r="Y340">
        <f>'Kullanılan gübre'!Y340*'Gübre oranlar'!AB$3</f>
        <v>0</v>
      </c>
      <c r="Z340">
        <f>'Kullanılan gübre'!Z340*'Gübre oranlar'!AC$3</f>
        <v>0</v>
      </c>
      <c r="AA340">
        <f>'Kullanılan gübre'!AA340*'Gübre oranlar'!AD$3</f>
        <v>0</v>
      </c>
      <c r="AB340">
        <f>'Kullanılan gübre'!AB340*'Gübre oranlar'!AE$3</f>
        <v>0</v>
      </c>
      <c r="AC340">
        <f>'Kullanılan gübre'!AC340*'Gübre oranlar'!AF$3</f>
        <v>0</v>
      </c>
      <c r="AD340">
        <f>'Kullanılan gübre'!AD340*'Gübre oranlar'!AG$3</f>
        <v>0</v>
      </c>
      <c r="AE340">
        <f>'Kullanılan gübre'!AE340*'Gübre oranlar'!AH$3</f>
        <v>0</v>
      </c>
      <c r="AF340">
        <f>'Kullanılan gübre'!AF340*'Gübre oranlar'!AI$3</f>
        <v>0</v>
      </c>
      <c r="AG340">
        <f>'Kullanılan gübre'!AG340*'Gübre oranlar'!AJ$3</f>
        <v>0</v>
      </c>
      <c r="AH340">
        <f>'Kullanılan gübre'!AH340*'Gübre oranlar'!AK$3</f>
        <v>0</v>
      </c>
      <c r="AI340">
        <f>'Kullanılan gübre'!AI340*'Gübre oranlar'!AL$3</f>
        <v>0</v>
      </c>
      <c r="AJ340">
        <f>'Kullanılan gübre'!AJ340*'Gübre oranlar'!AM$3</f>
        <v>0</v>
      </c>
      <c r="AK340">
        <f>'Kullanılan gübre'!AK340*'Gübre oranlar'!AN$3</f>
        <v>0</v>
      </c>
      <c r="AL340">
        <f>'Kullanılan gübre'!AL340*'Gübre oranlar'!AO$3</f>
        <v>0</v>
      </c>
      <c r="AM340">
        <f>'Kullanılan gübre'!AM340*'Gübre oranlar'!AP$3</f>
        <v>0</v>
      </c>
      <c r="AN340">
        <f>'Kullanılan gübre'!AN340*'Gübre oranlar'!AQ$3</f>
        <v>0</v>
      </c>
      <c r="AO340">
        <f>'Kullanılan gübre'!AO340*'Gübre oranlar'!AR$3</f>
        <v>0</v>
      </c>
      <c r="AP340">
        <f>'Kullanılan gübre'!AP340*'Gübre oranlar'!AS$3</f>
        <v>0</v>
      </c>
      <c r="AQ340">
        <f>'Kullanılan gübre'!AQ340*'Gübre oranlar'!AT$3</f>
        <v>0</v>
      </c>
      <c r="AR340">
        <f>'Kullanılan gübre'!AR340*'Gübre oranlar'!AU$3</f>
        <v>0</v>
      </c>
      <c r="AS340">
        <f>'Kullanılan gübre'!AS340*'Gübre oranlar'!AV$3</f>
        <v>0</v>
      </c>
      <c r="AT340">
        <f>'Kullanılan gübre'!AT340*'Gübre oranlar'!AW$3</f>
        <v>0</v>
      </c>
      <c r="AU340">
        <f>'Kullanılan gübre'!AU340*'Gübre oranlar'!AX$3</f>
        <v>0</v>
      </c>
      <c r="AV340">
        <f>'Kullanılan gübre'!AV340*'Gübre oranlar'!AY$3</f>
        <v>0</v>
      </c>
      <c r="AW340">
        <f t="shared" si="5"/>
        <v>331.10050000000001</v>
      </c>
    </row>
    <row r="341" spans="1:49" x14ac:dyDescent="0.25">
      <c r="A341" t="str">
        <f>'Kullanılan gübre'!A341</f>
        <v>YI</v>
      </c>
      <c r="B341" t="str">
        <f>'Kullanılan gübre'!B341</f>
        <v>TOKAT</v>
      </c>
      <c r="C341" t="str">
        <f>'Kullanılan gübre'!C341</f>
        <v>YESILYURT</v>
      </c>
      <c r="D341">
        <f>'Kullanılan gübre'!D341</f>
        <v>2011</v>
      </c>
      <c r="E341">
        <f>'Kullanılan gübre'!E341*'Gübre oranlar'!H$3</f>
        <v>0</v>
      </c>
      <c r="F341">
        <f>'Kullanılan gübre'!F341*'Gübre oranlar'!I$3</f>
        <v>0</v>
      </c>
      <c r="G341">
        <f>'Kullanılan gübre'!G341*'Gübre oranlar'!J$3</f>
        <v>0</v>
      </c>
      <c r="H341">
        <f>'Kullanılan gübre'!H341*'Gübre oranlar'!K$3</f>
        <v>0</v>
      </c>
      <c r="I341">
        <f>'Kullanılan gübre'!I341*'Gübre oranlar'!L$3</f>
        <v>0</v>
      </c>
      <c r="J341">
        <f>'Kullanılan gübre'!J341*'Gübre oranlar'!M$3</f>
        <v>0</v>
      </c>
      <c r="K341">
        <f>'Kullanılan gübre'!K341*'Gübre oranlar'!N$3</f>
        <v>13.590000000000002</v>
      </c>
      <c r="L341">
        <f>'Kullanılan gübre'!L341*'Gübre oranlar'!O$3</f>
        <v>7.6099999999999994</v>
      </c>
      <c r="M341">
        <f>'Kullanılan gübre'!M341*'Gübre oranlar'!P$3</f>
        <v>0</v>
      </c>
      <c r="N341">
        <f>'Kullanılan gübre'!N341*'Gübre oranlar'!Q$3</f>
        <v>8.1</v>
      </c>
      <c r="O341">
        <f>'Kullanılan gübre'!O341*'Gübre oranlar'!R$3</f>
        <v>0</v>
      </c>
      <c r="P341">
        <f>'Kullanılan gübre'!P341*'Gübre oranlar'!S$3</f>
        <v>0</v>
      </c>
      <c r="Q341">
        <f>'Kullanılan gübre'!Q341*'Gübre oranlar'!T$3</f>
        <v>0</v>
      </c>
      <c r="R341">
        <f>'Kullanılan gübre'!R341*'Gübre oranlar'!U$3</f>
        <v>0</v>
      </c>
      <c r="S341">
        <f>'Kullanılan gübre'!S341*'Gübre oranlar'!V$3</f>
        <v>0</v>
      </c>
      <c r="T341">
        <f>'Kullanılan gübre'!T341*'Gübre oranlar'!W$3</f>
        <v>0</v>
      </c>
      <c r="U341">
        <f>'Kullanılan gübre'!U341*'Gübre oranlar'!X$3</f>
        <v>0</v>
      </c>
      <c r="V341">
        <f>'Kullanılan gübre'!V341*'Gübre oranlar'!Y$3</f>
        <v>0</v>
      </c>
      <c r="W341">
        <f>'Kullanılan gübre'!W341*'Gübre oranlar'!Z$3</f>
        <v>0</v>
      </c>
      <c r="X341">
        <f>'Kullanılan gübre'!X341*'Gübre oranlar'!AA$3</f>
        <v>0</v>
      </c>
      <c r="Y341">
        <f>'Kullanılan gübre'!Y341*'Gübre oranlar'!AB$3</f>
        <v>0</v>
      </c>
      <c r="Z341">
        <f>'Kullanılan gübre'!Z341*'Gübre oranlar'!AC$3</f>
        <v>0</v>
      </c>
      <c r="AA341">
        <f>'Kullanılan gübre'!AA341*'Gübre oranlar'!AD$3</f>
        <v>0</v>
      </c>
      <c r="AB341">
        <f>'Kullanılan gübre'!AB341*'Gübre oranlar'!AE$3</f>
        <v>0</v>
      </c>
      <c r="AC341">
        <f>'Kullanılan gübre'!AC341*'Gübre oranlar'!AF$3</f>
        <v>0</v>
      </c>
      <c r="AD341">
        <f>'Kullanılan gübre'!AD341*'Gübre oranlar'!AG$3</f>
        <v>0</v>
      </c>
      <c r="AE341">
        <f>'Kullanılan gübre'!AE341*'Gübre oranlar'!AH$3</f>
        <v>0</v>
      </c>
      <c r="AF341">
        <f>'Kullanılan gübre'!AF341*'Gübre oranlar'!AI$3</f>
        <v>0</v>
      </c>
      <c r="AG341">
        <f>'Kullanılan gübre'!AG341*'Gübre oranlar'!AJ$3</f>
        <v>0</v>
      </c>
      <c r="AH341">
        <f>'Kullanılan gübre'!AH341*'Gübre oranlar'!AK$3</f>
        <v>0</v>
      </c>
      <c r="AI341">
        <f>'Kullanılan gübre'!AI341*'Gübre oranlar'!AL$3</f>
        <v>0</v>
      </c>
      <c r="AJ341">
        <f>'Kullanılan gübre'!AJ341*'Gübre oranlar'!AM$3</f>
        <v>0</v>
      </c>
      <c r="AK341">
        <f>'Kullanılan gübre'!AK341*'Gübre oranlar'!AN$3</f>
        <v>0</v>
      </c>
      <c r="AL341">
        <f>'Kullanılan gübre'!AL341*'Gübre oranlar'!AO$3</f>
        <v>0</v>
      </c>
      <c r="AM341">
        <f>'Kullanılan gübre'!AM341*'Gübre oranlar'!AP$3</f>
        <v>0</v>
      </c>
      <c r="AN341">
        <f>'Kullanılan gübre'!AN341*'Gübre oranlar'!AQ$3</f>
        <v>0</v>
      </c>
      <c r="AO341">
        <f>'Kullanılan gübre'!AO341*'Gübre oranlar'!AR$3</f>
        <v>0</v>
      </c>
      <c r="AP341">
        <f>'Kullanılan gübre'!AP341*'Gübre oranlar'!AS$3</f>
        <v>0</v>
      </c>
      <c r="AQ341">
        <f>'Kullanılan gübre'!AQ341*'Gübre oranlar'!AT$3</f>
        <v>0</v>
      </c>
      <c r="AR341">
        <f>'Kullanılan gübre'!AR341*'Gübre oranlar'!AU$3</f>
        <v>0</v>
      </c>
      <c r="AS341">
        <f>'Kullanılan gübre'!AS341*'Gübre oranlar'!AV$3</f>
        <v>0</v>
      </c>
      <c r="AT341">
        <f>'Kullanılan gübre'!AT341*'Gübre oranlar'!AW$3</f>
        <v>0</v>
      </c>
      <c r="AU341">
        <f>'Kullanılan gübre'!AU341*'Gübre oranlar'!AX$3</f>
        <v>0</v>
      </c>
      <c r="AV341">
        <f>'Kullanılan gübre'!AV341*'Gübre oranlar'!AY$3</f>
        <v>0</v>
      </c>
      <c r="AW341">
        <f t="shared" si="5"/>
        <v>29.300000000000004</v>
      </c>
    </row>
    <row r="342" spans="1:49" x14ac:dyDescent="0.25">
      <c r="A342" t="str">
        <f>'Kullanılan gübre'!A342</f>
        <v>YI</v>
      </c>
      <c r="B342" t="str">
        <f>'Kullanılan gübre'!B342</f>
        <v>TOKAT</v>
      </c>
      <c r="C342" t="str">
        <f>'Kullanılan gübre'!C342</f>
        <v>ZILE</v>
      </c>
      <c r="D342">
        <f>'Kullanılan gübre'!D342</f>
        <v>2011</v>
      </c>
      <c r="E342">
        <f>'Kullanılan gübre'!E342*'Gübre oranlar'!H$3</f>
        <v>0</v>
      </c>
      <c r="F342">
        <f>'Kullanılan gübre'!F342*'Gübre oranlar'!I$3</f>
        <v>0</v>
      </c>
      <c r="G342">
        <f>'Kullanılan gübre'!G342*'Gübre oranlar'!J$3</f>
        <v>0</v>
      </c>
      <c r="H342">
        <f>'Kullanılan gübre'!H342*'Gübre oranlar'!K$3</f>
        <v>0</v>
      </c>
      <c r="I342">
        <f>'Kullanılan gübre'!I342*'Gübre oranlar'!L$3</f>
        <v>2.7949999999999999</v>
      </c>
      <c r="J342">
        <f>'Kullanılan gübre'!J342*'Gübre oranlar'!M$3</f>
        <v>0</v>
      </c>
      <c r="K342">
        <f>'Kullanılan gübre'!K342*'Gübre oranlar'!N$3</f>
        <v>635.73</v>
      </c>
      <c r="L342">
        <f>'Kullanılan gübre'!L342*'Gübre oranlar'!O$3</f>
        <v>389.58000000000004</v>
      </c>
      <c r="M342">
        <f>'Kullanılan gübre'!M342*'Gübre oranlar'!P$3</f>
        <v>23.482500000000002</v>
      </c>
      <c r="N342">
        <f>'Kullanılan gübre'!N342*'Gübre oranlar'!Q$3</f>
        <v>3.7124999999999999</v>
      </c>
      <c r="O342">
        <f>'Kullanılan gübre'!O342*'Gübre oranlar'!R$3</f>
        <v>0</v>
      </c>
      <c r="P342">
        <f>'Kullanılan gübre'!P342*'Gübre oranlar'!S$3</f>
        <v>0</v>
      </c>
      <c r="Q342">
        <f>'Kullanılan gübre'!Q342*'Gübre oranlar'!T$3</f>
        <v>0</v>
      </c>
      <c r="R342">
        <f>'Kullanılan gübre'!R342*'Gübre oranlar'!U$3</f>
        <v>0</v>
      </c>
      <c r="S342">
        <f>'Kullanılan gübre'!S342*'Gübre oranlar'!V$3</f>
        <v>0</v>
      </c>
      <c r="T342">
        <f>'Kullanılan gübre'!T342*'Gübre oranlar'!W$3</f>
        <v>0</v>
      </c>
      <c r="U342">
        <f>'Kullanılan gübre'!U342*'Gübre oranlar'!X$3</f>
        <v>0</v>
      </c>
      <c r="V342">
        <f>'Kullanılan gübre'!V342*'Gübre oranlar'!Y$3</f>
        <v>0</v>
      </c>
      <c r="W342">
        <f>'Kullanılan gübre'!W342*'Gübre oranlar'!Z$3</f>
        <v>0</v>
      </c>
      <c r="X342">
        <f>'Kullanılan gübre'!X342*'Gübre oranlar'!AA$3</f>
        <v>0</v>
      </c>
      <c r="Y342">
        <f>'Kullanılan gübre'!Y342*'Gübre oranlar'!AB$3</f>
        <v>0</v>
      </c>
      <c r="Z342">
        <f>'Kullanılan gübre'!Z342*'Gübre oranlar'!AC$3</f>
        <v>0</v>
      </c>
      <c r="AA342">
        <f>'Kullanılan gübre'!AA342*'Gübre oranlar'!AD$3</f>
        <v>0</v>
      </c>
      <c r="AB342">
        <f>'Kullanılan gübre'!AB342*'Gübre oranlar'!AE$3</f>
        <v>0</v>
      </c>
      <c r="AC342">
        <f>'Kullanılan gübre'!AC342*'Gübre oranlar'!AF$3</f>
        <v>0</v>
      </c>
      <c r="AD342">
        <f>'Kullanılan gübre'!AD342*'Gübre oranlar'!AG$3</f>
        <v>0</v>
      </c>
      <c r="AE342">
        <f>'Kullanılan gübre'!AE342*'Gübre oranlar'!AH$3</f>
        <v>0</v>
      </c>
      <c r="AF342">
        <f>'Kullanılan gübre'!AF342*'Gübre oranlar'!AI$3</f>
        <v>0</v>
      </c>
      <c r="AG342">
        <f>'Kullanılan gübre'!AG342*'Gübre oranlar'!AJ$3</f>
        <v>0</v>
      </c>
      <c r="AH342">
        <f>'Kullanılan gübre'!AH342*'Gübre oranlar'!AK$3</f>
        <v>0</v>
      </c>
      <c r="AI342">
        <f>'Kullanılan gübre'!AI342*'Gübre oranlar'!AL$3</f>
        <v>0</v>
      </c>
      <c r="AJ342">
        <f>'Kullanılan gübre'!AJ342*'Gübre oranlar'!AM$3</f>
        <v>0</v>
      </c>
      <c r="AK342">
        <f>'Kullanılan gübre'!AK342*'Gübre oranlar'!AN$3</f>
        <v>0</v>
      </c>
      <c r="AL342">
        <f>'Kullanılan gübre'!AL342*'Gübre oranlar'!AO$3</f>
        <v>0</v>
      </c>
      <c r="AM342">
        <f>'Kullanılan gübre'!AM342*'Gübre oranlar'!AP$3</f>
        <v>0</v>
      </c>
      <c r="AN342">
        <f>'Kullanılan gübre'!AN342*'Gübre oranlar'!AQ$3</f>
        <v>0</v>
      </c>
      <c r="AO342">
        <f>'Kullanılan gübre'!AO342*'Gübre oranlar'!AR$3</f>
        <v>0</v>
      </c>
      <c r="AP342">
        <f>'Kullanılan gübre'!AP342*'Gübre oranlar'!AS$3</f>
        <v>0</v>
      </c>
      <c r="AQ342">
        <f>'Kullanılan gübre'!AQ342*'Gübre oranlar'!AT$3</f>
        <v>0</v>
      </c>
      <c r="AR342">
        <f>'Kullanılan gübre'!AR342*'Gübre oranlar'!AU$3</f>
        <v>0</v>
      </c>
      <c r="AS342">
        <f>'Kullanılan gübre'!AS342*'Gübre oranlar'!AV$3</f>
        <v>0</v>
      </c>
      <c r="AT342">
        <f>'Kullanılan gübre'!AT342*'Gübre oranlar'!AW$3</f>
        <v>0</v>
      </c>
      <c r="AU342">
        <f>'Kullanılan gübre'!AU342*'Gübre oranlar'!AX$3</f>
        <v>0</v>
      </c>
      <c r="AV342">
        <f>'Kullanılan gübre'!AV342*'Gübre oranlar'!AY$3</f>
        <v>0</v>
      </c>
      <c r="AW342">
        <f t="shared" si="5"/>
        <v>1055.3000000000002</v>
      </c>
    </row>
    <row r="343" spans="1:49" x14ac:dyDescent="0.25">
      <c r="A343" t="str">
        <f>'Kullanılan gübre'!A343</f>
        <v>YI</v>
      </c>
      <c r="B343" t="str">
        <f>'Kullanılan gübre'!B343</f>
        <v>TOKAT</v>
      </c>
      <c r="C343" t="str">
        <f>'Kullanılan gübre'!C343</f>
        <v>MERKEZ</v>
      </c>
      <c r="D343">
        <f>'Kullanılan gübre'!D343</f>
        <v>2012</v>
      </c>
      <c r="E343">
        <f>'Kullanılan gübre'!E343*'Gübre oranlar'!H$3</f>
        <v>0</v>
      </c>
      <c r="F343">
        <f>'Kullanılan gübre'!F343*'Gübre oranlar'!I$3</f>
        <v>0</v>
      </c>
      <c r="G343">
        <f>'Kullanılan gübre'!G343*'Gübre oranlar'!J$3</f>
        <v>0</v>
      </c>
      <c r="H343">
        <f>'Kullanılan gübre'!H343*'Gübre oranlar'!K$3</f>
        <v>0</v>
      </c>
      <c r="I343">
        <f>'Kullanılan gübre'!I343*'Gübre oranlar'!L$3</f>
        <v>22.1235</v>
      </c>
      <c r="J343">
        <f>'Kullanılan gübre'!J343*'Gübre oranlar'!M$3</f>
        <v>0</v>
      </c>
      <c r="K343">
        <f>'Kullanılan gübre'!K343*'Gübre oranlar'!N$3</f>
        <v>47.17</v>
      </c>
      <c r="L343">
        <f>'Kullanılan gübre'!L343*'Gübre oranlar'!O$3</f>
        <v>61.650000000000006</v>
      </c>
      <c r="M343">
        <f>'Kullanılan gübre'!M343*'Gübre oranlar'!P$3</f>
        <v>45.120000000000012</v>
      </c>
      <c r="N343">
        <f>'Kullanılan gübre'!N343*'Gübre oranlar'!Q$3</f>
        <v>39.232500000000002</v>
      </c>
      <c r="O343">
        <f>'Kullanılan gübre'!O343*'Gübre oranlar'!R$3</f>
        <v>0</v>
      </c>
      <c r="P343">
        <f>'Kullanılan gübre'!P343*'Gübre oranlar'!S$3</f>
        <v>0</v>
      </c>
      <c r="Q343">
        <f>'Kullanılan gübre'!Q343*'Gübre oranlar'!T$3</f>
        <v>6.3</v>
      </c>
      <c r="R343">
        <f>'Kullanılan gübre'!R343*'Gübre oranlar'!U$3</f>
        <v>17.009999999999998</v>
      </c>
      <c r="S343">
        <f>'Kullanılan gübre'!S343*'Gübre oranlar'!V$3</f>
        <v>0</v>
      </c>
      <c r="T343">
        <f>'Kullanılan gübre'!T343*'Gübre oranlar'!W$3</f>
        <v>0</v>
      </c>
      <c r="U343">
        <f>'Kullanılan gübre'!U343*'Gübre oranlar'!X$3</f>
        <v>0</v>
      </c>
      <c r="V343">
        <f>'Kullanılan gübre'!V343*'Gübre oranlar'!Y$3</f>
        <v>0</v>
      </c>
      <c r="W343">
        <f>'Kullanılan gübre'!W343*'Gübre oranlar'!Z$3</f>
        <v>0</v>
      </c>
      <c r="X343">
        <f>'Kullanılan gübre'!X343*'Gübre oranlar'!AA$3</f>
        <v>0</v>
      </c>
      <c r="Y343">
        <f>'Kullanılan gübre'!Y343*'Gübre oranlar'!AB$3</f>
        <v>0</v>
      </c>
      <c r="Z343">
        <f>'Kullanılan gübre'!Z343*'Gübre oranlar'!AC$3</f>
        <v>0</v>
      </c>
      <c r="AA343">
        <f>'Kullanılan gübre'!AA343*'Gübre oranlar'!AD$3</f>
        <v>0</v>
      </c>
      <c r="AB343">
        <f>'Kullanılan gübre'!AB343*'Gübre oranlar'!AE$3</f>
        <v>0</v>
      </c>
      <c r="AC343">
        <f>'Kullanılan gübre'!AC343*'Gübre oranlar'!AF$3</f>
        <v>0</v>
      </c>
      <c r="AD343">
        <f>'Kullanılan gübre'!AD343*'Gübre oranlar'!AG$3</f>
        <v>0</v>
      </c>
      <c r="AE343">
        <f>'Kullanılan gübre'!AE343*'Gübre oranlar'!AH$3</f>
        <v>0</v>
      </c>
      <c r="AF343">
        <f>'Kullanılan gübre'!AF343*'Gübre oranlar'!AI$3</f>
        <v>0</v>
      </c>
      <c r="AG343">
        <f>'Kullanılan gübre'!AG343*'Gübre oranlar'!AJ$3</f>
        <v>0</v>
      </c>
      <c r="AH343">
        <f>'Kullanılan gübre'!AH343*'Gübre oranlar'!AK$3</f>
        <v>0</v>
      </c>
      <c r="AI343">
        <f>'Kullanılan gübre'!AI343*'Gübre oranlar'!AL$3</f>
        <v>0</v>
      </c>
      <c r="AJ343">
        <f>'Kullanılan gübre'!AJ343*'Gübre oranlar'!AM$3</f>
        <v>0</v>
      </c>
      <c r="AK343">
        <f>'Kullanılan gübre'!AK343*'Gübre oranlar'!AN$3</f>
        <v>0</v>
      </c>
      <c r="AL343">
        <f>'Kullanılan gübre'!AL343*'Gübre oranlar'!AO$3</f>
        <v>0</v>
      </c>
      <c r="AM343">
        <f>'Kullanılan gübre'!AM343*'Gübre oranlar'!AP$3</f>
        <v>0</v>
      </c>
      <c r="AN343">
        <f>'Kullanılan gübre'!AN343*'Gübre oranlar'!AQ$3</f>
        <v>0</v>
      </c>
      <c r="AO343">
        <f>'Kullanılan gübre'!AO343*'Gübre oranlar'!AR$3</f>
        <v>0</v>
      </c>
      <c r="AP343">
        <f>'Kullanılan gübre'!AP343*'Gübre oranlar'!AS$3</f>
        <v>0</v>
      </c>
      <c r="AQ343">
        <f>'Kullanılan gübre'!AQ343*'Gübre oranlar'!AT$3</f>
        <v>0</v>
      </c>
      <c r="AR343">
        <f>'Kullanılan gübre'!AR343*'Gübre oranlar'!AU$3</f>
        <v>0</v>
      </c>
      <c r="AS343">
        <f>'Kullanılan gübre'!AS343*'Gübre oranlar'!AV$3</f>
        <v>0</v>
      </c>
      <c r="AT343">
        <f>'Kullanılan gübre'!AT343*'Gübre oranlar'!AW$3</f>
        <v>0</v>
      </c>
      <c r="AU343">
        <f>'Kullanılan gübre'!AU343*'Gübre oranlar'!AX$3</f>
        <v>0</v>
      </c>
      <c r="AV343">
        <f>'Kullanılan gübre'!AV343*'Gübre oranlar'!AY$3</f>
        <v>0</v>
      </c>
      <c r="AW343">
        <f t="shared" si="5"/>
        <v>238.60599999999999</v>
      </c>
    </row>
    <row r="344" spans="1:49" x14ac:dyDescent="0.25">
      <c r="A344" t="str">
        <f>'Kullanılan gübre'!A344</f>
        <v>YI</v>
      </c>
      <c r="B344" t="str">
        <f>'Kullanılan gübre'!B344</f>
        <v>TOKAT</v>
      </c>
      <c r="C344" t="str">
        <f>'Kullanılan gübre'!C344</f>
        <v>ALMUS</v>
      </c>
      <c r="D344">
        <f>'Kullanılan gübre'!D344</f>
        <v>2012</v>
      </c>
      <c r="E344">
        <f>'Kullanılan gübre'!E344*'Gübre oranlar'!H$3</f>
        <v>0</v>
      </c>
      <c r="F344">
        <f>'Kullanılan gübre'!F344*'Gübre oranlar'!I$3</f>
        <v>0</v>
      </c>
      <c r="G344">
        <f>'Kullanılan gübre'!G344*'Gübre oranlar'!J$3</f>
        <v>0</v>
      </c>
      <c r="H344">
        <f>'Kullanılan gübre'!H344*'Gübre oranlar'!K$3</f>
        <v>0</v>
      </c>
      <c r="I344">
        <f>'Kullanılan gübre'!I344*'Gübre oranlar'!L$3</f>
        <v>0</v>
      </c>
      <c r="J344">
        <f>'Kullanılan gübre'!J344*'Gübre oranlar'!M$3</f>
        <v>0</v>
      </c>
      <c r="K344">
        <f>'Kullanılan gübre'!K344*'Gübre oranlar'!N$3</f>
        <v>1.7000000000000002</v>
      </c>
      <c r="L344">
        <f>'Kullanılan gübre'!L344*'Gübre oranlar'!O$3</f>
        <v>0</v>
      </c>
      <c r="M344">
        <f>'Kullanılan gübre'!M344*'Gübre oranlar'!P$3</f>
        <v>0</v>
      </c>
      <c r="N344">
        <f>'Kullanılan gübre'!N344*'Gübre oranlar'!Q$3</f>
        <v>0</v>
      </c>
      <c r="O344">
        <f>'Kullanılan gübre'!O344*'Gübre oranlar'!R$3</f>
        <v>0</v>
      </c>
      <c r="P344">
        <f>'Kullanılan gübre'!P344*'Gübre oranlar'!S$3</f>
        <v>0</v>
      </c>
      <c r="Q344">
        <f>'Kullanılan gübre'!Q344*'Gübre oranlar'!T$3</f>
        <v>0</v>
      </c>
      <c r="R344">
        <f>'Kullanılan gübre'!R344*'Gübre oranlar'!U$3</f>
        <v>0</v>
      </c>
      <c r="S344">
        <f>'Kullanılan gübre'!S344*'Gübre oranlar'!V$3</f>
        <v>0</v>
      </c>
      <c r="T344">
        <f>'Kullanılan gübre'!T344*'Gübre oranlar'!W$3</f>
        <v>0</v>
      </c>
      <c r="U344">
        <f>'Kullanılan gübre'!U344*'Gübre oranlar'!X$3</f>
        <v>0</v>
      </c>
      <c r="V344">
        <f>'Kullanılan gübre'!V344*'Gübre oranlar'!Y$3</f>
        <v>0</v>
      </c>
      <c r="W344">
        <f>'Kullanılan gübre'!W344*'Gübre oranlar'!Z$3</f>
        <v>0</v>
      </c>
      <c r="X344">
        <f>'Kullanılan gübre'!X344*'Gübre oranlar'!AA$3</f>
        <v>0</v>
      </c>
      <c r="Y344">
        <f>'Kullanılan gübre'!Y344*'Gübre oranlar'!AB$3</f>
        <v>0</v>
      </c>
      <c r="Z344">
        <f>'Kullanılan gübre'!Z344*'Gübre oranlar'!AC$3</f>
        <v>0</v>
      </c>
      <c r="AA344">
        <f>'Kullanılan gübre'!AA344*'Gübre oranlar'!AD$3</f>
        <v>0</v>
      </c>
      <c r="AB344">
        <f>'Kullanılan gübre'!AB344*'Gübre oranlar'!AE$3</f>
        <v>0</v>
      </c>
      <c r="AC344">
        <f>'Kullanılan gübre'!AC344*'Gübre oranlar'!AF$3</f>
        <v>0</v>
      </c>
      <c r="AD344">
        <f>'Kullanılan gübre'!AD344*'Gübre oranlar'!AG$3</f>
        <v>0</v>
      </c>
      <c r="AE344">
        <f>'Kullanılan gübre'!AE344*'Gübre oranlar'!AH$3</f>
        <v>0</v>
      </c>
      <c r="AF344">
        <f>'Kullanılan gübre'!AF344*'Gübre oranlar'!AI$3</f>
        <v>0</v>
      </c>
      <c r="AG344">
        <f>'Kullanılan gübre'!AG344*'Gübre oranlar'!AJ$3</f>
        <v>0</v>
      </c>
      <c r="AH344">
        <f>'Kullanılan gübre'!AH344*'Gübre oranlar'!AK$3</f>
        <v>0</v>
      </c>
      <c r="AI344">
        <f>'Kullanılan gübre'!AI344*'Gübre oranlar'!AL$3</f>
        <v>0</v>
      </c>
      <c r="AJ344">
        <f>'Kullanılan gübre'!AJ344*'Gübre oranlar'!AM$3</f>
        <v>0</v>
      </c>
      <c r="AK344">
        <f>'Kullanılan gübre'!AK344*'Gübre oranlar'!AN$3</f>
        <v>0</v>
      </c>
      <c r="AL344">
        <f>'Kullanılan gübre'!AL344*'Gübre oranlar'!AO$3</f>
        <v>0</v>
      </c>
      <c r="AM344">
        <f>'Kullanılan gübre'!AM344*'Gübre oranlar'!AP$3</f>
        <v>0</v>
      </c>
      <c r="AN344">
        <f>'Kullanılan gübre'!AN344*'Gübre oranlar'!AQ$3</f>
        <v>0</v>
      </c>
      <c r="AO344">
        <f>'Kullanılan gübre'!AO344*'Gübre oranlar'!AR$3</f>
        <v>0</v>
      </c>
      <c r="AP344">
        <f>'Kullanılan gübre'!AP344*'Gübre oranlar'!AS$3</f>
        <v>0</v>
      </c>
      <c r="AQ344">
        <f>'Kullanılan gübre'!AQ344*'Gübre oranlar'!AT$3</f>
        <v>0</v>
      </c>
      <c r="AR344">
        <f>'Kullanılan gübre'!AR344*'Gübre oranlar'!AU$3</f>
        <v>0</v>
      </c>
      <c r="AS344">
        <f>'Kullanılan gübre'!AS344*'Gübre oranlar'!AV$3</f>
        <v>0</v>
      </c>
      <c r="AT344">
        <f>'Kullanılan gübre'!AT344*'Gübre oranlar'!AW$3</f>
        <v>0</v>
      </c>
      <c r="AU344">
        <f>'Kullanılan gübre'!AU344*'Gübre oranlar'!AX$3</f>
        <v>0</v>
      </c>
      <c r="AV344">
        <f>'Kullanılan gübre'!AV344*'Gübre oranlar'!AY$3</f>
        <v>0</v>
      </c>
      <c r="AW344">
        <f t="shared" si="5"/>
        <v>1.7000000000000002</v>
      </c>
    </row>
    <row r="345" spans="1:49" x14ac:dyDescent="0.25">
      <c r="A345" t="str">
        <f>'Kullanılan gübre'!A345</f>
        <v>YI</v>
      </c>
      <c r="B345" t="str">
        <f>'Kullanılan gübre'!B345</f>
        <v>TOKAT</v>
      </c>
      <c r="C345" t="str">
        <f>'Kullanılan gübre'!C345</f>
        <v>ARTOVA</v>
      </c>
      <c r="D345">
        <f>'Kullanılan gübre'!D345</f>
        <v>2012</v>
      </c>
      <c r="E345">
        <f>'Kullanılan gübre'!E345*'Gübre oranlar'!H$3</f>
        <v>0</v>
      </c>
      <c r="F345">
        <f>'Kullanılan gübre'!F345*'Gübre oranlar'!I$3</f>
        <v>0</v>
      </c>
      <c r="G345">
        <f>'Kullanılan gübre'!G345*'Gübre oranlar'!J$3</f>
        <v>0</v>
      </c>
      <c r="H345">
        <f>'Kullanılan gübre'!H345*'Gübre oranlar'!K$3</f>
        <v>0</v>
      </c>
      <c r="I345">
        <f>'Kullanılan gübre'!I345*'Gübre oranlar'!L$3</f>
        <v>0</v>
      </c>
      <c r="J345">
        <f>'Kullanılan gübre'!J345*'Gübre oranlar'!M$3</f>
        <v>0</v>
      </c>
      <c r="K345">
        <f>'Kullanılan gübre'!K345*'Gübre oranlar'!N$3</f>
        <v>13.810000000000002</v>
      </c>
      <c r="L345">
        <f>'Kullanılan gübre'!L345*'Gübre oranlar'!O$3</f>
        <v>14.57</v>
      </c>
      <c r="M345">
        <f>'Kullanılan gübre'!M345*'Gübre oranlar'!P$3</f>
        <v>5.0999999999999996</v>
      </c>
      <c r="N345">
        <f>'Kullanılan gübre'!N345*'Gübre oranlar'!Q$3</f>
        <v>8.64</v>
      </c>
      <c r="O345">
        <f>'Kullanılan gübre'!O345*'Gübre oranlar'!R$3</f>
        <v>0</v>
      </c>
      <c r="P345">
        <f>'Kullanılan gübre'!P345*'Gübre oranlar'!S$3</f>
        <v>0</v>
      </c>
      <c r="Q345">
        <f>'Kullanılan gübre'!Q345*'Gübre oranlar'!T$3</f>
        <v>0</v>
      </c>
      <c r="R345">
        <f>'Kullanılan gübre'!R345*'Gübre oranlar'!U$3</f>
        <v>0</v>
      </c>
      <c r="S345">
        <f>'Kullanılan gübre'!S345*'Gübre oranlar'!V$3</f>
        <v>0</v>
      </c>
      <c r="T345">
        <f>'Kullanılan gübre'!T345*'Gübre oranlar'!W$3</f>
        <v>0</v>
      </c>
      <c r="U345">
        <f>'Kullanılan gübre'!U345*'Gübre oranlar'!X$3</f>
        <v>0</v>
      </c>
      <c r="V345">
        <f>'Kullanılan gübre'!V345*'Gübre oranlar'!Y$3</f>
        <v>0</v>
      </c>
      <c r="W345">
        <f>'Kullanılan gübre'!W345*'Gübre oranlar'!Z$3</f>
        <v>0</v>
      </c>
      <c r="X345">
        <f>'Kullanılan gübre'!X345*'Gübre oranlar'!AA$3</f>
        <v>0</v>
      </c>
      <c r="Y345">
        <f>'Kullanılan gübre'!Y345*'Gübre oranlar'!AB$3</f>
        <v>0</v>
      </c>
      <c r="Z345">
        <f>'Kullanılan gübre'!Z345*'Gübre oranlar'!AC$3</f>
        <v>0</v>
      </c>
      <c r="AA345">
        <f>'Kullanılan gübre'!AA345*'Gübre oranlar'!AD$3</f>
        <v>0</v>
      </c>
      <c r="AB345">
        <f>'Kullanılan gübre'!AB345*'Gübre oranlar'!AE$3</f>
        <v>0</v>
      </c>
      <c r="AC345">
        <f>'Kullanılan gübre'!AC345*'Gübre oranlar'!AF$3</f>
        <v>0</v>
      </c>
      <c r="AD345">
        <f>'Kullanılan gübre'!AD345*'Gübre oranlar'!AG$3</f>
        <v>0</v>
      </c>
      <c r="AE345">
        <f>'Kullanılan gübre'!AE345*'Gübre oranlar'!AH$3</f>
        <v>0</v>
      </c>
      <c r="AF345">
        <f>'Kullanılan gübre'!AF345*'Gübre oranlar'!AI$3</f>
        <v>0</v>
      </c>
      <c r="AG345">
        <f>'Kullanılan gübre'!AG345*'Gübre oranlar'!AJ$3</f>
        <v>0</v>
      </c>
      <c r="AH345">
        <f>'Kullanılan gübre'!AH345*'Gübre oranlar'!AK$3</f>
        <v>0</v>
      </c>
      <c r="AI345">
        <f>'Kullanılan gübre'!AI345*'Gübre oranlar'!AL$3</f>
        <v>0</v>
      </c>
      <c r="AJ345">
        <f>'Kullanılan gübre'!AJ345*'Gübre oranlar'!AM$3</f>
        <v>0</v>
      </c>
      <c r="AK345">
        <f>'Kullanılan gübre'!AK345*'Gübre oranlar'!AN$3</f>
        <v>0</v>
      </c>
      <c r="AL345">
        <f>'Kullanılan gübre'!AL345*'Gübre oranlar'!AO$3</f>
        <v>0</v>
      </c>
      <c r="AM345">
        <f>'Kullanılan gübre'!AM345*'Gübre oranlar'!AP$3</f>
        <v>0</v>
      </c>
      <c r="AN345">
        <f>'Kullanılan gübre'!AN345*'Gübre oranlar'!AQ$3</f>
        <v>0</v>
      </c>
      <c r="AO345">
        <f>'Kullanılan gübre'!AO345*'Gübre oranlar'!AR$3</f>
        <v>0</v>
      </c>
      <c r="AP345">
        <f>'Kullanılan gübre'!AP345*'Gübre oranlar'!AS$3</f>
        <v>0</v>
      </c>
      <c r="AQ345">
        <f>'Kullanılan gübre'!AQ345*'Gübre oranlar'!AT$3</f>
        <v>0</v>
      </c>
      <c r="AR345">
        <f>'Kullanılan gübre'!AR345*'Gübre oranlar'!AU$3</f>
        <v>0</v>
      </c>
      <c r="AS345">
        <f>'Kullanılan gübre'!AS345*'Gübre oranlar'!AV$3</f>
        <v>0</v>
      </c>
      <c r="AT345">
        <f>'Kullanılan gübre'!AT345*'Gübre oranlar'!AW$3</f>
        <v>0</v>
      </c>
      <c r="AU345">
        <f>'Kullanılan gübre'!AU345*'Gübre oranlar'!AX$3</f>
        <v>0</v>
      </c>
      <c r="AV345">
        <f>'Kullanılan gübre'!AV345*'Gübre oranlar'!AY$3</f>
        <v>0</v>
      </c>
      <c r="AW345">
        <f t="shared" si="5"/>
        <v>42.120000000000005</v>
      </c>
    </row>
    <row r="346" spans="1:49" x14ac:dyDescent="0.25">
      <c r="A346" t="str">
        <f>'Kullanılan gübre'!A346</f>
        <v>YI</v>
      </c>
      <c r="B346" t="str">
        <f>'Kullanılan gübre'!B346</f>
        <v>TOKAT</v>
      </c>
      <c r="C346" t="str">
        <f>'Kullanılan gübre'!C346</f>
        <v>BASCIFTLIK</v>
      </c>
      <c r="D346">
        <f>'Kullanılan gübre'!D346</f>
        <v>2012</v>
      </c>
      <c r="E346">
        <f>'Kullanılan gübre'!E346*'Gübre oranlar'!H$3</f>
        <v>0</v>
      </c>
      <c r="F346">
        <f>'Kullanılan gübre'!F346*'Gübre oranlar'!I$3</f>
        <v>0</v>
      </c>
      <c r="G346">
        <f>'Kullanılan gübre'!G346*'Gübre oranlar'!J$3</f>
        <v>0</v>
      </c>
      <c r="H346">
        <f>'Kullanılan gübre'!H346*'Gübre oranlar'!K$3</f>
        <v>0</v>
      </c>
      <c r="I346">
        <f>'Kullanılan gübre'!I346*'Gübre oranlar'!L$3</f>
        <v>0</v>
      </c>
      <c r="J346">
        <f>'Kullanılan gübre'!J346*'Gübre oranlar'!M$3</f>
        <v>0</v>
      </c>
      <c r="K346">
        <f>'Kullanılan gübre'!K346*'Gübre oranlar'!N$3</f>
        <v>0</v>
      </c>
      <c r="L346">
        <f>'Kullanılan gübre'!L346*'Gübre oranlar'!O$3</f>
        <v>0</v>
      </c>
      <c r="M346">
        <f>'Kullanılan gübre'!M346*'Gübre oranlar'!P$3</f>
        <v>0</v>
      </c>
      <c r="N346">
        <f>'Kullanılan gübre'!N346*'Gübre oranlar'!Q$3</f>
        <v>0</v>
      </c>
      <c r="O346">
        <f>'Kullanılan gübre'!O346*'Gübre oranlar'!R$3</f>
        <v>0</v>
      </c>
      <c r="P346">
        <f>'Kullanılan gübre'!P346*'Gübre oranlar'!S$3</f>
        <v>0</v>
      </c>
      <c r="Q346">
        <f>'Kullanılan gübre'!Q346*'Gübre oranlar'!T$3</f>
        <v>0</v>
      </c>
      <c r="R346">
        <f>'Kullanılan gübre'!R346*'Gübre oranlar'!U$3</f>
        <v>0</v>
      </c>
      <c r="S346">
        <f>'Kullanılan gübre'!S346*'Gübre oranlar'!V$3</f>
        <v>0</v>
      </c>
      <c r="T346">
        <f>'Kullanılan gübre'!T346*'Gübre oranlar'!W$3</f>
        <v>0</v>
      </c>
      <c r="U346">
        <f>'Kullanılan gübre'!U346*'Gübre oranlar'!X$3</f>
        <v>0</v>
      </c>
      <c r="V346">
        <f>'Kullanılan gübre'!V346*'Gübre oranlar'!Y$3</f>
        <v>0</v>
      </c>
      <c r="W346">
        <f>'Kullanılan gübre'!W346*'Gübre oranlar'!Z$3</f>
        <v>0</v>
      </c>
      <c r="X346">
        <f>'Kullanılan gübre'!X346*'Gübre oranlar'!AA$3</f>
        <v>0</v>
      </c>
      <c r="Y346">
        <f>'Kullanılan gübre'!Y346*'Gübre oranlar'!AB$3</f>
        <v>0</v>
      </c>
      <c r="Z346">
        <f>'Kullanılan gübre'!Z346*'Gübre oranlar'!AC$3</f>
        <v>0</v>
      </c>
      <c r="AA346">
        <f>'Kullanılan gübre'!AA346*'Gübre oranlar'!AD$3</f>
        <v>0</v>
      </c>
      <c r="AB346">
        <f>'Kullanılan gübre'!AB346*'Gübre oranlar'!AE$3</f>
        <v>0</v>
      </c>
      <c r="AC346">
        <f>'Kullanılan gübre'!AC346*'Gübre oranlar'!AF$3</f>
        <v>0</v>
      </c>
      <c r="AD346">
        <f>'Kullanılan gübre'!AD346*'Gübre oranlar'!AG$3</f>
        <v>0</v>
      </c>
      <c r="AE346">
        <f>'Kullanılan gübre'!AE346*'Gübre oranlar'!AH$3</f>
        <v>0</v>
      </c>
      <c r="AF346">
        <f>'Kullanılan gübre'!AF346*'Gübre oranlar'!AI$3</f>
        <v>0</v>
      </c>
      <c r="AG346">
        <f>'Kullanılan gübre'!AG346*'Gübre oranlar'!AJ$3</f>
        <v>0</v>
      </c>
      <c r="AH346">
        <f>'Kullanılan gübre'!AH346*'Gübre oranlar'!AK$3</f>
        <v>0</v>
      </c>
      <c r="AI346">
        <f>'Kullanılan gübre'!AI346*'Gübre oranlar'!AL$3</f>
        <v>0</v>
      </c>
      <c r="AJ346">
        <f>'Kullanılan gübre'!AJ346*'Gübre oranlar'!AM$3</f>
        <v>0</v>
      </c>
      <c r="AK346">
        <f>'Kullanılan gübre'!AK346*'Gübre oranlar'!AN$3</f>
        <v>0</v>
      </c>
      <c r="AL346">
        <f>'Kullanılan gübre'!AL346*'Gübre oranlar'!AO$3</f>
        <v>0</v>
      </c>
      <c r="AM346">
        <f>'Kullanılan gübre'!AM346*'Gübre oranlar'!AP$3</f>
        <v>0</v>
      </c>
      <c r="AN346">
        <f>'Kullanılan gübre'!AN346*'Gübre oranlar'!AQ$3</f>
        <v>0</v>
      </c>
      <c r="AO346">
        <f>'Kullanılan gübre'!AO346*'Gübre oranlar'!AR$3</f>
        <v>0</v>
      </c>
      <c r="AP346">
        <f>'Kullanılan gübre'!AP346*'Gübre oranlar'!AS$3</f>
        <v>0</v>
      </c>
      <c r="AQ346">
        <f>'Kullanılan gübre'!AQ346*'Gübre oranlar'!AT$3</f>
        <v>0</v>
      </c>
      <c r="AR346">
        <f>'Kullanılan gübre'!AR346*'Gübre oranlar'!AU$3</f>
        <v>0</v>
      </c>
      <c r="AS346">
        <f>'Kullanılan gübre'!AS346*'Gübre oranlar'!AV$3</f>
        <v>0</v>
      </c>
      <c r="AT346">
        <f>'Kullanılan gübre'!AT346*'Gübre oranlar'!AW$3</f>
        <v>0</v>
      </c>
      <c r="AU346">
        <f>'Kullanılan gübre'!AU346*'Gübre oranlar'!AX$3</f>
        <v>0</v>
      </c>
      <c r="AV346">
        <f>'Kullanılan gübre'!AV346*'Gübre oranlar'!AY$3</f>
        <v>0</v>
      </c>
      <c r="AW346">
        <f t="shared" si="5"/>
        <v>0</v>
      </c>
    </row>
    <row r="347" spans="1:49" x14ac:dyDescent="0.25">
      <c r="A347" t="str">
        <f>'Kullanılan gübre'!A347</f>
        <v>YI</v>
      </c>
      <c r="B347" t="str">
        <f>'Kullanılan gübre'!B347</f>
        <v>TOKAT</v>
      </c>
      <c r="C347" t="str">
        <f>'Kullanılan gübre'!C347</f>
        <v>ERBAA</v>
      </c>
      <c r="D347">
        <f>'Kullanılan gübre'!D347</f>
        <v>2012</v>
      </c>
      <c r="E347">
        <f>'Kullanılan gübre'!E347*'Gübre oranlar'!H$3</f>
        <v>0</v>
      </c>
      <c r="F347">
        <f>'Kullanılan gübre'!F347*'Gübre oranlar'!I$3</f>
        <v>0</v>
      </c>
      <c r="G347">
        <f>'Kullanılan gübre'!G347*'Gübre oranlar'!J$3</f>
        <v>0</v>
      </c>
      <c r="H347">
        <f>'Kullanılan gübre'!H347*'Gübre oranlar'!K$3</f>
        <v>0</v>
      </c>
      <c r="I347">
        <f>'Kullanılan gübre'!I347*'Gübre oranlar'!L$3</f>
        <v>0.32250000000000001</v>
      </c>
      <c r="J347">
        <f>'Kullanılan gübre'!J347*'Gübre oranlar'!M$3</f>
        <v>0</v>
      </c>
      <c r="K347">
        <f>'Kullanılan gübre'!K347*'Gübre oranlar'!N$3</f>
        <v>107.67000000000002</v>
      </c>
      <c r="L347">
        <f>'Kullanılan gübre'!L347*'Gübre oranlar'!O$3</f>
        <v>0.33</v>
      </c>
      <c r="M347">
        <f>'Kullanılan gübre'!M347*'Gübre oranlar'!P$3</f>
        <v>115.94999999999999</v>
      </c>
      <c r="N347">
        <f>'Kullanılan gübre'!N347*'Gübre oranlar'!Q$3</f>
        <v>10.042499999999999</v>
      </c>
      <c r="O347">
        <f>'Kullanılan gübre'!O347*'Gübre oranlar'!R$3</f>
        <v>0</v>
      </c>
      <c r="P347">
        <f>'Kullanılan gübre'!P347*'Gübre oranlar'!S$3</f>
        <v>0</v>
      </c>
      <c r="Q347">
        <f>'Kullanılan gübre'!Q347*'Gübre oranlar'!T$3</f>
        <v>0</v>
      </c>
      <c r="R347">
        <f>'Kullanılan gübre'!R347*'Gübre oranlar'!U$3</f>
        <v>0</v>
      </c>
      <c r="S347">
        <f>'Kullanılan gübre'!S347*'Gübre oranlar'!V$3</f>
        <v>0</v>
      </c>
      <c r="T347">
        <f>'Kullanılan gübre'!T347*'Gübre oranlar'!W$3</f>
        <v>0</v>
      </c>
      <c r="U347">
        <f>'Kullanılan gübre'!U347*'Gübre oranlar'!X$3</f>
        <v>0</v>
      </c>
      <c r="V347">
        <f>'Kullanılan gübre'!V347*'Gübre oranlar'!Y$3</f>
        <v>0</v>
      </c>
      <c r="W347">
        <f>'Kullanılan gübre'!W347*'Gübre oranlar'!Z$3</f>
        <v>0</v>
      </c>
      <c r="X347">
        <f>'Kullanılan gübre'!X347*'Gübre oranlar'!AA$3</f>
        <v>0</v>
      </c>
      <c r="Y347">
        <f>'Kullanılan gübre'!Y347*'Gübre oranlar'!AB$3</f>
        <v>0</v>
      </c>
      <c r="Z347">
        <f>'Kullanılan gübre'!Z347*'Gübre oranlar'!AC$3</f>
        <v>0</v>
      </c>
      <c r="AA347">
        <f>'Kullanılan gübre'!AA347*'Gübre oranlar'!AD$3</f>
        <v>0</v>
      </c>
      <c r="AB347">
        <f>'Kullanılan gübre'!AB347*'Gübre oranlar'!AE$3</f>
        <v>0</v>
      </c>
      <c r="AC347">
        <f>'Kullanılan gübre'!AC347*'Gübre oranlar'!AF$3</f>
        <v>0</v>
      </c>
      <c r="AD347">
        <f>'Kullanılan gübre'!AD347*'Gübre oranlar'!AG$3</f>
        <v>0</v>
      </c>
      <c r="AE347">
        <f>'Kullanılan gübre'!AE347*'Gübre oranlar'!AH$3</f>
        <v>0</v>
      </c>
      <c r="AF347">
        <f>'Kullanılan gübre'!AF347*'Gübre oranlar'!AI$3</f>
        <v>0</v>
      </c>
      <c r="AG347">
        <f>'Kullanılan gübre'!AG347*'Gübre oranlar'!AJ$3</f>
        <v>0</v>
      </c>
      <c r="AH347">
        <f>'Kullanılan gübre'!AH347*'Gübre oranlar'!AK$3</f>
        <v>0</v>
      </c>
      <c r="AI347">
        <f>'Kullanılan gübre'!AI347*'Gübre oranlar'!AL$3</f>
        <v>0</v>
      </c>
      <c r="AJ347">
        <f>'Kullanılan gübre'!AJ347*'Gübre oranlar'!AM$3</f>
        <v>0</v>
      </c>
      <c r="AK347">
        <f>'Kullanılan gübre'!AK347*'Gübre oranlar'!AN$3</f>
        <v>0</v>
      </c>
      <c r="AL347">
        <f>'Kullanılan gübre'!AL347*'Gübre oranlar'!AO$3</f>
        <v>0</v>
      </c>
      <c r="AM347">
        <f>'Kullanılan gübre'!AM347*'Gübre oranlar'!AP$3</f>
        <v>0</v>
      </c>
      <c r="AN347">
        <f>'Kullanılan gübre'!AN347*'Gübre oranlar'!AQ$3</f>
        <v>0</v>
      </c>
      <c r="AO347">
        <f>'Kullanılan gübre'!AO347*'Gübre oranlar'!AR$3</f>
        <v>0</v>
      </c>
      <c r="AP347">
        <f>'Kullanılan gübre'!AP347*'Gübre oranlar'!AS$3</f>
        <v>0</v>
      </c>
      <c r="AQ347">
        <f>'Kullanılan gübre'!AQ347*'Gübre oranlar'!AT$3</f>
        <v>0</v>
      </c>
      <c r="AR347">
        <f>'Kullanılan gübre'!AR347*'Gübre oranlar'!AU$3</f>
        <v>0</v>
      </c>
      <c r="AS347">
        <f>'Kullanılan gübre'!AS347*'Gübre oranlar'!AV$3</f>
        <v>0</v>
      </c>
      <c r="AT347">
        <f>'Kullanılan gübre'!AT347*'Gübre oranlar'!AW$3</f>
        <v>0</v>
      </c>
      <c r="AU347">
        <f>'Kullanılan gübre'!AU347*'Gübre oranlar'!AX$3</f>
        <v>0</v>
      </c>
      <c r="AV347">
        <f>'Kullanılan gübre'!AV347*'Gübre oranlar'!AY$3</f>
        <v>0</v>
      </c>
      <c r="AW347">
        <f t="shared" si="5"/>
        <v>234.315</v>
      </c>
    </row>
    <row r="348" spans="1:49" x14ac:dyDescent="0.25">
      <c r="A348" t="str">
        <f>'Kullanılan gübre'!A348</f>
        <v>YI</v>
      </c>
      <c r="B348" t="str">
        <f>'Kullanılan gübre'!B348</f>
        <v>TOKAT</v>
      </c>
      <c r="C348" t="str">
        <f>'Kullanılan gübre'!C348</f>
        <v>NIKSAR</v>
      </c>
      <c r="D348">
        <f>'Kullanılan gübre'!D348</f>
        <v>2012</v>
      </c>
      <c r="E348">
        <f>'Kullanılan gübre'!E348*'Gübre oranlar'!H$3</f>
        <v>0</v>
      </c>
      <c r="F348">
        <f>'Kullanılan gübre'!F348*'Gübre oranlar'!I$3</f>
        <v>0</v>
      </c>
      <c r="G348">
        <f>'Kullanılan gübre'!G348*'Gübre oranlar'!J$3</f>
        <v>0</v>
      </c>
      <c r="H348">
        <f>'Kullanılan gübre'!H348*'Gübre oranlar'!K$3</f>
        <v>0</v>
      </c>
      <c r="I348">
        <f>'Kullanılan gübre'!I348*'Gübre oranlar'!L$3</f>
        <v>0</v>
      </c>
      <c r="J348">
        <f>'Kullanılan gübre'!J348*'Gübre oranlar'!M$3</f>
        <v>0</v>
      </c>
      <c r="K348">
        <f>'Kullanılan gübre'!K348*'Gübre oranlar'!N$3</f>
        <v>58.760000000000005</v>
      </c>
      <c r="L348">
        <f>'Kullanılan gübre'!L348*'Gübre oranlar'!O$3</f>
        <v>14.600000000000001</v>
      </c>
      <c r="M348">
        <f>'Kullanılan gübre'!M348*'Gübre oranlar'!P$3</f>
        <v>43.1175</v>
      </c>
      <c r="N348">
        <f>'Kullanılan gübre'!N348*'Gübre oranlar'!Q$3</f>
        <v>33.914999999999999</v>
      </c>
      <c r="O348">
        <f>'Kullanılan gübre'!O348*'Gübre oranlar'!R$3</f>
        <v>0</v>
      </c>
      <c r="P348">
        <f>'Kullanılan gübre'!P348*'Gübre oranlar'!S$3</f>
        <v>0</v>
      </c>
      <c r="Q348">
        <f>'Kullanılan gübre'!Q348*'Gübre oranlar'!T$3</f>
        <v>0</v>
      </c>
      <c r="R348">
        <f>'Kullanılan gübre'!R348*'Gübre oranlar'!U$3</f>
        <v>0</v>
      </c>
      <c r="S348">
        <f>'Kullanılan gübre'!S348*'Gübre oranlar'!V$3</f>
        <v>0</v>
      </c>
      <c r="T348">
        <f>'Kullanılan gübre'!T348*'Gübre oranlar'!W$3</f>
        <v>0</v>
      </c>
      <c r="U348">
        <f>'Kullanılan gübre'!U348*'Gübre oranlar'!X$3</f>
        <v>0</v>
      </c>
      <c r="V348">
        <f>'Kullanılan gübre'!V348*'Gübre oranlar'!Y$3</f>
        <v>0</v>
      </c>
      <c r="W348">
        <f>'Kullanılan gübre'!W348*'Gübre oranlar'!Z$3</f>
        <v>0</v>
      </c>
      <c r="X348">
        <f>'Kullanılan gübre'!X348*'Gübre oranlar'!AA$3</f>
        <v>0</v>
      </c>
      <c r="Y348">
        <f>'Kullanılan gübre'!Y348*'Gübre oranlar'!AB$3</f>
        <v>0</v>
      </c>
      <c r="Z348">
        <f>'Kullanılan gübre'!Z348*'Gübre oranlar'!AC$3</f>
        <v>0</v>
      </c>
      <c r="AA348">
        <f>'Kullanılan gübre'!AA348*'Gübre oranlar'!AD$3</f>
        <v>0</v>
      </c>
      <c r="AB348">
        <f>'Kullanılan gübre'!AB348*'Gübre oranlar'!AE$3</f>
        <v>0</v>
      </c>
      <c r="AC348">
        <f>'Kullanılan gübre'!AC348*'Gübre oranlar'!AF$3</f>
        <v>0</v>
      </c>
      <c r="AD348">
        <f>'Kullanılan gübre'!AD348*'Gübre oranlar'!AG$3</f>
        <v>0</v>
      </c>
      <c r="AE348">
        <f>'Kullanılan gübre'!AE348*'Gübre oranlar'!AH$3</f>
        <v>0</v>
      </c>
      <c r="AF348">
        <f>'Kullanılan gübre'!AF348*'Gübre oranlar'!AI$3</f>
        <v>0</v>
      </c>
      <c r="AG348">
        <f>'Kullanılan gübre'!AG348*'Gübre oranlar'!AJ$3</f>
        <v>0</v>
      </c>
      <c r="AH348">
        <f>'Kullanılan gübre'!AH348*'Gübre oranlar'!AK$3</f>
        <v>0</v>
      </c>
      <c r="AI348">
        <f>'Kullanılan gübre'!AI348*'Gübre oranlar'!AL$3</f>
        <v>0</v>
      </c>
      <c r="AJ348">
        <f>'Kullanılan gübre'!AJ348*'Gübre oranlar'!AM$3</f>
        <v>0</v>
      </c>
      <c r="AK348">
        <f>'Kullanılan gübre'!AK348*'Gübre oranlar'!AN$3</f>
        <v>0</v>
      </c>
      <c r="AL348">
        <f>'Kullanılan gübre'!AL348*'Gübre oranlar'!AO$3</f>
        <v>0</v>
      </c>
      <c r="AM348">
        <f>'Kullanılan gübre'!AM348*'Gübre oranlar'!AP$3</f>
        <v>0</v>
      </c>
      <c r="AN348">
        <f>'Kullanılan gübre'!AN348*'Gübre oranlar'!AQ$3</f>
        <v>0</v>
      </c>
      <c r="AO348">
        <f>'Kullanılan gübre'!AO348*'Gübre oranlar'!AR$3</f>
        <v>0</v>
      </c>
      <c r="AP348">
        <f>'Kullanılan gübre'!AP348*'Gübre oranlar'!AS$3</f>
        <v>0</v>
      </c>
      <c r="AQ348">
        <f>'Kullanılan gübre'!AQ348*'Gübre oranlar'!AT$3</f>
        <v>0</v>
      </c>
      <c r="AR348">
        <f>'Kullanılan gübre'!AR348*'Gübre oranlar'!AU$3</f>
        <v>0</v>
      </c>
      <c r="AS348">
        <f>'Kullanılan gübre'!AS348*'Gübre oranlar'!AV$3</f>
        <v>0</v>
      </c>
      <c r="AT348">
        <f>'Kullanılan gübre'!AT348*'Gübre oranlar'!AW$3</f>
        <v>0</v>
      </c>
      <c r="AU348">
        <f>'Kullanılan gübre'!AU348*'Gübre oranlar'!AX$3</f>
        <v>0</v>
      </c>
      <c r="AV348">
        <f>'Kullanılan gübre'!AV348*'Gübre oranlar'!AY$3</f>
        <v>0</v>
      </c>
      <c r="AW348">
        <f t="shared" si="5"/>
        <v>150.39250000000001</v>
      </c>
    </row>
    <row r="349" spans="1:49" x14ac:dyDescent="0.25">
      <c r="A349" t="str">
        <f>'Kullanılan gübre'!A349</f>
        <v>YI</v>
      </c>
      <c r="B349" t="str">
        <f>'Kullanılan gübre'!B349</f>
        <v>TOKAT</v>
      </c>
      <c r="C349" t="str">
        <f>'Kullanılan gübre'!C349</f>
        <v>PAZAR</v>
      </c>
      <c r="D349">
        <f>'Kullanılan gübre'!D349</f>
        <v>2012</v>
      </c>
      <c r="E349">
        <f>'Kullanılan gübre'!E349*'Gübre oranlar'!H$3</f>
        <v>0</v>
      </c>
      <c r="F349">
        <f>'Kullanılan gübre'!F349*'Gübre oranlar'!I$3</f>
        <v>0</v>
      </c>
      <c r="G349">
        <f>'Kullanılan gübre'!G349*'Gübre oranlar'!J$3</f>
        <v>0</v>
      </c>
      <c r="H349">
        <f>'Kullanılan gübre'!H349*'Gübre oranlar'!K$3</f>
        <v>0</v>
      </c>
      <c r="I349">
        <f>'Kullanılan gübre'!I349*'Gübre oranlar'!L$3</f>
        <v>28.466000000000001</v>
      </c>
      <c r="J349">
        <f>'Kullanılan gübre'!J349*'Gübre oranlar'!M$3</f>
        <v>0</v>
      </c>
      <c r="K349">
        <f>'Kullanılan gübre'!K349*'Gübre oranlar'!N$3</f>
        <v>8.9800000000000022</v>
      </c>
      <c r="L349">
        <f>'Kullanılan gübre'!L349*'Gübre oranlar'!O$3</f>
        <v>16.170000000000002</v>
      </c>
      <c r="M349">
        <f>'Kullanılan gübre'!M349*'Gübre oranlar'!P$3</f>
        <v>12.3375</v>
      </c>
      <c r="N349">
        <f>'Kullanılan gübre'!N349*'Gübre oranlar'!Q$3</f>
        <v>10.072499999999998</v>
      </c>
      <c r="O349">
        <f>'Kullanılan gübre'!O349*'Gübre oranlar'!R$3</f>
        <v>0</v>
      </c>
      <c r="P349">
        <f>'Kullanılan gübre'!P349*'Gübre oranlar'!S$3</f>
        <v>0</v>
      </c>
      <c r="Q349">
        <f>'Kullanılan gübre'!Q349*'Gübre oranlar'!T$3</f>
        <v>162</v>
      </c>
      <c r="R349">
        <f>'Kullanılan gübre'!R349*'Gübre oranlar'!U$3</f>
        <v>0</v>
      </c>
      <c r="S349">
        <f>'Kullanılan gübre'!S349*'Gübre oranlar'!V$3</f>
        <v>0</v>
      </c>
      <c r="T349">
        <f>'Kullanılan gübre'!T349*'Gübre oranlar'!W$3</f>
        <v>0</v>
      </c>
      <c r="U349">
        <f>'Kullanılan gübre'!U349*'Gübre oranlar'!X$3</f>
        <v>0</v>
      </c>
      <c r="V349">
        <f>'Kullanılan gübre'!V349*'Gübre oranlar'!Y$3</f>
        <v>0</v>
      </c>
      <c r="W349">
        <f>'Kullanılan gübre'!W349*'Gübre oranlar'!Z$3</f>
        <v>0</v>
      </c>
      <c r="X349">
        <f>'Kullanılan gübre'!X349*'Gübre oranlar'!AA$3</f>
        <v>0</v>
      </c>
      <c r="Y349">
        <f>'Kullanılan gübre'!Y349*'Gübre oranlar'!AB$3</f>
        <v>0</v>
      </c>
      <c r="Z349">
        <f>'Kullanılan gübre'!Z349*'Gübre oranlar'!AC$3</f>
        <v>0</v>
      </c>
      <c r="AA349">
        <f>'Kullanılan gübre'!AA349*'Gübre oranlar'!AD$3</f>
        <v>0</v>
      </c>
      <c r="AB349">
        <f>'Kullanılan gübre'!AB349*'Gübre oranlar'!AE$3</f>
        <v>0</v>
      </c>
      <c r="AC349">
        <f>'Kullanılan gübre'!AC349*'Gübre oranlar'!AF$3</f>
        <v>0</v>
      </c>
      <c r="AD349">
        <f>'Kullanılan gübre'!AD349*'Gübre oranlar'!AG$3</f>
        <v>0</v>
      </c>
      <c r="AE349">
        <f>'Kullanılan gübre'!AE349*'Gübre oranlar'!AH$3</f>
        <v>0</v>
      </c>
      <c r="AF349">
        <f>'Kullanılan gübre'!AF349*'Gübre oranlar'!AI$3</f>
        <v>0</v>
      </c>
      <c r="AG349">
        <f>'Kullanılan gübre'!AG349*'Gübre oranlar'!AJ$3</f>
        <v>0</v>
      </c>
      <c r="AH349">
        <f>'Kullanılan gübre'!AH349*'Gübre oranlar'!AK$3</f>
        <v>0</v>
      </c>
      <c r="AI349">
        <f>'Kullanılan gübre'!AI349*'Gübre oranlar'!AL$3</f>
        <v>0</v>
      </c>
      <c r="AJ349">
        <f>'Kullanılan gübre'!AJ349*'Gübre oranlar'!AM$3</f>
        <v>0</v>
      </c>
      <c r="AK349">
        <f>'Kullanılan gübre'!AK349*'Gübre oranlar'!AN$3</f>
        <v>0</v>
      </c>
      <c r="AL349">
        <f>'Kullanılan gübre'!AL349*'Gübre oranlar'!AO$3</f>
        <v>0</v>
      </c>
      <c r="AM349">
        <f>'Kullanılan gübre'!AM349*'Gübre oranlar'!AP$3</f>
        <v>0</v>
      </c>
      <c r="AN349">
        <f>'Kullanılan gübre'!AN349*'Gübre oranlar'!AQ$3</f>
        <v>0</v>
      </c>
      <c r="AO349">
        <f>'Kullanılan gübre'!AO349*'Gübre oranlar'!AR$3</f>
        <v>0</v>
      </c>
      <c r="AP349">
        <f>'Kullanılan gübre'!AP349*'Gübre oranlar'!AS$3</f>
        <v>0</v>
      </c>
      <c r="AQ349">
        <f>'Kullanılan gübre'!AQ349*'Gübre oranlar'!AT$3</f>
        <v>0</v>
      </c>
      <c r="AR349">
        <f>'Kullanılan gübre'!AR349*'Gübre oranlar'!AU$3</f>
        <v>0</v>
      </c>
      <c r="AS349">
        <f>'Kullanılan gübre'!AS349*'Gübre oranlar'!AV$3</f>
        <v>0</v>
      </c>
      <c r="AT349">
        <f>'Kullanılan gübre'!AT349*'Gübre oranlar'!AW$3</f>
        <v>0</v>
      </c>
      <c r="AU349">
        <f>'Kullanılan gübre'!AU349*'Gübre oranlar'!AX$3</f>
        <v>0</v>
      </c>
      <c r="AV349">
        <f>'Kullanılan gübre'!AV349*'Gübre oranlar'!AY$3</f>
        <v>0</v>
      </c>
      <c r="AW349">
        <f t="shared" si="5"/>
        <v>238.02600000000001</v>
      </c>
    </row>
    <row r="350" spans="1:49" x14ac:dyDescent="0.25">
      <c r="A350" t="str">
        <f>'Kullanılan gübre'!A350</f>
        <v>YI</v>
      </c>
      <c r="B350" t="str">
        <f>'Kullanılan gübre'!B350</f>
        <v>TOKAT</v>
      </c>
      <c r="C350" t="str">
        <f>'Kullanılan gübre'!C350</f>
        <v>RESADIYE</v>
      </c>
      <c r="D350">
        <f>'Kullanılan gübre'!D350</f>
        <v>2012</v>
      </c>
      <c r="E350">
        <f>'Kullanılan gübre'!E350*'Gübre oranlar'!H$3</f>
        <v>0</v>
      </c>
      <c r="F350">
        <f>'Kullanılan gübre'!F350*'Gübre oranlar'!I$3</f>
        <v>0</v>
      </c>
      <c r="G350">
        <f>'Kullanılan gübre'!G350*'Gübre oranlar'!J$3</f>
        <v>0</v>
      </c>
      <c r="H350">
        <f>'Kullanılan gübre'!H350*'Gübre oranlar'!K$3</f>
        <v>0</v>
      </c>
      <c r="I350">
        <f>'Kullanılan gübre'!I350*'Gübre oranlar'!L$3</f>
        <v>0</v>
      </c>
      <c r="J350">
        <f>'Kullanılan gübre'!J350*'Gübre oranlar'!M$3</f>
        <v>0</v>
      </c>
      <c r="K350">
        <f>'Kullanılan gübre'!K350*'Gübre oranlar'!N$3</f>
        <v>2</v>
      </c>
      <c r="L350">
        <f>'Kullanılan gübre'!L350*'Gübre oranlar'!O$3</f>
        <v>0</v>
      </c>
      <c r="M350">
        <f>'Kullanılan gübre'!M350*'Gübre oranlar'!P$3</f>
        <v>0</v>
      </c>
      <c r="N350">
        <f>'Kullanılan gübre'!N350*'Gübre oranlar'!Q$3</f>
        <v>0</v>
      </c>
      <c r="O350">
        <f>'Kullanılan gübre'!O350*'Gübre oranlar'!R$3</f>
        <v>0</v>
      </c>
      <c r="P350">
        <f>'Kullanılan gübre'!P350*'Gübre oranlar'!S$3</f>
        <v>0</v>
      </c>
      <c r="Q350">
        <f>'Kullanılan gübre'!Q350*'Gübre oranlar'!T$3</f>
        <v>0</v>
      </c>
      <c r="R350">
        <f>'Kullanılan gübre'!R350*'Gübre oranlar'!U$3</f>
        <v>0</v>
      </c>
      <c r="S350">
        <f>'Kullanılan gübre'!S350*'Gübre oranlar'!V$3</f>
        <v>0</v>
      </c>
      <c r="T350">
        <f>'Kullanılan gübre'!T350*'Gübre oranlar'!W$3</f>
        <v>0</v>
      </c>
      <c r="U350">
        <f>'Kullanılan gübre'!U350*'Gübre oranlar'!X$3</f>
        <v>0</v>
      </c>
      <c r="V350">
        <f>'Kullanılan gübre'!V350*'Gübre oranlar'!Y$3</f>
        <v>0</v>
      </c>
      <c r="W350">
        <f>'Kullanılan gübre'!W350*'Gübre oranlar'!Z$3</f>
        <v>0</v>
      </c>
      <c r="X350">
        <f>'Kullanılan gübre'!X350*'Gübre oranlar'!AA$3</f>
        <v>0</v>
      </c>
      <c r="Y350">
        <f>'Kullanılan gübre'!Y350*'Gübre oranlar'!AB$3</f>
        <v>0</v>
      </c>
      <c r="Z350">
        <f>'Kullanılan gübre'!Z350*'Gübre oranlar'!AC$3</f>
        <v>0</v>
      </c>
      <c r="AA350">
        <f>'Kullanılan gübre'!AA350*'Gübre oranlar'!AD$3</f>
        <v>0</v>
      </c>
      <c r="AB350">
        <f>'Kullanılan gübre'!AB350*'Gübre oranlar'!AE$3</f>
        <v>0</v>
      </c>
      <c r="AC350">
        <f>'Kullanılan gübre'!AC350*'Gübre oranlar'!AF$3</f>
        <v>0</v>
      </c>
      <c r="AD350">
        <f>'Kullanılan gübre'!AD350*'Gübre oranlar'!AG$3</f>
        <v>0</v>
      </c>
      <c r="AE350">
        <f>'Kullanılan gübre'!AE350*'Gübre oranlar'!AH$3</f>
        <v>0</v>
      </c>
      <c r="AF350">
        <f>'Kullanılan gübre'!AF350*'Gübre oranlar'!AI$3</f>
        <v>0</v>
      </c>
      <c r="AG350">
        <f>'Kullanılan gübre'!AG350*'Gübre oranlar'!AJ$3</f>
        <v>0</v>
      </c>
      <c r="AH350">
        <f>'Kullanılan gübre'!AH350*'Gübre oranlar'!AK$3</f>
        <v>0</v>
      </c>
      <c r="AI350">
        <f>'Kullanılan gübre'!AI350*'Gübre oranlar'!AL$3</f>
        <v>0</v>
      </c>
      <c r="AJ350">
        <f>'Kullanılan gübre'!AJ350*'Gübre oranlar'!AM$3</f>
        <v>0</v>
      </c>
      <c r="AK350">
        <f>'Kullanılan gübre'!AK350*'Gübre oranlar'!AN$3</f>
        <v>0</v>
      </c>
      <c r="AL350">
        <f>'Kullanılan gübre'!AL350*'Gübre oranlar'!AO$3</f>
        <v>0</v>
      </c>
      <c r="AM350">
        <f>'Kullanılan gübre'!AM350*'Gübre oranlar'!AP$3</f>
        <v>0</v>
      </c>
      <c r="AN350">
        <f>'Kullanılan gübre'!AN350*'Gübre oranlar'!AQ$3</f>
        <v>0</v>
      </c>
      <c r="AO350">
        <f>'Kullanılan gübre'!AO350*'Gübre oranlar'!AR$3</f>
        <v>0</v>
      </c>
      <c r="AP350">
        <f>'Kullanılan gübre'!AP350*'Gübre oranlar'!AS$3</f>
        <v>0</v>
      </c>
      <c r="AQ350">
        <f>'Kullanılan gübre'!AQ350*'Gübre oranlar'!AT$3</f>
        <v>0</v>
      </c>
      <c r="AR350">
        <f>'Kullanılan gübre'!AR350*'Gübre oranlar'!AU$3</f>
        <v>0</v>
      </c>
      <c r="AS350">
        <f>'Kullanılan gübre'!AS350*'Gübre oranlar'!AV$3</f>
        <v>0</v>
      </c>
      <c r="AT350">
        <f>'Kullanılan gübre'!AT350*'Gübre oranlar'!AW$3</f>
        <v>0</v>
      </c>
      <c r="AU350">
        <f>'Kullanılan gübre'!AU350*'Gübre oranlar'!AX$3</f>
        <v>0</v>
      </c>
      <c r="AV350">
        <f>'Kullanılan gübre'!AV350*'Gübre oranlar'!AY$3</f>
        <v>0</v>
      </c>
      <c r="AW350">
        <f t="shared" si="5"/>
        <v>2</v>
      </c>
    </row>
    <row r="351" spans="1:49" x14ac:dyDescent="0.25">
      <c r="A351" t="str">
        <f>'Kullanılan gübre'!A351</f>
        <v>YI</v>
      </c>
      <c r="B351" t="str">
        <f>'Kullanılan gübre'!B351</f>
        <v>TOKAT</v>
      </c>
      <c r="C351" t="str">
        <f>'Kullanılan gübre'!C351</f>
        <v>SULUSARAY</v>
      </c>
      <c r="D351">
        <f>'Kullanılan gübre'!D351</f>
        <v>2012</v>
      </c>
      <c r="E351">
        <f>'Kullanılan gübre'!E351*'Gübre oranlar'!H$3</f>
        <v>0</v>
      </c>
      <c r="F351">
        <f>'Kullanılan gübre'!F351*'Gübre oranlar'!I$3</f>
        <v>0</v>
      </c>
      <c r="G351">
        <f>'Kullanılan gübre'!G351*'Gübre oranlar'!J$3</f>
        <v>0</v>
      </c>
      <c r="H351">
        <f>'Kullanılan gübre'!H351*'Gübre oranlar'!K$3</f>
        <v>0</v>
      </c>
      <c r="I351">
        <f>'Kullanılan gübre'!I351*'Gübre oranlar'!L$3</f>
        <v>0</v>
      </c>
      <c r="J351">
        <f>'Kullanılan gübre'!J351*'Gübre oranlar'!M$3</f>
        <v>0</v>
      </c>
      <c r="K351">
        <f>'Kullanılan gübre'!K351*'Gübre oranlar'!N$3</f>
        <v>35.206000000000003</v>
      </c>
      <c r="L351">
        <f>'Kullanılan gübre'!L351*'Gübre oranlar'!O$3</f>
        <v>77.610000000000014</v>
      </c>
      <c r="M351">
        <f>'Kullanılan gübre'!M351*'Gübre oranlar'!P$3</f>
        <v>0</v>
      </c>
      <c r="N351">
        <f>'Kullanılan gübre'!N351*'Gübre oranlar'!Q$3</f>
        <v>0</v>
      </c>
      <c r="O351">
        <f>'Kullanılan gübre'!O351*'Gübre oranlar'!R$3</f>
        <v>0</v>
      </c>
      <c r="P351">
        <f>'Kullanılan gübre'!P351*'Gübre oranlar'!S$3</f>
        <v>0</v>
      </c>
      <c r="Q351">
        <f>'Kullanılan gübre'!Q351*'Gübre oranlar'!T$3</f>
        <v>0</v>
      </c>
      <c r="R351">
        <f>'Kullanılan gübre'!R351*'Gübre oranlar'!U$3</f>
        <v>0</v>
      </c>
      <c r="S351">
        <f>'Kullanılan gübre'!S351*'Gübre oranlar'!V$3</f>
        <v>0</v>
      </c>
      <c r="T351">
        <f>'Kullanılan gübre'!T351*'Gübre oranlar'!W$3</f>
        <v>0</v>
      </c>
      <c r="U351">
        <f>'Kullanılan gübre'!U351*'Gübre oranlar'!X$3</f>
        <v>0</v>
      </c>
      <c r="V351">
        <f>'Kullanılan gübre'!V351*'Gübre oranlar'!Y$3</f>
        <v>0</v>
      </c>
      <c r="W351">
        <f>'Kullanılan gübre'!W351*'Gübre oranlar'!Z$3</f>
        <v>0</v>
      </c>
      <c r="X351">
        <f>'Kullanılan gübre'!X351*'Gübre oranlar'!AA$3</f>
        <v>0</v>
      </c>
      <c r="Y351">
        <f>'Kullanılan gübre'!Y351*'Gübre oranlar'!AB$3</f>
        <v>0</v>
      </c>
      <c r="Z351">
        <f>'Kullanılan gübre'!Z351*'Gübre oranlar'!AC$3</f>
        <v>0</v>
      </c>
      <c r="AA351">
        <f>'Kullanılan gübre'!AA351*'Gübre oranlar'!AD$3</f>
        <v>0</v>
      </c>
      <c r="AB351">
        <f>'Kullanılan gübre'!AB351*'Gübre oranlar'!AE$3</f>
        <v>0</v>
      </c>
      <c r="AC351">
        <f>'Kullanılan gübre'!AC351*'Gübre oranlar'!AF$3</f>
        <v>0</v>
      </c>
      <c r="AD351">
        <f>'Kullanılan gübre'!AD351*'Gübre oranlar'!AG$3</f>
        <v>0</v>
      </c>
      <c r="AE351">
        <f>'Kullanılan gübre'!AE351*'Gübre oranlar'!AH$3</f>
        <v>0</v>
      </c>
      <c r="AF351">
        <f>'Kullanılan gübre'!AF351*'Gübre oranlar'!AI$3</f>
        <v>0</v>
      </c>
      <c r="AG351">
        <f>'Kullanılan gübre'!AG351*'Gübre oranlar'!AJ$3</f>
        <v>0</v>
      </c>
      <c r="AH351">
        <f>'Kullanılan gübre'!AH351*'Gübre oranlar'!AK$3</f>
        <v>0</v>
      </c>
      <c r="AI351">
        <f>'Kullanılan gübre'!AI351*'Gübre oranlar'!AL$3</f>
        <v>0</v>
      </c>
      <c r="AJ351">
        <f>'Kullanılan gübre'!AJ351*'Gübre oranlar'!AM$3</f>
        <v>0</v>
      </c>
      <c r="AK351">
        <f>'Kullanılan gübre'!AK351*'Gübre oranlar'!AN$3</f>
        <v>0</v>
      </c>
      <c r="AL351">
        <f>'Kullanılan gübre'!AL351*'Gübre oranlar'!AO$3</f>
        <v>0</v>
      </c>
      <c r="AM351">
        <f>'Kullanılan gübre'!AM351*'Gübre oranlar'!AP$3</f>
        <v>0</v>
      </c>
      <c r="AN351">
        <f>'Kullanılan gübre'!AN351*'Gübre oranlar'!AQ$3</f>
        <v>0</v>
      </c>
      <c r="AO351">
        <f>'Kullanılan gübre'!AO351*'Gübre oranlar'!AR$3</f>
        <v>0</v>
      </c>
      <c r="AP351">
        <f>'Kullanılan gübre'!AP351*'Gübre oranlar'!AS$3</f>
        <v>0</v>
      </c>
      <c r="AQ351">
        <f>'Kullanılan gübre'!AQ351*'Gübre oranlar'!AT$3</f>
        <v>0</v>
      </c>
      <c r="AR351">
        <f>'Kullanılan gübre'!AR351*'Gübre oranlar'!AU$3</f>
        <v>0</v>
      </c>
      <c r="AS351">
        <f>'Kullanılan gübre'!AS351*'Gübre oranlar'!AV$3</f>
        <v>0</v>
      </c>
      <c r="AT351">
        <f>'Kullanılan gübre'!AT351*'Gübre oranlar'!AW$3</f>
        <v>0</v>
      </c>
      <c r="AU351">
        <f>'Kullanılan gübre'!AU351*'Gübre oranlar'!AX$3</f>
        <v>0</v>
      </c>
      <c r="AV351">
        <f>'Kullanılan gübre'!AV351*'Gübre oranlar'!AY$3</f>
        <v>0</v>
      </c>
      <c r="AW351">
        <f t="shared" si="5"/>
        <v>112.81600000000002</v>
      </c>
    </row>
    <row r="352" spans="1:49" x14ac:dyDescent="0.25">
      <c r="A352" t="str">
        <f>'Kullanılan gübre'!A352</f>
        <v>YI</v>
      </c>
      <c r="B352" t="str">
        <f>'Kullanılan gübre'!B352</f>
        <v>TOKAT</v>
      </c>
      <c r="C352" t="str">
        <f>'Kullanılan gübre'!C352</f>
        <v>TURHAL</v>
      </c>
      <c r="D352">
        <f>'Kullanılan gübre'!D352</f>
        <v>2012</v>
      </c>
      <c r="E352">
        <f>'Kullanılan gübre'!E352*'Gübre oranlar'!H$3</f>
        <v>0</v>
      </c>
      <c r="F352">
        <f>'Kullanılan gübre'!F352*'Gübre oranlar'!I$3</f>
        <v>0</v>
      </c>
      <c r="G352">
        <f>'Kullanılan gübre'!G352*'Gübre oranlar'!J$3</f>
        <v>0</v>
      </c>
      <c r="H352">
        <f>'Kullanılan gübre'!H352*'Gübre oranlar'!K$3</f>
        <v>0</v>
      </c>
      <c r="I352">
        <f>'Kullanılan gübre'!I352*'Gübre oranlar'!L$3</f>
        <v>11.437999999999999</v>
      </c>
      <c r="J352">
        <f>'Kullanılan gübre'!J352*'Gübre oranlar'!M$3</f>
        <v>0</v>
      </c>
      <c r="K352">
        <f>'Kullanılan gübre'!K352*'Gübre oranlar'!N$3</f>
        <v>26.709999999999997</v>
      </c>
      <c r="L352">
        <f>'Kullanılan gübre'!L352*'Gübre oranlar'!O$3</f>
        <v>23.54</v>
      </c>
      <c r="M352">
        <f>'Kullanılan gübre'!M352*'Gübre oranlar'!P$3</f>
        <v>0.75749999999999995</v>
      </c>
      <c r="N352">
        <f>'Kullanılan gübre'!N352*'Gübre oranlar'!Q$3</f>
        <v>9.9975000000000005</v>
      </c>
      <c r="O352">
        <f>'Kullanılan gübre'!O352*'Gübre oranlar'!R$3</f>
        <v>0</v>
      </c>
      <c r="P352">
        <f>'Kullanılan gübre'!P352*'Gübre oranlar'!S$3</f>
        <v>0</v>
      </c>
      <c r="Q352">
        <f>'Kullanılan gübre'!Q352*'Gübre oranlar'!T$3</f>
        <v>195</v>
      </c>
      <c r="R352">
        <f>'Kullanılan gübre'!R352*'Gübre oranlar'!U$3</f>
        <v>0</v>
      </c>
      <c r="S352">
        <f>'Kullanılan gübre'!S352*'Gübre oranlar'!V$3</f>
        <v>0</v>
      </c>
      <c r="T352">
        <f>'Kullanılan gübre'!T352*'Gübre oranlar'!W$3</f>
        <v>0</v>
      </c>
      <c r="U352">
        <f>'Kullanılan gübre'!U352*'Gübre oranlar'!X$3</f>
        <v>0</v>
      </c>
      <c r="V352">
        <f>'Kullanılan gübre'!V352*'Gübre oranlar'!Y$3</f>
        <v>0</v>
      </c>
      <c r="W352">
        <f>'Kullanılan gübre'!W352*'Gübre oranlar'!Z$3</f>
        <v>0</v>
      </c>
      <c r="X352">
        <f>'Kullanılan gübre'!X352*'Gübre oranlar'!AA$3</f>
        <v>0</v>
      </c>
      <c r="Y352">
        <f>'Kullanılan gübre'!Y352*'Gübre oranlar'!AB$3</f>
        <v>0</v>
      </c>
      <c r="Z352">
        <f>'Kullanılan gübre'!Z352*'Gübre oranlar'!AC$3</f>
        <v>0</v>
      </c>
      <c r="AA352">
        <f>'Kullanılan gübre'!AA352*'Gübre oranlar'!AD$3</f>
        <v>0</v>
      </c>
      <c r="AB352">
        <f>'Kullanılan gübre'!AB352*'Gübre oranlar'!AE$3</f>
        <v>0</v>
      </c>
      <c r="AC352">
        <f>'Kullanılan gübre'!AC352*'Gübre oranlar'!AF$3</f>
        <v>0</v>
      </c>
      <c r="AD352">
        <f>'Kullanılan gübre'!AD352*'Gübre oranlar'!AG$3</f>
        <v>0</v>
      </c>
      <c r="AE352">
        <f>'Kullanılan gübre'!AE352*'Gübre oranlar'!AH$3</f>
        <v>0</v>
      </c>
      <c r="AF352">
        <f>'Kullanılan gübre'!AF352*'Gübre oranlar'!AI$3</f>
        <v>0</v>
      </c>
      <c r="AG352">
        <f>'Kullanılan gübre'!AG352*'Gübre oranlar'!AJ$3</f>
        <v>0</v>
      </c>
      <c r="AH352">
        <f>'Kullanılan gübre'!AH352*'Gübre oranlar'!AK$3</f>
        <v>0</v>
      </c>
      <c r="AI352">
        <f>'Kullanılan gübre'!AI352*'Gübre oranlar'!AL$3</f>
        <v>0</v>
      </c>
      <c r="AJ352">
        <f>'Kullanılan gübre'!AJ352*'Gübre oranlar'!AM$3</f>
        <v>0</v>
      </c>
      <c r="AK352">
        <f>'Kullanılan gübre'!AK352*'Gübre oranlar'!AN$3</f>
        <v>0</v>
      </c>
      <c r="AL352">
        <f>'Kullanılan gübre'!AL352*'Gübre oranlar'!AO$3</f>
        <v>0</v>
      </c>
      <c r="AM352">
        <f>'Kullanılan gübre'!AM352*'Gübre oranlar'!AP$3</f>
        <v>0</v>
      </c>
      <c r="AN352">
        <f>'Kullanılan gübre'!AN352*'Gübre oranlar'!AQ$3</f>
        <v>0</v>
      </c>
      <c r="AO352">
        <f>'Kullanılan gübre'!AO352*'Gübre oranlar'!AR$3</f>
        <v>0</v>
      </c>
      <c r="AP352">
        <f>'Kullanılan gübre'!AP352*'Gübre oranlar'!AS$3</f>
        <v>0</v>
      </c>
      <c r="AQ352">
        <f>'Kullanılan gübre'!AQ352*'Gübre oranlar'!AT$3</f>
        <v>0</v>
      </c>
      <c r="AR352">
        <f>'Kullanılan gübre'!AR352*'Gübre oranlar'!AU$3</f>
        <v>0</v>
      </c>
      <c r="AS352">
        <f>'Kullanılan gübre'!AS352*'Gübre oranlar'!AV$3</f>
        <v>0</v>
      </c>
      <c r="AT352">
        <f>'Kullanılan gübre'!AT352*'Gübre oranlar'!AW$3</f>
        <v>0</v>
      </c>
      <c r="AU352">
        <f>'Kullanılan gübre'!AU352*'Gübre oranlar'!AX$3</f>
        <v>0</v>
      </c>
      <c r="AV352">
        <f>'Kullanılan gübre'!AV352*'Gübre oranlar'!AY$3</f>
        <v>0</v>
      </c>
      <c r="AW352">
        <f t="shared" si="5"/>
        <v>267.44299999999998</v>
      </c>
    </row>
    <row r="353" spans="1:49" x14ac:dyDescent="0.25">
      <c r="A353" t="str">
        <f>'Kullanılan gübre'!A353</f>
        <v>YI</v>
      </c>
      <c r="B353" t="str">
        <f>'Kullanılan gübre'!B353</f>
        <v>TOKAT</v>
      </c>
      <c r="C353" t="str">
        <f>'Kullanılan gübre'!C353</f>
        <v>YESILYURT</v>
      </c>
      <c r="D353">
        <f>'Kullanılan gübre'!D353</f>
        <v>2012</v>
      </c>
      <c r="E353">
        <f>'Kullanılan gübre'!E353*'Gübre oranlar'!H$3</f>
        <v>0</v>
      </c>
      <c r="F353">
        <f>'Kullanılan gübre'!F353*'Gübre oranlar'!I$3</f>
        <v>0</v>
      </c>
      <c r="G353">
        <f>'Kullanılan gübre'!G353*'Gübre oranlar'!J$3</f>
        <v>0</v>
      </c>
      <c r="H353">
        <f>'Kullanılan gübre'!H353*'Gübre oranlar'!K$3</f>
        <v>0</v>
      </c>
      <c r="I353">
        <f>'Kullanılan gübre'!I353*'Gübre oranlar'!L$3</f>
        <v>0</v>
      </c>
      <c r="J353">
        <f>'Kullanılan gübre'!J353*'Gübre oranlar'!M$3</f>
        <v>0</v>
      </c>
      <c r="K353">
        <f>'Kullanılan gübre'!K353*'Gübre oranlar'!N$3</f>
        <v>5.25</v>
      </c>
      <c r="L353">
        <f>'Kullanılan gübre'!L353*'Gübre oranlar'!O$3</f>
        <v>0.5</v>
      </c>
      <c r="M353">
        <f>'Kullanılan gübre'!M353*'Gübre oranlar'!P$3</f>
        <v>5.25</v>
      </c>
      <c r="N353">
        <f>'Kullanılan gübre'!N353*'Gübre oranlar'!Q$3</f>
        <v>10.3575</v>
      </c>
      <c r="O353">
        <f>'Kullanılan gübre'!O353*'Gübre oranlar'!R$3</f>
        <v>0</v>
      </c>
      <c r="P353">
        <f>'Kullanılan gübre'!P353*'Gübre oranlar'!S$3</f>
        <v>0</v>
      </c>
      <c r="Q353">
        <f>'Kullanılan gübre'!Q353*'Gübre oranlar'!T$3</f>
        <v>0</v>
      </c>
      <c r="R353">
        <f>'Kullanılan gübre'!R353*'Gübre oranlar'!U$3</f>
        <v>0</v>
      </c>
      <c r="S353">
        <f>'Kullanılan gübre'!S353*'Gübre oranlar'!V$3</f>
        <v>0</v>
      </c>
      <c r="T353">
        <f>'Kullanılan gübre'!T353*'Gübre oranlar'!W$3</f>
        <v>0</v>
      </c>
      <c r="U353">
        <f>'Kullanılan gübre'!U353*'Gübre oranlar'!X$3</f>
        <v>0</v>
      </c>
      <c r="V353">
        <f>'Kullanılan gübre'!V353*'Gübre oranlar'!Y$3</f>
        <v>0</v>
      </c>
      <c r="W353">
        <f>'Kullanılan gübre'!W353*'Gübre oranlar'!Z$3</f>
        <v>0</v>
      </c>
      <c r="X353">
        <f>'Kullanılan gübre'!X353*'Gübre oranlar'!AA$3</f>
        <v>0</v>
      </c>
      <c r="Y353">
        <f>'Kullanılan gübre'!Y353*'Gübre oranlar'!AB$3</f>
        <v>0</v>
      </c>
      <c r="Z353">
        <f>'Kullanılan gübre'!Z353*'Gübre oranlar'!AC$3</f>
        <v>0</v>
      </c>
      <c r="AA353">
        <f>'Kullanılan gübre'!AA353*'Gübre oranlar'!AD$3</f>
        <v>0</v>
      </c>
      <c r="AB353">
        <f>'Kullanılan gübre'!AB353*'Gübre oranlar'!AE$3</f>
        <v>0</v>
      </c>
      <c r="AC353">
        <f>'Kullanılan gübre'!AC353*'Gübre oranlar'!AF$3</f>
        <v>0</v>
      </c>
      <c r="AD353">
        <f>'Kullanılan gübre'!AD353*'Gübre oranlar'!AG$3</f>
        <v>0</v>
      </c>
      <c r="AE353">
        <f>'Kullanılan gübre'!AE353*'Gübre oranlar'!AH$3</f>
        <v>0</v>
      </c>
      <c r="AF353">
        <f>'Kullanılan gübre'!AF353*'Gübre oranlar'!AI$3</f>
        <v>0</v>
      </c>
      <c r="AG353">
        <f>'Kullanılan gübre'!AG353*'Gübre oranlar'!AJ$3</f>
        <v>0</v>
      </c>
      <c r="AH353">
        <f>'Kullanılan gübre'!AH353*'Gübre oranlar'!AK$3</f>
        <v>0</v>
      </c>
      <c r="AI353">
        <f>'Kullanılan gübre'!AI353*'Gübre oranlar'!AL$3</f>
        <v>0</v>
      </c>
      <c r="AJ353">
        <f>'Kullanılan gübre'!AJ353*'Gübre oranlar'!AM$3</f>
        <v>0</v>
      </c>
      <c r="AK353">
        <f>'Kullanılan gübre'!AK353*'Gübre oranlar'!AN$3</f>
        <v>0</v>
      </c>
      <c r="AL353">
        <f>'Kullanılan gübre'!AL353*'Gübre oranlar'!AO$3</f>
        <v>0</v>
      </c>
      <c r="AM353">
        <f>'Kullanılan gübre'!AM353*'Gübre oranlar'!AP$3</f>
        <v>0</v>
      </c>
      <c r="AN353">
        <f>'Kullanılan gübre'!AN353*'Gübre oranlar'!AQ$3</f>
        <v>0</v>
      </c>
      <c r="AO353">
        <f>'Kullanılan gübre'!AO353*'Gübre oranlar'!AR$3</f>
        <v>0</v>
      </c>
      <c r="AP353">
        <f>'Kullanılan gübre'!AP353*'Gübre oranlar'!AS$3</f>
        <v>0</v>
      </c>
      <c r="AQ353">
        <f>'Kullanılan gübre'!AQ353*'Gübre oranlar'!AT$3</f>
        <v>0</v>
      </c>
      <c r="AR353">
        <f>'Kullanılan gübre'!AR353*'Gübre oranlar'!AU$3</f>
        <v>0</v>
      </c>
      <c r="AS353">
        <f>'Kullanılan gübre'!AS353*'Gübre oranlar'!AV$3</f>
        <v>0</v>
      </c>
      <c r="AT353">
        <f>'Kullanılan gübre'!AT353*'Gübre oranlar'!AW$3</f>
        <v>0</v>
      </c>
      <c r="AU353">
        <f>'Kullanılan gübre'!AU353*'Gübre oranlar'!AX$3</f>
        <v>0</v>
      </c>
      <c r="AV353">
        <f>'Kullanılan gübre'!AV353*'Gübre oranlar'!AY$3</f>
        <v>0</v>
      </c>
      <c r="AW353">
        <f t="shared" si="5"/>
        <v>21.357500000000002</v>
      </c>
    </row>
    <row r="354" spans="1:49" x14ac:dyDescent="0.25">
      <c r="A354" t="str">
        <f>'Kullanılan gübre'!A354</f>
        <v>YI</v>
      </c>
      <c r="B354" t="str">
        <f>'Kullanılan gübre'!B354</f>
        <v>TOKAT</v>
      </c>
      <c r="C354" t="str">
        <f>'Kullanılan gübre'!C354</f>
        <v>ZILE</v>
      </c>
      <c r="D354">
        <f>'Kullanılan gübre'!D354</f>
        <v>2012</v>
      </c>
      <c r="E354">
        <f>'Kullanılan gübre'!E354*'Gübre oranlar'!H$3</f>
        <v>0</v>
      </c>
      <c r="F354">
        <f>'Kullanılan gübre'!F354*'Gübre oranlar'!I$3</f>
        <v>0</v>
      </c>
      <c r="G354">
        <f>'Kullanılan gübre'!G354*'Gübre oranlar'!J$3</f>
        <v>0</v>
      </c>
      <c r="H354">
        <f>'Kullanılan gübre'!H354*'Gübre oranlar'!K$3</f>
        <v>0</v>
      </c>
      <c r="I354">
        <f>'Kullanılan gübre'!I354*'Gübre oranlar'!L$3</f>
        <v>0</v>
      </c>
      <c r="J354">
        <f>'Kullanılan gübre'!J354*'Gübre oranlar'!M$3</f>
        <v>0</v>
      </c>
      <c r="K354">
        <f>'Kullanılan gübre'!K354*'Gübre oranlar'!N$3</f>
        <v>356.59000000000003</v>
      </c>
      <c r="L354">
        <f>'Kullanılan gübre'!L354*'Gübre oranlar'!O$3</f>
        <v>175.94</v>
      </c>
      <c r="M354">
        <f>'Kullanılan gübre'!M354*'Gübre oranlar'!P$3</f>
        <v>41.385000000000005</v>
      </c>
      <c r="N354">
        <f>'Kullanılan gübre'!N354*'Gübre oranlar'!Q$3</f>
        <v>32.43</v>
      </c>
      <c r="O354">
        <f>'Kullanılan gübre'!O354*'Gübre oranlar'!R$3</f>
        <v>0</v>
      </c>
      <c r="P354">
        <f>'Kullanılan gübre'!P354*'Gübre oranlar'!S$3</f>
        <v>0</v>
      </c>
      <c r="Q354">
        <f>'Kullanılan gübre'!Q354*'Gübre oranlar'!T$3</f>
        <v>0</v>
      </c>
      <c r="R354">
        <f>'Kullanılan gübre'!R354*'Gübre oranlar'!U$3</f>
        <v>0</v>
      </c>
      <c r="S354">
        <f>'Kullanılan gübre'!S354*'Gübre oranlar'!V$3</f>
        <v>0</v>
      </c>
      <c r="T354">
        <f>'Kullanılan gübre'!T354*'Gübre oranlar'!W$3</f>
        <v>0</v>
      </c>
      <c r="U354">
        <f>'Kullanılan gübre'!U354*'Gübre oranlar'!X$3</f>
        <v>0</v>
      </c>
      <c r="V354">
        <f>'Kullanılan gübre'!V354*'Gübre oranlar'!Y$3</f>
        <v>0</v>
      </c>
      <c r="W354">
        <f>'Kullanılan gübre'!W354*'Gübre oranlar'!Z$3</f>
        <v>0</v>
      </c>
      <c r="X354">
        <f>'Kullanılan gübre'!X354*'Gübre oranlar'!AA$3</f>
        <v>0</v>
      </c>
      <c r="Y354">
        <f>'Kullanılan gübre'!Y354*'Gübre oranlar'!AB$3</f>
        <v>0</v>
      </c>
      <c r="Z354">
        <f>'Kullanılan gübre'!Z354*'Gübre oranlar'!AC$3</f>
        <v>0</v>
      </c>
      <c r="AA354">
        <f>'Kullanılan gübre'!AA354*'Gübre oranlar'!AD$3</f>
        <v>0</v>
      </c>
      <c r="AB354">
        <f>'Kullanılan gübre'!AB354*'Gübre oranlar'!AE$3</f>
        <v>0</v>
      </c>
      <c r="AC354">
        <f>'Kullanılan gübre'!AC354*'Gübre oranlar'!AF$3</f>
        <v>0</v>
      </c>
      <c r="AD354">
        <f>'Kullanılan gübre'!AD354*'Gübre oranlar'!AG$3</f>
        <v>0</v>
      </c>
      <c r="AE354">
        <f>'Kullanılan gübre'!AE354*'Gübre oranlar'!AH$3</f>
        <v>0</v>
      </c>
      <c r="AF354">
        <f>'Kullanılan gübre'!AF354*'Gübre oranlar'!AI$3</f>
        <v>0</v>
      </c>
      <c r="AG354">
        <f>'Kullanılan gübre'!AG354*'Gübre oranlar'!AJ$3</f>
        <v>0</v>
      </c>
      <c r="AH354">
        <f>'Kullanılan gübre'!AH354*'Gübre oranlar'!AK$3</f>
        <v>0</v>
      </c>
      <c r="AI354">
        <f>'Kullanılan gübre'!AI354*'Gübre oranlar'!AL$3</f>
        <v>0</v>
      </c>
      <c r="AJ354">
        <f>'Kullanılan gübre'!AJ354*'Gübre oranlar'!AM$3</f>
        <v>0</v>
      </c>
      <c r="AK354">
        <f>'Kullanılan gübre'!AK354*'Gübre oranlar'!AN$3</f>
        <v>0</v>
      </c>
      <c r="AL354">
        <f>'Kullanılan gübre'!AL354*'Gübre oranlar'!AO$3</f>
        <v>0</v>
      </c>
      <c r="AM354">
        <f>'Kullanılan gübre'!AM354*'Gübre oranlar'!AP$3</f>
        <v>0</v>
      </c>
      <c r="AN354">
        <f>'Kullanılan gübre'!AN354*'Gübre oranlar'!AQ$3</f>
        <v>0</v>
      </c>
      <c r="AO354">
        <f>'Kullanılan gübre'!AO354*'Gübre oranlar'!AR$3</f>
        <v>0</v>
      </c>
      <c r="AP354">
        <f>'Kullanılan gübre'!AP354*'Gübre oranlar'!AS$3</f>
        <v>0</v>
      </c>
      <c r="AQ354">
        <f>'Kullanılan gübre'!AQ354*'Gübre oranlar'!AT$3</f>
        <v>0</v>
      </c>
      <c r="AR354">
        <f>'Kullanılan gübre'!AR354*'Gübre oranlar'!AU$3</f>
        <v>0</v>
      </c>
      <c r="AS354">
        <f>'Kullanılan gübre'!AS354*'Gübre oranlar'!AV$3</f>
        <v>0</v>
      </c>
      <c r="AT354">
        <f>'Kullanılan gübre'!AT354*'Gübre oranlar'!AW$3</f>
        <v>0</v>
      </c>
      <c r="AU354">
        <f>'Kullanılan gübre'!AU354*'Gübre oranlar'!AX$3</f>
        <v>0</v>
      </c>
      <c r="AV354">
        <f>'Kullanılan gübre'!AV354*'Gübre oranlar'!AY$3</f>
        <v>0</v>
      </c>
      <c r="AW354">
        <f t="shared" si="5"/>
        <v>606.34499999999991</v>
      </c>
    </row>
    <row r="355" spans="1:49" x14ac:dyDescent="0.25">
      <c r="A355" t="str">
        <f>'Kullanılan gübre'!A355</f>
        <v>YI</v>
      </c>
      <c r="B355" t="str">
        <f>'Kullanılan gübre'!B355</f>
        <v>TOKAT</v>
      </c>
      <c r="C355" t="str">
        <f>'Kullanılan gübre'!C355</f>
        <v>MERKEZ</v>
      </c>
      <c r="D355">
        <f>'Kullanılan gübre'!D355</f>
        <v>2013</v>
      </c>
      <c r="E355">
        <f>'Kullanılan gübre'!E355*'Gübre oranlar'!H$3</f>
        <v>0</v>
      </c>
      <c r="F355">
        <f>'Kullanılan gübre'!F355*'Gübre oranlar'!I$3</f>
        <v>0</v>
      </c>
      <c r="G355">
        <f>'Kullanılan gübre'!G355*'Gübre oranlar'!J$3</f>
        <v>0</v>
      </c>
      <c r="H355">
        <f>'Kullanılan gübre'!H355*'Gübre oranlar'!K$3</f>
        <v>0</v>
      </c>
      <c r="I355">
        <f>'Kullanılan gübre'!I355*'Gübre oranlar'!L$3</f>
        <v>27.9285</v>
      </c>
      <c r="J355">
        <f>'Kullanılan gübre'!J355*'Gübre oranlar'!M$3</f>
        <v>0</v>
      </c>
      <c r="K355">
        <f>'Kullanılan gübre'!K355*'Gübre oranlar'!N$3</f>
        <v>54.68</v>
      </c>
      <c r="L355">
        <f>'Kullanılan gübre'!L355*'Gübre oranlar'!O$3</f>
        <v>60.070000000000007</v>
      </c>
      <c r="M355">
        <f>'Kullanılan gübre'!M355*'Gübre oranlar'!P$3</f>
        <v>26.257499999999997</v>
      </c>
      <c r="N355">
        <f>'Kullanılan gübre'!N355*'Gübre oranlar'!Q$3</f>
        <v>36.660000000000004</v>
      </c>
      <c r="O355">
        <f>'Kullanılan gübre'!O355*'Gübre oranlar'!R$3</f>
        <v>0</v>
      </c>
      <c r="P355">
        <f>'Kullanılan gübre'!P355*'Gübre oranlar'!S$3</f>
        <v>0</v>
      </c>
      <c r="Q355">
        <f>'Kullanılan gübre'!Q355*'Gübre oranlar'!T$3</f>
        <v>0</v>
      </c>
      <c r="R355">
        <f>'Kullanılan gübre'!R355*'Gübre oranlar'!U$3</f>
        <v>9.36</v>
      </c>
      <c r="S355">
        <f>'Kullanılan gübre'!S355*'Gübre oranlar'!V$3</f>
        <v>0</v>
      </c>
      <c r="T355">
        <f>'Kullanılan gübre'!T355*'Gübre oranlar'!W$3</f>
        <v>0</v>
      </c>
      <c r="U355">
        <f>'Kullanılan gübre'!U355*'Gübre oranlar'!X$3</f>
        <v>0</v>
      </c>
      <c r="V355">
        <f>'Kullanılan gübre'!V355*'Gübre oranlar'!Y$3</f>
        <v>0</v>
      </c>
      <c r="W355">
        <f>'Kullanılan gübre'!W355*'Gübre oranlar'!Z$3</f>
        <v>0</v>
      </c>
      <c r="X355">
        <f>'Kullanılan gübre'!X355*'Gübre oranlar'!AA$3</f>
        <v>0</v>
      </c>
      <c r="Y355">
        <f>'Kullanılan gübre'!Y355*'Gübre oranlar'!AB$3</f>
        <v>0</v>
      </c>
      <c r="Z355">
        <f>'Kullanılan gübre'!Z355*'Gübre oranlar'!AC$3</f>
        <v>0</v>
      </c>
      <c r="AA355">
        <f>'Kullanılan gübre'!AA355*'Gübre oranlar'!AD$3</f>
        <v>0</v>
      </c>
      <c r="AB355">
        <f>'Kullanılan gübre'!AB355*'Gübre oranlar'!AE$3</f>
        <v>0</v>
      </c>
      <c r="AC355">
        <f>'Kullanılan gübre'!AC355*'Gübre oranlar'!AF$3</f>
        <v>0</v>
      </c>
      <c r="AD355">
        <f>'Kullanılan gübre'!AD355*'Gübre oranlar'!AG$3</f>
        <v>0</v>
      </c>
      <c r="AE355">
        <f>'Kullanılan gübre'!AE355*'Gübre oranlar'!AH$3</f>
        <v>0</v>
      </c>
      <c r="AF355">
        <f>'Kullanılan gübre'!AF355*'Gübre oranlar'!AI$3</f>
        <v>0</v>
      </c>
      <c r="AG355">
        <f>'Kullanılan gübre'!AG355*'Gübre oranlar'!AJ$3</f>
        <v>0</v>
      </c>
      <c r="AH355">
        <f>'Kullanılan gübre'!AH355*'Gübre oranlar'!AK$3</f>
        <v>0</v>
      </c>
      <c r="AI355">
        <f>'Kullanılan gübre'!AI355*'Gübre oranlar'!AL$3</f>
        <v>0</v>
      </c>
      <c r="AJ355">
        <f>'Kullanılan gübre'!AJ355*'Gübre oranlar'!AM$3</f>
        <v>0</v>
      </c>
      <c r="AK355">
        <f>'Kullanılan gübre'!AK355*'Gübre oranlar'!AN$3</f>
        <v>0</v>
      </c>
      <c r="AL355">
        <f>'Kullanılan gübre'!AL355*'Gübre oranlar'!AO$3</f>
        <v>0</v>
      </c>
      <c r="AM355">
        <f>'Kullanılan gübre'!AM355*'Gübre oranlar'!AP$3</f>
        <v>0</v>
      </c>
      <c r="AN355">
        <f>'Kullanılan gübre'!AN355*'Gübre oranlar'!AQ$3</f>
        <v>0</v>
      </c>
      <c r="AO355">
        <f>'Kullanılan gübre'!AO355*'Gübre oranlar'!AR$3</f>
        <v>0</v>
      </c>
      <c r="AP355">
        <f>'Kullanılan gübre'!AP355*'Gübre oranlar'!AS$3</f>
        <v>0</v>
      </c>
      <c r="AQ355">
        <f>'Kullanılan gübre'!AQ355*'Gübre oranlar'!AT$3</f>
        <v>0</v>
      </c>
      <c r="AR355">
        <f>'Kullanılan gübre'!AR355*'Gübre oranlar'!AU$3</f>
        <v>0</v>
      </c>
      <c r="AS355">
        <f>'Kullanılan gübre'!AS355*'Gübre oranlar'!AV$3</f>
        <v>0</v>
      </c>
      <c r="AT355">
        <f>'Kullanılan gübre'!AT355*'Gübre oranlar'!AW$3</f>
        <v>0</v>
      </c>
      <c r="AU355">
        <f>'Kullanılan gübre'!AU355*'Gübre oranlar'!AX$3</f>
        <v>0</v>
      </c>
      <c r="AV355">
        <f>'Kullanılan gübre'!AV355*'Gübre oranlar'!AY$3</f>
        <v>0</v>
      </c>
      <c r="AW355">
        <f t="shared" si="5"/>
        <v>214.95599999999996</v>
      </c>
    </row>
    <row r="356" spans="1:49" x14ac:dyDescent="0.25">
      <c r="A356" t="str">
        <f>'Kullanılan gübre'!A356</f>
        <v>YI</v>
      </c>
      <c r="B356" t="str">
        <f>'Kullanılan gübre'!B356</f>
        <v>TOKAT</v>
      </c>
      <c r="C356" t="str">
        <f>'Kullanılan gübre'!C356</f>
        <v>ALMUS</v>
      </c>
      <c r="D356">
        <f>'Kullanılan gübre'!D356</f>
        <v>2013</v>
      </c>
      <c r="E356">
        <f>'Kullanılan gübre'!E356*'Gübre oranlar'!H$3</f>
        <v>0</v>
      </c>
      <c r="F356">
        <f>'Kullanılan gübre'!F356*'Gübre oranlar'!I$3</f>
        <v>0</v>
      </c>
      <c r="G356">
        <f>'Kullanılan gübre'!G356*'Gübre oranlar'!J$3</f>
        <v>0</v>
      </c>
      <c r="H356">
        <f>'Kullanılan gübre'!H356*'Gübre oranlar'!K$3</f>
        <v>0</v>
      </c>
      <c r="I356">
        <f>'Kullanılan gübre'!I356*'Gübre oranlar'!L$3</f>
        <v>0</v>
      </c>
      <c r="J356">
        <f>'Kullanılan gübre'!J356*'Gübre oranlar'!M$3</f>
        <v>0</v>
      </c>
      <c r="K356">
        <f>'Kullanılan gübre'!K356*'Gübre oranlar'!N$3</f>
        <v>3.0100000000000002</v>
      </c>
      <c r="L356">
        <f>'Kullanılan gübre'!L356*'Gübre oranlar'!O$3</f>
        <v>0</v>
      </c>
      <c r="M356">
        <f>'Kullanılan gübre'!M356*'Gübre oranlar'!P$3</f>
        <v>0</v>
      </c>
      <c r="N356">
        <f>'Kullanılan gübre'!N356*'Gübre oranlar'!Q$3</f>
        <v>0</v>
      </c>
      <c r="O356">
        <f>'Kullanılan gübre'!O356*'Gübre oranlar'!R$3</f>
        <v>0</v>
      </c>
      <c r="P356">
        <f>'Kullanılan gübre'!P356*'Gübre oranlar'!S$3</f>
        <v>0</v>
      </c>
      <c r="Q356">
        <f>'Kullanılan gübre'!Q356*'Gübre oranlar'!T$3</f>
        <v>0</v>
      </c>
      <c r="R356">
        <f>'Kullanılan gübre'!R356*'Gübre oranlar'!U$3</f>
        <v>0</v>
      </c>
      <c r="S356">
        <f>'Kullanılan gübre'!S356*'Gübre oranlar'!V$3</f>
        <v>0</v>
      </c>
      <c r="T356">
        <f>'Kullanılan gübre'!T356*'Gübre oranlar'!W$3</f>
        <v>0</v>
      </c>
      <c r="U356">
        <f>'Kullanılan gübre'!U356*'Gübre oranlar'!X$3</f>
        <v>0</v>
      </c>
      <c r="V356">
        <f>'Kullanılan gübre'!V356*'Gübre oranlar'!Y$3</f>
        <v>0</v>
      </c>
      <c r="W356">
        <f>'Kullanılan gübre'!W356*'Gübre oranlar'!Z$3</f>
        <v>0</v>
      </c>
      <c r="X356">
        <f>'Kullanılan gübre'!X356*'Gübre oranlar'!AA$3</f>
        <v>0</v>
      </c>
      <c r="Y356">
        <f>'Kullanılan gübre'!Y356*'Gübre oranlar'!AB$3</f>
        <v>0</v>
      </c>
      <c r="Z356">
        <f>'Kullanılan gübre'!Z356*'Gübre oranlar'!AC$3</f>
        <v>0</v>
      </c>
      <c r="AA356">
        <f>'Kullanılan gübre'!AA356*'Gübre oranlar'!AD$3</f>
        <v>0</v>
      </c>
      <c r="AB356">
        <f>'Kullanılan gübre'!AB356*'Gübre oranlar'!AE$3</f>
        <v>0</v>
      </c>
      <c r="AC356">
        <f>'Kullanılan gübre'!AC356*'Gübre oranlar'!AF$3</f>
        <v>0</v>
      </c>
      <c r="AD356">
        <f>'Kullanılan gübre'!AD356*'Gübre oranlar'!AG$3</f>
        <v>0</v>
      </c>
      <c r="AE356">
        <f>'Kullanılan gübre'!AE356*'Gübre oranlar'!AH$3</f>
        <v>0</v>
      </c>
      <c r="AF356">
        <f>'Kullanılan gübre'!AF356*'Gübre oranlar'!AI$3</f>
        <v>0</v>
      </c>
      <c r="AG356">
        <f>'Kullanılan gübre'!AG356*'Gübre oranlar'!AJ$3</f>
        <v>0</v>
      </c>
      <c r="AH356">
        <f>'Kullanılan gübre'!AH356*'Gübre oranlar'!AK$3</f>
        <v>0</v>
      </c>
      <c r="AI356">
        <f>'Kullanılan gübre'!AI356*'Gübre oranlar'!AL$3</f>
        <v>0</v>
      </c>
      <c r="AJ356">
        <f>'Kullanılan gübre'!AJ356*'Gübre oranlar'!AM$3</f>
        <v>0</v>
      </c>
      <c r="AK356">
        <f>'Kullanılan gübre'!AK356*'Gübre oranlar'!AN$3</f>
        <v>0</v>
      </c>
      <c r="AL356">
        <f>'Kullanılan gübre'!AL356*'Gübre oranlar'!AO$3</f>
        <v>0</v>
      </c>
      <c r="AM356">
        <f>'Kullanılan gübre'!AM356*'Gübre oranlar'!AP$3</f>
        <v>0</v>
      </c>
      <c r="AN356">
        <f>'Kullanılan gübre'!AN356*'Gübre oranlar'!AQ$3</f>
        <v>0</v>
      </c>
      <c r="AO356">
        <f>'Kullanılan gübre'!AO356*'Gübre oranlar'!AR$3</f>
        <v>0</v>
      </c>
      <c r="AP356">
        <f>'Kullanılan gübre'!AP356*'Gübre oranlar'!AS$3</f>
        <v>0</v>
      </c>
      <c r="AQ356">
        <f>'Kullanılan gübre'!AQ356*'Gübre oranlar'!AT$3</f>
        <v>0</v>
      </c>
      <c r="AR356">
        <f>'Kullanılan gübre'!AR356*'Gübre oranlar'!AU$3</f>
        <v>0</v>
      </c>
      <c r="AS356">
        <f>'Kullanılan gübre'!AS356*'Gübre oranlar'!AV$3</f>
        <v>0</v>
      </c>
      <c r="AT356">
        <f>'Kullanılan gübre'!AT356*'Gübre oranlar'!AW$3</f>
        <v>0</v>
      </c>
      <c r="AU356">
        <f>'Kullanılan gübre'!AU356*'Gübre oranlar'!AX$3</f>
        <v>0</v>
      </c>
      <c r="AV356">
        <f>'Kullanılan gübre'!AV356*'Gübre oranlar'!AY$3</f>
        <v>0</v>
      </c>
      <c r="AW356">
        <f t="shared" si="5"/>
        <v>3.0100000000000002</v>
      </c>
    </row>
    <row r="357" spans="1:49" x14ac:dyDescent="0.25">
      <c r="A357" t="str">
        <f>'Kullanılan gübre'!A357</f>
        <v>YI</v>
      </c>
      <c r="B357" t="str">
        <f>'Kullanılan gübre'!B357</f>
        <v>TOKAT</v>
      </c>
      <c r="C357" t="str">
        <f>'Kullanılan gübre'!C357</f>
        <v>ARTOVA</v>
      </c>
      <c r="D357">
        <f>'Kullanılan gübre'!D357</f>
        <v>2013</v>
      </c>
      <c r="E357">
        <f>'Kullanılan gübre'!E357*'Gübre oranlar'!H$3</f>
        <v>0</v>
      </c>
      <c r="F357">
        <f>'Kullanılan gübre'!F357*'Gübre oranlar'!I$3</f>
        <v>0</v>
      </c>
      <c r="G357">
        <f>'Kullanılan gübre'!G357*'Gübre oranlar'!J$3</f>
        <v>0</v>
      </c>
      <c r="H357">
        <f>'Kullanılan gübre'!H357*'Gübre oranlar'!K$3</f>
        <v>0</v>
      </c>
      <c r="I357">
        <f>'Kullanılan gübre'!I357*'Gübre oranlar'!L$3</f>
        <v>0</v>
      </c>
      <c r="J357">
        <f>'Kullanılan gübre'!J357*'Gübre oranlar'!M$3</f>
        <v>0</v>
      </c>
      <c r="K357">
        <f>'Kullanılan gübre'!K357*'Gübre oranlar'!N$3</f>
        <v>3.59</v>
      </c>
      <c r="L357">
        <f>'Kullanılan gübre'!L357*'Gübre oranlar'!O$3</f>
        <v>45.28</v>
      </c>
      <c r="M357">
        <f>'Kullanılan gübre'!M357*'Gübre oranlar'!P$3</f>
        <v>0</v>
      </c>
      <c r="N357">
        <f>'Kullanılan gübre'!N357*'Gübre oranlar'!Q$3</f>
        <v>17.25</v>
      </c>
      <c r="O357">
        <f>'Kullanılan gübre'!O357*'Gübre oranlar'!R$3</f>
        <v>0</v>
      </c>
      <c r="P357">
        <f>'Kullanılan gübre'!P357*'Gübre oranlar'!S$3</f>
        <v>0</v>
      </c>
      <c r="Q357">
        <f>'Kullanılan gübre'!Q357*'Gübre oranlar'!T$3</f>
        <v>0</v>
      </c>
      <c r="R357">
        <f>'Kullanılan gübre'!R357*'Gübre oranlar'!U$3</f>
        <v>0</v>
      </c>
      <c r="S357">
        <f>'Kullanılan gübre'!S357*'Gübre oranlar'!V$3</f>
        <v>0</v>
      </c>
      <c r="T357">
        <f>'Kullanılan gübre'!T357*'Gübre oranlar'!W$3</f>
        <v>0</v>
      </c>
      <c r="U357">
        <f>'Kullanılan gübre'!U357*'Gübre oranlar'!X$3</f>
        <v>0</v>
      </c>
      <c r="V357">
        <f>'Kullanılan gübre'!V357*'Gübre oranlar'!Y$3</f>
        <v>0</v>
      </c>
      <c r="W357">
        <f>'Kullanılan gübre'!W357*'Gübre oranlar'!Z$3</f>
        <v>0</v>
      </c>
      <c r="X357">
        <f>'Kullanılan gübre'!X357*'Gübre oranlar'!AA$3</f>
        <v>0</v>
      </c>
      <c r="Y357">
        <f>'Kullanılan gübre'!Y357*'Gübre oranlar'!AB$3</f>
        <v>0</v>
      </c>
      <c r="Z357">
        <f>'Kullanılan gübre'!Z357*'Gübre oranlar'!AC$3</f>
        <v>0</v>
      </c>
      <c r="AA357">
        <f>'Kullanılan gübre'!AA357*'Gübre oranlar'!AD$3</f>
        <v>0</v>
      </c>
      <c r="AB357">
        <f>'Kullanılan gübre'!AB357*'Gübre oranlar'!AE$3</f>
        <v>0</v>
      </c>
      <c r="AC357">
        <f>'Kullanılan gübre'!AC357*'Gübre oranlar'!AF$3</f>
        <v>0</v>
      </c>
      <c r="AD357">
        <f>'Kullanılan gübre'!AD357*'Gübre oranlar'!AG$3</f>
        <v>0</v>
      </c>
      <c r="AE357">
        <f>'Kullanılan gübre'!AE357*'Gübre oranlar'!AH$3</f>
        <v>0</v>
      </c>
      <c r="AF357">
        <f>'Kullanılan gübre'!AF357*'Gübre oranlar'!AI$3</f>
        <v>0</v>
      </c>
      <c r="AG357">
        <f>'Kullanılan gübre'!AG357*'Gübre oranlar'!AJ$3</f>
        <v>0</v>
      </c>
      <c r="AH357">
        <f>'Kullanılan gübre'!AH357*'Gübre oranlar'!AK$3</f>
        <v>0</v>
      </c>
      <c r="AI357">
        <f>'Kullanılan gübre'!AI357*'Gübre oranlar'!AL$3</f>
        <v>0</v>
      </c>
      <c r="AJ357">
        <f>'Kullanılan gübre'!AJ357*'Gübre oranlar'!AM$3</f>
        <v>0</v>
      </c>
      <c r="AK357">
        <f>'Kullanılan gübre'!AK357*'Gübre oranlar'!AN$3</f>
        <v>0</v>
      </c>
      <c r="AL357">
        <f>'Kullanılan gübre'!AL357*'Gübre oranlar'!AO$3</f>
        <v>0</v>
      </c>
      <c r="AM357">
        <f>'Kullanılan gübre'!AM357*'Gübre oranlar'!AP$3</f>
        <v>0</v>
      </c>
      <c r="AN357">
        <f>'Kullanılan gübre'!AN357*'Gübre oranlar'!AQ$3</f>
        <v>0</v>
      </c>
      <c r="AO357">
        <f>'Kullanılan gübre'!AO357*'Gübre oranlar'!AR$3</f>
        <v>0</v>
      </c>
      <c r="AP357">
        <f>'Kullanılan gübre'!AP357*'Gübre oranlar'!AS$3</f>
        <v>0</v>
      </c>
      <c r="AQ357">
        <f>'Kullanılan gübre'!AQ357*'Gübre oranlar'!AT$3</f>
        <v>0</v>
      </c>
      <c r="AR357">
        <f>'Kullanılan gübre'!AR357*'Gübre oranlar'!AU$3</f>
        <v>0</v>
      </c>
      <c r="AS357">
        <f>'Kullanılan gübre'!AS357*'Gübre oranlar'!AV$3</f>
        <v>0</v>
      </c>
      <c r="AT357">
        <f>'Kullanılan gübre'!AT357*'Gübre oranlar'!AW$3</f>
        <v>0</v>
      </c>
      <c r="AU357">
        <f>'Kullanılan gübre'!AU357*'Gübre oranlar'!AX$3</f>
        <v>0</v>
      </c>
      <c r="AV357">
        <f>'Kullanılan gübre'!AV357*'Gübre oranlar'!AY$3</f>
        <v>0</v>
      </c>
      <c r="AW357">
        <f t="shared" si="5"/>
        <v>66.12</v>
      </c>
    </row>
    <row r="358" spans="1:49" x14ac:dyDescent="0.25">
      <c r="A358" t="str">
        <f>'Kullanılan gübre'!A358</f>
        <v>YI</v>
      </c>
      <c r="B358" t="str">
        <f>'Kullanılan gübre'!B358</f>
        <v>TOKAT</v>
      </c>
      <c r="C358" t="str">
        <f>'Kullanılan gübre'!C358</f>
        <v>BASCIFTLIK</v>
      </c>
      <c r="D358">
        <f>'Kullanılan gübre'!D358</f>
        <v>2013</v>
      </c>
      <c r="E358">
        <f>'Kullanılan gübre'!E358*'Gübre oranlar'!H$3</f>
        <v>0</v>
      </c>
      <c r="F358">
        <f>'Kullanılan gübre'!F358*'Gübre oranlar'!I$3</f>
        <v>0</v>
      </c>
      <c r="G358">
        <f>'Kullanılan gübre'!G358*'Gübre oranlar'!J$3</f>
        <v>0</v>
      </c>
      <c r="H358">
        <f>'Kullanılan gübre'!H358*'Gübre oranlar'!K$3</f>
        <v>0</v>
      </c>
      <c r="I358">
        <f>'Kullanılan gübre'!I358*'Gübre oranlar'!L$3</f>
        <v>0</v>
      </c>
      <c r="J358">
        <f>'Kullanılan gübre'!J358*'Gübre oranlar'!M$3</f>
        <v>0</v>
      </c>
      <c r="K358">
        <f>'Kullanılan gübre'!K358*'Gübre oranlar'!N$3</f>
        <v>0</v>
      </c>
      <c r="L358">
        <f>'Kullanılan gübre'!L358*'Gübre oranlar'!O$3</f>
        <v>0</v>
      </c>
      <c r="M358">
        <f>'Kullanılan gübre'!M358*'Gübre oranlar'!P$3</f>
        <v>0</v>
      </c>
      <c r="N358">
        <f>'Kullanılan gübre'!N358*'Gübre oranlar'!Q$3</f>
        <v>0</v>
      </c>
      <c r="O358">
        <f>'Kullanılan gübre'!O358*'Gübre oranlar'!R$3</f>
        <v>0</v>
      </c>
      <c r="P358">
        <f>'Kullanılan gübre'!P358*'Gübre oranlar'!S$3</f>
        <v>0</v>
      </c>
      <c r="Q358">
        <f>'Kullanılan gübre'!Q358*'Gübre oranlar'!T$3</f>
        <v>0</v>
      </c>
      <c r="R358">
        <f>'Kullanılan gübre'!R358*'Gübre oranlar'!U$3</f>
        <v>0</v>
      </c>
      <c r="S358">
        <f>'Kullanılan gübre'!S358*'Gübre oranlar'!V$3</f>
        <v>0</v>
      </c>
      <c r="T358">
        <f>'Kullanılan gübre'!T358*'Gübre oranlar'!W$3</f>
        <v>0</v>
      </c>
      <c r="U358">
        <f>'Kullanılan gübre'!U358*'Gübre oranlar'!X$3</f>
        <v>0</v>
      </c>
      <c r="V358">
        <f>'Kullanılan gübre'!V358*'Gübre oranlar'!Y$3</f>
        <v>0</v>
      </c>
      <c r="W358">
        <f>'Kullanılan gübre'!W358*'Gübre oranlar'!Z$3</f>
        <v>0</v>
      </c>
      <c r="X358">
        <f>'Kullanılan gübre'!X358*'Gübre oranlar'!AA$3</f>
        <v>0</v>
      </c>
      <c r="Y358">
        <f>'Kullanılan gübre'!Y358*'Gübre oranlar'!AB$3</f>
        <v>0</v>
      </c>
      <c r="Z358">
        <f>'Kullanılan gübre'!Z358*'Gübre oranlar'!AC$3</f>
        <v>0</v>
      </c>
      <c r="AA358">
        <f>'Kullanılan gübre'!AA358*'Gübre oranlar'!AD$3</f>
        <v>0</v>
      </c>
      <c r="AB358">
        <f>'Kullanılan gübre'!AB358*'Gübre oranlar'!AE$3</f>
        <v>0</v>
      </c>
      <c r="AC358">
        <f>'Kullanılan gübre'!AC358*'Gübre oranlar'!AF$3</f>
        <v>0</v>
      </c>
      <c r="AD358">
        <f>'Kullanılan gübre'!AD358*'Gübre oranlar'!AG$3</f>
        <v>0</v>
      </c>
      <c r="AE358">
        <f>'Kullanılan gübre'!AE358*'Gübre oranlar'!AH$3</f>
        <v>0</v>
      </c>
      <c r="AF358">
        <f>'Kullanılan gübre'!AF358*'Gübre oranlar'!AI$3</f>
        <v>0</v>
      </c>
      <c r="AG358">
        <f>'Kullanılan gübre'!AG358*'Gübre oranlar'!AJ$3</f>
        <v>0</v>
      </c>
      <c r="AH358">
        <f>'Kullanılan gübre'!AH358*'Gübre oranlar'!AK$3</f>
        <v>0</v>
      </c>
      <c r="AI358">
        <f>'Kullanılan gübre'!AI358*'Gübre oranlar'!AL$3</f>
        <v>0</v>
      </c>
      <c r="AJ358">
        <f>'Kullanılan gübre'!AJ358*'Gübre oranlar'!AM$3</f>
        <v>0</v>
      </c>
      <c r="AK358">
        <f>'Kullanılan gübre'!AK358*'Gübre oranlar'!AN$3</f>
        <v>0</v>
      </c>
      <c r="AL358">
        <f>'Kullanılan gübre'!AL358*'Gübre oranlar'!AO$3</f>
        <v>0</v>
      </c>
      <c r="AM358">
        <f>'Kullanılan gübre'!AM358*'Gübre oranlar'!AP$3</f>
        <v>0</v>
      </c>
      <c r="AN358">
        <f>'Kullanılan gübre'!AN358*'Gübre oranlar'!AQ$3</f>
        <v>0</v>
      </c>
      <c r="AO358">
        <f>'Kullanılan gübre'!AO358*'Gübre oranlar'!AR$3</f>
        <v>0</v>
      </c>
      <c r="AP358">
        <f>'Kullanılan gübre'!AP358*'Gübre oranlar'!AS$3</f>
        <v>0</v>
      </c>
      <c r="AQ358">
        <f>'Kullanılan gübre'!AQ358*'Gübre oranlar'!AT$3</f>
        <v>0</v>
      </c>
      <c r="AR358">
        <f>'Kullanılan gübre'!AR358*'Gübre oranlar'!AU$3</f>
        <v>0</v>
      </c>
      <c r="AS358">
        <f>'Kullanılan gübre'!AS358*'Gübre oranlar'!AV$3</f>
        <v>0</v>
      </c>
      <c r="AT358">
        <f>'Kullanılan gübre'!AT358*'Gübre oranlar'!AW$3</f>
        <v>0</v>
      </c>
      <c r="AU358">
        <f>'Kullanılan gübre'!AU358*'Gübre oranlar'!AX$3</f>
        <v>0</v>
      </c>
      <c r="AV358">
        <f>'Kullanılan gübre'!AV358*'Gübre oranlar'!AY$3</f>
        <v>0</v>
      </c>
      <c r="AW358">
        <f t="shared" si="5"/>
        <v>0</v>
      </c>
    </row>
    <row r="359" spans="1:49" x14ac:dyDescent="0.25">
      <c r="A359" t="str">
        <f>'Kullanılan gübre'!A359</f>
        <v>YI</v>
      </c>
      <c r="B359" t="str">
        <f>'Kullanılan gübre'!B359</f>
        <v>TOKAT</v>
      </c>
      <c r="C359" t="str">
        <f>'Kullanılan gübre'!C359</f>
        <v>ERBAA</v>
      </c>
      <c r="D359">
        <f>'Kullanılan gübre'!D359</f>
        <v>2013</v>
      </c>
      <c r="E359">
        <f>'Kullanılan gübre'!E359*'Gübre oranlar'!H$3</f>
        <v>0</v>
      </c>
      <c r="F359">
        <f>'Kullanılan gübre'!F359*'Gübre oranlar'!I$3</f>
        <v>0</v>
      </c>
      <c r="G359">
        <f>'Kullanılan gübre'!G359*'Gübre oranlar'!J$3</f>
        <v>0</v>
      </c>
      <c r="H359">
        <f>'Kullanılan gübre'!H359*'Gübre oranlar'!K$3</f>
        <v>0</v>
      </c>
      <c r="I359">
        <f>'Kullanılan gübre'!I359*'Gübre oranlar'!L$3</f>
        <v>0</v>
      </c>
      <c r="J359">
        <f>'Kullanılan gübre'!J359*'Gübre oranlar'!M$3</f>
        <v>0</v>
      </c>
      <c r="K359">
        <f>'Kullanılan gübre'!K359*'Gübre oranlar'!N$3</f>
        <v>16.169999999999998</v>
      </c>
      <c r="L359">
        <f>'Kullanılan gübre'!L359*'Gübre oranlar'!O$3</f>
        <v>3.35</v>
      </c>
      <c r="M359">
        <f>'Kullanılan gübre'!M359*'Gübre oranlar'!P$3</f>
        <v>23.625</v>
      </c>
      <c r="N359">
        <f>'Kullanılan gübre'!N359*'Gübre oranlar'!Q$3</f>
        <v>39.734999999999992</v>
      </c>
      <c r="O359">
        <f>'Kullanılan gübre'!O359*'Gübre oranlar'!R$3</f>
        <v>0</v>
      </c>
      <c r="P359">
        <f>'Kullanılan gübre'!P359*'Gübre oranlar'!S$3</f>
        <v>0</v>
      </c>
      <c r="Q359">
        <f>'Kullanılan gübre'!Q359*'Gübre oranlar'!T$3</f>
        <v>0</v>
      </c>
      <c r="R359">
        <f>'Kullanılan gübre'!R359*'Gübre oranlar'!U$3</f>
        <v>0</v>
      </c>
      <c r="S359">
        <f>'Kullanılan gübre'!S359*'Gübre oranlar'!V$3</f>
        <v>0</v>
      </c>
      <c r="T359">
        <f>'Kullanılan gübre'!T359*'Gübre oranlar'!W$3</f>
        <v>0</v>
      </c>
      <c r="U359">
        <f>'Kullanılan gübre'!U359*'Gübre oranlar'!X$3</f>
        <v>0</v>
      </c>
      <c r="V359">
        <f>'Kullanılan gübre'!V359*'Gübre oranlar'!Y$3</f>
        <v>0</v>
      </c>
      <c r="W359">
        <f>'Kullanılan gübre'!W359*'Gübre oranlar'!Z$3</f>
        <v>0</v>
      </c>
      <c r="X359">
        <f>'Kullanılan gübre'!X359*'Gübre oranlar'!AA$3</f>
        <v>0</v>
      </c>
      <c r="Y359">
        <f>'Kullanılan gübre'!Y359*'Gübre oranlar'!AB$3</f>
        <v>0</v>
      </c>
      <c r="Z359">
        <f>'Kullanılan gübre'!Z359*'Gübre oranlar'!AC$3</f>
        <v>0</v>
      </c>
      <c r="AA359">
        <f>'Kullanılan gübre'!AA359*'Gübre oranlar'!AD$3</f>
        <v>0</v>
      </c>
      <c r="AB359">
        <f>'Kullanılan gübre'!AB359*'Gübre oranlar'!AE$3</f>
        <v>0</v>
      </c>
      <c r="AC359">
        <f>'Kullanılan gübre'!AC359*'Gübre oranlar'!AF$3</f>
        <v>0</v>
      </c>
      <c r="AD359">
        <f>'Kullanılan gübre'!AD359*'Gübre oranlar'!AG$3</f>
        <v>0</v>
      </c>
      <c r="AE359">
        <f>'Kullanılan gübre'!AE359*'Gübre oranlar'!AH$3</f>
        <v>0</v>
      </c>
      <c r="AF359">
        <f>'Kullanılan gübre'!AF359*'Gübre oranlar'!AI$3</f>
        <v>0</v>
      </c>
      <c r="AG359">
        <f>'Kullanılan gübre'!AG359*'Gübre oranlar'!AJ$3</f>
        <v>0</v>
      </c>
      <c r="AH359">
        <f>'Kullanılan gübre'!AH359*'Gübre oranlar'!AK$3</f>
        <v>0</v>
      </c>
      <c r="AI359">
        <f>'Kullanılan gübre'!AI359*'Gübre oranlar'!AL$3</f>
        <v>0</v>
      </c>
      <c r="AJ359">
        <f>'Kullanılan gübre'!AJ359*'Gübre oranlar'!AM$3</f>
        <v>0</v>
      </c>
      <c r="AK359">
        <f>'Kullanılan gübre'!AK359*'Gübre oranlar'!AN$3</f>
        <v>0</v>
      </c>
      <c r="AL359">
        <f>'Kullanılan gübre'!AL359*'Gübre oranlar'!AO$3</f>
        <v>0</v>
      </c>
      <c r="AM359">
        <f>'Kullanılan gübre'!AM359*'Gübre oranlar'!AP$3</f>
        <v>0</v>
      </c>
      <c r="AN359">
        <f>'Kullanılan gübre'!AN359*'Gübre oranlar'!AQ$3</f>
        <v>0</v>
      </c>
      <c r="AO359">
        <f>'Kullanılan gübre'!AO359*'Gübre oranlar'!AR$3</f>
        <v>0</v>
      </c>
      <c r="AP359">
        <f>'Kullanılan gübre'!AP359*'Gübre oranlar'!AS$3</f>
        <v>0</v>
      </c>
      <c r="AQ359">
        <f>'Kullanılan gübre'!AQ359*'Gübre oranlar'!AT$3</f>
        <v>0</v>
      </c>
      <c r="AR359">
        <f>'Kullanılan gübre'!AR359*'Gübre oranlar'!AU$3</f>
        <v>0</v>
      </c>
      <c r="AS359">
        <f>'Kullanılan gübre'!AS359*'Gübre oranlar'!AV$3</f>
        <v>0</v>
      </c>
      <c r="AT359">
        <f>'Kullanılan gübre'!AT359*'Gübre oranlar'!AW$3</f>
        <v>0</v>
      </c>
      <c r="AU359">
        <f>'Kullanılan gübre'!AU359*'Gübre oranlar'!AX$3</f>
        <v>0</v>
      </c>
      <c r="AV359">
        <f>'Kullanılan gübre'!AV359*'Gübre oranlar'!AY$3</f>
        <v>0</v>
      </c>
      <c r="AW359">
        <f t="shared" si="5"/>
        <v>82.88</v>
      </c>
    </row>
    <row r="360" spans="1:49" x14ac:dyDescent="0.25">
      <c r="A360" t="str">
        <f>'Kullanılan gübre'!A360</f>
        <v>YI</v>
      </c>
      <c r="B360" t="str">
        <f>'Kullanılan gübre'!B360</f>
        <v>TOKAT</v>
      </c>
      <c r="C360" t="str">
        <f>'Kullanılan gübre'!C360</f>
        <v>NIKSAR</v>
      </c>
      <c r="D360">
        <f>'Kullanılan gübre'!D360</f>
        <v>2013</v>
      </c>
      <c r="E360">
        <f>'Kullanılan gübre'!E360*'Gübre oranlar'!H$3</f>
        <v>0</v>
      </c>
      <c r="F360">
        <f>'Kullanılan gübre'!F360*'Gübre oranlar'!I$3</f>
        <v>0</v>
      </c>
      <c r="G360">
        <f>'Kullanılan gübre'!G360*'Gübre oranlar'!J$3</f>
        <v>0</v>
      </c>
      <c r="H360">
        <f>'Kullanılan gübre'!H360*'Gübre oranlar'!K$3</f>
        <v>0</v>
      </c>
      <c r="I360">
        <f>'Kullanılan gübre'!I360*'Gübre oranlar'!L$3</f>
        <v>0</v>
      </c>
      <c r="J360">
        <f>'Kullanılan gübre'!J360*'Gübre oranlar'!M$3</f>
        <v>0</v>
      </c>
      <c r="K360">
        <f>'Kullanılan gübre'!K360*'Gübre oranlar'!N$3</f>
        <v>52.03</v>
      </c>
      <c r="L360">
        <f>'Kullanılan gübre'!L360*'Gübre oranlar'!O$3</f>
        <v>46.79</v>
      </c>
      <c r="M360">
        <f>'Kullanılan gübre'!M360*'Gübre oranlar'!P$3</f>
        <v>35.167500000000004</v>
      </c>
      <c r="N360">
        <f>'Kullanılan gübre'!N360*'Gübre oranlar'!Q$3</f>
        <v>70.634999999999991</v>
      </c>
      <c r="O360">
        <f>'Kullanılan gübre'!O360*'Gübre oranlar'!R$3</f>
        <v>0</v>
      </c>
      <c r="P360">
        <f>'Kullanılan gübre'!P360*'Gübre oranlar'!S$3</f>
        <v>0</v>
      </c>
      <c r="Q360">
        <f>'Kullanılan gübre'!Q360*'Gübre oranlar'!T$3</f>
        <v>0</v>
      </c>
      <c r="R360">
        <f>'Kullanılan gübre'!R360*'Gübre oranlar'!U$3</f>
        <v>0</v>
      </c>
      <c r="S360">
        <f>'Kullanılan gübre'!S360*'Gübre oranlar'!V$3</f>
        <v>0</v>
      </c>
      <c r="T360">
        <f>'Kullanılan gübre'!T360*'Gübre oranlar'!W$3</f>
        <v>0</v>
      </c>
      <c r="U360">
        <f>'Kullanılan gübre'!U360*'Gübre oranlar'!X$3</f>
        <v>0</v>
      </c>
      <c r="V360">
        <f>'Kullanılan gübre'!V360*'Gübre oranlar'!Y$3</f>
        <v>0</v>
      </c>
      <c r="W360">
        <f>'Kullanılan gübre'!W360*'Gübre oranlar'!Z$3</f>
        <v>0</v>
      </c>
      <c r="X360">
        <f>'Kullanılan gübre'!X360*'Gübre oranlar'!AA$3</f>
        <v>0</v>
      </c>
      <c r="Y360">
        <f>'Kullanılan gübre'!Y360*'Gübre oranlar'!AB$3</f>
        <v>0</v>
      </c>
      <c r="Z360">
        <f>'Kullanılan gübre'!Z360*'Gübre oranlar'!AC$3</f>
        <v>0</v>
      </c>
      <c r="AA360">
        <f>'Kullanılan gübre'!AA360*'Gübre oranlar'!AD$3</f>
        <v>0</v>
      </c>
      <c r="AB360">
        <f>'Kullanılan gübre'!AB360*'Gübre oranlar'!AE$3</f>
        <v>0</v>
      </c>
      <c r="AC360">
        <f>'Kullanılan gübre'!AC360*'Gübre oranlar'!AF$3</f>
        <v>0</v>
      </c>
      <c r="AD360">
        <f>'Kullanılan gübre'!AD360*'Gübre oranlar'!AG$3</f>
        <v>0</v>
      </c>
      <c r="AE360">
        <f>'Kullanılan gübre'!AE360*'Gübre oranlar'!AH$3</f>
        <v>0</v>
      </c>
      <c r="AF360">
        <f>'Kullanılan gübre'!AF360*'Gübre oranlar'!AI$3</f>
        <v>0</v>
      </c>
      <c r="AG360">
        <f>'Kullanılan gübre'!AG360*'Gübre oranlar'!AJ$3</f>
        <v>0</v>
      </c>
      <c r="AH360">
        <f>'Kullanılan gübre'!AH360*'Gübre oranlar'!AK$3</f>
        <v>0</v>
      </c>
      <c r="AI360">
        <f>'Kullanılan gübre'!AI360*'Gübre oranlar'!AL$3</f>
        <v>0</v>
      </c>
      <c r="AJ360">
        <f>'Kullanılan gübre'!AJ360*'Gübre oranlar'!AM$3</f>
        <v>0</v>
      </c>
      <c r="AK360">
        <f>'Kullanılan gübre'!AK360*'Gübre oranlar'!AN$3</f>
        <v>0</v>
      </c>
      <c r="AL360">
        <f>'Kullanılan gübre'!AL360*'Gübre oranlar'!AO$3</f>
        <v>0</v>
      </c>
      <c r="AM360">
        <f>'Kullanılan gübre'!AM360*'Gübre oranlar'!AP$3</f>
        <v>0</v>
      </c>
      <c r="AN360">
        <f>'Kullanılan gübre'!AN360*'Gübre oranlar'!AQ$3</f>
        <v>0</v>
      </c>
      <c r="AO360">
        <f>'Kullanılan gübre'!AO360*'Gübre oranlar'!AR$3</f>
        <v>0</v>
      </c>
      <c r="AP360">
        <f>'Kullanılan gübre'!AP360*'Gübre oranlar'!AS$3</f>
        <v>0</v>
      </c>
      <c r="AQ360">
        <f>'Kullanılan gübre'!AQ360*'Gübre oranlar'!AT$3</f>
        <v>0</v>
      </c>
      <c r="AR360">
        <f>'Kullanılan gübre'!AR360*'Gübre oranlar'!AU$3</f>
        <v>0</v>
      </c>
      <c r="AS360">
        <f>'Kullanılan gübre'!AS360*'Gübre oranlar'!AV$3</f>
        <v>0</v>
      </c>
      <c r="AT360">
        <f>'Kullanılan gübre'!AT360*'Gübre oranlar'!AW$3</f>
        <v>0</v>
      </c>
      <c r="AU360">
        <f>'Kullanılan gübre'!AU360*'Gübre oranlar'!AX$3</f>
        <v>0</v>
      </c>
      <c r="AV360">
        <f>'Kullanılan gübre'!AV360*'Gübre oranlar'!AY$3</f>
        <v>0</v>
      </c>
      <c r="AW360">
        <f t="shared" si="5"/>
        <v>204.6225</v>
      </c>
    </row>
    <row r="361" spans="1:49" x14ac:dyDescent="0.25">
      <c r="A361" t="str">
        <f>'Kullanılan gübre'!A361</f>
        <v>YI</v>
      </c>
      <c r="B361" t="str">
        <f>'Kullanılan gübre'!B361</f>
        <v>TOKAT</v>
      </c>
      <c r="C361" t="str">
        <f>'Kullanılan gübre'!C361</f>
        <v>PAZAR</v>
      </c>
      <c r="D361">
        <f>'Kullanılan gübre'!D361</f>
        <v>2013</v>
      </c>
      <c r="E361">
        <f>'Kullanılan gübre'!E361*'Gübre oranlar'!H$3</f>
        <v>0</v>
      </c>
      <c r="F361">
        <f>'Kullanılan gübre'!F361*'Gübre oranlar'!I$3</f>
        <v>0</v>
      </c>
      <c r="G361">
        <f>'Kullanılan gübre'!G361*'Gübre oranlar'!J$3</f>
        <v>0</v>
      </c>
      <c r="H361">
        <f>'Kullanılan gübre'!H361*'Gübre oranlar'!K$3</f>
        <v>0</v>
      </c>
      <c r="I361">
        <f>'Kullanılan gübre'!I361*'Gübre oranlar'!L$3</f>
        <v>23.521000000000004</v>
      </c>
      <c r="J361">
        <f>'Kullanılan gübre'!J361*'Gübre oranlar'!M$3</f>
        <v>0</v>
      </c>
      <c r="K361">
        <f>'Kullanılan gübre'!K361*'Gübre oranlar'!N$3</f>
        <v>2.5300000000000002</v>
      </c>
      <c r="L361">
        <f>'Kullanılan gübre'!L361*'Gübre oranlar'!O$3</f>
        <v>5.1400000000000006</v>
      </c>
      <c r="M361">
        <f>'Kullanılan gübre'!M361*'Gübre oranlar'!P$3</f>
        <v>0</v>
      </c>
      <c r="N361">
        <f>'Kullanılan gübre'!N361*'Gübre oranlar'!Q$3</f>
        <v>25.349999999999998</v>
      </c>
      <c r="O361">
        <f>'Kullanılan gübre'!O361*'Gübre oranlar'!R$3</f>
        <v>0</v>
      </c>
      <c r="P361">
        <f>'Kullanılan gübre'!P361*'Gübre oranlar'!S$3</f>
        <v>0</v>
      </c>
      <c r="Q361">
        <f>'Kullanılan gübre'!Q361*'Gübre oranlar'!T$3</f>
        <v>90</v>
      </c>
      <c r="R361">
        <f>'Kullanılan gübre'!R361*'Gübre oranlar'!U$3</f>
        <v>0</v>
      </c>
      <c r="S361">
        <f>'Kullanılan gübre'!S361*'Gübre oranlar'!V$3</f>
        <v>0</v>
      </c>
      <c r="T361">
        <f>'Kullanılan gübre'!T361*'Gübre oranlar'!W$3</f>
        <v>0</v>
      </c>
      <c r="U361">
        <f>'Kullanılan gübre'!U361*'Gübre oranlar'!X$3</f>
        <v>0</v>
      </c>
      <c r="V361">
        <f>'Kullanılan gübre'!V361*'Gübre oranlar'!Y$3</f>
        <v>0</v>
      </c>
      <c r="W361">
        <f>'Kullanılan gübre'!W361*'Gübre oranlar'!Z$3</f>
        <v>0</v>
      </c>
      <c r="X361">
        <f>'Kullanılan gübre'!X361*'Gübre oranlar'!AA$3</f>
        <v>0</v>
      </c>
      <c r="Y361">
        <f>'Kullanılan gübre'!Y361*'Gübre oranlar'!AB$3</f>
        <v>0</v>
      </c>
      <c r="Z361">
        <f>'Kullanılan gübre'!Z361*'Gübre oranlar'!AC$3</f>
        <v>0</v>
      </c>
      <c r="AA361">
        <f>'Kullanılan gübre'!AA361*'Gübre oranlar'!AD$3</f>
        <v>0</v>
      </c>
      <c r="AB361">
        <f>'Kullanılan gübre'!AB361*'Gübre oranlar'!AE$3</f>
        <v>0</v>
      </c>
      <c r="AC361">
        <f>'Kullanılan gübre'!AC361*'Gübre oranlar'!AF$3</f>
        <v>0</v>
      </c>
      <c r="AD361">
        <f>'Kullanılan gübre'!AD361*'Gübre oranlar'!AG$3</f>
        <v>0</v>
      </c>
      <c r="AE361">
        <f>'Kullanılan gübre'!AE361*'Gübre oranlar'!AH$3</f>
        <v>0</v>
      </c>
      <c r="AF361">
        <f>'Kullanılan gübre'!AF361*'Gübre oranlar'!AI$3</f>
        <v>0</v>
      </c>
      <c r="AG361">
        <f>'Kullanılan gübre'!AG361*'Gübre oranlar'!AJ$3</f>
        <v>0</v>
      </c>
      <c r="AH361">
        <f>'Kullanılan gübre'!AH361*'Gübre oranlar'!AK$3</f>
        <v>0</v>
      </c>
      <c r="AI361">
        <f>'Kullanılan gübre'!AI361*'Gübre oranlar'!AL$3</f>
        <v>0</v>
      </c>
      <c r="AJ361">
        <f>'Kullanılan gübre'!AJ361*'Gübre oranlar'!AM$3</f>
        <v>0</v>
      </c>
      <c r="AK361">
        <f>'Kullanılan gübre'!AK361*'Gübre oranlar'!AN$3</f>
        <v>0</v>
      </c>
      <c r="AL361">
        <f>'Kullanılan gübre'!AL361*'Gübre oranlar'!AO$3</f>
        <v>0</v>
      </c>
      <c r="AM361">
        <f>'Kullanılan gübre'!AM361*'Gübre oranlar'!AP$3</f>
        <v>0</v>
      </c>
      <c r="AN361">
        <f>'Kullanılan gübre'!AN361*'Gübre oranlar'!AQ$3</f>
        <v>0</v>
      </c>
      <c r="AO361">
        <f>'Kullanılan gübre'!AO361*'Gübre oranlar'!AR$3</f>
        <v>0</v>
      </c>
      <c r="AP361">
        <f>'Kullanılan gübre'!AP361*'Gübre oranlar'!AS$3</f>
        <v>0</v>
      </c>
      <c r="AQ361">
        <f>'Kullanılan gübre'!AQ361*'Gübre oranlar'!AT$3</f>
        <v>0</v>
      </c>
      <c r="AR361">
        <f>'Kullanılan gübre'!AR361*'Gübre oranlar'!AU$3</f>
        <v>0</v>
      </c>
      <c r="AS361">
        <f>'Kullanılan gübre'!AS361*'Gübre oranlar'!AV$3</f>
        <v>0</v>
      </c>
      <c r="AT361">
        <f>'Kullanılan gübre'!AT361*'Gübre oranlar'!AW$3</f>
        <v>0</v>
      </c>
      <c r="AU361">
        <f>'Kullanılan gübre'!AU361*'Gübre oranlar'!AX$3</f>
        <v>0</v>
      </c>
      <c r="AV361">
        <f>'Kullanılan gübre'!AV361*'Gübre oranlar'!AY$3</f>
        <v>0</v>
      </c>
      <c r="AW361">
        <f t="shared" si="5"/>
        <v>146.541</v>
      </c>
    </row>
    <row r="362" spans="1:49" x14ac:dyDescent="0.25">
      <c r="A362" t="str">
        <f>'Kullanılan gübre'!A362</f>
        <v>YI</v>
      </c>
      <c r="B362" t="str">
        <f>'Kullanılan gübre'!B362</f>
        <v>TOKAT</v>
      </c>
      <c r="C362" t="str">
        <f>'Kullanılan gübre'!C362</f>
        <v>RESADIYE</v>
      </c>
      <c r="D362">
        <f>'Kullanılan gübre'!D362</f>
        <v>2013</v>
      </c>
      <c r="E362">
        <f>'Kullanılan gübre'!E362*'Gübre oranlar'!H$3</f>
        <v>0</v>
      </c>
      <c r="F362">
        <f>'Kullanılan gübre'!F362*'Gübre oranlar'!I$3</f>
        <v>0</v>
      </c>
      <c r="G362">
        <f>'Kullanılan gübre'!G362*'Gübre oranlar'!J$3</f>
        <v>0</v>
      </c>
      <c r="H362">
        <f>'Kullanılan gübre'!H362*'Gübre oranlar'!K$3</f>
        <v>0</v>
      </c>
      <c r="I362">
        <f>'Kullanılan gübre'!I362*'Gübre oranlar'!L$3</f>
        <v>0</v>
      </c>
      <c r="J362">
        <f>'Kullanılan gübre'!J362*'Gübre oranlar'!M$3</f>
        <v>0</v>
      </c>
      <c r="K362">
        <f>'Kullanılan gübre'!K362*'Gübre oranlar'!N$3</f>
        <v>0</v>
      </c>
      <c r="L362">
        <f>'Kullanılan gübre'!L362*'Gübre oranlar'!O$3</f>
        <v>0</v>
      </c>
      <c r="M362">
        <f>'Kullanılan gübre'!M362*'Gübre oranlar'!P$3</f>
        <v>0</v>
      </c>
      <c r="N362">
        <f>'Kullanılan gübre'!N362*'Gübre oranlar'!Q$3</f>
        <v>0</v>
      </c>
      <c r="O362">
        <f>'Kullanılan gübre'!O362*'Gübre oranlar'!R$3</f>
        <v>0</v>
      </c>
      <c r="P362">
        <f>'Kullanılan gübre'!P362*'Gübre oranlar'!S$3</f>
        <v>0</v>
      </c>
      <c r="Q362">
        <f>'Kullanılan gübre'!Q362*'Gübre oranlar'!T$3</f>
        <v>0</v>
      </c>
      <c r="R362">
        <f>'Kullanılan gübre'!R362*'Gübre oranlar'!U$3</f>
        <v>0</v>
      </c>
      <c r="S362">
        <f>'Kullanılan gübre'!S362*'Gübre oranlar'!V$3</f>
        <v>0</v>
      </c>
      <c r="T362">
        <f>'Kullanılan gübre'!T362*'Gübre oranlar'!W$3</f>
        <v>0</v>
      </c>
      <c r="U362">
        <f>'Kullanılan gübre'!U362*'Gübre oranlar'!X$3</f>
        <v>0</v>
      </c>
      <c r="V362">
        <f>'Kullanılan gübre'!V362*'Gübre oranlar'!Y$3</f>
        <v>0</v>
      </c>
      <c r="W362">
        <f>'Kullanılan gübre'!W362*'Gübre oranlar'!Z$3</f>
        <v>0</v>
      </c>
      <c r="X362">
        <f>'Kullanılan gübre'!X362*'Gübre oranlar'!AA$3</f>
        <v>0</v>
      </c>
      <c r="Y362">
        <f>'Kullanılan gübre'!Y362*'Gübre oranlar'!AB$3</f>
        <v>0</v>
      </c>
      <c r="Z362">
        <f>'Kullanılan gübre'!Z362*'Gübre oranlar'!AC$3</f>
        <v>0</v>
      </c>
      <c r="AA362">
        <f>'Kullanılan gübre'!AA362*'Gübre oranlar'!AD$3</f>
        <v>0</v>
      </c>
      <c r="AB362">
        <f>'Kullanılan gübre'!AB362*'Gübre oranlar'!AE$3</f>
        <v>0</v>
      </c>
      <c r="AC362">
        <f>'Kullanılan gübre'!AC362*'Gübre oranlar'!AF$3</f>
        <v>0</v>
      </c>
      <c r="AD362">
        <f>'Kullanılan gübre'!AD362*'Gübre oranlar'!AG$3</f>
        <v>0</v>
      </c>
      <c r="AE362">
        <f>'Kullanılan gübre'!AE362*'Gübre oranlar'!AH$3</f>
        <v>0</v>
      </c>
      <c r="AF362">
        <f>'Kullanılan gübre'!AF362*'Gübre oranlar'!AI$3</f>
        <v>0</v>
      </c>
      <c r="AG362">
        <f>'Kullanılan gübre'!AG362*'Gübre oranlar'!AJ$3</f>
        <v>0</v>
      </c>
      <c r="AH362">
        <f>'Kullanılan gübre'!AH362*'Gübre oranlar'!AK$3</f>
        <v>0</v>
      </c>
      <c r="AI362">
        <f>'Kullanılan gübre'!AI362*'Gübre oranlar'!AL$3</f>
        <v>0</v>
      </c>
      <c r="AJ362">
        <f>'Kullanılan gübre'!AJ362*'Gübre oranlar'!AM$3</f>
        <v>0</v>
      </c>
      <c r="AK362">
        <f>'Kullanılan gübre'!AK362*'Gübre oranlar'!AN$3</f>
        <v>0</v>
      </c>
      <c r="AL362">
        <f>'Kullanılan gübre'!AL362*'Gübre oranlar'!AO$3</f>
        <v>0</v>
      </c>
      <c r="AM362">
        <f>'Kullanılan gübre'!AM362*'Gübre oranlar'!AP$3</f>
        <v>0</v>
      </c>
      <c r="AN362">
        <f>'Kullanılan gübre'!AN362*'Gübre oranlar'!AQ$3</f>
        <v>0</v>
      </c>
      <c r="AO362">
        <f>'Kullanılan gübre'!AO362*'Gübre oranlar'!AR$3</f>
        <v>0</v>
      </c>
      <c r="AP362">
        <f>'Kullanılan gübre'!AP362*'Gübre oranlar'!AS$3</f>
        <v>0</v>
      </c>
      <c r="AQ362">
        <f>'Kullanılan gübre'!AQ362*'Gübre oranlar'!AT$3</f>
        <v>0</v>
      </c>
      <c r="AR362">
        <f>'Kullanılan gübre'!AR362*'Gübre oranlar'!AU$3</f>
        <v>0</v>
      </c>
      <c r="AS362">
        <f>'Kullanılan gübre'!AS362*'Gübre oranlar'!AV$3</f>
        <v>0</v>
      </c>
      <c r="AT362">
        <f>'Kullanılan gübre'!AT362*'Gübre oranlar'!AW$3</f>
        <v>0</v>
      </c>
      <c r="AU362">
        <f>'Kullanılan gübre'!AU362*'Gübre oranlar'!AX$3</f>
        <v>0</v>
      </c>
      <c r="AV362">
        <f>'Kullanılan gübre'!AV362*'Gübre oranlar'!AY$3</f>
        <v>0</v>
      </c>
      <c r="AW362">
        <f t="shared" si="5"/>
        <v>0</v>
      </c>
    </row>
    <row r="363" spans="1:49" x14ac:dyDescent="0.25">
      <c r="A363" t="str">
        <f>'Kullanılan gübre'!A363</f>
        <v>YI</v>
      </c>
      <c r="B363" t="str">
        <f>'Kullanılan gübre'!B363</f>
        <v>TOKAT</v>
      </c>
      <c r="C363" t="str">
        <f>'Kullanılan gübre'!C363</f>
        <v>SULUSARAY</v>
      </c>
      <c r="D363">
        <f>'Kullanılan gübre'!D363</f>
        <v>2013</v>
      </c>
      <c r="E363">
        <f>'Kullanılan gübre'!E363*'Gübre oranlar'!H$3</f>
        <v>0</v>
      </c>
      <c r="F363">
        <f>'Kullanılan gübre'!F363*'Gübre oranlar'!I$3</f>
        <v>0</v>
      </c>
      <c r="G363">
        <f>'Kullanılan gübre'!G363*'Gübre oranlar'!J$3</f>
        <v>0</v>
      </c>
      <c r="H363">
        <f>'Kullanılan gübre'!H363*'Gübre oranlar'!K$3</f>
        <v>0</v>
      </c>
      <c r="I363">
        <f>'Kullanılan gübre'!I363*'Gübre oranlar'!L$3</f>
        <v>0</v>
      </c>
      <c r="J363">
        <f>'Kullanılan gübre'!J363*'Gübre oranlar'!M$3</f>
        <v>0</v>
      </c>
      <c r="K363">
        <f>'Kullanılan gübre'!K363*'Gübre oranlar'!N$3</f>
        <v>7.01</v>
      </c>
      <c r="L363">
        <f>'Kullanılan gübre'!L363*'Gübre oranlar'!O$3</f>
        <v>23.400000000000002</v>
      </c>
      <c r="M363">
        <f>'Kullanılan gübre'!M363*'Gübre oranlar'!P$3</f>
        <v>0</v>
      </c>
      <c r="N363">
        <f>'Kullanılan gübre'!N363*'Gübre oranlar'!Q$3</f>
        <v>0</v>
      </c>
      <c r="O363">
        <f>'Kullanılan gübre'!O363*'Gübre oranlar'!R$3</f>
        <v>0</v>
      </c>
      <c r="P363">
        <f>'Kullanılan gübre'!P363*'Gübre oranlar'!S$3</f>
        <v>0</v>
      </c>
      <c r="Q363">
        <f>'Kullanılan gübre'!Q363*'Gübre oranlar'!T$3</f>
        <v>0</v>
      </c>
      <c r="R363">
        <f>'Kullanılan gübre'!R363*'Gübre oranlar'!U$3</f>
        <v>0</v>
      </c>
      <c r="S363">
        <f>'Kullanılan gübre'!S363*'Gübre oranlar'!V$3</f>
        <v>0</v>
      </c>
      <c r="T363">
        <f>'Kullanılan gübre'!T363*'Gübre oranlar'!W$3</f>
        <v>0</v>
      </c>
      <c r="U363">
        <f>'Kullanılan gübre'!U363*'Gübre oranlar'!X$3</f>
        <v>0</v>
      </c>
      <c r="V363">
        <f>'Kullanılan gübre'!V363*'Gübre oranlar'!Y$3</f>
        <v>0</v>
      </c>
      <c r="W363">
        <f>'Kullanılan gübre'!W363*'Gübre oranlar'!Z$3</f>
        <v>0</v>
      </c>
      <c r="X363">
        <f>'Kullanılan gübre'!X363*'Gübre oranlar'!AA$3</f>
        <v>0</v>
      </c>
      <c r="Y363">
        <f>'Kullanılan gübre'!Y363*'Gübre oranlar'!AB$3</f>
        <v>0</v>
      </c>
      <c r="Z363">
        <f>'Kullanılan gübre'!Z363*'Gübre oranlar'!AC$3</f>
        <v>0</v>
      </c>
      <c r="AA363">
        <f>'Kullanılan gübre'!AA363*'Gübre oranlar'!AD$3</f>
        <v>0</v>
      </c>
      <c r="AB363">
        <f>'Kullanılan gübre'!AB363*'Gübre oranlar'!AE$3</f>
        <v>0</v>
      </c>
      <c r="AC363">
        <f>'Kullanılan gübre'!AC363*'Gübre oranlar'!AF$3</f>
        <v>0</v>
      </c>
      <c r="AD363">
        <f>'Kullanılan gübre'!AD363*'Gübre oranlar'!AG$3</f>
        <v>0</v>
      </c>
      <c r="AE363">
        <f>'Kullanılan gübre'!AE363*'Gübre oranlar'!AH$3</f>
        <v>0</v>
      </c>
      <c r="AF363">
        <f>'Kullanılan gübre'!AF363*'Gübre oranlar'!AI$3</f>
        <v>0</v>
      </c>
      <c r="AG363">
        <f>'Kullanılan gübre'!AG363*'Gübre oranlar'!AJ$3</f>
        <v>0</v>
      </c>
      <c r="AH363">
        <f>'Kullanılan gübre'!AH363*'Gübre oranlar'!AK$3</f>
        <v>0</v>
      </c>
      <c r="AI363">
        <f>'Kullanılan gübre'!AI363*'Gübre oranlar'!AL$3</f>
        <v>0</v>
      </c>
      <c r="AJ363">
        <f>'Kullanılan gübre'!AJ363*'Gübre oranlar'!AM$3</f>
        <v>0</v>
      </c>
      <c r="AK363">
        <f>'Kullanılan gübre'!AK363*'Gübre oranlar'!AN$3</f>
        <v>0</v>
      </c>
      <c r="AL363">
        <f>'Kullanılan gübre'!AL363*'Gübre oranlar'!AO$3</f>
        <v>0</v>
      </c>
      <c r="AM363">
        <f>'Kullanılan gübre'!AM363*'Gübre oranlar'!AP$3</f>
        <v>0</v>
      </c>
      <c r="AN363">
        <f>'Kullanılan gübre'!AN363*'Gübre oranlar'!AQ$3</f>
        <v>0</v>
      </c>
      <c r="AO363">
        <f>'Kullanılan gübre'!AO363*'Gübre oranlar'!AR$3</f>
        <v>0</v>
      </c>
      <c r="AP363">
        <f>'Kullanılan gübre'!AP363*'Gübre oranlar'!AS$3</f>
        <v>0</v>
      </c>
      <c r="AQ363">
        <f>'Kullanılan gübre'!AQ363*'Gübre oranlar'!AT$3</f>
        <v>0</v>
      </c>
      <c r="AR363">
        <f>'Kullanılan gübre'!AR363*'Gübre oranlar'!AU$3</f>
        <v>0</v>
      </c>
      <c r="AS363">
        <f>'Kullanılan gübre'!AS363*'Gübre oranlar'!AV$3</f>
        <v>0</v>
      </c>
      <c r="AT363">
        <f>'Kullanılan gübre'!AT363*'Gübre oranlar'!AW$3</f>
        <v>0</v>
      </c>
      <c r="AU363">
        <f>'Kullanılan gübre'!AU363*'Gübre oranlar'!AX$3</f>
        <v>0</v>
      </c>
      <c r="AV363">
        <f>'Kullanılan gübre'!AV363*'Gübre oranlar'!AY$3</f>
        <v>0</v>
      </c>
      <c r="AW363">
        <f t="shared" si="5"/>
        <v>30.410000000000004</v>
      </c>
    </row>
    <row r="364" spans="1:49" x14ac:dyDescent="0.25">
      <c r="A364" t="str">
        <f>'Kullanılan gübre'!A364</f>
        <v>YI</v>
      </c>
      <c r="B364" t="str">
        <f>'Kullanılan gübre'!B364</f>
        <v>TOKAT</v>
      </c>
      <c r="C364" t="str">
        <f>'Kullanılan gübre'!C364</f>
        <v>TURHAL</v>
      </c>
      <c r="D364">
        <f>'Kullanılan gübre'!D364</f>
        <v>2013</v>
      </c>
      <c r="E364">
        <f>'Kullanılan gübre'!E364*'Gübre oranlar'!H$3</f>
        <v>0</v>
      </c>
      <c r="F364">
        <f>'Kullanılan gübre'!F364*'Gübre oranlar'!I$3</f>
        <v>0</v>
      </c>
      <c r="G364">
        <f>'Kullanılan gübre'!G364*'Gübre oranlar'!J$3</f>
        <v>0</v>
      </c>
      <c r="H364">
        <f>'Kullanılan gübre'!H364*'Gübre oranlar'!K$3</f>
        <v>0</v>
      </c>
      <c r="I364">
        <f>'Kullanılan gübre'!I364*'Gübre oranlar'!L$3</f>
        <v>8.8365000000000009</v>
      </c>
      <c r="J364">
        <f>'Kullanılan gübre'!J364*'Gübre oranlar'!M$3</f>
        <v>0</v>
      </c>
      <c r="K364">
        <f>'Kullanılan gübre'!K364*'Gübre oranlar'!N$3</f>
        <v>17.8</v>
      </c>
      <c r="L364">
        <f>'Kullanılan gübre'!L364*'Gübre oranlar'!O$3</f>
        <v>84.240000000000009</v>
      </c>
      <c r="M364">
        <f>'Kullanılan gübre'!M364*'Gübre oranlar'!P$3</f>
        <v>2.1374999999999997</v>
      </c>
      <c r="N364">
        <f>'Kullanılan gübre'!N364*'Gübre oranlar'!Q$3</f>
        <v>53.677499999999995</v>
      </c>
      <c r="O364">
        <f>'Kullanılan gübre'!O364*'Gübre oranlar'!R$3</f>
        <v>0</v>
      </c>
      <c r="P364">
        <f>'Kullanılan gübre'!P364*'Gübre oranlar'!S$3</f>
        <v>0</v>
      </c>
      <c r="Q364">
        <f>'Kullanılan gübre'!Q364*'Gübre oranlar'!T$3</f>
        <v>90</v>
      </c>
      <c r="R364">
        <f>'Kullanılan gübre'!R364*'Gübre oranlar'!U$3</f>
        <v>1.44</v>
      </c>
      <c r="S364">
        <f>'Kullanılan gübre'!S364*'Gübre oranlar'!V$3</f>
        <v>0</v>
      </c>
      <c r="T364">
        <f>'Kullanılan gübre'!T364*'Gübre oranlar'!W$3</f>
        <v>0</v>
      </c>
      <c r="U364">
        <f>'Kullanılan gübre'!U364*'Gübre oranlar'!X$3</f>
        <v>0</v>
      </c>
      <c r="V364">
        <f>'Kullanılan gübre'!V364*'Gübre oranlar'!Y$3</f>
        <v>0</v>
      </c>
      <c r="W364">
        <f>'Kullanılan gübre'!W364*'Gübre oranlar'!Z$3</f>
        <v>0</v>
      </c>
      <c r="X364">
        <f>'Kullanılan gübre'!X364*'Gübre oranlar'!AA$3</f>
        <v>0</v>
      </c>
      <c r="Y364">
        <f>'Kullanılan gübre'!Y364*'Gübre oranlar'!AB$3</f>
        <v>0</v>
      </c>
      <c r="Z364">
        <f>'Kullanılan gübre'!Z364*'Gübre oranlar'!AC$3</f>
        <v>0</v>
      </c>
      <c r="AA364">
        <f>'Kullanılan gübre'!AA364*'Gübre oranlar'!AD$3</f>
        <v>0</v>
      </c>
      <c r="AB364">
        <f>'Kullanılan gübre'!AB364*'Gübre oranlar'!AE$3</f>
        <v>0</v>
      </c>
      <c r="AC364">
        <f>'Kullanılan gübre'!AC364*'Gübre oranlar'!AF$3</f>
        <v>0</v>
      </c>
      <c r="AD364">
        <f>'Kullanılan gübre'!AD364*'Gübre oranlar'!AG$3</f>
        <v>0</v>
      </c>
      <c r="AE364">
        <f>'Kullanılan gübre'!AE364*'Gübre oranlar'!AH$3</f>
        <v>0</v>
      </c>
      <c r="AF364">
        <f>'Kullanılan gübre'!AF364*'Gübre oranlar'!AI$3</f>
        <v>0</v>
      </c>
      <c r="AG364">
        <f>'Kullanılan gübre'!AG364*'Gübre oranlar'!AJ$3</f>
        <v>0</v>
      </c>
      <c r="AH364">
        <f>'Kullanılan gübre'!AH364*'Gübre oranlar'!AK$3</f>
        <v>0</v>
      </c>
      <c r="AI364">
        <f>'Kullanılan gübre'!AI364*'Gübre oranlar'!AL$3</f>
        <v>0</v>
      </c>
      <c r="AJ364">
        <f>'Kullanılan gübre'!AJ364*'Gübre oranlar'!AM$3</f>
        <v>0</v>
      </c>
      <c r="AK364">
        <f>'Kullanılan gübre'!AK364*'Gübre oranlar'!AN$3</f>
        <v>0</v>
      </c>
      <c r="AL364">
        <f>'Kullanılan gübre'!AL364*'Gübre oranlar'!AO$3</f>
        <v>0</v>
      </c>
      <c r="AM364">
        <f>'Kullanılan gübre'!AM364*'Gübre oranlar'!AP$3</f>
        <v>0</v>
      </c>
      <c r="AN364">
        <f>'Kullanılan gübre'!AN364*'Gübre oranlar'!AQ$3</f>
        <v>0</v>
      </c>
      <c r="AO364">
        <f>'Kullanılan gübre'!AO364*'Gübre oranlar'!AR$3</f>
        <v>0</v>
      </c>
      <c r="AP364">
        <f>'Kullanılan gübre'!AP364*'Gübre oranlar'!AS$3</f>
        <v>0</v>
      </c>
      <c r="AQ364">
        <f>'Kullanılan gübre'!AQ364*'Gübre oranlar'!AT$3</f>
        <v>0</v>
      </c>
      <c r="AR364">
        <f>'Kullanılan gübre'!AR364*'Gübre oranlar'!AU$3</f>
        <v>0</v>
      </c>
      <c r="AS364">
        <f>'Kullanılan gübre'!AS364*'Gübre oranlar'!AV$3</f>
        <v>0</v>
      </c>
      <c r="AT364">
        <f>'Kullanılan gübre'!AT364*'Gübre oranlar'!AW$3</f>
        <v>0</v>
      </c>
      <c r="AU364">
        <f>'Kullanılan gübre'!AU364*'Gübre oranlar'!AX$3</f>
        <v>0</v>
      </c>
      <c r="AV364">
        <f>'Kullanılan gübre'!AV364*'Gübre oranlar'!AY$3</f>
        <v>0</v>
      </c>
      <c r="AW364">
        <f t="shared" si="5"/>
        <v>258.13150000000002</v>
      </c>
    </row>
    <row r="365" spans="1:49" x14ac:dyDescent="0.25">
      <c r="A365" t="str">
        <f>'Kullanılan gübre'!A365</f>
        <v>YI</v>
      </c>
      <c r="B365" t="str">
        <f>'Kullanılan gübre'!B365</f>
        <v>TOKAT</v>
      </c>
      <c r="C365" t="str">
        <f>'Kullanılan gübre'!C365</f>
        <v>YESILYURT</v>
      </c>
      <c r="D365">
        <f>'Kullanılan gübre'!D365</f>
        <v>2013</v>
      </c>
      <c r="E365">
        <f>'Kullanılan gübre'!E365*'Gübre oranlar'!H$3</f>
        <v>0</v>
      </c>
      <c r="F365">
        <f>'Kullanılan gübre'!F365*'Gübre oranlar'!I$3</f>
        <v>0</v>
      </c>
      <c r="G365">
        <f>'Kullanılan gübre'!G365*'Gübre oranlar'!J$3</f>
        <v>0</v>
      </c>
      <c r="H365">
        <f>'Kullanılan gübre'!H365*'Gübre oranlar'!K$3</f>
        <v>0</v>
      </c>
      <c r="I365">
        <f>'Kullanılan gübre'!I365*'Gübre oranlar'!L$3</f>
        <v>0</v>
      </c>
      <c r="J365">
        <f>'Kullanılan gübre'!J365*'Gübre oranlar'!M$3</f>
        <v>0</v>
      </c>
      <c r="K365">
        <f>'Kullanılan gübre'!K365*'Gübre oranlar'!N$3</f>
        <v>10.030000000000001</v>
      </c>
      <c r="L365">
        <f>'Kullanılan gübre'!L365*'Gübre oranlar'!O$3</f>
        <v>29.880000000000003</v>
      </c>
      <c r="M365">
        <f>'Kullanılan gübre'!M365*'Gübre oranlar'!P$3</f>
        <v>0</v>
      </c>
      <c r="N365">
        <f>'Kullanılan gübre'!N365*'Gübre oranlar'!Q$3</f>
        <v>0</v>
      </c>
      <c r="O365">
        <f>'Kullanılan gübre'!O365*'Gübre oranlar'!R$3</f>
        <v>0</v>
      </c>
      <c r="P365">
        <f>'Kullanılan gübre'!P365*'Gübre oranlar'!S$3</f>
        <v>0</v>
      </c>
      <c r="Q365">
        <f>'Kullanılan gübre'!Q365*'Gübre oranlar'!T$3</f>
        <v>0</v>
      </c>
      <c r="R365">
        <f>'Kullanılan gübre'!R365*'Gübre oranlar'!U$3</f>
        <v>0</v>
      </c>
      <c r="S365">
        <f>'Kullanılan gübre'!S365*'Gübre oranlar'!V$3</f>
        <v>0</v>
      </c>
      <c r="T365">
        <f>'Kullanılan gübre'!T365*'Gübre oranlar'!W$3</f>
        <v>0</v>
      </c>
      <c r="U365">
        <f>'Kullanılan gübre'!U365*'Gübre oranlar'!X$3</f>
        <v>0</v>
      </c>
      <c r="V365">
        <f>'Kullanılan gübre'!V365*'Gübre oranlar'!Y$3</f>
        <v>0</v>
      </c>
      <c r="W365">
        <f>'Kullanılan gübre'!W365*'Gübre oranlar'!Z$3</f>
        <v>0</v>
      </c>
      <c r="X365">
        <f>'Kullanılan gübre'!X365*'Gübre oranlar'!AA$3</f>
        <v>0</v>
      </c>
      <c r="Y365">
        <f>'Kullanılan gübre'!Y365*'Gübre oranlar'!AB$3</f>
        <v>0</v>
      </c>
      <c r="Z365">
        <f>'Kullanılan gübre'!Z365*'Gübre oranlar'!AC$3</f>
        <v>0</v>
      </c>
      <c r="AA365">
        <f>'Kullanılan gübre'!AA365*'Gübre oranlar'!AD$3</f>
        <v>0</v>
      </c>
      <c r="AB365">
        <f>'Kullanılan gübre'!AB365*'Gübre oranlar'!AE$3</f>
        <v>0</v>
      </c>
      <c r="AC365">
        <f>'Kullanılan gübre'!AC365*'Gübre oranlar'!AF$3</f>
        <v>0</v>
      </c>
      <c r="AD365">
        <f>'Kullanılan gübre'!AD365*'Gübre oranlar'!AG$3</f>
        <v>0</v>
      </c>
      <c r="AE365">
        <f>'Kullanılan gübre'!AE365*'Gübre oranlar'!AH$3</f>
        <v>0</v>
      </c>
      <c r="AF365">
        <f>'Kullanılan gübre'!AF365*'Gübre oranlar'!AI$3</f>
        <v>0</v>
      </c>
      <c r="AG365">
        <f>'Kullanılan gübre'!AG365*'Gübre oranlar'!AJ$3</f>
        <v>0</v>
      </c>
      <c r="AH365">
        <f>'Kullanılan gübre'!AH365*'Gübre oranlar'!AK$3</f>
        <v>0</v>
      </c>
      <c r="AI365">
        <f>'Kullanılan gübre'!AI365*'Gübre oranlar'!AL$3</f>
        <v>0</v>
      </c>
      <c r="AJ365">
        <f>'Kullanılan gübre'!AJ365*'Gübre oranlar'!AM$3</f>
        <v>0</v>
      </c>
      <c r="AK365">
        <f>'Kullanılan gübre'!AK365*'Gübre oranlar'!AN$3</f>
        <v>0</v>
      </c>
      <c r="AL365">
        <f>'Kullanılan gübre'!AL365*'Gübre oranlar'!AO$3</f>
        <v>0</v>
      </c>
      <c r="AM365">
        <f>'Kullanılan gübre'!AM365*'Gübre oranlar'!AP$3</f>
        <v>0</v>
      </c>
      <c r="AN365">
        <f>'Kullanılan gübre'!AN365*'Gübre oranlar'!AQ$3</f>
        <v>0</v>
      </c>
      <c r="AO365">
        <f>'Kullanılan gübre'!AO365*'Gübre oranlar'!AR$3</f>
        <v>0</v>
      </c>
      <c r="AP365">
        <f>'Kullanılan gübre'!AP365*'Gübre oranlar'!AS$3</f>
        <v>0</v>
      </c>
      <c r="AQ365">
        <f>'Kullanılan gübre'!AQ365*'Gübre oranlar'!AT$3</f>
        <v>0</v>
      </c>
      <c r="AR365">
        <f>'Kullanılan gübre'!AR365*'Gübre oranlar'!AU$3</f>
        <v>0</v>
      </c>
      <c r="AS365">
        <f>'Kullanılan gübre'!AS365*'Gübre oranlar'!AV$3</f>
        <v>0</v>
      </c>
      <c r="AT365">
        <f>'Kullanılan gübre'!AT365*'Gübre oranlar'!AW$3</f>
        <v>0</v>
      </c>
      <c r="AU365">
        <f>'Kullanılan gübre'!AU365*'Gübre oranlar'!AX$3</f>
        <v>0</v>
      </c>
      <c r="AV365">
        <f>'Kullanılan gübre'!AV365*'Gübre oranlar'!AY$3</f>
        <v>0</v>
      </c>
      <c r="AW365">
        <f t="shared" si="5"/>
        <v>39.910000000000004</v>
      </c>
    </row>
    <row r="366" spans="1:49" x14ac:dyDescent="0.25">
      <c r="A366" t="str">
        <f>'Kullanılan gübre'!A366</f>
        <v>YI</v>
      </c>
      <c r="B366" t="str">
        <f>'Kullanılan gübre'!B366</f>
        <v>TOKAT</v>
      </c>
      <c r="C366" t="str">
        <f>'Kullanılan gübre'!C366</f>
        <v>ZILE</v>
      </c>
      <c r="D366">
        <f>'Kullanılan gübre'!D366</f>
        <v>2013</v>
      </c>
      <c r="E366">
        <f>'Kullanılan gübre'!E366*'Gübre oranlar'!H$3</f>
        <v>0</v>
      </c>
      <c r="F366">
        <f>'Kullanılan gübre'!F366*'Gübre oranlar'!I$3</f>
        <v>0</v>
      </c>
      <c r="G366">
        <f>'Kullanılan gübre'!G366*'Gübre oranlar'!J$3</f>
        <v>0</v>
      </c>
      <c r="H366">
        <f>'Kullanılan gübre'!H366*'Gübre oranlar'!K$3</f>
        <v>0</v>
      </c>
      <c r="I366">
        <f>'Kullanılan gübre'!I366*'Gübre oranlar'!L$3</f>
        <v>3.44</v>
      </c>
      <c r="J366">
        <f>'Kullanılan gübre'!J366*'Gübre oranlar'!M$3</f>
        <v>0</v>
      </c>
      <c r="K366">
        <f>'Kullanılan gübre'!K366*'Gübre oranlar'!N$3</f>
        <v>471.63000000000005</v>
      </c>
      <c r="L366">
        <f>'Kullanılan gübre'!L366*'Gübre oranlar'!O$3</f>
        <v>184.5</v>
      </c>
      <c r="M366">
        <f>'Kullanılan gübre'!M366*'Gübre oranlar'!P$3</f>
        <v>74.790000000000006</v>
      </c>
      <c r="N366">
        <f>'Kullanılan gübre'!N366*'Gübre oranlar'!Q$3</f>
        <v>21.337499999999999</v>
      </c>
      <c r="O366">
        <f>'Kullanılan gübre'!O366*'Gübre oranlar'!R$3</f>
        <v>0</v>
      </c>
      <c r="P366">
        <f>'Kullanılan gübre'!P366*'Gübre oranlar'!S$3</f>
        <v>0</v>
      </c>
      <c r="Q366">
        <f>'Kullanılan gübre'!Q366*'Gübre oranlar'!T$3</f>
        <v>0</v>
      </c>
      <c r="R366">
        <f>'Kullanılan gübre'!R366*'Gübre oranlar'!U$3</f>
        <v>0</v>
      </c>
      <c r="S366">
        <f>'Kullanılan gübre'!S366*'Gübre oranlar'!V$3</f>
        <v>0</v>
      </c>
      <c r="T366">
        <f>'Kullanılan gübre'!T366*'Gübre oranlar'!W$3</f>
        <v>0</v>
      </c>
      <c r="U366">
        <f>'Kullanılan gübre'!U366*'Gübre oranlar'!X$3</f>
        <v>0</v>
      </c>
      <c r="V366">
        <f>'Kullanılan gübre'!V366*'Gübre oranlar'!Y$3</f>
        <v>0</v>
      </c>
      <c r="W366">
        <f>'Kullanılan gübre'!W366*'Gübre oranlar'!Z$3</f>
        <v>0</v>
      </c>
      <c r="X366">
        <f>'Kullanılan gübre'!X366*'Gübre oranlar'!AA$3</f>
        <v>0</v>
      </c>
      <c r="Y366">
        <f>'Kullanılan gübre'!Y366*'Gübre oranlar'!AB$3</f>
        <v>0</v>
      </c>
      <c r="Z366">
        <f>'Kullanılan gübre'!Z366*'Gübre oranlar'!AC$3</f>
        <v>0</v>
      </c>
      <c r="AA366">
        <f>'Kullanılan gübre'!AA366*'Gübre oranlar'!AD$3</f>
        <v>0</v>
      </c>
      <c r="AB366">
        <f>'Kullanılan gübre'!AB366*'Gübre oranlar'!AE$3</f>
        <v>0</v>
      </c>
      <c r="AC366">
        <f>'Kullanılan gübre'!AC366*'Gübre oranlar'!AF$3</f>
        <v>0</v>
      </c>
      <c r="AD366">
        <f>'Kullanılan gübre'!AD366*'Gübre oranlar'!AG$3</f>
        <v>0</v>
      </c>
      <c r="AE366">
        <f>'Kullanılan gübre'!AE366*'Gübre oranlar'!AH$3</f>
        <v>0</v>
      </c>
      <c r="AF366">
        <f>'Kullanılan gübre'!AF366*'Gübre oranlar'!AI$3</f>
        <v>0</v>
      </c>
      <c r="AG366">
        <f>'Kullanılan gübre'!AG366*'Gübre oranlar'!AJ$3</f>
        <v>0</v>
      </c>
      <c r="AH366">
        <f>'Kullanılan gübre'!AH366*'Gübre oranlar'!AK$3</f>
        <v>0</v>
      </c>
      <c r="AI366">
        <f>'Kullanılan gübre'!AI366*'Gübre oranlar'!AL$3</f>
        <v>0</v>
      </c>
      <c r="AJ366">
        <f>'Kullanılan gübre'!AJ366*'Gübre oranlar'!AM$3</f>
        <v>0</v>
      </c>
      <c r="AK366">
        <f>'Kullanılan gübre'!AK366*'Gübre oranlar'!AN$3</f>
        <v>0</v>
      </c>
      <c r="AL366">
        <f>'Kullanılan gübre'!AL366*'Gübre oranlar'!AO$3</f>
        <v>0</v>
      </c>
      <c r="AM366">
        <f>'Kullanılan gübre'!AM366*'Gübre oranlar'!AP$3</f>
        <v>0</v>
      </c>
      <c r="AN366">
        <f>'Kullanılan gübre'!AN366*'Gübre oranlar'!AQ$3</f>
        <v>0</v>
      </c>
      <c r="AO366">
        <f>'Kullanılan gübre'!AO366*'Gübre oranlar'!AR$3</f>
        <v>0</v>
      </c>
      <c r="AP366">
        <f>'Kullanılan gübre'!AP366*'Gübre oranlar'!AS$3</f>
        <v>0</v>
      </c>
      <c r="AQ366">
        <f>'Kullanılan gübre'!AQ366*'Gübre oranlar'!AT$3</f>
        <v>0</v>
      </c>
      <c r="AR366">
        <f>'Kullanılan gübre'!AR366*'Gübre oranlar'!AU$3</f>
        <v>0</v>
      </c>
      <c r="AS366">
        <f>'Kullanılan gübre'!AS366*'Gübre oranlar'!AV$3</f>
        <v>0</v>
      </c>
      <c r="AT366">
        <f>'Kullanılan gübre'!AT366*'Gübre oranlar'!AW$3</f>
        <v>0</v>
      </c>
      <c r="AU366">
        <f>'Kullanılan gübre'!AU366*'Gübre oranlar'!AX$3</f>
        <v>0</v>
      </c>
      <c r="AV366">
        <f>'Kullanılan gübre'!AV366*'Gübre oranlar'!AY$3</f>
        <v>0</v>
      </c>
      <c r="AW366">
        <f t="shared" si="5"/>
        <v>755.69749999999999</v>
      </c>
    </row>
    <row r="367" spans="1:49" x14ac:dyDescent="0.25">
      <c r="A367" t="str">
        <f>'Kullanılan gübre'!A367</f>
        <v>YI</v>
      </c>
      <c r="B367" t="str">
        <f>'Kullanılan gübre'!B367</f>
        <v>TOKAT</v>
      </c>
      <c r="C367" t="str">
        <f>'Kullanılan gübre'!C367</f>
        <v>MERKEZ</v>
      </c>
      <c r="D367">
        <f>'Kullanılan gübre'!D367</f>
        <v>2014</v>
      </c>
      <c r="E367">
        <f>'Kullanılan gübre'!E367*'Gübre oranlar'!H$3</f>
        <v>0</v>
      </c>
      <c r="F367">
        <f>'Kullanılan gübre'!F367*'Gübre oranlar'!I$3</f>
        <v>0</v>
      </c>
      <c r="G367">
        <f>'Kullanılan gübre'!G367*'Gübre oranlar'!J$3</f>
        <v>0</v>
      </c>
      <c r="H367">
        <f>'Kullanılan gübre'!H367*'Gübre oranlar'!K$3</f>
        <v>0</v>
      </c>
      <c r="I367">
        <f>'Kullanılan gübre'!I367*'Gübre oranlar'!L$3</f>
        <v>37.108999999999995</v>
      </c>
      <c r="J367">
        <f>'Kullanılan gübre'!J367*'Gübre oranlar'!M$3</f>
        <v>0</v>
      </c>
      <c r="K367">
        <f>'Kullanılan gübre'!K367*'Gübre oranlar'!N$3</f>
        <v>58.550000000000004</v>
      </c>
      <c r="L367">
        <f>'Kullanılan gübre'!L367*'Gübre oranlar'!O$3</f>
        <v>60.360000000000007</v>
      </c>
      <c r="M367">
        <f>'Kullanılan gübre'!M367*'Gübre oranlar'!P$3</f>
        <v>12.217499999999999</v>
      </c>
      <c r="N367">
        <f>'Kullanılan gübre'!N367*'Gübre oranlar'!Q$3</f>
        <v>25.432500000000005</v>
      </c>
      <c r="O367">
        <f>'Kullanılan gübre'!O367*'Gübre oranlar'!R$3</f>
        <v>0</v>
      </c>
      <c r="P367">
        <f>'Kullanılan gübre'!P367*'Gübre oranlar'!S$3</f>
        <v>0</v>
      </c>
      <c r="Q367">
        <f>'Kullanılan gübre'!Q367*'Gübre oranlar'!T$3</f>
        <v>234</v>
      </c>
      <c r="R367">
        <f>'Kullanılan gübre'!R367*'Gübre oranlar'!U$3</f>
        <v>0</v>
      </c>
      <c r="S367">
        <f>'Kullanılan gübre'!S367*'Gübre oranlar'!V$3</f>
        <v>0</v>
      </c>
      <c r="T367">
        <f>'Kullanılan gübre'!T367*'Gübre oranlar'!W$3</f>
        <v>0</v>
      </c>
      <c r="U367">
        <f>'Kullanılan gübre'!U367*'Gübre oranlar'!X$3</f>
        <v>0</v>
      </c>
      <c r="V367">
        <f>'Kullanılan gübre'!V367*'Gübre oranlar'!Y$3</f>
        <v>0</v>
      </c>
      <c r="W367">
        <f>'Kullanılan gübre'!W367*'Gübre oranlar'!Z$3</f>
        <v>0</v>
      </c>
      <c r="X367">
        <f>'Kullanılan gübre'!X367*'Gübre oranlar'!AA$3</f>
        <v>0</v>
      </c>
      <c r="Y367">
        <f>'Kullanılan gübre'!Y367*'Gübre oranlar'!AB$3</f>
        <v>0</v>
      </c>
      <c r="Z367">
        <f>'Kullanılan gübre'!Z367*'Gübre oranlar'!AC$3</f>
        <v>0</v>
      </c>
      <c r="AA367">
        <f>'Kullanılan gübre'!AA367*'Gübre oranlar'!AD$3</f>
        <v>0</v>
      </c>
      <c r="AB367">
        <f>'Kullanılan gübre'!AB367*'Gübre oranlar'!AE$3</f>
        <v>0</v>
      </c>
      <c r="AC367">
        <f>'Kullanılan gübre'!AC367*'Gübre oranlar'!AF$3</f>
        <v>0</v>
      </c>
      <c r="AD367">
        <f>'Kullanılan gübre'!AD367*'Gübre oranlar'!AG$3</f>
        <v>0</v>
      </c>
      <c r="AE367">
        <f>'Kullanılan gübre'!AE367*'Gübre oranlar'!AH$3</f>
        <v>0</v>
      </c>
      <c r="AF367">
        <f>'Kullanılan gübre'!AF367*'Gübre oranlar'!AI$3</f>
        <v>0</v>
      </c>
      <c r="AG367">
        <f>'Kullanılan gübre'!AG367*'Gübre oranlar'!AJ$3</f>
        <v>0</v>
      </c>
      <c r="AH367">
        <f>'Kullanılan gübre'!AH367*'Gübre oranlar'!AK$3</f>
        <v>0</v>
      </c>
      <c r="AI367">
        <f>'Kullanılan gübre'!AI367*'Gübre oranlar'!AL$3</f>
        <v>0</v>
      </c>
      <c r="AJ367">
        <f>'Kullanılan gübre'!AJ367*'Gübre oranlar'!AM$3</f>
        <v>0</v>
      </c>
      <c r="AK367">
        <f>'Kullanılan gübre'!AK367*'Gübre oranlar'!AN$3</f>
        <v>0</v>
      </c>
      <c r="AL367">
        <f>'Kullanılan gübre'!AL367*'Gübre oranlar'!AO$3</f>
        <v>0</v>
      </c>
      <c r="AM367">
        <f>'Kullanılan gübre'!AM367*'Gübre oranlar'!AP$3</f>
        <v>0</v>
      </c>
      <c r="AN367">
        <f>'Kullanılan gübre'!AN367*'Gübre oranlar'!AQ$3</f>
        <v>0</v>
      </c>
      <c r="AO367">
        <f>'Kullanılan gübre'!AO367*'Gübre oranlar'!AR$3</f>
        <v>0</v>
      </c>
      <c r="AP367">
        <f>'Kullanılan gübre'!AP367*'Gübre oranlar'!AS$3</f>
        <v>0</v>
      </c>
      <c r="AQ367">
        <f>'Kullanılan gübre'!AQ367*'Gübre oranlar'!AT$3</f>
        <v>0</v>
      </c>
      <c r="AR367">
        <f>'Kullanılan gübre'!AR367*'Gübre oranlar'!AU$3</f>
        <v>0</v>
      </c>
      <c r="AS367">
        <f>'Kullanılan gübre'!AS367*'Gübre oranlar'!AV$3</f>
        <v>0</v>
      </c>
      <c r="AT367">
        <f>'Kullanılan gübre'!AT367*'Gübre oranlar'!AW$3</f>
        <v>0</v>
      </c>
      <c r="AU367">
        <f>'Kullanılan gübre'!AU367*'Gübre oranlar'!AX$3</f>
        <v>0</v>
      </c>
      <c r="AV367">
        <f>'Kullanılan gübre'!AV367*'Gübre oranlar'!AY$3</f>
        <v>0</v>
      </c>
      <c r="AW367">
        <f t="shared" si="5"/>
        <v>427.66899999999998</v>
      </c>
    </row>
    <row r="368" spans="1:49" x14ac:dyDescent="0.25">
      <c r="A368" t="str">
        <f>'Kullanılan gübre'!A368</f>
        <v>YI</v>
      </c>
      <c r="B368" t="str">
        <f>'Kullanılan gübre'!B368</f>
        <v>TOKAT</v>
      </c>
      <c r="C368" t="str">
        <f>'Kullanılan gübre'!C368</f>
        <v>ALMUS</v>
      </c>
      <c r="D368">
        <f>'Kullanılan gübre'!D368</f>
        <v>2014</v>
      </c>
      <c r="E368">
        <f>'Kullanılan gübre'!E368*'Gübre oranlar'!H$3</f>
        <v>0</v>
      </c>
      <c r="F368">
        <f>'Kullanılan gübre'!F368*'Gübre oranlar'!I$3</f>
        <v>0</v>
      </c>
      <c r="G368">
        <f>'Kullanılan gübre'!G368*'Gübre oranlar'!J$3</f>
        <v>0</v>
      </c>
      <c r="H368">
        <f>'Kullanılan gübre'!H368*'Gübre oranlar'!K$3</f>
        <v>0</v>
      </c>
      <c r="I368">
        <f>'Kullanılan gübre'!I368*'Gübre oranlar'!L$3</f>
        <v>0</v>
      </c>
      <c r="J368">
        <f>'Kullanılan gübre'!J368*'Gübre oranlar'!M$3</f>
        <v>0</v>
      </c>
      <c r="K368">
        <f>'Kullanılan gübre'!K368*'Gübre oranlar'!N$3</f>
        <v>1.3900000000000001</v>
      </c>
      <c r="L368">
        <f>'Kullanılan gübre'!L368*'Gübre oranlar'!O$3</f>
        <v>0</v>
      </c>
      <c r="M368">
        <f>'Kullanılan gübre'!M368*'Gübre oranlar'!P$3</f>
        <v>0</v>
      </c>
      <c r="N368">
        <f>'Kullanılan gübre'!N368*'Gübre oranlar'!Q$3</f>
        <v>0</v>
      </c>
      <c r="O368">
        <f>'Kullanılan gübre'!O368*'Gübre oranlar'!R$3</f>
        <v>0</v>
      </c>
      <c r="P368">
        <f>'Kullanılan gübre'!P368*'Gübre oranlar'!S$3</f>
        <v>0</v>
      </c>
      <c r="Q368">
        <f>'Kullanılan gübre'!Q368*'Gübre oranlar'!T$3</f>
        <v>0</v>
      </c>
      <c r="R368">
        <f>'Kullanılan gübre'!R368*'Gübre oranlar'!U$3</f>
        <v>0</v>
      </c>
      <c r="S368">
        <f>'Kullanılan gübre'!S368*'Gübre oranlar'!V$3</f>
        <v>0</v>
      </c>
      <c r="T368">
        <f>'Kullanılan gübre'!T368*'Gübre oranlar'!W$3</f>
        <v>0</v>
      </c>
      <c r="U368">
        <f>'Kullanılan gübre'!U368*'Gübre oranlar'!X$3</f>
        <v>0</v>
      </c>
      <c r="V368">
        <f>'Kullanılan gübre'!V368*'Gübre oranlar'!Y$3</f>
        <v>0</v>
      </c>
      <c r="W368">
        <f>'Kullanılan gübre'!W368*'Gübre oranlar'!Z$3</f>
        <v>0</v>
      </c>
      <c r="X368">
        <f>'Kullanılan gübre'!X368*'Gübre oranlar'!AA$3</f>
        <v>0</v>
      </c>
      <c r="Y368">
        <f>'Kullanılan gübre'!Y368*'Gübre oranlar'!AB$3</f>
        <v>0</v>
      </c>
      <c r="Z368">
        <f>'Kullanılan gübre'!Z368*'Gübre oranlar'!AC$3</f>
        <v>0</v>
      </c>
      <c r="AA368">
        <f>'Kullanılan gübre'!AA368*'Gübre oranlar'!AD$3</f>
        <v>0</v>
      </c>
      <c r="AB368">
        <f>'Kullanılan gübre'!AB368*'Gübre oranlar'!AE$3</f>
        <v>0</v>
      </c>
      <c r="AC368">
        <f>'Kullanılan gübre'!AC368*'Gübre oranlar'!AF$3</f>
        <v>0</v>
      </c>
      <c r="AD368">
        <f>'Kullanılan gübre'!AD368*'Gübre oranlar'!AG$3</f>
        <v>0</v>
      </c>
      <c r="AE368">
        <f>'Kullanılan gübre'!AE368*'Gübre oranlar'!AH$3</f>
        <v>0</v>
      </c>
      <c r="AF368">
        <f>'Kullanılan gübre'!AF368*'Gübre oranlar'!AI$3</f>
        <v>0</v>
      </c>
      <c r="AG368">
        <f>'Kullanılan gübre'!AG368*'Gübre oranlar'!AJ$3</f>
        <v>0</v>
      </c>
      <c r="AH368">
        <f>'Kullanılan gübre'!AH368*'Gübre oranlar'!AK$3</f>
        <v>0</v>
      </c>
      <c r="AI368">
        <f>'Kullanılan gübre'!AI368*'Gübre oranlar'!AL$3</f>
        <v>0</v>
      </c>
      <c r="AJ368">
        <f>'Kullanılan gübre'!AJ368*'Gübre oranlar'!AM$3</f>
        <v>0</v>
      </c>
      <c r="AK368">
        <f>'Kullanılan gübre'!AK368*'Gübre oranlar'!AN$3</f>
        <v>0</v>
      </c>
      <c r="AL368">
        <f>'Kullanılan gübre'!AL368*'Gübre oranlar'!AO$3</f>
        <v>0</v>
      </c>
      <c r="AM368">
        <f>'Kullanılan gübre'!AM368*'Gübre oranlar'!AP$3</f>
        <v>0</v>
      </c>
      <c r="AN368">
        <f>'Kullanılan gübre'!AN368*'Gübre oranlar'!AQ$3</f>
        <v>0</v>
      </c>
      <c r="AO368">
        <f>'Kullanılan gübre'!AO368*'Gübre oranlar'!AR$3</f>
        <v>0</v>
      </c>
      <c r="AP368">
        <f>'Kullanılan gübre'!AP368*'Gübre oranlar'!AS$3</f>
        <v>0</v>
      </c>
      <c r="AQ368">
        <f>'Kullanılan gübre'!AQ368*'Gübre oranlar'!AT$3</f>
        <v>0</v>
      </c>
      <c r="AR368">
        <f>'Kullanılan gübre'!AR368*'Gübre oranlar'!AU$3</f>
        <v>0</v>
      </c>
      <c r="AS368">
        <f>'Kullanılan gübre'!AS368*'Gübre oranlar'!AV$3</f>
        <v>0</v>
      </c>
      <c r="AT368">
        <f>'Kullanılan gübre'!AT368*'Gübre oranlar'!AW$3</f>
        <v>0</v>
      </c>
      <c r="AU368">
        <f>'Kullanılan gübre'!AU368*'Gübre oranlar'!AX$3</f>
        <v>0</v>
      </c>
      <c r="AV368">
        <f>'Kullanılan gübre'!AV368*'Gübre oranlar'!AY$3</f>
        <v>0</v>
      </c>
      <c r="AW368">
        <f t="shared" si="5"/>
        <v>1.3900000000000001</v>
      </c>
    </row>
    <row r="369" spans="1:49" x14ac:dyDescent="0.25">
      <c r="A369" t="str">
        <f>'Kullanılan gübre'!A369</f>
        <v>YI</v>
      </c>
      <c r="B369" t="str">
        <f>'Kullanılan gübre'!B369</f>
        <v>TOKAT</v>
      </c>
      <c r="C369" t="str">
        <f>'Kullanılan gübre'!C369</f>
        <v>ARTOVA</v>
      </c>
      <c r="D369">
        <f>'Kullanılan gübre'!D369</f>
        <v>2014</v>
      </c>
      <c r="E369">
        <f>'Kullanılan gübre'!E369*'Gübre oranlar'!H$3</f>
        <v>0</v>
      </c>
      <c r="F369">
        <f>'Kullanılan gübre'!F369*'Gübre oranlar'!I$3</f>
        <v>0</v>
      </c>
      <c r="G369">
        <f>'Kullanılan gübre'!G369*'Gübre oranlar'!J$3</f>
        <v>0</v>
      </c>
      <c r="H369">
        <f>'Kullanılan gübre'!H369*'Gübre oranlar'!K$3</f>
        <v>0</v>
      </c>
      <c r="I369">
        <f>'Kullanılan gübre'!I369*'Gübre oranlar'!L$3</f>
        <v>0</v>
      </c>
      <c r="J369">
        <f>'Kullanılan gübre'!J369*'Gübre oranlar'!M$3</f>
        <v>0</v>
      </c>
      <c r="K369">
        <f>'Kullanılan gübre'!K369*'Gübre oranlar'!N$3</f>
        <v>0</v>
      </c>
      <c r="L369">
        <f>'Kullanılan gübre'!L369*'Gübre oranlar'!O$3</f>
        <v>23.97</v>
      </c>
      <c r="M369">
        <f>'Kullanılan gübre'!M369*'Gübre oranlar'!P$3</f>
        <v>0</v>
      </c>
      <c r="N369">
        <f>'Kullanılan gübre'!N369*'Gübre oranlar'!Q$3</f>
        <v>1.77</v>
      </c>
      <c r="O369">
        <f>'Kullanılan gübre'!O369*'Gübre oranlar'!R$3</f>
        <v>0</v>
      </c>
      <c r="P369">
        <f>'Kullanılan gübre'!P369*'Gübre oranlar'!S$3</f>
        <v>0</v>
      </c>
      <c r="Q369">
        <f>'Kullanılan gübre'!Q369*'Gübre oranlar'!T$3</f>
        <v>0</v>
      </c>
      <c r="R369">
        <f>'Kullanılan gübre'!R369*'Gübre oranlar'!U$3</f>
        <v>0</v>
      </c>
      <c r="S369">
        <f>'Kullanılan gübre'!S369*'Gübre oranlar'!V$3</f>
        <v>0</v>
      </c>
      <c r="T369">
        <f>'Kullanılan gübre'!T369*'Gübre oranlar'!W$3</f>
        <v>0</v>
      </c>
      <c r="U369">
        <f>'Kullanılan gübre'!U369*'Gübre oranlar'!X$3</f>
        <v>0</v>
      </c>
      <c r="V369">
        <f>'Kullanılan gübre'!V369*'Gübre oranlar'!Y$3</f>
        <v>0</v>
      </c>
      <c r="W369">
        <f>'Kullanılan gübre'!W369*'Gübre oranlar'!Z$3</f>
        <v>0</v>
      </c>
      <c r="X369">
        <f>'Kullanılan gübre'!X369*'Gübre oranlar'!AA$3</f>
        <v>0</v>
      </c>
      <c r="Y369">
        <f>'Kullanılan gübre'!Y369*'Gübre oranlar'!AB$3</f>
        <v>0</v>
      </c>
      <c r="Z369">
        <f>'Kullanılan gübre'!Z369*'Gübre oranlar'!AC$3</f>
        <v>0</v>
      </c>
      <c r="AA369">
        <f>'Kullanılan gübre'!AA369*'Gübre oranlar'!AD$3</f>
        <v>0</v>
      </c>
      <c r="AB369">
        <f>'Kullanılan gübre'!AB369*'Gübre oranlar'!AE$3</f>
        <v>0</v>
      </c>
      <c r="AC369">
        <f>'Kullanılan gübre'!AC369*'Gübre oranlar'!AF$3</f>
        <v>0</v>
      </c>
      <c r="AD369">
        <f>'Kullanılan gübre'!AD369*'Gübre oranlar'!AG$3</f>
        <v>0</v>
      </c>
      <c r="AE369">
        <f>'Kullanılan gübre'!AE369*'Gübre oranlar'!AH$3</f>
        <v>0</v>
      </c>
      <c r="AF369">
        <f>'Kullanılan gübre'!AF369*'Gübre oranlar'!AI$3</f>
        <v>0</v>
      </c>
      <c r="AG369">
        <f>'Kullanılan gübre'!AG369*'Gübre oranlar'!AJ$3</f>
        <v>0</v>
      </c>
      <c r="AH369">
        <f>'Kullanılan gübre'!AH369*'Gübre oranlar'!AK$3</f>
        <v>0</v>
      </c>
      <c r="AI369">
        <f>'Kullanılan gübre'!AI369*'Gübre oranlar'!AL$3</f>
        <v>0</v>
      </c>
      <c r="AJ369">
        <f>'Kullanılan gübre'!AJ369*'Gübre oranlar'!AM$3</f>
        <v>0</v>
      </c>
      <c r="AK369">
        <f>'Kullanılan gübre'!AK369*'Gübre oranlar'!AN$3</f>
        <v>0</v>
      </c>
      <c r="AL369">
        <f>'Kullanılan gübre'!AL369*'Gübre oranlar'!AO$3</f>
        <v>0</v>
      </c>
      <c r="AM369">
        <f>'Kullanılan gübre'!AM369*'Gübre oranlar'!AP$3</f>
        <v>0</v>
      </c>
      <c r="AN369">
        <f>'Kullanılan gübre'!AN369*'Gübre oranlar'!AQ$3</f>
        <v>0</v>
      </c>
      <c r="AO369">
        <f>'Kullanılan gübre'!AO369*'Gübre oranlar'!AR$3</f>
        <v>0</v>
      </c>
      <c r="AP369">
        <f>'Kullanılan gübre'!AP369*'Gübre oranlar'!AS$3</f>
        <v>0</v>
      </c>
      <c r="AQ369">
        <f>'Kullanılan gübre'!AQ369*'Gübre oranlar'!AT$3</f>
        <v>0</v>
      </c>
      <c r="AR369">
        <f>'Kullanılan gübre'!AR369*'Gübre oranlar'!AU$3</f>
        <v>0</v>
      </c>
      <c r="AS369">
        <f>'Kullanılan gübre'!AS369*'Gübre oranlar'!AV$3</f>
        <v>0</v>
      </c>
      <c r="AT369">
        <f>'Kullanılan gübre'!AT369*'Gübre oranlar'!AW$3</f>
        <v>0</v>
      </c>
      <c r="AU369">
        <f>'Kullanılan gübre'!AU369*'Gübre oranlar'!AX$3</f>
        <v>0</v>
      </c>
      <c r="AV369">
        <f>'Kullanılan gübre'!AV369*'Gübre oranlar'!AY$3</f>
        <v>0</v>
      </c>
      <c r="AW369">
        <f t="shared" si="5"/>
        <v>25.74</v>
      </c>
    </row>
    <row r="370" spans="1:49" x14ac:dyDescent="0.25">
      <c r="A370" t="str">
        <f>'Kullanılan gübre'!A370</f>
        <v>YI</v>
      </c>
      <c r="B370" t="str">
        <f>'Kullanılan gübre'!B370</f>
        <v>TOKAT</v>
      </c>
      <c r="C370" t="str">
        <f>'Kullanılan gübre'!C370</f>
        <v>BASCIFTLIK</v>
      </c>
      <c r="D370">
        <f>'Kullanılan gübre'!D370</f>
        <v>2014</v>
      </c>
      <c r="E370">
        <f>'Kullanılan gübre'!E370*'Gübre oranlar'!H$3</f>
        <v>0</v>
      </c>
      <c r="F370">
        <f>'Kullanılan gübre'!F370*'Gübre oranlar'!I$3</f>
        <v>0</v>
      </c>
      <c r="G370">
        <f>'Kullanılan gübre'!G370*'Gübre oranlar'!J$3</f>
        <v>0</v>
      </c>
      <c r="H370">
        <f>'Kullanılan gübre'!H370*'Gübre oranlar'!K$3</f>
        <v>0</v>
      </c>
      <c r="I370">
        <f>'Kullanılan gübre'!I370*'Gübre oranlar'!L$3</f>
        <v>0</v>
      </c>
      <c r="J370">
        <f>'Kullanılan gübre'!J370*'Gübre oranlar'!M$3</f>
        <v>0</v>
      </c>
      <c r="K370">
        <f>'Kullanılan gübre'!K370*'Gübre oranlar'!N$3</f>
        <v>0</v>
      </c>
      <c r="L370">
        <f>'Kullanılan gübre'!L370*'Gübre oranlar'!O$3</f>
        <v>0</v>
      </c>
      <c r="M370">
        <f>'Kullanılan gübre'!M370*'Gübre oranlar'!P$3</f>
        <v>0</v>
      </c>
      <c r="N370">
        <f>'Kullanılan gübre'!N370*'Gübre oranlar'!Q$3</f>
        <v>0</v>
      </c>
      <c r="O370">
        <f>'Kullanılan gübre'!O370*'Gübre oranlar'!R$3</f>
        <v>0</v>
      </c>
      <c r="P370">
        <f>'Kullanılan gübre'!P370*'Gübre oranlar'!S$3</f>
        <v>0</v>
      </c>
      <c r="Q370">
        <f>'Kullanılan gübre'!Q370*'Gübre oranlar'!T$3</f>
        <v>0</v>
      </c>
      <c r="R370">
        <f>'Kullanılan gübre'!R370*'Gübre oranlar'!U$3</f>
        <v>0</v>
      </c>
      <c r="S370">
        <f>'Kullanılan gübre'!S370*'Gübre oranlar'!V$3</f>
        <v>0</v>
      </c>
      <c r="T370">
        <f>'Kullanılan gübre'!T370*'Gübre oranlar'!W$3</f>
        <v>0</v>
      </c>
      <c r="U370">
        <f>'Kullanılan gübre'!U370*'Gübre oranlar'!X$3</f>
        <v>0</v>
      </c>
      <c r="V370">
        <f>'Kullanılan gübre'!V370*'Gübre oranlar'!Y$3</f>
        <v>0</v>
      </c>
      <c r="W370">
        <f>'Kullanılan gübre'!W370*'Gübre oranlar'!Z$3</f>
        <v>0</v>
      </c>
      <c r="X370">
        <f>'Kullanılan gübre'!X370*'Gübre oranlar'!AA$3</f>
        <v>0</v>
      </c>
      <c r="Y370">
        <f>'Kullanılan gübre'!Y370*'Gübre oranlar'!AB$3</f>
        <v>0</v>
      </c>
      <c r="Z370">
        <f>'Kullanılan gübre'!Z370*'Gübre oranlar'!AC$3</f>
        <v>0</v>
      </c>
      <c r="AA370">
        <f>'Kullanılan gübre'!AA370*'Gübre oranlar'!AD$3</f>
        <v>0</v>
      </c>
      <c r="AB370">
        <f>'Kullanılan gübre'!AB370*'Gübre oranlar'!AE$3</f>
        <v>0</v>
      </c>
      <c r="AC370">
        <f>'Kullanılan gübre'!AC370*'Gübre oranlar'!AF$3</f>
        <v>0</v>
      </c>
      <c r="AD370">
        <f>'Kullanılan gübre'!AD370*'Gübre oranlar'!AG$3</f>
        <v>0</v>
      </c>
      <c r="AE370">
        <f>'Kullanılan gübre'!AE370*'Gübre oranlar'!AH$3</f>
        <v>0</v>
      </c>
      <c r="AF370">
        <f>'Kullanılan gübre'!AF370*'Gübre oranlar'!AI$3</f>
        <v>0</v>
      </c>
      <c r="AG370">
        <f>'Kullanılan gübre'!AG370*'Gübre oranlar'!AJ$3</f>
        <v>0</v>
      </c>
      <c r="AH370">
        <f>'Kullanılan gübre'!AH370*'Gübre oranlar'!AK$3</f>
        <v>0</v>
      </c>
      <c r="AI370">
        <f>'Kullanılan gübre'!AI370*'Gübre oranlar'!AL$3</f>
        <v>0</v>
      </c>
      <c r="AJ370">
        <f>'Kullanılan gübre'!AJ370*'Gübre oranlar'!AM$3</f>
        <v>0</v>
      </c>
      <c r="AK370">
        <f>'Kullanılan gübre'!AK370*'Gübre oranlar'!AN$3</f>
        <v>0</v>
      </c>
      <c r="AL370">
        <f>'Kullanılan gübre'!AL370*'Gübre oranlar'!AO$3</f>
        <v>0</v>
      </c>
      <c r="AM370">
        <f>'Kullanılan gübre'!AM370*'Gübre oranlar'!AP$3</f>
        <v>0</v>
      </c>
      <c r="AN370">
        <f>'Kullanılan gübre'!AN370*'Gübre oranlar'!AQ$3</f>
        <v>0</v>
      </c>
      <c r="AO370">
        <f>'Kullanılan gübre'!AO370*'Gübre oranlar'!AR$3</f>
        <v>0</v>
      </c>
      <c r="AP370">
        <f>'Kullanılan gübre'!AP370*'Gübre oranlar'!AS$3</f>
        <v>0</v>
      </c>
      <c r="AQ370">
        <f>'Kullanılan gübre'!AQ370*'Gübre oranlar'!AT$3</f>
        <v>0</v>
      </c>
      <c r="AR370">
        <f>'Kullanılan gübre'!AR370*'Gübre oranlar'!AU$3</f>
        <v>0</v>
      </c>
      <c r="AS370">
        <f>'Kullanılan gübre'!AS370*'Gübre oranlar'!AV$3</f>
        <v>0</v>
      </c>
      <c r="AT370">
        <f>'Kullanılan gübre'!AT370*'Gübre oranlar'!AW$3</f>
        <v>0</v>
      </c>
      <c r="AU370">
        <f>'Kullanılan gübre'!AU370*'Gübre oranlar'!AX$3</f>
        <v>0</v>
      </c>
      <c r="AV370">
        <f>'Kullanılan gübre'!AV370*'Gübre oranlar'!AY$3</f>
        <v>0</v>
      </c>
      <c r="AW370">
        <f t="shared" si="5"/>
        <v>0</v>
      </c>
    </row>
    <row r="371" spans="1:49" x14ac:dyDescent="0.25">
      <c r="A371" t="str">
        <f>'Kullanılan gübre'!A371</f>
        <v>YI</v>
      </c>
      <c r="B371" t="str">
        <f>'Kullanılan gübre'!B371</f>
        <v>TOKAT</v>
      </c>
      <c r="C371" t="str">
        <f>'Kullanılan gübre'!C371</f>
        <v>ERBAA</v>
      </c>
      <c r="D371">
        <f>'Kullanılan gübre'!D371</f>
        <v>2014</v>
      </c>
      <c r="E371">
        <f>'Kullanılan gübre'!E371*'Gübre oranlar'!H$3</f>
        <v>0</v>
      </c>
      <c r="F371">
        <f>'Kullanılan gübre'!F371*'Gübre oranlar'!I$3</f>
        <v>0</v>
      </c>
      <c r="G371">
        <f>'Kullanılan gübre'!G371*'Gübre oranlar'!J$3</f>
        <v>0</v>
      </c>
      <c r="H371">
        <f>'Kullanılan gübre'!H371*'Gübre oranlar'!K$3</f>
        <v>0</v>
      </c>
      <c r="I371">
        <f>'Kullanılan gübre'!I371*'Gübre oranlar'!L$3</f>
        <v>0</v>
      </c>
      <c r="J371">
        <f>'Kullanılan gübre'!J371*'Gübre oranlar'!M$3</f>
        <v>0</v>
      </c>
      <c r="K371">
        <f>'Kullanılan gübre'!K371*'Gübre oranlar'!N$3</f>
        <v>15.4</v>
      </c>
      <c r="L371">
        <f>'Kullanılan gübre'!L371*'Gübre oranlar'!O$3</f>
        <v>2.484</v>
      </c>
      <c r="M371">
        <f>'Kullanılan gübre'!M371*'Gübre oranlar'!P$3</f>
        <v>14.295</v>
      </c>
      <c r="N371">
        <f>'Kullanılan gübre'!N371*'Gübre oranlar'!Q$3</f>
        <v>41.76</v>
      </c>
      <c r="O371">
        <f>'Kullanılan gübre'!O371*'Gübre oranlar'!R$3</f>
        <v>0</v>
      </c>
      <c r="P371">
        <f>'Kullanılan gübre'!P371*'Gübre oranlar'!S$3</f>
        <v>0</v>
      </c>
      <c r="Q371">
        <f>'Kullanılan gübre'!Q371*'Gübre oranlar'!T$3</f>
        <v>0</v>
      </c>
      <c r="R371">
        <f>'Kullanılan gübre'!R371*'Gübre oranlar'!U$3</f>
        <v>0</v>
      </c>
      <c r="S371">
        <f>'Kullanılan gübre'!S371*'Gübre oranlar'!V$3</f>
        <v>0</v>
      </c>
      <c r="T371">
        <f>'Kullanılan gübre'!T371*'Gübre oranlar'!W$3</f>
        <v>0</v>
      </c>
      <c r="U371">
        <f>'Kullanılan gübre'!U371*'Gübre oranlar'!X$3</f>
        <v>0</v>
      </c>
      <c r="V371">
        <f>'Kullanılan gübre'!V371*'Gübre oranlar'!Y$3</f>
        <v>0</v>
      </c>
      <c r="W371">
        <f>'Kullanılan gübre'!W371*'Gübre oranlar'!Z$3</f>
        <v>0</v>
      </c>
      <c r="X371">
        <f>'Kullanılan gübre'!X371*'Gübre oranlar'!AA$3</f>
        <v>0</v>
      </c>
      <c r="Y371">
        <f>'Kullanılan gübre'!Y371*'Gübre oranlar'!AB$3</f>
        <v>0</v>
      </c>
      <c r="Z371">
        <f>'Kullanılan gübre'!Z371*'Gübre oranlar'!AC$3</f>
        <v>0</v>
      </c>
      <c r="AA371">
        <f>'Kullanılan gübre'!AA371*'Gübre oranlar'!AD$3</f>
        <v>0</v>
      </c>
      <c r="AB371">
        <f>'Kullanılan gübre'!AB371*'Gübre oranlar'!AE$3</f>
        <v>0</v>
      </c>
      <c r="AC371">
        <f>'Kullanılan gübre'!AC371*'Gübre oranlar'!AF$3</f>
        <v>0</v>
      </c>
      <c r="AD371">
        <f>'Kullanılan gübre'!AD371*'Gübre oranlar'!AG$3</f>
        <v>0</v>
      </c>
      <c r="AE371">
        <f>'Kullanılan gübre'!AE371*'Gübre oranlar'!AH$3</f>
        <v>0</v>
      </c>
      <c r="AF371">
        <f>'Kullanılan gübre'!AF371*'Gübre oranlar'!AI$3</f>
        <v>0</v>
      </c>
      <c r="AG371">
        <f>'Kullanılan gübre'!AG371*'Gübre oranlar'!AJ$3</f>
        <v>0</v>
      </c>
      <c r="AH371">
        <f>'Kullanılan gübre'!AH371*'Gübre oranlar'!AK$3</f>
        <v>0</v>
      </c>
      <c r="AI371">
        <f>'Kullanılan gübre'!AI371*'Gübre oranlar'!AL$3</f>
        <v>0</v>
      </c>
      <c r="AJ371">
        <f>'Kullanılan gübre'!AJ371*'Gübre oranlar'!AM$3</f>
        <v>0</v>
      </c>
      <c r="AK371">
        <f>'Kullanılan gübre'!AK371*'Gübre oranlar'!AN$3</f>
        <v>0</v>
      </c>
      <c r="AL371">
        <f>'Kullanılan gübre'!AL371*'Gübre oranlar'!AO$3</f>
        <v>0</v>
      </c>
      <c r="AM371">
        <f>'Kullanılan gübre'!AM371*'Gübre oranlar'!AP$3</f>
        <v>0</v>
      </c>
      <c r="AN371">
        <f>'Kullanılan gübre'!AN371*'Gübre oranlar'!AQ$3</f>
        <v>0</v>
      </c>
      <c r="AO371">
        <f>'Kullanılan gübre'!AO371*'Gübre oranlar'!AR$3</f>
        <v>0</v>
      </c>
      <c r="AP371">
        <f>'Kullanılan gübre'!AP371*'Gübre oranlar'!AS$3</f>
        <v>0</v>
      </c>
      <c r="AQ371">
        <f>'Kullanılan gübre'!AQ371*'Gübre oranlar'!AT$3</f>
        <v>0</v>
      </c>
      <c r="AR371">
        <f>'Kullanılan gübre'!AR371*'Gübre oranlar'!AU$3</f>
        <v>0</v>
      </c>
      <c r="AS371">
        <f>'Kullanılan gübre'!AS371*'Gübre oranlar'!AV$3</f>
        <v>0</v>
      </c>
      <c r="AT371">
        <f>'Kullanılan gübre'!AT371*'Gübre oranlar'!AW$3</f>
        <v>0</v>
      </c>
      <c r="AU371">
        <f>'Kullanılan gübre'!AU371*'Gübre oranlar'!AX$3</f>
        <v>0</v>
      </c>
      <c r="AV371">
        <f>'Kullanılan gübre'!AV371*'Gübre oranlar'!AY$3</f>
        <v>0</v>
      </c>
      <c r="AW371">
        <f t="shared" si="5"/>
        <v>73.938999999999993</v>
      </c>
    </row>
    <row r="372" spans="1:49" x14ac:dyDescent="0.25">
      <c r="A372" t="str">
        <f>'Kullanılan gübre'!A372</f>
        <v>YI</v>
      </c>
      <c r="B372" t="str">
        <f>'Kullanılan gübre'!B372</f>
        <v>TOKAT</v>
      </c>
      <c r="C372" t="str">
        <f>'Kullanılan gübre'!C372</f>
        <v>NIKSAR</v>
      </c>
      <c r="D372">
        <f>'Kullanılan gübre'!D372</f>
        <v>2014</v>
      </c>
      <c r="E372">
        <f>'Kullanılan gübre'!E372*'Gübre oranlar'!H$3</f>
        <v>0</v>
      </c>
      <c r="F372">
        <f>'Kullanılan gübre'!F372*'Gübre oranlar'!I$3</f>
        <v>0</v>
      </c>
      <c r="G372">
        <f>'Kullanılan gübre'!G372*'Gübre oranlar'!J$3</f>
        <v>0</v>
      </c>
      <c r="H372">
        <f>'Kullanılan gübre'!H372*'Gübre oranlar'!K$3</f>
        <v>0</v>
      </c>
      <c r="I372">
        <f>'Kullanılan gübre'!I372*'Gübre oranlar'!L$3</f>
        <v>0</v>
      </c>
      <c r="J372">
        <f>'Kullanılan gübre'!J372*'Gübre oranlar'!M$3</f>
        <v>0</v>
      </c>
      <c r="K372">
        <f>'Kullanılan gübre'!K372*'Gübre oranlar'!N$3</f>
        <v>36.71</v>
      </c>
      <c r="L372">
        <f>'Kullanılan gübre'!L372*'Gübre oranlar'!O$3</f>
        <v>39.729999999999997</v>
      </c>
      <c r="M372">
        <f>'Kullanılan gübre'!M372*'Gübre oranlar'!P$3</f>
        <v>12.1425</v>
      </c>
      <c r="N372">
        <f>'Kullanılan gübre'!N372*'Gübre oranlar'!Q$3</f>
        <v>58.2</v>
      </c>
      <c r="O372">
        <f>'Kullanılan gübre'!O372*'Gübre oranlar'!R$3</f>
        <v>0</v>
      </c>
      <c r="P372">
        <f>'Kullanılan gübre'!P372*'Gübre oranlar'!S$3</f>
        <v>0</v>
      </c>
      <c r="Q372">
        <f>'Kullanılan gübre'!Q372*'Gübre oranlar'!T$3</f>
        <v>0</v>
      </c>
      <c r="R372">
        <f>'Kullanılan gübre'!R372*'Gübre oranlar'!U$3</f>
        <v>0</v>
      </c>
      <c r="S372">
        <f>'Kullanılan gübre'!S372*'Gübre oranlar'!V$3</f>
        <v>0</v>
      </c>
      <c r="T372">
        <f>'Kullanılan gübre'!T372*'Gübre oranlar'!W$3</f>
        <v>0</v>
      </c>
      <c r="U372">
        <f>'Kullanılan gübre'!U372*'Gübre oranlar'!X$3</f>
        <v>0</v>
      </c>
      <c r="V372">
        <f>'Kullanılan gübre'!V372*'Gübre oranlar'!Y$3</f>
        <v>0</v>
      </c>
      <c r="W372">
        <f>'Kullanılan gübre'!W372*'Gübre oranlar'!Z$3</f>
        <v>0</v>
      </c>
      <c r="X372">
        <f>'Kullanılan gübre'!X372*'Gübre oranlar'!AA$3</f>
        <v>0</v>
      </c>
      <c r="Y372">
        <f>'Kullanılan gübre'!Y372*'Gübre oranlar'!AB$3</f>
        <v>0</v>
      </c>
      <c r="Z372">
        <f>'Kullanılan gübre'!Z372*'Gübre oranlar'!AC$3</f>
        <v>0</v>
      </c>
      <c r="AA372">
        <f>'Kullanılan gübre'!AA372*'Gübre oranlar'!AD$3</f>
        <v>0</v>
      </c>
      <c r="AB372">
        <f>'Kullanılan gübre'!AB372*'Gübre oranlar'!AE$3</f>
        <v>0</v>
      </c>
      <c r="AC372">
        <f>'Kullanılan gübre'!AC372*'Gübre oranlar'!AF$3</f>
        <v>0</v>
      </c>
      <c r="AD372">
        <f>'Kullanılan gübre'!AD372*'Gübre oranlar'!AG$3</f>
        <v>0</v>
      </c>
      <c r="AE372">
        <f>'Kullanılan gübre'!AE372*'Gübre oranlar'!AH$3</f>
        <v>0</v>
      </c>
      <c r="AF372">
        <f>'Kullanılan gübre'!AF372*'Gübre oranlar'!AI$3</f>
        <v>0</v>
      </c>
      <c r="AG372">
        <f>'Kullanılan gübre'!AG372*'Gübre oranlar'!AJ$3</f>
        <v>0</v>
      </c>
      <c r="AH372">
        <f>'Kullanılan gübre'!AH372*'Gübre oranlar'!AK$3</f>
        <v>0</v>
      </c>
      <c r="AI372">
        <f>'Kullanılan gübre'!AI372*'Gübre oranlar'!AL$3</f>
        <v>0</v>
      </c>
      <c r="AJ372">
        <f>'Kullanılan gübre'!AJ372*'Gübre oranlar'!AM$3</f>
        <v>0</v>
      </c>
      <c r="AK372">
        <f>'Kullanılan gübre'!AK372*'Gübre oranlar'!AN$3</f>
        <v>0</v>
      </c>
      <c r="AL372">
        <f>'Kullanılan gübre'!AL372*'Gübre oranlar'!AO$3</f>
        <v>0</v>
      </c>
      <c r="AM372">
        <f>'Kullanılan gübre'!AM372*'Gübre oranlar'!AP$3</f>
        <v>0</v>
      </c>
      <c r="AN372">
        <f>'Kullanılan gübre'!AN372*'Gübre oranlar'!AQ$3</f>
        <v>0</v>
      </c>
      <c r="AO372">
        <f>'Kullanılan gübre'!AO372*'Gübre oranlar'!AR$3</f>
        <v>0</v>
      </c>
      <c r="AP372">
        <f>'Kullanılan gübre'!AP372*'Gübre oranlar'!AS$3</f>
        <v>0</v>
      </c>
      <c r="AQ372">
        <f>'Kullanılan gübre'!AQ372*'Gübre oranlar'!AT$3</f>
        <v>0</v>
      </c>
      <c r="AR372">
        <f>'Kullanılan gübre'!AR372*'Gübre oranlar'!AU$3</f>
        <v>0</v>
      </c>
      <c r="AS372">
        <f>'Kullanılan gübre'!AS372*'Gübre oranlar'!AV$3</f>
        <v>0</v>
      </c>
      <c r="AT372">
        <f>'Kullanılan gübre'!AT372*'Gübre oranlar'!AW$3</f>
        <v>0</v>
      </c>
      <c r="AU372">
        <f>'Kullanılan gübre'!AU372*'Gübre oranlar'!AX$3</f>
        <v>0</v>
      </c>
      <c r="AV372">
        <f>'Kullanılan gübre'!AV372*'Gübre oranlar'!AY$3</f>
        <v>0</v>
      </c>
      <c r="AW372">
        <f t="shared" si="5"/>
        <v>146.7825</v>
      </c>
    </row>
    <row r="373" spans="1:49" x14ac:dyDescent="0.25">
      <c r="A373" t="str">
        <f>'Kullanılan gübre'!A373</f>
        <v>YI</v>
      </c>
      <c r="B373" t="str">
        <f>'Kullanılan gübre'!B373</f>
        <v>TOKAT</v>
      </c>
      <c r="C373" t="str">
        <f>'Kullanılan gübre'!C373</f>
        <v>PAZAR</v>
      </c>
      <c r="D373">
        <f>'Kullanılan gübre'!D373</f>
        <v>2014</v>
      </c>
      <c r="E373">
        <f>'Kullanılan gübre'!E373*'Gübre oranlar'!H$3</f>
        <v>0</v>
      </c>
      <c r="F373">
        <f>'Kullanılan gübre'!F373*'Gübre oranlar'!I$3</f>
        <v>0</v>
      </c>
      <c r="G373">
        <f>'Kullanılan gübre'!G373*'Gübre oranlar'!J$3</f>
        <v>0</v>
      </c>
      <c r="H373">
        <f>'Kullanılan gübre'!H373*'Gübre oranlar'!K$3</f>
        <v>0</v>
      </c>
      <c r="I373">
        <f>'Kullanılan gübre'!I373*'Gübre oranlar'!L$3</f>
        <v>15.071499999999999</v>
      </c>
      <c r="J373">
        <f>'Kullanılan gübre'!J373*'Gübre oranlar'!M$3</f>
        <v>0</v>
      </c>
      <c r="K373">
        <f>'Kullanılan gübre'!K373*'Gübre oranlar'!N$3</f>
        <v>16.440000000000001</v>
      </c>
      <c r="L373">
        <f>'Kullanılan gübre'!L373*'Gübre oranlar'!O$3</f>
        <v>27.185000000000002</v>
      </c>
      <c r="M373">
        <f>'Kullanılan gübre'!M373*'Gübre oranlar'!P$3</f>
        <v>4.875</v>
      </c>
      <c r="N373">
        <f>'Kullanılan gübre'!N373*'Gübre oranlar'!Q$3</f>
        <v>25.680000000000003</v>
      </c>
      <c r="O373">
        <f>'Kullanılan gübre'!O373*'Gübre oranlar'!R$3</f>
        <v>0</v>
      </c>
      <c r="P373">
        <f>'Kullanılan gübre'!P373*'Gübre oranlar'!S$3</f>
        <v>0</v>
      </c>
      <c r="Q373">
        <f>'Kullanılan gübre'!Q373*'Gübre oranlar'!T$3</f>
        <v>172.79999999999998</v>
      </c>
      <c r="R373">
        <f>'Kullanılan gübre'!R373*'Gübre oranlar'!U$3</f>
        <v>0</v>
      </c>
      <c r="S373">
        <f>'Kullanılan gübre'!S373*'Gübre oranlar'!V$3</f>
        <v>0</v>
      </c>
      <c r="T373">
        <f>'Kullanılan gübre'!T373*'Gübre oranlar'!W$3</f>
        <v>0</v>
      </c>
      <c r="U373">
        <f>'Kullanılan gübre'!U373*'Gübre oranlar'!X$3</f>
        <v>0</v>
      </c>
      <c r="V373">
        <f>'Kullanılan gübre'!V373*'Gübre oranlar'!Y$3</f>
        <v>0</v>
      </c>
      <c r="W373">
        <f>'Kullanılan gübre'!W373*'Gübre oranlar'!Z$3</f>
        <v>0</v>
      </c>
      <c r="X373">
        <f>'Kullanılan gübre'!X373*'Gübre oranlar'!AA$3</f>
        <v>0</v>
      </c>
      <c r="Y373">
        <f>'Kullanılan gübre'!Y373*'Gübre oranlar'!AB$3</f>
        <v>0</v>
      </c>
      <c r="Z373">
        <f>'Kullanılan gübre'!Z373*'Gübre oranlar'!AC$3</f>
        <v>0</v>
      </c>
      <c r="AA373">
        <f>'Kullanılan gübre'!AA373*'Gübre oranlar'!AD$3</f>
        <v>0</v>
      </c>
      <c r="AB373">
        <f>'Kullanılan gübre'!AB373*'Gübre oranlar'!AE$3</f>
        <v>0</v>
      </c>
      <c r="AC373">
        <f>'Kullanılan gübre'!AC373*'Gübre oranlar'!AF$3</f>
        <v>0</v>
      </c>
      <c r="AD373">
        <f>'Kullanılan gübre'!AD373*'Gübre oranlar'!AG$3</f>
        <v>0</v>
      </c>
      <c r="AE373">
        <f>'Kullanılan gübre'!AE373*'Gübre oranlar'!AH$3</f>
        <v>0</v>
      </c>
      <c r="AF373">
        <f>'Kullanılan gübre'!AF373*'Gübre oranlar'!AI$3</f>
        <v>0</v>
      </c>
      <c r="AG373">
        <f>'Kullanılan gübre'!AG373*'Gübre oranlar'!AJ$3</f>
        <v>0</v>
      </c>
      <c r="AH373">
        <f>'Kullanılan gübre'!AH373*'Gübre oranlar'!AK$3</f>
        <v>0</v>
      </c>
      <c r="AI373">
        <f>'Kullanılan gübre'!AI373*'Gübre oranlar'!AL$3</f>
        <v>0</v>
      </c>
      <c r="AJ373">
        <f>'Kullanılan gübre'!AJ373*'Gübre oranlar'!AM$3</f>
        <v>0</v>
      </c>
      <c r="AK373">
        <f>'Kullanılan gübre'!AK373*'Gübre oranlar'!AN$3</f>
        <v>0</v>
      </c>
      <c r="AL373">
        <f>'Kullanılan gübre'!AL373*'Gübre oranlar'!AO$3</f>
        <v>0</v>
      </c>
      <c r="AM373">
        <f>'Kullanılan gübre'!AM373*'Gübre oranlar'!AP$3</f>
        <v>0</v>
      </c>
      <c r="AN373">
        <f>'Kullanılan gübre'!AN373*'Gübre oranlar'!AQ$3</f>
        <v>0</v>
      </c>
      <c r="AO373">
        <f>'Kullanılan gübre'!AO373*'Gübre oranlar'!AR$3</f>
        <v>0</v>
      </c>
      <c r="AP373">
        <f>'Kullanılan gübre'!AP373*'Gübre oranlar'!AS$3</f>
        <v>0</v>
      </c>
      <c r="AQ373">
        <f>'Kullanılan gübre'!AQ373*'Gübre oranlar'!AT$3</f>
        <v>0</v>
      </c>
      <c r="AR373">
        <f>'Kullanılan gübre'!AR373*'Gübre oranlar'!AU$3</f>
        <v>0</v>
      </c>
      <c r="AS373">
        <f>'Kullanılan gübre'!AS373*'Gübre oranlar'!AV$3</f>
        <v>0</v>
      </c>
      <c r="AT373">
        <f>'Kullanılan gübre'!AT373*'Gübre oranlar'!AW$3</f>
        <v>0</v>
      </c>
      <c r="AU373">
        <f>'Kullanılan gübre'!AU373*'Gübre oranlar'!AX$3</f>
        <v>0</v>
      </c>
      <c r="AV373">
        <f>'Kullanılan gübre'!AV373*'Gübre oranlar'!AY$3</f>
        <v>0</v>
      </c>
      <c r="AW373">
        <f t="shared" si="5"/>
        <v>262.05149999999998</v>
      </c>
    </row>
    <row r="374" spans="1:49" x14ac:dyDescent="0.25">
      <c r="A374" t="str">
        <f>'Kullanılan gübre'!A374</f>
        <v>YI</v>
      </c>
      <c r="B374" t="str">
        <f>'Kullanılan gübre'!B374</f>
        <v>TOKAT</v>
      </c>
      <c r="C374" t="str">
        <f>'Kullanılan gübre'!C374</f>
        <v>RESADIYE</v>
      </c>
      <c r="D374">
        <f>'Kullanılan gübre'!D374</f>
        <v>2014</v>
      </c>
      <c r="E374">
        <f>'Kullanılan gübre'!E374*'Gübre oranlar'!H$3</f>
        <v>0</v>
      </c>
      <c r="F374">
        <f>'Kullanılan gübre'!F374*'Gübre oranlar'!I$3</f>
        <v>0</v>
      </c>
      <c r="G374">
        <f>'Kullanılan gübre'!G374*'Gübre oranlar'!J$3</f>
        <v>0</v>
      </c>
      <c r="H374">
        <f>'Kullanılan gübre'!H374*'Gübre oranlar'!K$3</f>
        <v>0</v>
      </c>
      <c r="I374">
        <f>'Kullanılan gübre'!I374*'Gübre oranlar'!L$3</f>
        <v>0</v>
      </c>
      <c r="J374">
        <f>'Kullanılan gübre'!J374*'Gübre oranlar'!M$3</f>
        <v>0</v>
      </c>
      <c r="K374">
        <f>'Kullanılan gübre'!K374*'Gübre oranlar'!N$3</f>
        <v>0</v>
      </c>
      <c r="L374">
        <f>'Kullanılan gübre'!L374*'Gübre oranlar'!O$3</f>
        <v>0</v>
      </c>
      <c r="M374">
        <f>'Kullanılan gübre'!M374*'Gübre oranlar'!P$3</f>
        <v>1.4999999999999999E-2</v>
      </c>
      <c r="N374">
        <f>'Kullanılan gübre'!N374*'Gübre oranlar'!Q$3</f>
        <v>0</v>
      </c>
      <c r="O374">
        <f>'Kullanılan gübre'!O374*'Gübre oranlar'!R$3</f>
        <v>0</v>
      </c>
      <c r="P374">
        <f>'Kullanılan gübre'!P374*'Gübre oranlar'!S$3</f>
        <v>0</v>
      </c>
      <c r="Q374">
        <f>'Kullanılan gübre'!Q374*'Gübre oranlar'!T$3</f>
        <v>0</v>
      </c>
      <c r="R374">
        <f>'Kullanılan gübre'!R374*'Gübre oranlar'!U$3</f>
        <v>0</v>
      </c>
      <c r="S374">
        <f>'Kullanılan gübre'!S374*'Gübre oranlar'!V$3</f>
        <v>0</v>
      </c>
      <c r="T374">
        <f>'Kullanılan gübre'!T374*'Gübre oranlar'!W$3</f>
        <v>0</v>
      </c>
      <c r="U374">
        <f>'Kullanılan gübre'!U374*'Gübre oranlar'!X$3</f>
        <v>0</v>
      </c>
      <c r="V374">
        <f>'Kullanılan gübre'!V374*'Gübre oranlar'!Y$3</f>
        <v>0</v>
      </c>
      <c r="W374">
        <f>'Kullanılan gübre'!W374*'Gübre oranlar'!Z$3</f>
        <v>0</v>
      </c>
      <c r="X374">
        <f>'Kullanılan gübre'!X374*'Gübre oranlar'!AA$3</f>
        <v>0</v>
      </c>
      <c r="Y374">
        <f>'Kullanılan gübre'!Y374*'Gübre oranlar'!AB$3</f>
        <v>0</v>
      </c>
      <c r="Z374">
        <f>'Kullanılan gübre'!Z374*'Gübre oranlar'!AC$3</f>
        <v>0</v>
      </c>
      <c r="AA374">
        <f>'Kullanılan gübre'!AA374*'Gübre oranlar'!AD$3</f>
        <v>0</v>
      </c>
      <c r="AB374">
        <f>'Kullanılan gübre'!AB374*'Gübre oranlar'!AE$3</f>
        <v>0</v>
      </c>
      <c r="AC374">
        <f>'Kullanılan gübre'!AC374*'Gübre oranlar'!AF$3</f>
        <v>0</v>
      </c>
      <c r="AD374">
        <f>'Kullanılan gübre'!AD374*'Gübre oranlar'!AG$3</f>
        <v>0</v>
      </c>
      <c r="AE374">
        <f>'Kullanılan gübre'!AE374*'Gübre oranlar'!AH$3</f>
        <v>0</v>
      </c>
      <c r="AF374">
        <f>'Kullanılan gübre'!AF374*'Gübre oranlar'!AI$3</f>
        <v>0</v>
      </c>
      <c r="AG374">
        <f>'Kullanılan gübre'!AG374*'Gübre oranlar'!AJ$3</f>
        <v>0</v>
      </c>
      <c r="AH374">
        <f>'Kullanılan gübre'!AH374*'Gübre oranlar'!AK$3</f>
        <v>0</v>
      </c>
      <c r="AI374">
        <f>'Kullanılan gübre'!AI374*'Gübre oranlar'!AL$3</f>
        <v>0</v>
      </c>
      <c r="AJ374">
        <f>'Kullanılan gübre'!AJ374*'Gübre oranlar'!AM$3</f>
        <v>0</v>
      </c>
      <c r="AK374">
        <f>'Kullanılan gübre'!AK374*'Gübre oranlar'!AN$3</f>
        <v>0</v>
      </c>
      <c r="AL374">
        <f>'Kullanılan gübre'!AL374*'Gübre oranlar'!AO$3</f>
        <v>0</v>
      </c>
      <c r="AM374">
        <f>'Kullanılan gübre'!AM374*'Gübre oranlar'!AP$3</f>
        <v>0</v>
      </c>
      <c r="AN374">
        <f>'Kullanılan gübre'!AN374*'Gübre oranlar'!AQ$3</f>
        <v>0</v>
      </c>
      <c r="AO374">
        <f>'Kullanılan gübre'!AO374*'Gübre oranlar'!AR$3</f>
        <v>0</v>
      </c>
      <c r="AP374">
        <f>'Kullanılan gübre'!AP374*'Gübre oranlar'!AS$3</f>
        <v>0</v>
      </c>
      <c r="AQ374">
        <f>'Kullanılan gübre'!AQ374*'Gübre oranlar'!AT$3</f>
        <v>0</v>
      </c>
      <c r="AR374">
        <f>'Kullanılan gübre'!AR374*'Gübre oranlar'!AU$3</f>
        <v>0</v>
      </c>
      <c r="AS374">
        <f>'Kullanılan gübre'!AS374*'Gübre oranlar'!AV$3</f>
        <v>0</v>
      </c>
      <c r="AT374">
        <f>'Kullanılan gübre'!AT374*'Gübre oranlar'!AW$3</f>
        <v>0</v>
      </c>
      <c r="AU374">
        <f>'Kullanılan gübre'!AU374*'Gübre oranlar'!AX$3</f>
        <v>0</v>
      </c>
      <c r="AV374">
        <f>'Kullanılan gübre'!AV374*'Gübre oranlar'!AY$3</f>
        <v>0</v>
      </c>
      <c r="AW374">
        <f t="shared" si="5"/>
        <v>1.4999999999999999E-2</v>
      </c>
    </row>
    <row r="375" spans="1:49" x14ac:dyDescent="0.25">
      <c r="A375" t="str">
        <f>'Kullanılan gübre'!A375</f>
        <v>YI</v>
      </c>
      <c r="B375" t="str">
        <f>'Kullanılan gübre'!B375</f>
        <v>TOKAT</v>
      </c>
      <c r="C375" t="str">
        <f>'Kullanılan gübre'!C375</f>
        <v>SULUSARAY</v>
      </c>
      <c r="D375">
        <f>'Kullanılan gübre'!D375</f>
        <v>2014</v>
      </c>
      <c r="E375">
        <f>'Kullanılan gübre'!E375*'Gübre oranlar'!H$3</f>
        <v>0</v>
      </c>
      <c r="F375">
        <f>'Kullanılan gübre'!F375*'Gübre oranlar'!I$3</f>
        <v>0</v>
      </c>
      <c r="G375">
        <f>'Kullanılan gübre'!G375*'Gübre oranlar'!J$3</f>
        <v>0</v>
      </c>
      <c r="H375">
        <f>'Kullanılan gübre'!H375*'Gübre oranlar'!K$3</f>
        <v>0</v>
      </c>
      <c r="I375">
        <f>'Kullanılan gübre'!I375*'Gübre oranlar'!L$3</f>
        <v>0</v>
      </c>
      <c r="J375">
        <f>'Kullanılan gübre'!J375*'Gübre oranlar'!M$3</f>
        <v>0</v>
      </c>
      <c r="K375">
        <f>'Kullanılan gübre'!K375*'Gübre oranlar'!N$3</f>
        <v>4.9400000000000004</v>
      </c>
      <c r="L375">
        <f>'Kullanılan gübre'!L375*'Gübre oranlar'!O$3</f>
        <v>17.48</v>
      </c>
      <c r="M375">
        <f>'Kullanılan gübre'!M375*'Gübre oranlar'!P$3</f>
        <v>0</v>
      </c>
      <c r="N375">
        <f>'Kullanılan gübre'!N375*'Gübre oranlar'!Q$3</f>
        <v>0</v>
      </c>
      <c r="O375">
        <f>'Kullanılan gübre'!O375*'Gübre oranlar'!R$3</f>
        <v>0</v>
      </c>
      <c r="P375">
        <f>'Kullanılan gübre'!P375*'Gübre oranlar'!S$3</f>
        <v>0</v>
      </c>
      <c r="Q375">
        <f>'Kullanılan gübre'!Q375*'Gübre oranlar'!T$3</f>
        <v>0</v>
      </c>
      <c r="R375">
        <f>'Kullanılan gübre'!R375*'Gübre oranlar'!U$3</f>
        <v>0</v>
      </c>
      <c r="S375">
        <f>'Kullanılan gübre'!S375*'Gübre oranlar'!V$3</f>
        <v>0</v>
      </c>
      <c r="T375">
        <f>'Kullanılan gübre'!T375*'Gübre oranlar'!W$3</f>
        <v>0</v>
      </c>
      <c r="U375">
        <f>'Kullanılan gübre'!U375*'Gübre oranlar'!X$3</f>
        <v>0</v>
      </c>
      <c r="V375">
        <f>'Kullanılan gübre'!V375*'Gübre oranlar'!Y$3</f>
        <v>0</v>
      </c>
      <c r="W375">
        <f>'Kullanılan gübre'!W375*'Gübre oranlar'!Z$3</f>
        <v>0</v>
      </c>
      <c r="X375">
        <f>'Kullanılan gübre'!X375*'Gübre oranlar'!AA$3</f>
        <v>0</v>
      </c>
      <c r="Y375">
        <f>'Kullanılan gübre'!Y375*'Gübre oranlar'!AB$3</f>
        <v>0</v>
      </c>
      <c r="Z375">
        <f>'Kullanılan gübre'!Z375*'Gübre oranlar'!AC$3</f>
        <v>0</v>
      </c>
      <c r="AA375">
        <f>'Kullanılan gübre'!AA375*'Gübre oranlar'!AD$3</f>
        <v>0</v>
      </c>
      <c r="AB375">
        <f>'Kullanılan gübre'!AB375*'Gübre oranlar'!AE$3</f>
        <v>0</v>
      </c>
      <c r="AC375">
        <f>'Kullanılan gübre'!AC375*'Gübre oranlar'!AF$3</f>
        <v>0</v>
      </c>
      <c r="AD375">
        <f>'Kullanılan gübre'!AD375*'Gübre oranlar'!AG$3</f>
        <v>0</v>
      </c>
      <c r="AE375">
        <f>'Kullanılan gübre'!AE375*'Gübre oranlar'!AH$3</f>
        <v>0</v>
      </c>
      <c r="AF375">
        <f>'Kullanılan gübre'!AF375*'Gübre oranlar'!AI$3</f>
        <v>0</v>
      </c>
      <c r="AG375">
        <f>'Kullanılan gübre'!AG375*'Gübre oranlar'!AJ$3</f>
        <v>0</v>
      </c>
      <c r="AH375">
        <f>'Kullanılan gübre'!AH375*'Gübre oranlar'!AK$3</f>
        <v>0</v>
      </c>
      <c r="AI375">
        <f>'Kullanılan gübre'!AI375*'Gübre oranlar'!AL$3</f>
        <v>0</v>
      </c>
      <c r="AJ375">
        <f>'Kullanılan gübre'!AJ375*'Gübre oranlar'!AM$3</f>
        <v>0</v>
      </c>
      <c r="AK375">
        <f>'Kullanılan gübre'!AK375*'Gübre oranlar'!AN$3</f>
        <v>0</v>
      </c>
      <c r="AL375">
        <f>'Kullanılan gübre'!AL375*'Gübre oranlar'!AO$3</f>
        <v>0</v>
      </c>
      <c r="AM375">
        <f>'Kullanılan gübre'!AM375*'Gübre oranlar'!AP$3</f>
        <v>0</v>
      </c>
      <c r="AN375">
        <f>'Kullanılan gübre'!AN375*'Gübre oranlar'!AQ$3</f>
        <v>0</v>
      </c>
      <c r="AO375">
        <f>'Kullanılan gübre'!AO375*'Gübre oranlar'!AR$3</f>
        <v>0</v>
      </c>
      <c r="AP375">
        <f>'Kullanılan gübre'!AP375*'Gübre oranlar'!AS$3</f>
        <v>0</v>
      </c>
      <c r="AQ375">
        <f>'Kullanılan gübre'!AQ375*'Gübre oranlar'!AT$3</f>
        <v>0</v>
      </c>
      <c r="AR375">
        <f>'Kullanılan gübre'!AR375*'Gübre oranlar'!AU$3</f>
        <v>0</v>
      </c>
      <c r="AS375">
        <f>'Kullanılan gübre'!AS375*'Gübre oranlar'!AV$3</f>
        <v>0</v>
      </c>
      <c r="AT375">
        <f>'Kullanılan gübre'!AT375*'Gübre oranlar'!AW$3</f>
        <v>0</v>
      </c>
      <c r="AU375">
        <f>'Kullanılan gübre'!AU375*'Gübre oranlar'!AX$3</f>
        <v>0</v>
      </c>
      <c r="AV375">
        <f>'Kullanılan gübre'!AV375*'Gübre oranlar'!AY$3</f>
        <v>0</v>
      </c>
      <c r="AW375">
        <f t="shared" si="5"/>
        <v>22.42</v>
      </c>
    </row>
    <row r="376" spans="1:49" x14ac:dyDescent="0.25">
      <c r="A376" t="str">
        <f>'Kullanılan gübre'!A376</f>
        <v>YI</v>
      </c>
      <c r="B376" t="str">
        <f>'Kullanılan gübre'!B376</f>
        <v>TOKAT</v>
      </c>
      <c r="C376" t="str">
        <f>'Kullanılan gübre'!C376</f>
        <v>TURHAL</v>
      </c>
      <c r="D376">
        <f>'Kullanılan gübre'!D376</f>
        <v>2014</v>
      </c>
      <c r="E376">
        <f>'Kullanılan gübre'!E376*'Gübre oranlar'!H$3</f>
        <v>0</v>
      </c>
      <c r="F376">
        <f>'Kullanılan gübre'!F376*'Gübre oranlar'!I$3</f>
        <v>0</v>
      </c>
      <c r="G376">
        <f>'Kullanılan gübre'!G376*'Gübre oranlar'!J$3</f>
        <v>0</v>
      </c>
      <c r="H376">
        <f>'Kullanılan gübre'!H376*'Gübre oranlar'!K$3</f>
        <v>0</v>
      </c>
      <c r="I376">
        <f>'Kullanılan gübre'!I376*'Gübre oranlar'!L$3</f>
        <v>8.6000000000000007E-2</v>
      </c>
      <c r="J376">
        <f>'Kullanılan gübre'!J376*'Gübre oranlar'!M$3</f>
        <v>0</v>
      </c>
      <c r="K376">
        <f>'Kullanılan gübre'!K376*'Gübre oranlar'!N$3</f>
        <v>20.100000000000001</v>
      </c>
      <c r="L376">
        <f>'Kullanılan gübre'!L376*'Gübre oranlar'!O$3</f>
        <v>63.260000000000005</v>
      </c>
      <c r="M376">
        <f>'Kullanılan gübre'!M376*'Gübre oranlar'!P$3</f>
        <v>6.3074999999999992</v>
      </c>
      <c r="N376">
        <f>'Kullanılan gübre'!N376*'Gübre oranlar'!Q$3</f>
        <v>7.4924999999999997</v>
      </c>
      <c r="O376">
        <f>'Kullanılan gübre'!O376*'Gübre oranlar'!R$3</f>
        <v>0</v>
      </c>
      <c r="P376">
        <f>'Kullanılan gübre'!P376*'Gübre oranlar'!S$3</f>
        <v>0</v>
      </c>
      <c r="Q376">
        <f>'Kullanılan gübre'!Q376*'Gübre oranlar'!T$3</f>
        <v>180</v>
      </c>
      <c r="R376">
        <f>'Kullanılan gübre'!R376*'Gübre oranlar'!U$3</f>
        <v>0</v>
      </c>
      <c r="S376">
        <f>'Kullanılan gübre'!S376*'Gübre oranlar'!V$3</f>
        <v>0</v>
      </c>
      <c r="T376">
        <f>'Kullanılan gübre'!T376*'Gübre oranlar'!W$3</f>
        <v>0</v>
      </c>
      <c r="U376">
        <f>'Kullanılan gübre'!U376*'Gübre oranlar'!X$3</f>
        <v>0</v>
      </c>
      <c r="V376">
        <f>'Kullanılan gübre'!V376*'Gübre oranlar'!Y$3</f>
        <v>0</v>
      </c>
      <c r="W376">
        <f>'Kullanılan gübre'!W376*'Gübre oranlar'!Z$3</f>
        <v>0</v>
      </c>
      <c r="X376">
        <f>'Kullanılan gübre'!X376*'Gübre oranlar'!AA$3</f>
        <v>0</v>
      </c>
      <c r="Y376">
        <f>'Kullanılan gübre'!Y376*'Gübre oranlar'!AB$3</f>
        <v>0</v>
      </c>
      <c r="Z376">
        <f>'Kullanılan gübre'!Z376*'Gübre oranlar'!AC$3</f>
        <v>0</v>
      </c>
      <c r="AA376">
        <f>'Kullanılan gübre'!AA376*'Gübre oranlar'!AD$3</f>
        <v>0</v>
      </c>
      <c r="AB376">
        <f>'Kullanılan gübre'!AB376*'Gübre oranlar'!AE$3</f>
        <v>0</v>
      </c>
      <c r="AC376">
        <f>'Kullanılan gübre'!AC376*'Gübre oranlar'!AF$3</f>
        <v>0</v>
      </c>
      <c r="AD376">
        <f>'Kullanılan gübre'!AD376*'Gübre oranlar'!AG$3</f>
        <v>0</v>
      </c>
      <c r="AE376">
        <f>'Kullanılan gübre'!AE376*'Gübre oranlar'!AH$3</f>
        <v>0</v>
      </c>
      <c r="AF376">
        <f>'Kullanılan gübre'!AF376*'Gübre oranlar'!AI$3</f>
        <v>0</v>
      </c>
      <c r="AG376">
        <f>'Kullanılan gübre'!AG376*'Gübre oranlar'!AJ$3</f>
        <v>0</v>
      </c>
      <c r="AH376">
        <f>'Kullanılan gübre'!AH376*'Gübre oranlar'!AK$3</f>
        <v>0</v>
      </c>
      <c r="AI376">
        <f>'Kullanılan gübre'!AI376*'Gübre oranlar'!AL$3</f>
        <v>0</v>
      </c>
      <c r="AJ376">
        <f>'Kullanılan gübre'!AJ376*'Gübre oranlar'!AM$3</f>
        <v>0</v>
      </c>
      <c r="AK376">
        <f>'Kullanılan gübre'!AK376*'Gübre oranlar'!AN$3</f>
        <v>0</v>
      </c>
      <c r="AL376">
        <f>'Kullanılan gübre'!AL376*'Gübre oranlar'!AO$3</f>
        <v>0</v>
      </c>
      <c r="AM376">
        <f>'Kullanılan gübre'!AM376*'Gübre oranlar'!AP$3</f>
        <v>0</v>
      </c>
      <c r="AN376">
        <f>'Kullanılan gübre'!AN376*'Gübre oranlar'!AQ$3</f>
        <v>0</v>
      </c>
      <c r="AO376">
        <f>'Kullanılan gübre'!AO376*'Gübre oranlar'!AR$3</f>
        <v>0</v>
      </c>
      <c r="AP376">
        <f>'Kullanılan gübre'!AP376*'Gübre oranlar'!AS$3</f>
        <v>0</v>
      </c>
      <c r="AQ376">
        <f>'Kullanılan gübre'!AQ376*'Gübre oranlar'!AT$3</f>
        <v>0</v>
      </c>
      <c r="AR376">
        <f>'Kullanılan gübre'!AR376*'Gübre oranlar'!AU$3</f>
        <v>0</v>
      </c>
      <c r="AS376">
        <f>'Kullanılan gübre'!AS376*'Gübre oranlar'!AV$3</f>
        <v>0</v>
      </c>
      <c r="AT376">
        <f>'Kullanılan gübre'!AT376*'Gübre oranlar'!AW$3</f>
        <v>0</v>
      </c>
      <c r="AU376">
        <f>'Kullanılan gübre'!AU376*'Gübre oranlar'!AX$3</f>
        <v>0</v>
      </c>
      <c r="AV376">
        <f>'Kullanılan gübre'!AV376*'Gübre oranlar'!AY$3</f>
        <v>0</v>
      </c>
      <c r="AW376">
        <f t="shared" si="5"/>
        <v>277.24599999999998</v>
      </c>
    </row>
    <row r="377" spans="1:49" x14ac:dyDescent="0.25">
      <c r="A377" t="str">
        <f>'Kullanılan gübre'!A377</f>
        <v>YI</v>
      </c>
      <c r="B377" t="str">
        <f>'Kullanılan gübre'!B377</f>
        <v>TOKAT</v>
      </c>
      <c r="C377" t="str">
        <f>'Kullanılan gübre'!C377</f>
        <v>YESILYURT</v>
      </c>
      <c r="D377">
        <f>'Kullanılan gübre'!D377</f>
        <v>2014</v>
      </c>
      <c r="E377">
        <f>'Kullanılan gübre'!E377*'Gübre oranlar'!H$3</f>
        <v>0</v>
      </c>
      <c r="F377">
        <f>'Kullanılan gübre'!F377*'Gübre oranlar'!I$3</f>
        <v>0</v>
      </c>
      <c r="G377">
        <f>'Kullanılan gübre'!G377*'Gübre oranlar'!J$3</f>
        <v>0</v>
      </c>
      <c r="H377">
        <f>'Kullanılan gübre'!H377*'Gübre oranlar'!K$3</f>
        <v>0</v>
      </c>
      <c r="I377">
        <f>'Kullanılan gübre'!I377*'Gübre oranlar'!L$3</f>
        <v>0</v>
      </c>
      <c r="J377">
        <f>'Kullanılan gübre'!J377*'Gübre oranlar'!M$3</f>
        <v>0</v>
      </c>
      <c r="K377">
        <f>'Kullanılan gübre'!K377*'Gübre oranlar'!N$3</f>
        <v>10.770000000000003</v>
      </c>
      <c r="L377">
        <f>'Kullanılan gübre'!L377*'Gübre oranlar'!O$3</f>
        <v>19.72</v>
      </c>
      <c r="M377">
        <f>'Kullanılan gübre'!M377*'Gübre oranlar'!P$3</f>
        <v>0</v>
      </c>
      <c r="N377">
        <f>'Kullanılan gübre'!N377*'Gübre oranlar'!Q$3</f>
        <v>3.75</v>
      </c>
      <c r="O377">
        <f>'Kullanılan gübre'!O377*'Gübre oranlar'!R$3</f>
        <v>0</v>
      </c>
      <c r="P377">
        <f>'Kullanılan gübre'!P377*'Gübre oranlar'!S$3</f>
        <v>0</v>
      </c>
      <c r="Q377">
        <f>'Kullanılan gübre'!Q377*'Gübre oranlar'!T$3</f>
        <v>0</v>
      </c>
      <c r="R377">
        <f>'Kullanılan gübre'!R377*'Gübre oranlar'!U$3</f>
        <v>0</v>
      </c>
      <c r="S377">
        <f>'Kullanılan gübre'!S377*'Gübre oranlar'!V$3</f>
        <v>0</v>
      </c>
      <c r="T377">
        <f>'Kullanılan gübre'!T377*'Gübre oranlar'!W$3</f>
        <v>0</v>
      </c>
      <c r="U377">
        <f>'Kullanılan gübre'!U377*'Gübre oranlar'!X$3</f>
        <v>0</v>
      </c>
      <c r="V377">
        <f>'Kullanılan gübre'!V377*'Gübre oranlar'!Y$3</f>
        <v>0</v>
      </c>
      <c r="W377">
        <f>'Kullanılan gübre'!W377*'Gübre oranlar'!Z$3</f>
        <v>0</v>
      </c>
      <c r="X377">
        <f>'Kullanılan gübre'!X377*'Gübre oranlar'!AA$3</f>
        <v>0</v>
      </c>
      <c r="Y377">
        <f>'Kullanılan gübre'!Y377*'Gübre oranlar'!AB$3</f>
        <v>0</v>
      </c>
      <c r="Z377">
        <f>'Kullanılan gübre'!Z377*'Gübre oranlar'!AC$3</f>
        <v>0</v>
      </c>
      <c r="AA377">
        <f>'Kullanılan gübre'!AA377*'Gübre oranlar'!AD$3</f>
        <v>0</v>
      </c>
      <c r="AB377">
        <f>'Kullanılan gübre'!AB377*'Gübre oranlar'!AE$3</f>
        <v>0</v>
      </c>
      <c r="AC377">
        <f>'Kullanılan gübre'!AC377*'Gübre oranlar'!AF$3</f>
        <v>0</v>
      </c>
      <c r="AD377">
        <f>'Kullanılan gübre'!AD377*'Gübre oranlar'!AG$3</f>
        <v>0</v>
      </c>
      <c r="AE377">
        <f>'Kullanılan gübre'!AE377*'Gübre oranlar'!AH$3</f>
        <v>0</v>
      </c>
      <c r="AF377">
        <f>'Kullanılan gübre'!AF377*'Gübre oranlar'!AI$3</f>
        <v>0</v>
      </c>
      <c r="AG377">
        <f>'Kullanılan gübre'!AG377*'Gübre oranlar'!AJ$3</f>
        <v>0</v>
      </c>
      <c r="AH377">
        <f>'Kullanılan gübre'!AH377*'Gübre oranlar'!AK$3</f>
        <v>0</v>
      </c>
      <c r="AI377">
        <f>'Kullanılan gübre'!AI377*'Gübre oranlar'!AL$3</f>
        <v>0</v>
      </c>
      <c r="AJ377">
        <f>'Kullanılan gübre'!AJ377*'Gübre oranlar'!AM$3</f>
        <v>0</v>
      </c>
      <c r="AK377">
        <f>'Kullanılan gübre'!AK377*'Gübre oranlar'!AN$3</f>
        <v>0</v>
      </c>
      <c r="AL377">
        <f>'Kullanılan gübre'!AL377*'Gübre oranlar'!AO$3</f>
        <v>0</v>
      </c>
      <c r="AM377">
        <f>'Kullanılan gübre'!AM377*'Gübre oranlar'!AP$3</f>
        <v>0</v>
      </c>
      <c r="AN377">
        <f>'Kullanılan gübre'!AN377*'Gübre oranlar'!AQ$3</f>
        <v>0</v>
      </c>
      <c r="AO377">
        <f>'Kullanılan gübre'!AO377*'Gübre oranlar'!AR$3</f>
        <v>0</v>
      </c>
      <c r="AP377">
        <f>'Kullanılan gübre'!AP377*'Gübre oranlar'!AS$3</f>
        <v>0</v>
      </c>
      <c r="AQ377">
        <f>'Kullanılan gübre'!AQ377*'Gübre oranlar'!AT$3</f>
        <v>0</v>
      </c>
      <c r="AR377">
        <f>'Kullanılan gübre'!AR377*'Gübre oranlar'!AU$3</f>
        <v>0</v>
      </c>
      <c r="AS377">
        <f>'Kullanılan gübre'!AS377*'Gübre oranlar'!AV$3</f>
        <v>0</v>
      </c>
      <c r="AT377">
        <f>'Kullanılan gübre'!AT377*'Gübre oranlar'!AW$3</f>
        <v>0</v>
      </c>
      <c r="AU377">
        <f>'Kullanılan gübre'!AU377*'Gübre oranlar'!AX$3</f>
        <v>0</v>
      </c>
      <c r="AV377">
        <f>'Kullanılan gübre'!AV377*'Gübre oranlar'!AY$3</f>
        <v>0</v>
      </c>
      <c r="AW377">
        <f t="shared" si="5"/>
        <v>34.24</v>
      </c>
    </row>
    <row r="378" spans="1:49" x14ac:dyDescent="0.25">
      <c r="A378" t="str">
        <f>'Kullanılan gübre'!A378</f>
        <v>YI</v>
      </c>
      <c r="B378" t="str">
        <f>'Kullanılan gübre'!B378</f>
        <v>TOKAT</v>
      </c>
      <c r="C378" t="str">
        <f>'Kullanılan gübre'!C378</f>
        <v>ZILE</v>
      </c>
      <c r="D378">
        <f>'Kullanılan gübre'!D378</f>
        <v>2014</v>
      </c>
      <c r="E378">
        <f>'Kullanılan gübre'!E378*'Gübre oranlar'!H$3</f>
        <v>0</v>
      </c>
      <c r="F378">
        <f>'Kullanılan gübre'!F378*'Gübre oranlar'!I$3</f>
        <v>0</v>
      </c>
      <c r="G378">
        <f>'Kullanılan gübre'!G378*'Gübre oranlar'!J$3</f>
        <v>0</v>
      </c>
      <c r="H378">
        <f>'Kullanılan gübre'!H378*'Gübre oranlar'!K$3</f>
        <v>0</v>
      </c>
      <c r="I378">
        <f>'Kullanılan gübre'!I378*'Gübre oranlar'!L$3</f>
        <v>0</v>
      </c>
      <c r="J378">
        <f>'Kullanılan gübre'!J378*'Gübre oranlar'!M$3</f>
        <v>0</v>
      </c>
      <c r="K378">
        <f>'Kullanılan gübre'!K378*'Gübre oranlar'!N$3</f>
        <v>572.5680000000001</v>
      </c>
      <c r="L378">
        <f>'Kullanılan gübre'!L378*'Gübre oranlar'!O$3</f>
        <v>241.62000000000003</v>
      </c>
      <c r="M378">
        <f>'Kullanılan gübre'!M378*'Gübre oranlar'!P$3</f>
        <v>17.88</v>
      </c>
      <c r="N378">
        <f>'Kullanılan gübre'!N378*'Gübre oranlar'!Q$3</f>
        <v>33.524999999999999</v>
      </c>
      <c r="O378">
        <f>'Kullanılan gübre'!O378*'Gübre oranlar'!R$3</f>
        <v>0</v>
      </c>
      <c r="P378">
        <f>'Kullanılan gübre'!P378*'Gübre oranlar'!S$3</f>
        <v>0</v>
      </c>
      <c r="Q378">
        <f>'Kullanılan gübre'!Q378*'Gübre oranlar'!T$3</f>
        <v>0</v>
      </c>
      <c r="R378">
        <f>'Kullanılan gübre'!R378*'Gübre oranlar'!U$3</f>
        <v>0</v>
      </c>
      <c r="S378">
        <f>'Kullanılan gübre'!S378*'Gübre oranlar'!V$3</f>
        <v>0</v>
      </c>
      <c r="T378">
        <f>'Kullanılan gübre'!T378*'Gübre oranlar'!W$3</f>
        <v>0</v>
      </c>
      <c r="U378">
        <f>'Kullanılan gübre'!U378*'Gübre oranlar'!X$3</f>
        <v>0</v>
      </c>
      <c r="V378">
        <f>'Kullanılan gübre'!V378*'Gübre oranlar'!Y$3</f>
        <v>0</v>
      </c>
      <c r="W378">
        <f>'Kullanılan gübre'!W378*'Gübre oranlar'!Z$3</f>
        <v>0</v>
      </c>
      <c r="X378">
        <f>'Kullanılan gübre'!X378*'Gübre oranlar'!AA$3</f>
        <v>0</v>
      </c>
      <c r="Y378">
        <f>'Kullanılan gübre'!Y378*'Gübre oranlar'!AB$3</f>
        <v>0</v>
      </c>
      <c r="Z378">
        <f>'Kullanılan gübre'!Z378*'Gübre oranlar'!AC$3</f>
        <v>0</v>
      </c>
      <c r="AA378">
        <f>'Kullanılan gübre'!AA378*'Gübre oranlar'!AD$3</f>
        <v>0</v>
      </c>
      <c r="AB378">
        <f>'Kullanılan gübre'!AB378*'Gübre oranlar'!AE$3</f>
        <v>0</v>
      </c>
      <c r="AC378">
        <f>'Kullanılan gübre'!AC378*'Gübre oranlar'!AF$3</f>
        <v>0</v>
      </c>
      <c r="AD378">
        <f>'Kullanılan gübre'!AD378*'Gübre oranlar'!AG$3</f>
        <v>0</v>
      </c>
      <c r="AE378">
        <f>'Kullanılan gübre'!AE378*'Gübre oranlar'!AH$3</f>
        <v>0</v>
      </c>
      <c r="AF378">
        <f>'Kullanılan gübre'!AF378*'Gübre oranlar'!AI$3</f>
        <v>0</v>
      </c>
      <c r="AG378">
        <f>'Kullanılan gübre'!AG378*'Gübre oranlar'!AJ$3</f>
        <v>0</v>
      </c>
      <c r="AH378">
        <f>'Kullanılan gübre'!AH378*'Gübre oranlar'!AK$3</f>
        <v>0</v>
      </c>
      <c r="AI378">
        <f>'Kullanılan gübre'!AI378*'Gübre oranlar'!AL$3</f>
        <v>0</v>
      </c>
      <c r="AJ378">
        <f>'Kullanılan gübre'!AJ378*'Gübre oranlar'!AM$3</f>
        <v>0</v>
      </c>
      <c r="AK378">
        <f>'Kullanılan gübre'!AK378*'Gübre oranlar'!AN$3</f>
        <v>0</v>
      </c>
      <c r="AL378">
        <f>'Kullanılan gübre'!AL378*'Gübre oranlar'!AO$3</f>
        <v>0</v>
      </c>
      <c r="AM378">
        <f>'Kullanılan gübre'!AM378*'Gübre oranlar'!AP$3</f>
        <v>0</v>
      </c>
      <c r="AN378">
        <f>'Kullanılan gübre'!AN378*'Gübre oranlar'!AQ$3</f>
        <v>0</v>
      </c>
      <c r="AO378">
        <f>'Kullanılan gübre'!AO378*'Gübre oranlar'!AR$3</f>
        <v>0</v>
      </c>
      <c r="AP378">
        <f>'Kullanılan gübre'!AP378*'Gübre oranlar'!AS$3</f>
        <v>0</v>
      </c>
      <c r="AQ378">
        <f>'Kullanılan gübre'!AQ378*'Gübre oranlar'!AT$3</f>
        <v>0</v>
      </c>
      <c r="AR378">
        <f>'Kullanılan gübre'!AR378*'Gübre oranlar'!AU$3</f>
        <v>0</v>
      </c>
      <c r="AS378">
        <f>'Kullanılan gübre'!AS378*'Gübre oranlar'!AV$3</f>
        <v>0</v>
      </c>
      <c r="AT378">
        <f>'Kullanılan gübre'!AT378*'Gübre oranlar'!AW$3</f>
        <v>0</v>
      </c>
      <c r="AU378">
        <f>'Kullanılan gübre'!AU378*'Gübre oranlar'!AX$3</f>
        <v>0</v>
      </c>
      <c r="AV378">
        <f>'Kullanılan gübre'!AV378*'Gübre oranlar'!AY$3</f>
        <v>0</v>
      </c>
      <c r="AW378">
        <f t="shared" si="5"/>
        <v>865.59300000000007</v>
      </c>
    </row>
    <row r="379" spans="1:49" x14ac:dyDescent="0.25">
      <c r="A379" t="str">
        <f>'Kullanılan gübre'!A379</f>
        <v>YI</v>
      </c>
      <c r="B379" t="str">
        <f>'Kullanılan gübre'!B379</f>
        <v>TOKAT</v>
      </c>
      <c r="C379" t="str">
        <f>'Kullanılan gübre'!C379</f>
        <v>MERKEZ</v>
      </c>
      <c r="D379">
        <f>'Kullanılan gübre'!D379</f>
        <v>2015</v>
      </c>
      <c r="E379">
        <f>'Kullanılan gübre'!E379*'Gübre oranlar'!H$3</f>
        <v>0</v>
      </c>
      <c r="F379">
        <f>'Kullanılan gübre'!F379*'Gübre oranlar'!I$3</f>
        <v>0</v>
      </c>
      <c r="G379">
        <f>'Kullanılan gübre'!G379*'Gübre oranlar'!J$3</f>
        <v>0</v>
      </c>
      <c r="H379">
        <f>'Kullanılan gübre'!H379*'Gübre oranlar'!K$3</f>
        <v>0</v>
      </c>
      <c r="I379">
        <f>'Kullanılan gübre'!I379*'Gübre oranlar'!L$3</f>
        <v>45.064</v>
      </c>
      <c r="J379">
        <f>'Kullanılan gübre'!J379*'Gübre oranlar'!M$3</f>
        <v>0</v>
      </c>
      <c r="K379">
        <f>'Kullanılan gübre'!K379*'Gübre oranlar'!N$3</f>
        <v>57.410000000000004</v>
      </c>
      <c r="L379">
        <f>'Kullanılan gübre'!L379*'Gübre oranlar'!O$3</f>
        <v>63.06</v>
      </c>
      <c r="M379">
        <f>'Kullanılan gübre'!M379*'Gübre oranlar'!P$3</f>
        <v>14.955</v>
      </c>
      <c r="N379">
        <f>'Kullanılan gübre'!N379*'Gübre oranlar'!Q$3</f>
        <v>51.667499999999997</v>
      </c>
      <c r="O379">
        <f>'Kullanılan gübre'!O379*'Gübre oranlar'!R$3</f>
        <v>0</v>
      </c>
      <c r="P379">
        <f>'Kullanılan gübre'!P379*'Gübre oranlar'!S$3</f>
        <v>0</v>
      </c>
      <c r="Q379">
        <f>'Kullanılan gübre'!Q379*'Gübre oranlar'!T$3</f>
        <v>56.4</v>
      </c>
      <c r="R379">
        <f>'Kullanılan gübre'!R379*'Gübre oranlar'!U$3</f>
        <v>0</v>
      </c>
      <c r="S379">
        <f>'Kullanılan gübre'!S379*'Gübre oranlar'!V$3</f>
        <v>0</v>
      </c>
      <c r="T379">
        <f>'Kullanılan gübre'!T379*'Gübre oranlar'!W$3</f>
        <v>0</v>
      </c>
      <c r="U379">
        <f>'Kullanılan gübre'!U379*'Gübre oranlar'!X$3</f>
        <v>0</v>
      </c>
      <c r="V379">
        <f>'Kullanılan gübre'!V379*'Gübre oranlar'!Y$3</f>
        <v>0</v>
      </c>
      <c r="W379">
        <f>'Kullanılan gübre'!W379*'Gübre oranlar'!Z$3</f>
        <v>0</v>
      </c>
      <c r="X379">
        <f>'Kullanılan gübre'!X379*'Gübre oranlar'!AA$3</f>
        <v>0</v>
      </c>
      <c r="Y379">
        <f>'Kullanılan gübre'!Y379*'Gübre oranlar'!AB$3</f>
        <v>0</v>
      </c>
      <c r="Z379">
        <f>'Kullanılan gübre'!Z379*'Gübre oranlar'!AC$3</f>
        <v>0</v>
      </c>
      <c r="AA379">
        <f>'Kullanılan gübre'!AA379*'Gübre oranlar'!AD$3</f>
        <v>0</v>
      </c>
      <c r="AB379">
        <f>'Kullanılan gübre'!AB379*'Gübre oranlar'!AE$3</f>
        <v>0</v>
      </c>
      <c r="AC379">
        <f>'Kullanılan gübre'!AC379*'Gübre oranlar'!AF$3</f>
        <v>0</v>
      </c>
      <c r="AD379">
        <f>'Kullanılan gübre'!AD379*'Gübre oranlar'!AG$3</f>
        <v>0</v>
      </c>
      <c r="AE379">
        <f>'Kullanılan gübre'!AE379*'Gübre oranlar'!AH$3</f>
        <v>0</v>
      </c>
      <c r="AF379">
        <f>'Kullanılan gübre'!AF379*'Gübre oranlar'!AI$3</f>
        <v>0</v>
      </c>
      <c r="AG379">
        <f>'Kullanılan gübre'!AG379*'Gübre oranlar'!AJ$3</f>
        <v>0</v>
      </c>
      <c r="AH379">
        <f>'Kullanılan gübre'!AH379*'Gübre oranlar'!AK$3</f>
        <v>0</v>
      </c>
      <c r="AI379">
        <f>'Kullanılan gübre'!AI379*'Gübre oranlar'!AL$3</f>
        <v>0</v>
      </c>
      <c r="AJ379">
        <f>'Kullanılan gübre'!AJ379*'Gübre oranlar'!AM$3</f>
        <v>0</v>
      </c>
      <c r="AK379">
        <f>'Kullanılan gübre'!AK379*'Gübre oranlar'!AN$3</f>
        <v>0</v>
      </c>
      <c r="AL379">
        <f>'Kullanılan gübre'!AL379*'Gübre oranlar'!AO$3</f>
        <v>0</v>
      </c>
      <c r="AM379">
        <f>'Kullanılan gübre'!AM379*'Gübre oranlar'!AP$3</f>
        <v>0</v>
      </c>
      <c r="AN379">
        <f>'Kullanılan gübre'!AN379*'Gübre oranlar'!AQ$3</f>
        <v>0</v>
      </c>
      <c r="AO379">
        <f>'Kullanılan gübre'!AO379*'Gübre oranlar'!AR$3</f>
        <v>0</v>
      </c>
      <c r="AP379">
        <f>'Kullanılan gübre'!AP379*'Gübre oranlar'!AS$3</f>
        <v>0</v>
      </c>
      <c r="AQ379">
        <f>'Kullanılan gübre'!AQ379*'Gübre oranlar'!AT$3</f>
        <v>0</v>
      </c>
      <c r="AR379">
        <f>'Kullanılan gübre'!AR379*'Gübre oranlar'!AU$3</f>
        <v>0</v>
      </c>
      <c r="AS379">
        <f>'Kullanılan gübre'!AS379*'Gübre oranlar'!AV$3</f>
        <v>0</v>
      </c>
      <c r="AT379">
        <f>'Kullanılan gübre'!AT379*'Gübre oranlar'!AW$3</f>
        <v>0</v>
      </c>
      <c r="AU379">
        <f>'Kullanılan gübre'!AU379*'Gübre oranlar'!AX$3</f>
        <v>0</v>
      </c>
      <c r="AV379">
        <f>'Kullanılan gübre'!AV379*'Gübre oranlar'!AY$3</f>
        <v>0</v>
      </c>
      <c r="AW379">
        <f t="shared" si="5"/>
        <v>288.55649999999997</v>
      </c>
    </row>
    <row r="380" spans="1:49" x14ac:dyDescent="0.25">
      <c r="A380" t="str">
        <f>'Kullanılan gübre'!A380</f>
        <v>YI</v>
      </c>
      <c r="B380" t="str">
        <f>'Kullanılan gübre'!B380</f>
        <v>TOKAT</v>
      </c>
      <c r="C380" t="str">
        <f>'Kullanılan gübre'!C380</f>
        <v>ALMUS</v>
      </c>
      <c r="D380">
        <f>'Kullanılan gübre'!D380</f>
        <v>2015</v>
      </c>
      <c r="E380">
        <f>'Kullanılan gübre'!E380*'Gübre oranlar'!H$3</f>
        <v>0</v>
      </c>
      <c r="F380">
        <f>'Kullanılan gübre'!F380*'Gübre oranlar'!I$3</f>
        <v>0</v>
      </c>
      <c r="G380">
        <f>'Kullanılan gübre'!G380*'Gübre oranlar'!J$3</f>
        <v>0</v>
      </c>
      <c r="H380">
        <f>'Kullanılan gübre'!H380*'Gübre oranlar'!K$3</f>
        <v>0</v>
      </c>
      <c r="I380">
        <f>'Kullanılan gübre'!I380*'Gübre oranlar'!L$3</f>
        <v>0</v>
      </c>
      <c r="J380">
        <f>'Kullanılan gübre'!J380*'Gübre oranlar'!M$3</f>
        <v>0</v>
      </c>
      <c r="K380">
        <f>'Kullanılan gübre'!K380*'Gübre oranlar'!N$3</f>
        <v>0</v>
      </c>
      <c r="L380">
        <f>'Kullanılan gübre'!L380*'Gübre oranlar'!O$3</f>
        <v>0</v>
      </c>
      <c r="M380">
        <f>'Kullanılan gübre'!M380*'Gübre oranlar'!P$3</f>
        <v>0</v>
      </c>
      <c r="N380">
        <f>'Kullanılan gübre'!N380*'Gübre oranlar'!Q$3</f>
        <v>0</v>
      </c>
      <c r="O380">
        <f>'Kullanılan gübre'!O380*'Gübre oranlar'!R$3</f>
        <v>0</v>
      </c>
      <c r="P380">
        <f>'Kullanılan gübre'!P380*'Gübre oranlar'!S$3</f>
        <v>0</v>
      </c>
      <c r="Q380">
        <f>'Kullanılan gübre'!Q380*'Gübre oranlar'!T$3</f>
        <v>0</v>
      </c>
      <c r="R380">
        <f>'Kullanılan gübre'!R380*'Gübre oranlar'!U$3</f>
        <v>0</v>
      </c>
      <c r="S380">
        <f>'Kullanılan gübre'!S380*'Gübre oranlar'!V$3</f>
        <v>0</v>
      </c>
      <c r="T380">
        <f>'Kullanılan gübre'!T380*'Gübre oranlar'!W$3</f>
        <v>0</v>
      </c>
      <c r="U380">
        <f>'Kullanılan gübre'!U380*'Gübre oranlar'!X$3</f>
        <v>0</v>
      </c>
      <c r="V380">
        <f>'Kullanılan gübre'!V380*'Gübre oranlar'!Y$3</f>
        <v>0</v>
      </c>
      <c r="W380">
        <f>'Kullanılan gübre'!W380*'Gübre oranlar'!Z$3</f>
        <v>0</v>
      </c>
      <c r="X380">
        <f>'Kullanılan gübre'!X380*'Gübre oranlar'!AA$3</f>
        <v>0</v>
      </c>
      <c r="Y380">
        <f>'Kullanılan gübre'!Y380*'Gübre oranlar'!AB$3</f>
        <v>0</v>
      </c>
      <c r="Z380">
        <f>'Kullanılan gübre'!Z380*'Gübre oranlar'!AC$3</f>
        <v>0</v>
      </c>
      <c r="AA380">
        <f>'Kullanılan gübre'!AA380*'Gübre oranlar'!AD$3</f>
        <v>0</v>
      </c>
      <c r="AB380">
        <f>'Kullanılan gübre'!AB380*'Gübre oranlar'!AE$3</f>
        <v>0</v>
      </c>
      <c r="AC380">
        <f>'Kullanılan gübre'!AC380*'Gübre oranlar'!AF$3</f>
        <v>0</v>
      </c>
      <c r="AD380">
        <f>'Kullanılan gübre'!AD380*'Gübre oranlar'!AG$3</f>
        <v>0</v>
      </c>
      <c r="AE380">
        <f>'Kullanılan gübre'!AE380*'Gübre oranlar'!AH$3</f>
        <v>0</v>
      </c>
      <c r="AF380">
        <f>'Kullanılan gübre'!AF380*'Gübre oranlar'!AI$3</f>
        <v>0</v>
      </c>
      <c r="AG380">
        <f>'Kullanılan gübre'!AG380*'Gübre oranlar'!AJ$3</f>
        <v>0</v>
      </c>
      <c r="AH380">
        <f>'Kullanılan gübre'!AH380*'Gübre oranlar'!AK$3</f>
        <v>0</v>
      </c>
      <c r="AI380">
        <f>'Kullanılan gübre'!AI380*'Gübre oranlar'!AL$3</f>
        <v>0</v>
      </c>
      <c r="AJ380">
        <f>'Kullanılan gübre'!AJ380*'Gübre oranlar'!AM$3</f>
        <v>0</v>
      </c>
      <c r="AK380">
        <f>'Kullanılan gübre'!AK380*'Gübre oranlar'!AN$3</f>
        <v>0</v>
      </c>
      <c r="AL380">
        <f>'Kullanılan gübre'!AL380*'Gübre oranlar'!AO$3</f>
        <v>0</v>
      </c>
      <c r="AM380">
        <f>'Kullanılan gübre'!AM380*'Gübre oranlar'!AP$3</f>
        <v>0</v>
      </c>
      <c r="AN380">
        <f>'Kullanılan gübre'!AN380*'Gübre oranlar'!AQ$3</f>
        <v>0</v>
      </c>
      <c r="AO380">
        <f>'Kullanılan gübre'!AO380*'Gübre oranlar'!AR$3</f>
        <v>0</v>
      </c>
      <c r="AP380">
        <f>'Kullanılan gübre'!AP380*'Gübre oranlar'!AS$3</f>
        <v>0</v>
      </c>
      <c r="AQ380">
        <f>'Kullanılan gübre'!AQ380*'Gübre oranlar'!AT$3</f>
        <v>0</v>
      </c>
      <c r="AR380">
        <f>'Kullanılan gübre'!AR380*'Gübre oranlar'!AU$3</f>
        <v>0</v>
      </c>
      <c r="AS380">
        <f>'Kullanılan gübre'!AS380*'Gübre oranlar'!AV$3</f>
        <v>0</v>
      </c>
      <c r="AT380">
        <f>'Kullanılan gübre'!AT380*'Gübre oranlar'!AW$3</f>
        <v>0</v>
      </c>
      <c r="AU380">
        <f>'Kullanılan gübre'!AU380*'Gübre oranlar'!AX$3</f>
        <v>0</v>
      </c>
      <c r="AV380">
        <f>'Kullanılan gübre'!AV380*'Gübre oranlar'!AY$3</f>
        <v>0</v>
      </c>
      <c r="AW380">
        <f t="shared" si="5"/>
        <v>0</v>
      </c>
    </row>
    <row r="381" spans="1:49" x14ac:dyDescent="0.25">
      <c r="A381" t="str">
        <f>'Kullanılan gübre'!A381</f>
        <v>YI</v>
      </c>
      <c r="B381" t="str">
        <f>'Kullanılan gübre'!B381</f>
        <v>TOKAT</v>
      </c>
      <c r="C381" t="str">
        <f>'Kullanılan gübre'!C381</f>
        <v>ARTOVA</v>
      </c>
      <c r="D381">
        <f>'Kullanılan gübre'!D381</f>
        <v>2015</v>
      </c>
      <c r="E381">
        <f>'Kullanılan gübre'!E381*'Gübre oranlar'!H$3</f>
        <v>0</v>
      </c>
      <c r="F381">
        <f>'Kullanılan gübre'!F381*'Gübre oranlar'!I$3</f>
        <v>0</v>
      </c>
      <c r="G381">
        <f>'Kullanılan gübre'!G381*'Gübre oranlar'!J$3</f>
        <v>0</v>
      </c>
      <c r="H381">
        <f>'Kullanılan gübre'!H381*'Gübre oranlar'!K$3</f>
        <v>0</v>
      </c>
      <c r="I381">
        <f>'Kullanılan gübre'!I381*'Gübre oranlar'!L$3</f>
        <v>0</v>
      </c>
      <c r="J381">
        <f>'Kullanılan gübre'!J381*'Gübre oranlar'!M$3</f>
        <v>0</v>
      </c>
      <c r="K381">
        <f>'Kullanılan gübre'!K381*'Gübre oranlar'!N$3</f>
        <v>14.780000000000001</v>
      </c>
      <c r="L381">
        <f>'Kullanılan gübre'!L381*'Gübre oranlar'!O$3</f>
        <v>5.49</v>
      </c>
      <c r="M381">
        <f>'Kullanılan gübre'!M381*'Gübre oranlar'!P$3</f>
        <v>1.3125</v>
      </c>
      <c r="N381">
        <f>'Kullanılan gübre'!N381*'Gübre oranlar'!Q$3</f>
        <v>0</v>
      </c>
      <c r="O381">
        <f>'Kullanılan gübre'!O381*'Gübre oranlar'!R$3</f>
        <v>0</v>
      </c>
      <c r="P381">
        <f>'Kullanılan gübre'!P381*'Gübre oranlar'!S$3</f>
        <v>0</v>
      </c>
      <c r="Q381">
        <f>'Kullanılan gübre'!Q381*'Gübre oranlar'!T$3</f>
        <v>0</v>
      </c>
      <c r="R381">
        <f>'Kullanılan gübre'!R381*'Gübre oranlar'!U$3</f>
        <v>0</v>
      </c>
      <c r="S381">
        <f>'Kullanılan gübre'!S381*'Gübre oranlar'!V$3</f>
        <v>0</v>
      </c>
      <c r="T381">
        <f>'Kullanılan gübre'!T381*'Gübre oranlar'!W$3</f>
        <v>0</v>
      </c>
      <c r="U381">
        <f>'Kullanılan gübre'!U381*'Gübre oranlar'!X$3</f>
        <v>0</v>
      </c>
      <c r="V381">
        <f>'Kullanılan gübre'!V381*'Gübre oranlar'!Y$3</f>
        <v>0</v>
      </c>
      <c r="W381">
        <f>'Kullanılan gübre'!W381*'Gübre oranlar'!Z$3</f>
        <v>0</v>
      </c>
      <c r="X381">
        <f>'Kullanılan gübre'!X381*'Gübre oranlar'!AA$3</f>
        <v>0</v>
      </c>
      <c r="Y381">
        <f>'Kullanılan gübre'!Y381*'Gübre oranlar'!AB$3</f>
        <v>0</v>
      </c>
      <c r="Z381">
        <f>'Kullanılan gübre'!Z381*'Gübre oranlar'!AC$3</f>
        <v>0</v>
      </c>
      <c r="AA381">
        <f>'Kullanılan gübre'!AA381*'Gübre oranlar'!AD$3</f>
        <v>0</v>
      </c>
      <c r="AB381">
        <f>'Kullanılan gübre'!AB381*'Gübre oranlar'!AE$3</f>
        <v>0</v>
      </c>
      <c r="AC381">
        <f>'Kullanılan gübre'!AC381*'Gübre oranlar'!AF$3</f>
        <v>0</v>
      </c>
      <c r="AD381">
        <f>'Kullanılan gübre'!AD381*'Gübre oranlar'!AG$3</f>
        <v>0</v>
      </c>
      <c r="AE381">
        <f>'Kullanılan gübre'!AE381*'Gübre oranlar'!AH$3</f>
        <v>0</v>
      </c>
      <c r="AF381">
        <f>'Kullanılan gübre'!AF381*'Gübre oranlar'!AI$3</f>
        <v>0</v>
      </c>
      <c r="AG381">
        <f>'Kullanılan gübre'!AG381*'Gübre oranlar'!AJ$3</f>
        <v>0</v>
      </c>
      <c r="AH381">
        <f>'Kullanılan gübre'!AH381*'Gübre oranlar'!AK$3</f>
        <v>0</v>
      </c>
      <c r="AI381">
        <f>'Kullanılan gübre'!AI381*'Gübre oranlar'!AL$3</f>
        <v>0</v>
      </c>
      <c r="AJ381">
        <f>'Kullanılan gübre'!AJ381*'Gübre oranlar'!AM$3</f>
        <v>0</v>
      </c>
      <c r="AK381">
        <f>'Kullanılan gübre'!AK381*'Gübre oranlar'!AN$3</f>
        <v>0</v>
      </c>
      <c r="AL381">
        <f>'Kullanılan gübre'!AL381*'Gübre oranlar'!AO$3</f>
        <v>0</v>
      </c>
      <c r="AM381">
        <f>'Kullanılan gübre'!AM381*'Gübre oranlar'!AP$3</f>
        <v>0</v>
      </c>
      <c r="AN381">
        <f>'Kullanılan gübre'!AN381*'Gübre oranlar'!AQ$3</f>
        <v>0</v>
      </c>
      <c r="AO381">
        <f>'Kullanılan gübre'!AO381*'Gübre oranlar'!AR$3</f>
        <v>0</v>
      </c>
      <c r="AP381">
        <f>'Kullanılan gübre'!AP381*'Gübre oranlar'!AS$3</f>
        <v>0</v>
      </c>
      <c r="AQ381">
        <f>'Kullanılan gübre'!AQ381*'Gübre oranlar'!AT$3</f>
        <v>0</v>
      </c>
      <c r="AR381">
        <f>'Kullanılan gübre'!AR381*'Gübre oranlar'!AU$3</f>
        <v>0</v>
      </c>
      <c r="AS381">
        <f>'Kullanılan gübre'!AS381*'Gübre oranlar'!AV$3</f>
        <v>0</v>
      </c>
      <c r="AT381">
        <f>'Kullanılan gübre'!AT381*'Gübre oranlar'!AW$3</f>
        <v>0</v>
      </c>
      <c r="AU381">
        <f>'Kullanılan gübre'!AU381*'Gübre oranlar'!AX$3</f>
        <v>0</v>
      </c>
      <c r="AV381">
        <f>'Kullanılan gübre'!AV381*'Gübre oranlar'!AY$3</f>
        <v>0</v>
      </c>
      <c r="AW381">
        <f t="shared" si="5"/>
        <v>21.582500000000003</v>
      </c>
    </row>
    <row r="382" spans="1:49" x14ac:dyDescent="0.25">
      <c r="A382" t="str">
        <f>'Kullanılan gübre'!A382</f>
        <v>YI</v>
      </c>
      <c r="B382" t="str">
        <f>'Kullanılan gübre'!B382</f>
        <v>TOKAT</v>
      </c>
      <c r="C382" t="str">
        <f>'Kullanılan gübre'!C382</f>
        <v>BASCIFTLIK</v>
      </c>
      <c r="D382">
        <f>'Kullanılan gübre'!D382</f>
        <v>2015</v>
      </c>
      <c r="E382">
        <f>'Kullanılan gübre'!E382*'Gübre oranlar'!H$3</f>
        <v>0</v>
      </c>
      <c r="F382">
        <f>'Kullanılan gübre'!F382*'Gübre oranlar'!I$3</f>
        <v>0</v>
      </c>
      <c r="G382">
        <f>'Kullanılan gübre'!G382*'Gübre oranlar'!J$3</f>
        <v>0</v>
      </c>
      <c r="H382">
        <f>'Kullanılan gübre'!H382*'Gübre oranlar'!K$3</f>
        <v>0</v>
      </c>
      <c r="I382">
        <f>'Kullanılan gübre'!I382*'Gübre oranlar'!L$3</f>
        <v>0</v>
      </c>
      <c r="J382">
        <f>'Kullanılan gübre'!J382*'Gübre oranlar'!M$3</f>
        <v>0</v>
      </c>
      <c r="K382">
        <f>'Kullanılan gübre'!K382*'Gübre oranlar'!N$3</f>
        <v>0</v>
      </c>
      <c r="L382">
        <f>'Kullanılan gübre'!L382*'Gübre oranlar'!O$3</f>
        <v>0</v>
      </c>
      <c r="M382">
        <f>'Kullanılan gübre'!M382*'Gübre oranlar'!P$3</f>
        <v>0</v>
      </c>
      <c r="N382">
        <f>'Kullanılan gübre'!N382*'Gübre oranlar'!Q$3</f>
        <v>0</v>
      </c>
      <c r="O382">
        <f>'Kullanılan gübre'!O382*'Gübre oranlar'!R$3</f>
        <v>0</v>
      </c>
      <c r="P382">
        <f>'Kullanılan gübre'!P382*'Gübre oranlar'!S$3</f>
        <v>0</v>
      </c>
      <c r="Q382">
        <f>'Kullanılan gübre'!Q382*'Gübre oranlar'!T$3</f>
        <v>0</v>
      </c>
      <c r="R382">
        <f>'Kullanılan gübre'!R382*'Gübre oranlar'!U$3</f>
        <v>0</v>
      </c>
      <c r="S382">
        <f>'Kullanılan gübre'!S382*'Gübre oranlar'!V$3</f>
        <v>0</v>
      </c>
      <c r="T382">
        <f>'Kullanılan gübre'!T382*'Gübre oranlar'!W$3</f>
        <v>0</v>
      </c>
      <c r="U382">
        <f>'Kullanılan gübre'!U382*'Gübre oranlar'!X$3</f>
        <v>0</v>
      </c>
      <c r="V382">
        <f>'Kullanılan gübre'!V382*'Gübre oranlar'!Y$3</f>
        <v>0</v>
      </c>
      <c r="W382">
        <f>'Kullanılan gübre'!W382*'Gübre oranlar'!Z$3</f>
        <v>0</v>
      </c>
      <c r="X382">
        <f>'Kullanılan gübre'!X382*'Gübre oranlar'!AA$3</f>
        <v>0</v>
      </c>
      <c r="Y382">
        <f>'Kullanılan gübre'!Y382*'Gübre oranlar'!AB$3</f>
        <v>0</v>
      </c>
      <c r="Z382">
        <f>'Kullanılan gübre'!Z382*'Gübre oranlar'!AC$3</f>
        <v>0</v>
      </c>
      <c r="AA382">
        <f>'Kullanılan gübre'!AA382*'Gübre oranlar'!AD$3</f>
        <v>0</v>
      </c>
      <c r="AB382">
        <f>'Kullanılan gübre'!AB382*'Gübre oranlar'!AE$3</f>
        <v>0</v>
      </c>
      <c r="AC382">
        <f>'Kullanılan gübre'!AC382*'Gübre oranlar'!AF$3</f>
        <v>0</v>
      </c>
      <c r="AD382">
        <f>'Kullanılan gübre'!AD382*'Gübre oranlar'!AG$3</f>
        <v>0</v>
      </c>
      <c r="AE382">
        <f>'Kullanılan gübre'!AE382*'Gübre oranlar'!AH$3</f>
        <v>0</v>
      </c>
      <c r="AF382">
        <f>'Kullanılan gübre'!AF382*'Gübre oranlar'!AI$3</f>
        <v>0</v>
      </c>
      <c r="AG382">
        <f>'Kullanılan gübre'!AG382*'Gübre oranlar'!AJ$3</f>
        <v>0</v>
      </c>
      <c r="AH382">
        <f>'Kullanılan gübre'!AH382*'Gübre oranlar'!AK$3</f>
        <v>0</v>
      </c>
      <c r="AI382">
        <f>'Kullanılan gübre'!AI382*'Gübre oranlar'!AL$3</f>
        <v>0</v>
      </c>
      <c r="AJ382">
        <f>'Kullanılan gübre'!AJ382*'Gübre oranlar'!AM$3</f>
        <v>0</v>
      </c>
      <c r="AK382">
        <f>'Kullanılan gübre'!AK382*'Gübre oranlar'!AN$3</f>
        <v>0</v>
      </c>
      <c r="AL382">
        <f>'Kullanılan gübre'!AL382*'Gübre oranlar'!AO$3</f>
        <v>0</v>
      </c>
      <c r="AM382">
        <f>'Kullanılan gübre'!AM382*'Gübre oranlar'!AP$3</f>
        <v>0</v>
      </c>
      <c r="AN382">
        <f>'Kullanılan gübre'!AN382*'Gübre oranlar'!AQ$3</f>
        <v>0</v>
      </c>
      <c r="AO382">
        <f>'Kullanılan gübre'!AO382*'Gübre oranlar'!AR$3</f>
        <v>0</v>
      </c>
      <c r="AP382">
        <f>'Kullanılan gübre'!AP382*'Gübre oranlar'!AS$3</f>
        <v>0</v>
      </c>
      <c r="AQ382">
        <f>'Kullanılan gübre'!AQ382*'Gübre oranlar'!AT$3</f>
        <v>0</v>
      </c>
      <c r="AR382">
        <f>'Kullanılan gübre'!AR382*'Gübre oranlar'!AU$3</f>
        <v>0</v>
      </c>
      <c r="AS382">
        <f>'Kullanılan gübre'!AS382*'Gübre oranlar'!AV$3</f>
        <v>0</v>
      </c>
      <c r="AT382">
        <f>'Kullanılan gübre'!AT382*'Gübre oranlar'!AW$3</f>
        <v>0</v>
      </c>
      <c r="AU382">
        <f>'Kullanılan gübre'!AU382*'Gübre oranlar'!AX$3</f>
        <v>0</v>
      </c>
      <c r="AV382">
        <f>'Kullanılan gübre'!AV382*'Gübre oranlar'!AY$3</f>
        <v>0</v>
      </c>
      <c r="AW382">
        <f t="shared" si="5"/>
        <v>0</v>
      </c>
    </row>
    <row r="383" spans="1:49" x14ac:dyDescent="0.25">
      <c r="A383" t="str">
        <f>'Kullanılan gübre'!A383</f>
        <v>YI</v>
      </c>
      <c r="B383" t="str">
        <f>'Kullanılan gübre'!B383</f>
        <v>TOKAT</v>
      </c>
      <c r="C383" t="str">
        <f>'Kullanılan gübre'!C383</f>
        <v>ERBAA</v>
      </c>
      <c r="D383">
        <f>'Kullanılan gübre'!D383</f>
        <v>2015</v>
      </c>
      <c r="E383">
        <f>'Kullanılan gübre'!E383*'Gübre oranlar'!H$3</f>
        <v>0</v>
      </c>
      <c r="F383">
        <f>'Kullanılan gübre'!F383*'Gübre oranlar'!I$3</f>
        <v>0</v>
      </c>
      <c r="G383">
        <f>'Kullanılan gübre'!G383*'Gübre oranlar'!J$3</f>
        <v>0</v>
      </c>
      <c r="H383">
        <f>'Kullanılan gübre'!H383*'Gübre oranlar'!K$3</f>
        <v>0</v>
      </c>
      <c r="I383">
        <f>'Kullanılan gübre'!I383*'Gübre oranlar'!L$3</f>
        <v>0</v>
      </c>
      <c r="J383">
        <f>'Kullanılan gübre'!J383*'Gübre oranlar'!M$3</f>
        <v>0</v>
      </c>
      <c r="K383">
        <f>'Kullanılan gübre'!K383*'Gübre oranlar'!N$3</f>
        <v>99.62</v>
      </c>
      <c r="L383">
        <f>'Kullanılan gübre'!L383*'Gübre oranlar'!O$3</f>
        <v>23.57</v>
      </c>
      <c r="M383">
        <f>'Kullanılan gübre'!M383*'Gübre oranlar'!P$3</f>
        <v>42.322499999999998</v>
      </c>
      <c r="N383">
        <f>'Kullanılan gübre'!N383*'Gübre oranlar'!Q$3</f>
        <v>50.265000000000001</v>
      </c>
      <c r="O383">
        <f>'Kullanılan gübre'!O383*'Gübre oranlar'!R$3</f>
        <v>0</v>
      </c>
      <c r="P383">
        <f>'Kullanılan gübre'!P383*'Gübre oranlar'!S$3</f>
        <v>0</v>
      </c>
      <c r="Q383">
        <f>'Kullanılan gübre'!Q383*'Gübre oranlar'!T$3</f>
        <v>0</v>
      </c>
      <c r="R383">
        <f>'Kullanılan gübre'!R383*'Gübre oranlar'!U$3</f>
        <v>0</v>
      </c>
      <c r="S383">
        <f>'Kullanılan gübre'!S383*'Gübre oranlar'!V$3</f>
        <v>0</v>
      </c>
      <c r="T383">
        <f>'Kullanılan gübre'!T383*'Gübre oranlar'!W$3</f>
        <v>0</v>
      </c>
      <c r="U383">
        <f>'Kullanılan gübre'!U383*'Gübre oranlar'!X$3</f>
        <v>0</v>
      </c>
      <c r="V383">
        <f>'Kullanılan gübre'!V383*'Gübre oranlar'!Y$3</f>
        <v>0</v>
      </c>
      <c r="W383">
        <f>'Kullanılan gübre'!W383*'Gübre oranlar'!Z$3</f>
        <v>0</v>
      </c>
      <c r="X383">
        <f>'Kullanılan gübre'!X383*'Gübre oranlar'!AA$3</f>
        <v>0</v>
      </c>
      <c r="Y383">
        <f>'Kullanılan gübre'!Y383*'Gübre oranlar'!AB$3</f>
        <v>0</v>
      </c>
      <c r="Z383">
        <f>'Kullanılan gübre'!Z383*'Gübre oranlar'!AC$3</f>
        <v>0</v>
      </c>
      <c r="AA383">
        <f>'Kullanılan gübre'!AA383*'Gübre oranlar'!AD$3</f>
        <v>0</v>
      </c>
      <c r="AB383">
        <f>'Kullanılan gübre'!AB383*'Gübre oranlar'!AE$3</f>
        <v>0</v>
      </c>
      <c r="AC383">
        <f>'Kullanılan gübre'!AC383*'Gübre oranlar'!AF$3</f>
        <v>0</v>
      </c>
      <c r="AD383">
        <f>'Kullanılan gübre'!AD383*'Gübre oranlar'!AG$3</f>
        <v>0</v>
      </c>
      <c r="AE383">
        <f>'Kullanılan gübre'!AE383*'Gübre oranlar'!AH$3</f>
        <v>0</v>
      </c>
      <c r="AF383">
        <f>'Kullanılan gübre'!AF383*'Gübre oranlar'!AI$3</f>
        <v>0</v>
      </c>
      <c r="AG383">
        <f>'Kullanılan gübre'!AG383*'Gübre oranlar'!AJ$3</f>
        <v>0</v>
      </c>
      <c r="AH383">
        <f>'Kullanılan gübre'!AH383*'Gübre oranlar'!AK$3</f>
        <v>0</v>
      </c>
      <c r="AI383">
        <f>'Kullanılan gübre'!AI383*'Gübre oranlar'!AL$3</f>
        <v>0</v>
      </c>
      <c r="AJ383">
        <f>'Kullanılan gübre'!AJ383*'Gübre oranlar'!AM$3</f>
        <v>0</v>
      </c>
      <c r="AK383">
        <f>'Kullanılan gübre'!AK383*'Gübre oranlar'!AN$3</f>
        <v>0</v>
      </c>
      <c r="AL383">
        <f>'Kullanılan gübre'!AL383*'Gübre oranlar'!AO$3</f>
        <v>0</v>
      </c>
      <c r="AM383">
        <f>'Kullanılan gübre'!AM383*'Gübre oranlar'!AP$3</f>
        <v>0</v>
      </c>
      <c r="AN383">
        <f>'Kullanılan gübre'!AN383*'Gübre oranlar'!AQ$3</f>
        <v>0</v>
      </c>
      <c r="AO383">
        <f>'Kullanılan gübre'!AO383*'Gübre oranlar'!AR$3</f>
        <v>0</v>
      </c>
      <c r="AP383">
        <f>'Kullanılan gübre'!AP383*'Gübre oranlar'!AS$3</f>
        <v>0</v>
      </c>
      <c r="AQ383">
        <f>'Kullanılan gübre'!AQ383*'Gübre oranlar'!AT$3</f>
        <v>0</v>
      </c>
      <c r="AR383">
        <f>'Kullanılan gübre'!AR383*'Gübre oranlar'!AU$3</f>
        <v>0</v>
      </c>
      <c r="AS383">
        <f>'Kullanılan gübre'!AS383*'Gübre oranlar'!AV$3</f>
        <v>0</v>
      </c>
      <c r="AT383">
        <f>'Kullanılan gübre'!AT383*'Gübre oranlar'!AW$3</f>
        <v>0</v>
      </c>
      <c r="AU383">
        <f>'Kullanılan gübre'!AU383*'Gübre oranlar'!AX$3</f>
        <v>0</v>
      </c>
      <c r="AV383">
        <f>'Kullanılan gübre'!AV383*'Gübre oranlar'!AY$3</f>
        <v>0</v>
      </c>
      <c r="AW383">
        <f t="shared" si="5"/>
        <v>215.77749999999997</v>
      </c>
    </row>
    <row r="384" spans="1:49" x14ac:dyDescent="0.25">
      <c r="A384" t="str">
        <f>'Kullanılan gübre'!A384</f>
        <v>YI</v>
      </c>
      <c r="B384" t="str">
        <f>'Kullanılan gübre'!B384</f>
        <v>TOKAT</v>
      </c>
      <c r="C384" t="str">
        <f>'Kullanılan gübre'!C384</f>
        <v>NIKSAR</v>
      </c>
      <c r="D384">
        <f>'Kullanılan gübre'!D384</f>
        <v>2015</v>
      </c>
      <c r="E384">
        <f>'Kullanılan gübre'!E384*'Gübre oranlar'!H$3</f>
        <v>0</v>
      </c>
      <c r="F384">
        <f>'Kullanılan gübre'!F384*'Gübre oranlar'!I$3</f>
        <v>0</v>
      </c>
      <c r="G384">
        <f>'Kullanılan gübre'!G384*'Gübre oranlar'!J$3</f>
        <v>0</v>
      </c>
      <c r="H384">
        <f>'Kullanılan gübre'!H384*'Gübre oranlar'!K$3</f>
        <v>0</v>
      </c>
      <c r="I384">
        <f>'Kullanılan gübre'!I384*'Gübre oranlar'!L$3</f>
        <v>0</v>
      </c>
      <c r="J384">
        <f>'Kullanılan gübre'!J384*'Gübre oranlar'!M$3</f>
        <v>0</v>
      </c>
      <c r="K384">
        <f>'Kullanılan gübre'!K384*'Gübre oranlar'!N$3</f>
        <v>27.92</v>
      </c>
      <c r="L384">
        <f>'Kullanılan gübre'!L384*'Gübre oranlar'!O$3</f>
        <v>48.82</v>
      </c>
      <c r="M384">
        <f>'Kullanılan gübre'!M384*'Gübre oranlar'!P$3</f>
        <v>17.3475</v>
      </c>
      <c r="N384">
        <f>'Kullanılan gübre'!N384*'Gübre oranlar'!Q$3</f>
        <v>84.149999999999991</v>
      </c>
      <c r="O384">
        <f>'Kullanılan gübre'!O384*'Gübre oranlar'!R$3</f>
        <v>0</v>
      </c>
      <c r="P384">
        <f>'Kullanılan gübre'!P384*'Gübre oranlar'!S$3</f>
        <v>0</v>
      </c>
      <c r="Q384">
        <f>'Kullanılan gübre'!Q384*'Gübre oranlar'!T$3</f>
        <v>0</v>
      </c>
      <c r="R384">
        <f>'Kullanılan gübre'!R384*'Gübre oranlar'!U$3</f>
        <v>0</v>
      </c>
      <c r="S384">
        <f>'Kullanılan gübre'!S384*'Gübre oranlar'!V$3</f>
        <v>0</v>
      </c>
      <c r="T384">
        <f>'Kullanılan gübre'!T384*'Gübre oranlar'!W$3</f>
        <v>0</v>
      </c>
      <c r="U384">
        <f>'Kullanılan gübre'!U384*'Gübre oranlar'!X$3</f>
        <v>0</v>
      </c>
      <c r="V384">
        <f>'Kullanılan gübre'!V384*'Gübre oranlar'!Y$3</f>
        <v>0</v>
      </c>
      <c r="W384">
        <f>'Kullanılan gübre'!W384*'Gübre oranlar'!Z$3</f>
        <v>0</v>
      </c>
      <c r="X384">
        <f>'Kullanılan gübre'!X384*'Gübre oranlar'!AA$3</f>
        <v>0</v>
      </c>
      <c r="Y384">
        <f>'Kullanılan gübre'!Y384*'Gübre oranlar'!AB$3</f>
        <v>0</v>
      </c>
      <c r="Z384">
        <f>'Kullanılan gübre'!Z384*'Gübre oranlar'!AC$3</f>
        <v>0</v>
      </c>
      <c r="AA384">
        <f>'Kullanılan gübre'!AA384*'Gübre oranlar'!AD$3</f>
        <v>0</v>
      </c>
      <c r="AB384">
        <f>'Kullanılan gübre'!AB384*'Gübre oranlar'!AE$3</f>
        <v>0</v>
      </c>
      <c r="AC384">
        <f>'Kullanılan gübre'!AC384*'Gübre oranlar'!AF$3</f>
        <v>0</v>
      </c>
      <c r="AD384">
        <f>'Kullanılan gübre'!AD384*'Gübre oranlar'!AG$3</f>
        <v>0</v>
      </c>
      <c r="AE384">
        <f>'Kullanılan gübre'!AE384*'Gübre oranlar'!AH$3</f>
        <v>0</v>
      </c>
      <c r="AF384">
        <f>'Kullanılan gübre'!AF384*'Gübre oranlar'!AI$3</f>
        <v>0</v>
      </c>
      <c r="AG384">
        <f>'Kullanılan gübre'!AG384*'Gübre oranlar'!AJ$3</f>
        <v>0</v>
      </c>
      <c r="AH384">
        <f>'Kullanılan gübre'!AH384*'Gübre oranlar'!AK$3</f>
        <v>0</v>
      </c>
      <c r="AI384">
        <f>'Kullanılan gübre'!AI384*'Gübre oranlar'!AL$3</f>
        <v>0</v>
      </c>
      <c r="AJ384">
        <f>'Kullanılan gübre'!AJ384*'Gübre oranlar'!AM$3</f>
        <v>0</v>
      </c>
      <c r="AK384">
        <f>'Kullanılan gübre'!AK384*'Gübre oranlar'!AN$3</f>
        <v>0</v>
      </c>
      <c r="AL384">
        <f>'Kullanılan gübre'!AL384*'Gübre oranlar'!AO$3</f>
        <v>0</v>
      </c>
      <c r="AM384">
        <f>'Kullanılan gübre'!AM384*'Gübre oranlar'!AP$3</f>
        <v>0</v>
      </c>
      <c r="AN384">
        <f>'Kullanılan gübre'!AN384*'Gübre oranlar'!AQ$3</f>
        <v>0</v>
      </c>
      <c r="AO384">
        <f>'Kullanılan gübre'!AO384*'Gübre oranlar'!AR$3</f>
        <v>0</v>
      </c>
      <c r="AP384">
        <f>'Kullanılan gübre'!AP384*'Gübre oranlar'!AS$3</f>
        <v>0</v>
      </c>
      <c r="AQ384">
        <f>'Kullanılan gübre'!AQ384*'Gübre oranlar'!AT$3</f>
        <v>0</v>
      </c>
      <c r="AR384">
        <f>'Kullanılan gübre'!AR384*'Gübre oranlar'!AU$3</f>
        <v>0</v>
      </c>
      <c r="AS384">
        <f>'Kullanılan gübre'!AS384*'Gübre oranlar'!AV$3</f>
        <v>0</v>
      </c>
      <c r="AT384">
        <f>'Kullanılan gübre'!AT384*'Gübre oranlar'!AW$3</f>
        <v>0</v>
      </c>
      <c r="AU384">
        <f>'Kullanılan gübre'!AU384*'Gübre oranlar'!AX$3</f>
        <v>0</v>
      </c>
      <c r="AV384">
        <f>'Kullanılan gübre'!AV384*'Gübre oranlar'!AY$3</f>
        <v>0</v>
      </c>
      <c r="AW384">
        <f t="shared" si="5"/>
        <v>178.23750000000001</v>
      </c>
    </row>
    <row r="385" spans="1:49" x14ac:dyDescent="0.25">
      <c r="A385" t="str">
        <f>'Kullanılan gübre'!A385</f>
        <v>YI</v>
      </c>
      <c r="B385" t="str">
        <f>'Kullanılan gübre'!B385</f>
        <v>TOKAT</v>
      </c>
      <c r="C385" t="str">
        <f>'Kullanılan gübre'!C385</f>
        <v>PAZAR</v>
      </c>
      <c r="D385">
        <f>'Kullanılan gübre'!D385</f>
        <v>2015</v>
      </c>
      <c r="E385">
        <f>'Kullanılan gübre'!E385*'Gübre oranlar'!H$3</f>
        <v>0</v>
      </c>
      <c r="F385">
        <f>'Kullanılan gübre'!F385*'Gübre oranlar'!I$3</f>
        <v>0</v>
      </c>
      <c r="G385">
        <f>'Kullanılan gübre'!G385*'Gübre oranlar'!J$3</f>
        <v>0</v>
      </c>
      <c r="H385">
        <f>'Kullanılan gübre'!H385*'Gübre oranlar'!K$3</f>
        <v>0</v>
      </c>
      <c r="I385">
        <f>'Kullanılan gübre'!I385*'Gübre oranlar'!L$3</f>
        <v>11.631500000000001</v>
      </c>
      <c r="J385">
        <f>'Kullanılan gübre'!J385*'Gübre oranlar'!M$3</f>
        <v>0</v>
      </c>
      <c r="K385">
        <f>'Kullanılan gübre'!K385*'Gübre oranlar'!N$3</f>
        <v>5.5659999999999998</v>
      </c>
      <c r="L385">
        <f>'Kullanılan gübre'!L385*'Gübre oranlar'!O$3</f>
        <v>24.82</v>
      </c>
      <c r="M385">
        <f>'Kullanılan gübre'!M385*'Gübre oranlar'!P$3</f>
        <v>2.6999999999999997</v>
      </c>
      <c r="N385">
        <f>'Kullanılan gübre'!N385*'Gübre oranlar'!Q$3</f>
        <v>13.057499999999999</v>
      </c>
      <c r="O385">
        <f>'Kullanılan gübre'!O385*'Gübre oranlar'!R$3</f>
        <v>0</v>
      </c>
      <c r="P385">
        <f>'Kullanılan gübre'!P385*'Gübre oranlar'!S$3</f>
        <v>0</v>
      </c>
      <c r="Q385">
        <f>'Kullanılan gübre'!Q385*'Gübre oranlar'!T$3</f>
        <v>0</v>
      </c>
      <c r="R385">
        <f>'Kullanılan gübre'!R385*'Gübre oranlar'!U$3</f>
        <v>0</v>
      </c>
      <c r="S385">
        <f>'Kullanılan gübre'!S385*'Gübre oranlar'!V$3</f>
        <v>0</v>
      </c>
      <c r="T385">
        <f>'Kullanılan gübre'!T385*'Gübre oranlar'!W$3</f>
        <v>0</v>
      </c>
      <c r="U385">
        <f>'Kullanılan gübre'!U385*'Gübre oranlar'!X$3</f>
        <v>0</v>
      </c>
      <c r="V385">
        <f>'Kullanılan gübre'!V385*'Gübre oranlar'!Y$3</f>
        <v>0</v>
      </c>
      <c r="W385">
        <f>'Kullanılan gübre'!W385*'Gübre oranlar'!Z$3</f>
        <v>0</v>
      </c>
      <c r="X385">
        <f>'Kullanılan gübre'!X385*'Gübre oranlar'!AA$3</f>
        <v>0</v>
      </c>
      <c r="Y385">
        <f>'Kullanılan gübre'!Y385*'Gübre oranlar'!AB$3</f>
        <v>0</v>
      </c>
      <c r="Z385">
        <f>'Kullanılan gübre'!Z385*'Gübre oranlar'!AC$3</f>
        <v>0</v>
      </c>
      <c r="AA385">
        <f>'Kullanılan gübre'!AA385*'Gübre oranlar'!AD$3</f>
        <v>0</v>
      </c>
      <c r="AB385">
        <f>'Kullanılan gübre'!AB385*'Gübre oranlar'!AE$3</f>
        <v>0</v>
      </c>
      <c r="AC385">
        <f>'Kullanılan gübre'!AC385*'Gübre oranlar'!AF$3</f>
        <v>0</v>
      </c>
      <c r="AD385">
        <f>'Kullanılan gübre'!AD385*'Gübre oranlar'!AG$3</f>
        <v>0</v>
      </c>
      <c r="AE385">
        <f>'Kullanılan gübre'!AE385*'Gübre oranlar'!AH$3</f>
        <v>0</v>
      </c>
      <c r="AF385">
        <f>'Kullanılan gübre'!AF385*'Gübre oranlar'!AI$3</f>
        <v>0</v>
      </c>
      <c r="AG385">
        <f>'Kullanılan gübre'!AG385*'Gübre oranlar'!AJ$3</f>
        <v>0</v>
      </c>
      <c r="AH385">
        <f>'Kullanılan gübre'!AH385*'Gübre oranlar'!AK$3</f>
        <v>0</v>
      </c>
      <c r="AI385">
        <f>'Kullanılan gübre'!AI385*'Gübre oranlar'!AL$3</f>
        <v>0</v>
      </c>
      <c r="AJ385">
        <f>'Kullanılan gübre'!AJ385*'Gübre oranlar'!AM$3</f>
        <v>0</v>
      </c>
      <c r="AK385">
        <f>'Kullanılan gübre'!AK385*'Gübre oranlar'!AN$3</f>
        <v>0</v>
      </c>
      <c r="AL385">
        <f>'Kullanılan gübre'!AL385*'Gübre oranlar'!AO$3</f>
        <v>0</v>
      </c>
      <c r="AM385">
        <f>'Kullanılan gübre'!AM385*'Gübre oranlar'!AP$3</f>
        <v>0</v>
      </c>
      <c r="AN385">
        <f>'Kullanılan gübre'!AN385*'Gübre oranlar'!AQ$3</f>
        <v>0</v>
      </c>
      <c r="AO385">
        <f>'Kullanılan gübre'!AO385*'Gübre oranlar'!AR$3</f>
        <v>0</v>
      </c>
      <c r="AP385">
        <f>'Kullanılan gübre'!AP385*'Gübre oranlar'!AS$3</f>
        <v>0</v>
      </c>
      <c r="AQ385">
        <f>'Kullanılan gübre'!AQ385*'Gübre oranlar'!AT$3</f>
        <v>0</v>
      </c>
      <c r="AR385">
        <f>'Kullanılan gübre'!AR385*'Gübre oranlar'!AU$3</f>
        <v>0</v>
      </c>
      <c r="AS385">
        <f>'Kullanılan gübre'!AS385*'Gübre oranlar'!AV$3</f>
        <v>0</v>
      </c>
      <c r="AT385">
        <f>'Kullanılan gübre'!AT385*'Gübre oranlar'!AW$3</f>
        <v>0</v>
      </c>
      <c r="AU385">
        <f>'Kullanılan gübre'!AU385*'Gübre oranlar'!AX$3</f>
        <v>0</v>
      </c>
      <c r="AV385">
        <f>'Kullanılan gübre'!AV385*'Gübre oranlar'!AY$3</f>
        <v>0</v>
      </c>
      <c r="AW385">
        <f t="shared" si="5"/>
        <v>57.774999999999999</v>
      </c>
    </row>
    <row r="386" spans="1:49" x14ac:dyDescent="0.25">
      <c r="A386" t="str">
        <f>'Kullanılan gübre'!A386</f>
        <v>YI</v>
      </c>
      <c r="B386" t="str">
        <f>'Kullanılan gübre'!B386</f>
        <v>TOKAT</v>
      </c>
      <c r="C386" t="str">
        <f>'Kullanılan gübre'!C386</f>
        <v>RESADIYE</v>
      </c>
      <c r="D386">
        <f>'Kullanılan gübre'!D386</f>
        <v>2015</v>
      </c>
      <c r="E386">
        <f>'Kullanılan gübre'!E386*'Gübre oranlar'!H$3</f>
        <v>0</v>
      </c>
      <c r="F386">
        <f>'Kullanılan gübre'!F386*'Gübre oranlar'!I$3</f>
        <v>0</v>
      </c>
      <c r="G386">
        <f>'Kullanılan gübre'!G386*'Gübre oranlar'!J$3</f>
        <v>0</v>
      </c>
      <c r="H386">
        <f>'Kullanılan gübre'!H386*'Gübre oranlar'!K$3</f>
        <v>0</v>
      </c>
      <c r="I386">
        <f>'Kullanılan gübre'!I386*'Gübre oranlar'!L$3</f>
        <v>0</v>
      </c>
      <c r="J386">
        <f>'Kullanılan gübre'!J386*'Gübre oranlar'!M$3</f>
        <v>0</v>
      </c>
      <c r="K386">
        <f>'Kullanılan gübre'!K386*'Gübre oranlar'!N$3</f>
        <v>2</v>
      </c>
      <c r="L386">
        <f>'Kullanılan gübre'!L386*'Gübre oranlar'!O$3</f>
        <v>0</v>
      </c>
      <c r="M386">
        <f>'Kullanılan gübre'!M386*'Gübre oranlar'!P$3</f>
        <v>0</v>
      </c>
      <c r="N386">
        <f>'Kullanılan gübre'!N386*'Gübre oranlar'!Q$3</f>
        <v>0</v>
      </c>
      <c r="O386">
        <f>'Kullanılan gübre'!O386*'Gübre oranlar'!R$3</f>
        <v>0</v>
      </c>
      <c r="P386">
        <f>'Kullanılan gübre'!P386*'Gübre oranlar'!S$3</f>
        <v>0</v>
      </c>
      <c r="Q386">
        <f>'Kullanılan gübre'!Q386*'Gübre oranlar'!T$3</f>
        <v>0</v>
      </c>
      <c r="R386">
        <f>'Kullanılan gübre'!R386*'Gübre oranlar'!U$3</f>
        <v>0</v>
      </c>
      <c r="S386">
        <f>'Kullanılan gübre'!S386*'Gübre oranlar'!V$3</f>
        <v>0</v>
      </c>
      <c r="T386">
        <f>'Kullanılan gübre'!T386*'Gübre oranlar'!W$3</f>
        <v>0</v>
      </c>
      <c r="U386">
        <f>'Kullanılan gübre'!U386*'Gübre oranlar'!X$3</f>
        <v>0</v>
      </c>
      <c r="V386">
        <f>'Kullanılan gübre'!V386*'Gübre oranlar'!Y$3</f>
        <v>0</v>
      </c>
      <c r="W386">
        <f>'Kullanılan gübre'!W386*'Gübre oranlar'!Z$3</f>
        <v>0</v>
      </c>
      <c r="X386">
        <f>'Kullanılan gübre'!X386*'Gübre oranlar'!AA$3</f>
        <v>0</v>
      </c>
      <c r="Y386">
        <f>'Kullanılan gübre'!Y386*'Gübre oranlar'!AB$3</f>
        <v>0</v>
      </c>
      <c r="Z386">
        <f>'Kullanılan gübre'!Z386*'Gübre oranlar'!AC$3</f>
        <v>0</v>
      </c>
      <c r="AA386">
        <f>'Kullanılan gübre'!AA386*'Gübre oranlar'!AD$3</f>
        <v>0</v>
      </c>
      <c r="AB386">
        <f>'Kullanılan gübre'!AB386*'Gübre oranlar'!AE$3</f>
        <v>0</v>
      </c>
      <c r="AC386">
        <f>'Kullanılan gübre'!AC386*'Gübre oranlar'!AF$3</f>
        <v>0</v>
      </c>
      <c r="AD386">
        <f>'Kullanılan gübre'!AD386*'Gübre oranlar'!AG$3</f>
        <v>0</v>
      </c>
      <c r="AE386">
        <f>'Kullanılan gübre'!AE386*'Gübre oranlar'!AH$3</f>
        <v>0</v>
      </c>
      <c r="AF386">
        <f>'Kullanılan gübre'!AF386*'Gübre oranlar'!AI$3</f>
        <v>0</v>
      </c>
      <c r="AG386">
        <f>'Kullanılan gübre'!AG386*'Gübre oranlar'!AJ$3</f>
        <v>0</v>
      </c>
      <c r="AH386">
        <f>'Kullanılan gübre'!AH386*'Gübre oranlar'!AK$3</f>
        <v>0</v>
      </c>
      <c r="AI386">
        <f>'Kullanılan gübre'!AI386*'Gübre oranlar'!AL$3</f>
        <v>0</v>
      </c>
      <c r="AJ386">
        <f>'Kullanılan gübre'!AJ386*'Gübre oranlar'!AM$3</f>
        <v>0</v>
      </c>
      <c r="AK386">
        <f>'Kullanılan gübre'!AK386*'Gübre oranlar'!AN$3</f>
        <v>0</v>
      </c>
      <c r="AL386">
        <f>'Kullanılan gübre'!AL386*'Gübre oranlar'!AO$3</f>
        <v>0</v>
      </c>
      <c r="AM386">
        <f>'Kullanılan gübre'!AM386*'Gübre oranlar'!AP$3</f>
        <v>0</v>
      </c>
      <c r="AN386">
        <f>'Kullanılan gübre'!AN386*'Gübre oranlar'!AQ$3</f>
        <v>0</v>
      </c>
      <c r="AO386">
        <f>'Kullanılan gübre'!AO386*'Gübre oranlar'!AR$3</f>
        <v>0</v>
      </c>
      <c r="AP386">
        <f>'Kullanılan gübre'!AP386*'Gübre oranlar'!AS$3</f>
        <v>0</v>
      </c>
      <c r="AQ386">
        <f>'Kullanılan gübre'!AQ386*'Gübre oranlar'!AT$3</f>
        <v>0</v>
      </c>
      <c r="AR386">
        <f>'Kullanılan gübre'!AR386*'Gübre oranlar'!AU$3</f>
        <v>0</v>
      </c>
      <c r="AS386">
        <f>'Kullanılan gübre'!AS386*'Gübre oranlar'!AV$3</f>
        <v>0</v>
      </c>
      <c r="AT386">
        <f>'Kullanılan gübre'!AT386*'Gübre oranlar'!AW$3</f>
        <v>0</v>
      </c>
      <c r="AU386">
        <f>'Kullanılan gübre'!AU386*'Gübre oranlar'!AX$3</f>
        <v>0</v>
      </c>
      <c r="AV386">
        <f>'Kullanılan gübre'!AV386*'Gübre oranlar'!AY$3</f>
        <v>0</v>
      </c>
      <c r="AW386">
        <f t="shared" si="5"/>
        <v>2</v>
      </c>
    </row>
    <row r="387" spans="1:49" x14ac:dyDescent="0.25">
      <c r="A387" t="str">
        <f>'Kullanılan gübre'!A387</f>
        <v>YI</v>
      </c>
      <c r="B387" t="str">
        <f>'Kullanılan gübre'!B387</f>
        <v>TOKAT</v>
      </c>
      <c r="C387" t="str">
        <f>'Kullanılan gübre'!C387</f>
        <v>SULUSARAY</v>
      </c>
      <c r="D387">
        <f>'Kullanılan gübre'!D387</f>
        <v>2015</v>
      </c>
      <c r="E387">
        <f>'Kullanılan gübre'!E387*'Gübre oranlar'!H$3</f>
        <v>0</v>
      </c>
      <c r="F387">
        <f>'Kullanılan gübre'!F387*'Gübre oranlar'!I$3</f>
        <v>0</v>
      </c>
      <c r="G387">
        <f>'Kullanılan gübre'!G387*'Gübre oranlar'!J$3</f>
        <v>0</v>
      </c>
      <c r="H387">
        <f>'Kullanılan gübre'!H387*'Gübre oranlar'!K$3</f>
        <v>0</v>
      </c>
      <c r="I387">
        <f>'Kullanılan gübre'!I387*'Gübre oranlar'!L$3</f>
        <v>0</v>
      </c>
      <c r="J387">
        <f>'Kullanılan gübre'!J387*'Gübre oranlar'!M$3</f>
        <v>0</v>
      </c>
      <c r="K387">
        <f>'Kullanılan gübre'!K387*'Gübre oranlar'!N$3</f>
        <v>13.822000000000001</v>
      </c>
      <c r="L387">
        <f>'Kullanılan gübre'!L387*'Gübre oranlar'!O$3</f>
        <v>26.05</v>
      </c>
      <c r="M387">
        <f>'Kullanılan gübre'!M387*'Gübre oranlar'!P$3</f>
        <v>0</v>
      </c>
      <c r="N387">
        <f>'Kullanılan gübre'!N387*'Gübre oranlar'!Q$3</f>
        <v>0</v>
      </c>
      <c r="O387">
        <f>'Kullanılan gübre'!O387*'Gübre oranlar'!R$3</f>
        <v>0</v>
      </c>
      <c r="P387">
        <f>'Kullanılan gübre'!P387*'Gübre oranlar'!S$3</f>
        <v>0</v>
      </c>
      <c r="Q387">
        <f>'Kullanılan gübre'!Q387*'Gübre oranlar'!T$3</f>
        <v>0</v>
      </c>
      <c r="R387">
        <f>'Kullanılan gübre'!R387*'Gübre oranlar'!U$3</f>
        <v>0</v>
      </c>
      <c r="S387">
        <f>'Kullanılan gübre'!S387*'Gübre oranlar'!V$3</f>
        <v>0</v>
      </c>
      <c r="T387">
        <f>'Kullanılan gübre'!T387*'Gübre oranlar'!W$3</f>
        <v>0</v>
      </c>
      <c r="U387">
        <f>'Kullanılan gübre'!U387*'Gübre oranlar'!X$3</f>
        <v>0</v>
      </c>
      <c r="V387">
        <f>'Kullanılan gübre'!V387*'Gübre oranlar'!Y$3</f>
        <v>0</v>
      </c>
      <c r="W387">
        <f>'Kullanılan gübre'!W387*'Gübre oranlar'!Z$3</f>
        <v>0</v>
      </c>
      <c r="X387">
        <f>'Kullanılan gübre'!X387*'Gübre oranlar'!AA$3</f>
        <v>0</v>
      </c>
      <c r="Y387">
        <f>'Kullanılan gübre'!Y387*'Gübre oranlar'!AB$3</f>
        <v>0</v>
      </c>
      <c r="Z387">
        <f>'Kullanılan gübre'!Z387*'Gübre oranlar'!AC$3</f>
        <v>0</v>
      </c>
      <c r="AA387">
        <f>'Kullanılan gübre'!AA387*'Gübre oranlar'!AD$3</f>
        <v>0</v>
      </c>
      <c r="AB387">
        <f>'Kullanılan gübre'!AB387*'Gübre oranlar'!AE$3</f>
        <v>0</v>
      </c>
      <c r="AC387">
        <f>'Kullanılan gübre'!AC387*'Gübre oranlar'!AF$3</f>
        <v>0</v>
      </c>
      <c r="AD387">
        <f>'Kullanılan gübre'!AD387*'Gübre oranlar'!AG$3</f>
        <v>0</v>
      </c>
      <c r="AE387">
        <f>'Kullanılan gübre'!AE387*'Gübre oranlar'!AH$3</f>
        <v>0</v>
      </c>
      <c r="AF387">
        <f>'Kullanılan gübre'!AF387*'Gübre oranlar'!AI$3</f>
        <v>0</v>
      </c>
      <c r="AG387">
        <f>'Kullanılan gübre'!AG387*'Gübre oranlar'!AJ$3</f>
        <v>0</v>
      </c>
      <c r="AH387">
        <f>'Kullanılan gübre'!AH387*'Gübre oranlar'!AK$3</f>
        <v>0</v>
      </c>
      <c r="AI387">
        <f>'Kullanılan gübre'!AI387*'Gübre oranlar'!AL$3</f>
        <v>0</v>
      </c>
      <c r="AJ387">
        <f>'Kullanılan gübre'!AJ387*'Gübre oranlar'!AM$3</f>
        <v>0</v>
      </c>
      <c r="AK387">
        <f>'Kullanılan gübre'!AK387*'Gübre oranlar'!AN$3</f>
        <v>0</v>
      </c>
      <c r="AL387">
        <f>'Kullanılan gübre'!AL387*'Gübre oranlar'!AO$3</f>
        <v>0</v>
      </c>
      <c r="AM387">
        <f>'Kullanılan gübre'!AM387*'Gübre oranlar'!AP$3</f>
        <v>0</v>
      </c>
      <c r="AN387">
        <f>'Kullanılan gübre'!AN387*'Gübre oranlar'!AQ$3</f>
        <v>0</v>
      </c>
      <c r="AO387">
        <f>'Kullanılan gübre'!AO387*'Gübre oranlar'!AR$3</f>
        <v>0</v>
      </c>
      <c r="AP387">
        <f>'Kullanılan gübre'!AP387*'Gübre oranlar'!AS$3</f>
        <v>0</v>
      </c>
      <c r="AQ387">
        <f>'Kullanılan gübre'!AQ387*'Gübre oranlar'!AT$3</f>
        <v>0</v>
      </c>
      <c r="AR387">
        <f>'Kullanılan gübre'!AR387*'Gübre oranlar'!AU$3</f>
        <v>0</v>
      </c>
      <c r="AS387">
        <f>'Kullanılan gübre'!AS387*'Gübre oranlar'!AV$3</f>
        <v>0</v>
      </c>
      <c r="AT387">
        <f>'Kullanılan gübre'!AT387*'Gübre oranlar'!AW$3</f>
        <v>0</v>
      </c>
      <c r="AU387">
        <f>'Kullanılan gübre'!AU387*'Gübre oranlar'!AX$3</f>
        <v>0</v>
      </c>
      <c r="AV387">
        <f>'Kullanılan gübre'!AV387*'Gübre oranlar'!AY$3</f>
        <v>0</v>
      </c>
      <c r="AW387">
        <f t="shared" ref="AW387:AW414" si="6">SUM(E387:AV387)</f>
        <v>39.872</v>
      </c>
    </row>
    <row r="388" spans="1:49" x14ac:dyDescent="0.25">
      <c r="A388" t="str">
        <f>'Kullanılan gübre'!A388</f>
        <v>YI</v>
      </c>
      <c r="B388" t="str">
        <f>'Kullanılan gübre'!B388</f>
        <v>TOKAT</v>
      </c>
      <c r="C388" t="str">
        <f>'Kullanılan gübre'!C388</f>
        <v>TURHAL</v>
      </c>
      <c r="D388">
        <f>'Kullanılan gübre'!D388</f>
        <v>2015</v>
      </c>
      <c r="E388">
        <f>'Kullanılan gübre'!E388*'Gübre oranlar'!H$3</f>
        <v>0</v>
      </c>
      <c r="F388">
        <f>'Kullanılan gübre'!F388*'Gübre oranlar'!I$3</f>
        <v>0</v>
      </c>
      <c r="G388">
        <f>'Kullanılan gübre'!G388*'Gübre oranlar'!J$3</f>
        <v>0</v>
      </c>
      <c r="H388">
        <f>'Kullanılan gübre'!H388*'Gübre oranlar'!K$3</f>
        <v>0</v>
      </c>
      <c r="I388">
        <f>'Kullanılan gübre'!I388*'Gübre oranlar'!L$3</f>
        <v>12.9</v>
      </c>
      <c r="J388">
        <f>'Kullanılan gübre'!J388*'Gübre oranlar'!M$3</f>
        <v>0</v>
      </c>
      <c r="K388">
        <f>'Kullanılan gübre'!K388*'Gübre oranlar'!N$3</f>
        <v>10.01</v>
      </c>
      <c r="L388">
        <f>'Kullanılan gübre'!L388*'Gübre oranlar'!O$3</f>
        <v>77.58</v>
      </c>
      <c r="M388">
        <f>'Kullanılan gübre'!M388*'Gübre oranlar'!P$3</f>
        <v>7.4699999999999989</v>
      </c>
      <c r="N388">
        <f>'Kullanılan gübre'!N388*'Gübre oranlar'!Q$3</f>
        <v>15.87</v>
      </c>
      <c r="O388">
        <f>'Kullanılan gübre'!O388*'Gübre oranlar'!R$3</f>
        <v>0</v>
      </c>
      <c r="P388">
        <f>'Kullanılan gübre'!P388*'Gübre oranlar'!S$3</f>
        <v>0</v>
      </c>
      <c r="Q388">
        <f>'Kullanılan gübre'!Q388*'Gübre oranlar'!T$3</f>
        <v>143.97</v>
      </c>
      <c r="R388">
        <f>'Kullanılan gübre'!R388*'Gübre oranlar'!U$3</f>
        <v>0</v>
      </c>
      <c r="S388">
        <f>'Kullanılan gübre'!S388*'Gübre oranlar'!V$3</f>
        <v>0</v>
      </c>
      <c r="T388">
        <f>'Kullanılan gübre'!T388*'Gübre oranlar'!W$3</f>
        <v>0</v>
      </c>
      <c r="U388">
        <f>'Kullanılan gübre'!U388*'Gübre oranlar'!X$3</f>
        <v>0</v>
      </c>
      <c r="V388">
        <f>'Kullanılan gübre'!V388*'Gübre oranlar'!Y$3</f>
        <v>0</v>
      </c>
      <c r="W388">
        <f>'Kullanılan gübre'!W388*'Gübre oranlar'!Z$3</f>
        <v>0</v>
      </c>
      <c r="X388">
        <f>'Kullanılan gübre'!X388*'Gübre oranlar'!AA$3</f>
        <v>0</v>
      </c>
      <c r="Y388">
        <f>'Kullanılan gübre'!Y388*'Gübre oranlar'!AB$3</f>
        <v>0</v>
      </c>
      <c r="Z388">
        <f>'Kullanılan gübre'!Z388*'Gübre oranlar'!AC$3</f>
        <v>0</v>
      </c>
      <c r="AA388">
        <f>'Kullanılan gübre'!AA388*'Gübre oranlar'!AD$3</f>
        <v>0</v>
      </c>
      <c r="AB388">
        <f>'Kullanılan gübre'!AB388*'Gübre oranlar'!AE$3</f>
        <v>0</v>
      </c>
      <c r="AC388">
        <f>'Kullanılan gübre'!AC388*'Gübre oranlar'!AF$3</f>
        <v>0</v>
      </c>
      <c r="AD388">
        <f>'Kullanılan gübre'!AD388*'Gübre oranlar'!AG$3</f>
        <v>0</v>
      </c>
      <c r="AE388">
        <f>'Kullanılan gübre'!AE388*'Gübre oranlar'!AH$3</f>
        <v>0</v>
      </c>
      <c r="AF388">
        <f>'Kullanılan gübre'!AF388*'Gübre oranlar'!AI$3</f>
        <v>0</v>
      </c>
      <c r="AG388">
        <f>'Kullanılan gübre'!AG388*'Gübre oranlar'!AJ$3</f>
        <v>0</v>
      </c>
      <c r="AH388">
        <f>'Kullanılan gübre'!AH388*'Gübre oranlar'!AK$3</f>
        <v>0</v>
      </c>
      <c r="AI388">
        <f>'Kullanılan gübre'!AI388*'Gübre oranlar'!AL$3</f>
        <v>0</v>
      </c>
      <c r="AJ388">
        <f>'Kullanılan gübre'!AJ388*'Gübre oranlar'!AM$3</f>
        <v>0</v>
      </c>
      <c r="AK388">
        <f>'Kullanılan gübre'!AK388*'Gübre oranlar'!AN$3</f>
        <v>0</v>
      </c>
      <c r="AL388">
        <f>'Kullanılan gübre'!AL388*'Gübre oranlar'!AO$3</f>
        <v>0</v>
      </c>
      <c r="AM388">
        <f>'Kullanılan gübre'!AM388*'Gübre oranlar'!AP$3</f>
        <v>0</v>
      </c>
      <c r="AN388">
        <f>'Kullanılan gübre'!AN388*'Gübre oranlar'!AQ$3</f>
        <v>0</v>
      </c>
      <c r="AO388">
        <f>'Kullanılan gübre'!AO388*'Gübre oranlar'!AR$3</f>
        <v>0</v>
      </c>
      <c r="AP388">
        <f>'Kullanılan gübre'!AP388*'Gübre oranlar'!AS$3</f>
        <v>0</v>
      </c>
      <c r="AQ388">
        <f>'Kullanılan gübre'!AQ388*'Gübre oranlar'!AT$3</f>
        <v>0</v>
      </c>
      <c r="AR388">
        <f>'Kullanılan gübre'!AR388*'Gübre oranlar'!AU$3</f>
        <v>0</v>
      </c>
      <c r="AS388">
        <f>'Kullanılan gübre'!AS388*'Gübre oranlar'!AV$3</f>
        <v>0</v>
      </c>
      <c r="AT388">
        <f>'Kullanılan gübre'!AT388*'Gübre oranlar'!AW$3</f>
        <v>0</v>
      </c>
      <c r="AU388">
        <f>'Kullanılan gübre'!AU388*'Gübre oranlar'!AX$3</f>
        <v>0</v>
      </c>
      <c r="AV388">
        <f>'Kullanılan gübre'!AV388*'Gübre oranlar'!AY$3</f>
        <v>0</v>
      </c>
      <c r="AW388">
        <f t="shared" si="6"/>
        <v>267.8</v>
      </c>
    </row>
    <row r="389" spans="1:49" x14ac:dyDescent="0.25">
      <c r="A389" t="str">
        <f>'Kullanılan gübre'!A389</f>
        <v>YI</v>
      </c>
      <c r="B389" t="str">
        <f>'Kullanılan gübre'!B389</f>
        <v>TOKAT</v>
      </c>
      <c r="C389" t="str">
        <f>'Kullanılan gübre'!C389</f>
        <v>YESILYURT</v>
      </c>
      <c r="D389">
        <f>'Kullanılan gübre'!D389</f>
        <v>2015</v>
      </c>
      <c r="E389">
        <f>'Kullanılan gübre'!E389*'Gübre oranlar'!H$3</f>
        <v>0</v>
      </c>
      <c r="F389">
        <f>'Kullanılan gübre'!F389*'Gübre oranlar'!I$3</f>
        <v>0</v>
      </c>
      <c r="G389">
        <f>'Kullanılan gübre'!G389*'Gübre oranlar'!J$3</f>
        <v>0</v>
      </c>
      <c r="H389">
        <f>'Kullanılan gübre'!H389*'Gübre oranlar'!K$3</f>
        <v>0</v>
      </c>
      <c r="I389">
        <f>'Kullanılan gübre'!I389*'Gübre oranlar'!L$3</f>
        <v>0</v>
      </c>
      <c r="J389">
        <f>'Kullanılan gübre'!J389*'Gübre oranlar'!M$3</f>
        <v>0</v>
      </c>
      <c r="K389">
        <f>'Kullanılan gübre'!K389*'Gübre oranlar'!N$3</f>
        <v>5.41</v>
      </c>
      <c r="L389">
        <f>'Kullanılan gübre'!L389*'Gübre oranlar'!O$3</f>
        <v>31.180000000000003</v>
      </c>
      <c r="M389">
        <f>'Kullanılan gübre'!M389*'Gübre oranlar'!P$3</f>
        <v>1.4924999999999999</v>
      </c>
      <c r="N389">
        <f>'Kullanılan gübre'!N389*'Gübre oranlar'!Q$3</f>
        <v>2.37</v>
      </c>
      <c r="O389">
        <f>'Kullanılan gübre'!O389*'Gübre oranlar'!R$3</f>
        <v>0</v>
      </c>
      <c r="P389">
        <f>'Kullanılan gübre'!P389*'Gübre oranlar'!S$3</f>
        <v>0</v>
      </c>
      <c r="Q389">
        <f>'Kullanılan gübre'!Q389*'Gübre oranlar'!T$3</f>
        <v>0</v>
      </c>
      <c r="R389">
        <f>'Kullanılan gübre'!R389*'Gübre oranlar'!U$3</f>
        <v>0</v>
      </c>
      <c r="S389">
        <f>'Kullanılan gübre'!S389*'Gübre oranlar'!V$3</f>
        <v>0</v>
      </c>
      <c r="T389">
        <f>'Kullanılan gübre'!T389*'Gübre oranlar'!W$3</f>
        <v>0</v>
      </c>
      <c r="U389">
        <f>'Kullanılan gübre'!U389*'Gübre oranlar'!X$3</f>
        <v>0</v>
      </c>
      <c r="V389">
        <f>'Kullanılan gübre'!V389*'Gübre oranlar'!Y$3</f>
        <v>0</v>
      </c>
      <c r="W389">
        <f>'Kullanılan gübre'!W389*'Gübre oranlar'!Z$3</f>
        <v>0</v>
      </c>
      <c r="X389">
        <f>'Kullanılan gübre'!X389*'Gübre oranlar'!AA$3</f>
        <v>0</v>
      </c>
      <c r="Y389">
        <f>'Kullanılan gübre'!Y389*'Gübre oranlar'!AB$3</f>
        <v>0</v>
      </c>
      <c r="Z389">
        <f>'Kullanılan gübre'!Z389*'Gübre oranlar'!AC$3</f>
        <v>0</v>
      </c>
      <c r="AA389">
        <f>'Kullanılan gübre'!AA389*'Gübre oranlar'!AD$3</f>
        <v>0</v>
      </c>
      <c r="AB389">
        <f>'Kullanılan gübre'!AB389*'Gübre oranlar'!AE$3</f>
        <v>0</v>
      </c>
      <c r="AC389">
        <f>'Kullanılan gübre'!AC389*'Gübre oranlar'!AF$3</f>
        <v>0</v>
      </c>
      <c r="AD389">
        <f>'Kullanılan gübre'!AD389*'Gübre oranlar'!AG$3</f>
        <v>0</v>
      </c>
      <c r="AE389">
        <f>'Kullanılan gübre'!AE389*'Gübre oranlar'!AH$3</f>
        <v>0</v>
      </c>
      <c r="AF389">
        <f>'Kullanılan gübre'!AF389*'Gübre oranlar'!AI$3</f>
        <v>0</v>
      </c>
      <c r="AG389">
        <f>'Kullanılan gübre'!AG389*'Gübre oranlar'!AJ$3</f>
        <v>0</v>
      </c>
      <c r="AH389">
        <f>'Kullanılan gübre'!AH389*'Gübre oranlar'!AK$3</f>
        <v>0</v>
      </c>
      <c r="AI389">
        <f>'Kullanılan gübre'!AI389*'Gübre oranlar'!AL$3</f>
        <v>0</v>
      </c>
      <c r="AJ389">
        <f>'Kullanılan gübre'!AJ389*'Gübre oranlar'!AM$3</f>
        <v>0</v>
      </c>
      <c r="AK389">
        <f>'Kullanılan gübre'!AK389*'Gübre oranlar'!AN$3</f>
        <v>0</v>
      </c>
      <c r="AL389">
        <f>'Kullanılan gübre'!AL389*'Gübre oranlar'!AO$3</f>
        <v>0</v>
      </c>
      <c r="AM389">
        <f>'Kullanılan gübre'!AM389*'Gübre oranlar'!AP$3</f>
        <v>0</v>
      </c>
      <c r="AN389">
        <f>'Kullanılan gübre'!AN389*'Gübre oranlar'!AQ$3</f>
        <v>0</v>
      </c>
      <c r="AO389">
        <f>'Kullanılan gübre'!AO389*'Gübre oranlar'!AR$3</f>
        <v>0</v>
      </c>
      <c r="AP389">
        <f>'Kullanılan gübre'!AP389*'Gübre oranlar'!AS$3</f>
        <v>0</v>
      </c>
      <c r="AQ389">
        <f>'Kullanılan gübre'!AQ389*'Gübre oranlar'!AT$3</f>
        <v>0</v>
      </c>
      <c r="AR389">
        <f>'Kullanılan gübre'!AR389*'Gübre oranlar'!AU$3</f>
        <v>0</v>
      </c>
      <c r="AS389">
        <f>'Kullanılan gübre'!AS389*'Gübre oranlar'!AV$3</f>
        <v>0</v>
      </c>
      <c r="AT389">
        <f>'Kullanılan gübre'!AT389*'Gübre oranlar'!AW$3</f>
        <v>0</v>
      </c>
      <c r="AU389">
        <f>'Kullanılan gübre'!AU389*'Gübre oranlar'!AX$3</f>
        <v>0</v>
      </c>
      <c r="AV389">
        <f>'Kullanılan gübre'!AV389*'Gübre oranlar'!AY$3</f>
        <v>0</v>
      </c>
      <c r="AW389">
        <f t="shared" si="6"/>
        <v>40.452500000000001</v>
      </c>
    </row>
    <row r="390" spans="1:49" x14ac:dyDescent="0.25">
      <c r="A390" t="str">
        <f>'Kullanılan gübre'!A390</f>
        <v>YI</v>
      </c>
      <c r="B390" t="str">
        <f>'Kullanılan gübre'!B390</f>
        <v>TOKAT</v>
      </c>
      <c r="C390" t="str">
        <f>'Kullanılan gübre'!C390</f>
        <v>ZILE</v>
      </c>
      <c r="D390">
        <f>'Kullanılan gübre'!D390</f>
        <v>2015</v>
      </c>
      <c r="E390">
        <f>'Kullanılan gübre'!E390*'Gübre oranlar'!H$3</f>
        <v>0</v>
      </c>
      <c r="F390">
        <f>'Kullanılan gübre'!F390*'Gübre oranlar'!I$3</f>
        <v>0</v>
      </c>
      <c r="G390">
        <f>'Kullanılan gübre'!G390*'Gübre oranlar'!J$3</f>
        <v>0</v>
      </c>
      <c r="H390">
        <f>'Kullanılan gübre'!H390*'Gübre oranlar'!K$3</f>
        <v>0</v>
      </c>
      <c r="I390">
        <f>'Kullanılan gübre'!I390*'Gübre oranlar'!L$3</f>
        <v>0</v>
      </c>
      <c r="J390">
        <f>'Kullanılan gübre'!J390*'Gübre oranlar'!M$3</f>
        <v>0</v>
      </c>
      <c r="K390">
        <f>'Kullanılan gübre'!K390*'Gübre oranlar'!N$3</f>
        <v>2026.33</v>
      </c>
      <c r="L390">
        <f>'Kullanılan gübre'!L390*'Gübre oranlar'!O$3</f>
        <v>1020.24</v>
      </c>
      <c r="M390">
        <f>'Kullanılan gübre'!M390*'Gübre oranlar'!P$3</f>
        <v>33.36</v>
      </c>
      <c r="N390">
        <f>'Kullanılan gübre'!N390*'Gübre oranlar'!Q$3</f>
        <v>174.14250000000001</v>
      </c>
      <c r="O390">
        <f>'Kullanılan gübre'!O390*'Gübre oranlar'!R$3</f>
        <v>0</v>
      </c>
      <c r="P390">
        <f>'Kullanılan gübre'!P390*'Gübre oranlar'!S$3</f>
        <v>0</v>
      </c>
      <c r="Q390">
        <f>'Kullanılan gübre'!Q390*'Gübre oranlar'!T$3</f>
        <v>0</v>
      </c>
      <c r="R390">
        <f>'Kullanılan gübre'!R390*'Gübre oranlar'!U$3</f>
        <v>0</v>
      </c>
      <c r="S390">
        <f>'Kullanılan gübre'!S390*'Gübre oranlar'!V$3</f>
        <v>0</v>
      </c>
      <c r="T390">
        <f>'Kullanılan gübre'!T390*'Gübre oranlar'!W$3</f>
        <v>0</v>
      </c>
      <c r="U390">
        <f>'Kullanılan gübre'!U390*'Gübre oranlar'!X$3</f>
        <v>0</v>
      </c>
      <c r="V390">
        <f>'Kullanılan gübre'!V390*'Gübre oranlar'!Y$3</f>
        <v>0</v>
      </c>
      <c r="W390">
        <f>'Kullanılan gübre'!W390*'Gübre oranlar'!Z$3</f>
        <v>0</v>
      </c>
      <c r="X390">
        <f>'Kullanılan gübre'!X390*'Gübre oranlar'!AA$3</f>
        <v>0</v>
      </c>
      <c r="Y390">
        <f>'Kullanılan gübre'!Y390*'Gübre oranlar'!AB$3</f>
        <v>0</v>
      </c>
      <c r="Z390">
        <f>'Kullanılan gübre'!Z390*'Gübre oranlar'!AC$3</f>
        <v>0</v>
      </c>
      <c r="AA390">
        <f>'Kullanılan gübre'!AA390*'Gübre oranlar'!AD$3</f>
        <v>0</v>
      </c>
      <c r="AB390">
        <f>'Kullanılan gübre'!AB390*'Gübre oranlar'!AE$3</f>
        <v>0</v>
      </c>
      <c r="AC390">
        <f>'Kullanılan gübre'!AC390*'Gübre oranlar'!AF$3</f>
        <v>0</v>
      </c>
      <c r="AD390">
        <f>'Kullanılan gübre'!AD390*'Gübre oranlar'!AG$3</f>
        <v>0</v>
      </c>
      <c r="AE390">
        <f>'Kullanılan gübre'!AE390*'Gübre oranlar'!AH$3</f>
        <v>0</v>
      </c>
      <c r="AF390">
        <f>'Kullanılan gübre'!AF390*'Gübre oranlar'!AI$3</f>
        <v>0</v>
      </c>
      <c r="AG390">
        <f>'Kullanılan gübre'!AG390*'Gübre oranlar'!AJ$3</f>
        <v>0</v>
      </c>
      <c r="AH390">
        <f>'Kullanılan gübre'!AH390*'Gübre oranlar'!AK$3</f>
        <v>0</v>
      </c>
      <c r="AI390">
        <f>'Kullanılan gübre'!AI390*'Gübre oranlar'!AL$3</f>
        <v>0</v>
      </c>
      <c r="AJ390">
        <f>'Kullanılan gübre'!AJ390*'Gübre oranlar'!AM$3</f>
        <v>0</v>
      </c>
      <c r="AK390">
        <f>'Kullanılan gübre'!AK390*'Gübre oranlar'!AN$3</f>
        <v>0</v>
      </c>
      <c r="AL390">
        <f>'Kullanılan gübre'!AL390*'Gübre oranlar'!AO$3</f>
        <v>0</v>
      </c>
      <c r="AM390">
        <f>'Kullanılan gübre'!AM390*'Gübre oranlar'!AP$3</f>
        <v>0</v>
      </c>
      <c r="AN390">
        <f>'Kullanılan gübre'!AN390*'Gübre oranlar'!AQ$3</f>
        <v>0</v>
      </c>
      <c r="AO390">
        <f>'Kullanılan gübre'!AO390*'Gübre oranlar'!AR$3</f>
        <v>0</v>
      </c>
      <c r="AP390">
        <f>'Kullanılan gübre'!AP390*'Gübre oranlar'!AS$3</f>
        <v>0</v>
      </c>
      <c r="AQ390">
        <f>'Kullanılan gübre'!AQ390*'Gübre oranlar'!AT$3</f>
        <v>0</v>
      </c>
      <c r="AR390">
        <f>'Kullanılan gübre'!AR390*'Gübre oranlar'!AU$3</f>
        <v>0</v>
      </c>
      <c r="AS390">
        <f>'Kullanılan gübre'!AS390*'Gübre oranlar'!AV$3</f>
        <v>0</v>
      </c>
      <c r="AT390">
        <f>'Kullanılan gübre'!AT390*'Gübre oranlar'!AW$3</f>
        <v>0</v>
      </c>
      <c r="AU390">
        <f>'Kullanılan gübre'!AU390*'Gübre oranlar'!AX$3</f>
        <v>0</v>
      </c>
      <c r="AV390">
        <f>'Kullanılan gübre'!AV390*'Gübre oranlar'!AY$3</f>
        <v>0</v>
      </c>
      <c r="AW390">
        <f t="shared" si="6"/>
        <v>3254.0724999999998</v>
      </c>
    </row>
    <row r="391" spans="1:49" x14ac:dyDescent="0.25">
      <c r="A391" t="str">
        <f>'Kullanılan gübre'!A391</f>
        <v>YI</v>
      </c>
      <c r="B391" t="str">
        <f>'Kullanılan gübre'!B391</f>
        <v>TOKAT</v>
      </c>
      <c r="C391" t="str">
        <f>'Kullanılan gübre'!C391</f>
        <v>MERKEZ</v>
      </c>
      <c r="D391">
        <f>'Kullanılan gübre'!D391</f>
        <v>2016</v>
      </c>
      <c r="E391">
        <f>'Kullanılan gübre'!E391*'Gübre oranlar'!H$3</f>
        <v>0</v>
      </c>
      <c r="F391">
        <f>'Kullanılan gübre'!F391*'Gübre oranlar'!I$3</f>
        <v>0</v>
      </c>
      <c r="G391">
        <f>'Kullanılan gübre'!G391*'Gübre oranlar'!J$3</f>
        <v>0</v>
      </c>
      <c r="H391">
        <f>'Kullanılan gübre'!H391*'Gübre oranlar'!K$3</f>
        <v>0</v>
      </c>
      <c r="I391">
        <f>'Kullanılan gübre'!I391*'Gübre oranlar'!L$3</f>
        <v>43.279499999999999</v>
      </c>
      <c r="J391">
        <f>'Kullanılan gübre'!J391*'Gübre oranlar'!M$3</f>
        <v>0</v>
      </c>
      <c r="K391">
        <f>'Kullanılan gübre'!K391*'Gübre oranlar'!N$3</f>
        <v>44.830000000000005</v>
      </c>
      <c r="L391">
        <f>'Kullanılan gübre'!L391*'Gübre oranlar'!O$3</f>
        <v>81.570000000000007</v>
      </c>
      <c r="M391">
        <f>'Kullanılan gübre'!M391*'Gübre oranlar'!P$3</f>
        <v>14.444999999999999</v>
      </c>
      <c r="N391">
        <f>'Kullanılan gübre'!N391*'Gübre oranlar'!Q$3</f>
        <v>55.62</v>
      </c>
      <c r="O391">
        <f>'Kullanılan gübre'!O391*'Gübre oranlar'!R$3</f>
        <v>0</v>
      </c>
      <c r="P391">
        <f>'Kullanılan gübre'!P391*'Gübre oranlar'!S$3</f>
        <v>0</v>
      </c>
      <c r="Q391">
        <f>'Kullanılan gübre'!Q391*'Gübre oranlar'!T$3</f>
        <v>267.04499999999996</v>
      </c>
      <c r="R391">
        <f>'Kullanılan gübre'!R391*'Gübre oranlar'!U$3</f>
        <v>13.787999999999998</v>
      </c>
      <c r="S391">
        <f>'Kullanılan gübre'!S391*'Gübre oranlar'!V$3</f>
        <v>0</v>
      </c>
      <c r="T391">
        <f>'Kullanılan gübre'!T391*'Gübre oranlar'!W$3</f>
        <v>0</v>
      </c>
      <c r="U391">
        <f>'Kullanılan gübre'!U391*'Gübre oranlar'!X$3</f>
        <v>0</v>
      </c>
      <c r="V391">
        <f>'Kullanılan gübre'!V391*'Gübre oranlar'!Y$3</f>
        <v>0</v>
      </c>
      <c r="W391">
        <f>'Kullanılan gübre'!W391*'Gübre oranlar'!Z$3</f>
        <v>0</v>
      </c>
      <c r="X391">
        <f>'Kullanılan gübre'!X391*'Gübre oranlar'!AA$3</f>
        <v>0</v>
      </c>
      <c r="Y391">
        <f>'Kullanılan gübre'!Y391*'Gübre oranlar'!AB$3</f>
        <v>0</v>
      </c>
      <c r="Z391">
        <f>'Kullanılan gübre'!Z391*'Gübre oranlar'!AC$3</f>
        <v>0</v>
      </c>
      <c r="AA391">
        <f>'Kullanılan gübre'!AA391*'Gübre oranlar'!AD$3</f>
        <v>0</v>
      </c>
      <c r="AB391">
        <f>'Kullanılan gübre'!AB391*'Gübre oranlar'!AE$3</f>
        <v>0</v>
      </c>
      <c r="AC391">
        <f>'Kullanılan gübre'!AC391*'Gübre oranlar'!AF$3</f>
        <v>0</v>
      </c>
      <c r="AD391">
        <f>'Kullanılan gübre'!AD391*'Gübre oranlar'!AG$3</f>
        <v>0</v>
      </c>
      <c r="AE391">
        <f>'Kullanılan gübre'!AE391*'Gübre oranlar'!AH$3</f>
        <v>0</v>
      </c>
      <c r="AF391">
        <f>'Kullanılan gübre'!AF391*'Gübre oranlar'!AI$3</f>
        <v>0</v>
      </c>
      <c r="AG391">
        <f>'Kullanılan gübre'!AG391*'Gübre oranlar'!AJ$3</f>
        <v>0</v>
      </c>
      <c r="AH391">
        <f>'Kullanılan gübre'!AH391*'Gübre oranlar'!AK$3</f>
        <v>0</v>
      </c>
      <c r="AI391">
        <f>'Kullanılan gübre'!AI391*'Gübre oranlar'!AL$3</f>
        <v>0</v>
      </c>
      <c r="AJ391">
        <f>'Kullanılan gübre'!AJ391*'Gübre oranlar'!AM$3</f>
        <v>0</v>
      </c>
      <c r="AK391">
        <f>'Kullanılan gübre'!AK391*'Gübre oranlar'!AN$3</f>
        <v>0</v>
      </c>
      <c r="AL391">
        <f>'Kullanılan gübre'!AL391*'Gübre oranlar'!AO$3</f>
        <v>0</v>
      </c>
      <c r="AM391">
        <f>'Kullanılan gübre'!AM391*'Gübre oranlar'!AP$3</f>
        <v>0</v>
      </c>
      <c r="AN391">
        <f>'Kullanılan gübre'!AN391*'Gübre oranlar'!AQ$3</f>
        <v>0</v>
      </c>
      <c r="AO391">
        <f>'Kullanılan gübre'!AO391*'Gübre oranlar'!AR$3</f>
        <v>0</v>
      </c>
      <c r="AP391">
        <f>'Kullanılan gübre'!AP391*'Gübre oranlar'!AS$3</f>
        <v>0</v>
      </c>
      <c r="AQ391">
        <f>'Kullanılan gübre'!AQ391*'Gübre oranlar'!AT$3</f>
        <v>0</v>
      </c>
      <c r="AR391">
        <f>'Kullanılan gübre'!AR391*'Gübre oranlar'!AU$3</f>
        <v>0</v>
      </c>
      <c r="AS391">
        <f>'Kullanılan gübre'!AS391*'Gübre oranlar'!AV$3</f>
        <v>0</v>
      </c>
      <c r="AT391">
        <f>'Kullanılan gübre'!AT391*'Gübre oranlar'!AW$3</f>
        <v>0</v>
      </c>
      <c r="AU391">
        <f>'Kullanılan gübre'!AU391*'Gübre oranlar'!AX$3</f>
        <v>0</v>
      </c>
      <c r="AV391">
        <f>'Kullanılan gübre'!AV391*'Gübre oranlar'!AY$3</f>
        <v>0</v>
      </c>
      <c r="AW391">
        <f t="shared" si="6"/>
        <v>520.57749999999999</v>
      </c>
    </row>
    <row r="392" spans="1:49" x14ac:dyDescent="0.25">
      <c r="A392" t="str">
        <f>'Kullanılan gübre'!A392</f>
        <v>YI</v>
      </c>
      <c r="B392" t="str">
        <f>'Kullanılan gübre'!B392</f>
        <v>TOKAT</v>
      </c>
      <c r="C392" t="str">
        <f>'Kullanılan gübre'!C392</f>
        <v>ALMUS</v>
      </c>
      <c r="D392">
        <f>'Kullanılan gübre'!D392</f>
        <v>2016</v>
      </c>
      <c r="E392">
        <f>'Kullanılan gübre'!E392*'Gübre oranlar'!H$3</f>
        <v>0</v>
      </c>
      <c r="F392">
        <f>'Kullanılan gübre'!F392*'Gübre oranlar'!I$3</f>
        <v>0</v>
      </c>
      <c r="G392">
        <f>'Kullanılan gübre'!G392*'Gübre oranlar'!J$3</f>
        <v>0</v>
      </c>
      <c r="H392">
        <f>'Kullanılan gübre'!H392*'Gübre oranlar'!K$3</f>
        <v>0</v>
      </c>
      <c r="I392">
        <f>'Kullanılan gübre'!I392*'Gübre oranlar'!L$3</f>
        <v>0</v>
      </c>
      <c r="J392">
        <f>'Kullanılan gübre'!J392*'Gübre oranlar'!M$3</f>
        <v>0</v>
      </c>
      <c r="K392">
        <f>'Kullanılan gübre'!K392*'Gübre oranlar'!N$3</f>
        <v>0</v>
      </c>
      <c r="L392">
        <f>'Kullanılan gübre'!L392*'Gübre oranlar'!O$3</f>
        <v>0</v>
      </c>
      <c r="M392">
        <f>'Kullanılan gübre'!M392*'Gübre oranlar'!P$3</f>
        <v>0</v>
      </c>
      <c r="N392">
        <f>'Kullanılan gübre'!N392*'Gübre oranlar'!Q$3</f>
        <v>0</v>
      </c>
      <c r="O392">
        <f>'Kullanılan gübre'!O392*'Gübre oranlar'!R$3</f>
        <v>0</v>
      </c>
      <c r="P392">
        <f>'Kullanılan gübre'!P392*'Gübre oranlar'!S$3</f>
        <v>0</v>
      </c>
      <c r="Q392">
        <f>'Kullanılan gübre'!Q392*'Gübre oranlar'!T$3</f>
        <v>0</v>
      </c>
      <c r="R392">
        <f>'Kullanılan gübre'!R392*'Gübre oranlar'!U$3</f>
        <v>0.252</v>
      </c>
      <c r="S392">
        <f>'Kullanılan gübre'!S392*'Gübre oranlar'!V$3</f>
        <v>0</v>
      </c>
      <c r="T392">
        <f>'Kullanılan gübre'!T392*'Gübre oranlar'!W$3</f>
        <v>0</v>
      </c>
      <c r="U392">
        <f>'Kullanılan gübre'!U392*'Gübre oranlar'!X$3</f>
        <v>0</v>
      </c>
      <c r="V392">
        <f>'Kullanılan gübre'!V392*'Gübre oranlar'!Y$3</f>
        <v>0</v>
      </c>
      <c r="W392">
        <f>'Kullanılan gübre'!W392*'Gübre oranlar'!Z$3</f>
        <v>0</v>
      </c>
      <c r="X392">
        <f>'Kullanılan gübre'!X392*'Gübre oranlar'!AA$3</f>
        <v>0</v>
      </c>
      <c r="Y392">
        <f>'Kullanılan gübre'!Y392*'Gübre oranlar'!AB$3</f>
        <v>0</v>
      </c>
      <c r="Z392">
        <f>'Kullanılan gübre'!Z392*'Gübre oranlar'!AC$3</f>
        <v>0</v>
      </c>
      <c r="AA392">
        <f>'Kullanılan gübre'!AA392*'Gübre oranlar'!AD$3</f>
        <v>0</v>
      </c>
      <c r="AB392">
        <f>'Kullanılan gübre'!AB392*'Gübre oranlar'!AE$3</f>
        <v>0</v>
      </c>
      <c r="AC392">
        <f>'Kullanılan gübre'!AC392*'Gübre oranlar'!AF$3</f>
        <v>0</v>
      </c>
      <c r="AD392">
        <f>'Kullanılan gübre'!AD392*'Gübre oranlar'!AG$3</f>
        <v>0</v>
      </c>
      <c r="AE392">
        <f>'Kullanılan gübre'!AE392*'Gübre oranlar'!AH$3</f>
        <v>0</v>
      </c>
      <c r="AF392">
        <f>'Kullanılan gübre'!AF392*'Gübre oranlar'!AI$3</f>
        <v>0</v>
      </c>
      <c r="AG392">
        <f>'Kullanılan gübre'!AG392*'Gübre oranlar'!AJ$3</f>
        <v>0</v>
      </c>
      <c r="AH392">
        <f>'Kullanılan gübre'!AH392*'Gübre oranlar'!AK$3</f>
        <v>0</v>
      </c>
      <c r="AI392">
        <f>'Kullanılan gübre'!AI392*'Gübre oranlar'!AL$3</f>
        <v>0</v>
      </c>
      <c r="AJ392">
        <f>'Kullanılan gübre'!AJ392*'Gübre oranlar'!AM$3</f>
        <v>0</v>
      </c>
      <c r="AK392">
        <f>'Kullanılan gübre'!AK392*'Gübre oranlar'!AN$3</f>
        <v>0</v>
      </c>
      <c r="AL392">
        <f>'Kullanılan gübre'!AL392*'Gübre oranlar'!AO$3</f>
        <v>0</v>
      </c>
      <c r="AM392">
        <f>'Kullanılan gübre'!AM392*'Gübre oranlar'!AP$3</f>
        <v>0</v>
      </c>
      <c r="AN392">
        <f>'Kullanılan gübre'!AN392*'Gübre oranlar'!AQ$3</f>
        <v>0</v>
      </c>
      <c r="AO392">
        <f>'Kullanılan gübre'!AO392*'Gübre oranlar'!AR$3</f>
        <v>0</v>
      </c>
      <c r="AP392">
        <f>'Kullanılan gübre'!AP392*'Gübre oranlar'!AS$3</f>
        <v>0</v>
      </c>
      <c r="AQ392">
        <f>'Kullanılan gübre'!AQ392*'Gübre oranlar'!AT$3</f>
        <v>0</v>
      </c>
      <c r="AR392">
        <f>'Kullanılan gübre'!AR392*'Gübre oranlar'!AU$3</f>
        <v>0</v>
      </c>
      <c r="AS392">
        <f>'Kullanılan gübre'!AS392*'Gübre oranlar'!AV$3</f>
        <v>0</v>
      </c>
      <c r="AT392">
        <f>'Kullanılan gübre'!AT392*'Gübre oranlar'!AW$3</f>
        <v>0</v>
      </c>
      <c r="AU392">
        <f>'Kullanılan gübre'!AU392*'Gübre oranlar'!AX$3</f>
        <v>0</v>
      </c>
      <c r="AV392">
        <f>'Kullanılan gübre'!AV392*'Gübre oranlar'!AY$3</f>
        <v>0</v>
      </c>
      <c r="AW392">
        <f t="shared" si="6"/>
        <v>0.252</v>
      </c>
    </row>
    <row r="393" spans="1:49" x14ac:dyDescent="0.25">
      <c r="A393" t="str">
        <f>'Kullanılan gübre'!A393</f>
        <v>YI</v>
      </c>
      <c r="B393" t="str">
        <f>'Kullanılan gübre'!B393</f>
        <v>TOKAT</v>
      </c>
      <c r="C393" t="str">
        <f>'Kullanılan gübre'!C393</f>
        <v>ARTOVA</v>
      </c>
      <c r="D393">
        <f>'Kullanılan gübre'!D393</f>
        <v>2016</v>
      </c>
      <c r="E393">
        <f>'Kullanılan gübre'!E393*'Gübre oranlar'!H$3</f>
        <v>0</v>
      </c>
      <c r="F393">
        <f>'Kullanılan gübre'!F393*'Gübre oranlar'!I$3</f>
        <v>0</v>
      </c>
      <c r="G393">
        <f>'Kullanılan gübre'!G393*'Gübre oranlar'!J$3</f>
        <v>0</v>
      </c>
      <c r="H393">
        <f>'Kullanılan gübre'!H393*'Gübre oranlar'!K$3</f>
        <v>0</v>
      </c>
      <c r="I393">
        <f>'Kullanılan gübre'!I393*'Gübre oranlar'!L$3</f>
        <v>0</v>
      </c>
      <c r="J393">
        <f>'Kullanılan gübre'!J393*'Gübre oranlar'!M$3</f>
        <v>0</v>
      </c>
      <c r="K393">
        <f>'Kullanılan gübre'!K393*'Gübre oranlar'!N$3</f>
        <v>1</v>
      </c>
      <c r="L393">
        <f>'Kullanılan gübre'!L393*'Gübre oranlar'!O$3</f>
        <v>16.53</v>
      </c>
      <c r="M393">
        <f>'Kullanılan gübre'!M393*'Gübre oranlar'!P$3</f>
        <v>0</v>
      </c>
      <c r="N393">
        <f>'Kullanılan gübre'!N393*'Gübre oranlar'!Q$3</f>
        <v>0</v>
      </c>
      <c r="O393">
        <f>'Kullanılan gübre'!O393*'Gübre oranlar'!R$3</f>
        <v>0</v>
      </c>
      <c r="P393">
        <f>'Kullanılan gübre'!P393*'Gübre oranlar'!S$3</f>
        <v>0</v>
      </c>
      <c r="Q393">
        <f>'Kullanılan gübre'!Q393*'Gübre oranlar'!T$3</f>
        <v>0</v>
      </c>
      <c r="R393">
        <f>'Kullanılan gübre'!R393*'Gübre oranlar'!U$3</f>
        <v>2.3849999999999998</v>
      </c>
      <c r="S393">
        <f>'Kullanılan gübre'!S393*'Gübre oranlar'!V$3</f>
        <v>0</v>
      </c>
      <c r="T393">
        <f>'Kullanılan gübre'!T393*'Gübre oranlar'!W$3</f>
        <v>0</v>
      </c>
      <c r="U393">
        <f>'Kullanılan gübre'!U393*'Gübre oranlar'!X$3</f>
        <v>0</v>
      </c>
      <c r="V393">
        <f>'Kullanılan gübre'!V393*'Gübre oranlar'!Y$3</f>
        <v>0</v>
      </c>
      <c r="W393">
        <f>'Kullanılan gübre'!W393*'Gübre oranlar'!Z$3</f>
        <v>0</v>
      </c>
      <c r="X393">
        <f>'Kullanılan gübre'!X393*'Gübre oranlar'!AA$3</f>
        <v>0</v>
      </c>
      <c r="Y393">
        <f>'Kullanılan gübre'!Y393*'Gübre oranlar'!AB$3</f>
        <v>0</v>
      </c>
      <c r="Z393">
        <f>'Kullanılan gübre'!Z393*'Gübre oranlar'!AC$3</f>
        <v>0</v>
      </c>
      <c r="AA393">
        <f>'Kullanılan gübre'!AA393*'Gübre oranlar'!AD$3</f>
        <v>0</v>
      </c>
      <c r="AB393">
        <f>'Kullanılan gübre'!AB393*'Gübre oranlar'!AE$3</f>
        <v>0</v>
      </c>
      <c r="AC393">
        <f>'Kullanılan gübre'!AC393*'Gübre oranlar'!AF$3</f>
        <v>0</v>
      </c>
      <c r="AD393">
        <f>'Kullanılan gübre'!AD393*'Gübre oranlar'!AG$3</f>
        <v>0</v>
      </c>
      <c r="AE393">
        <f>'Kullanılan gübre'!AE393*'Gübre oranlar'!AH$3</f>
        <v>0</v>
      </c>
      <c r="AF393">
        <f>'Kullanılan gübre'!AF393*'Gübre oranlar'!AI$3</f>
        <v>0</v>
      </c>
      <c r="AG393">
        <f>'Kullanılan gübre'!AG393*'Gübre oranlar'!AJ$3</f>
        <v>0</v>
      </c>
      <c r="AH393">
        <f>'Kullanılan gübre'!AH393*'Gübre oranlar'!AK$3</f>
        <v>0</v>
      </c>
      <c r="AI393">
        <f>'Kullanılan gübre'!AI393*'Gübre oranlar'!AL$3</f>
        <v>0</v>
      </c>
      <c r="AJ393">
        <f>'Kullanılan gübre'!AJ393*'Gübre oranlar'!AM$3</f>
        <v>0</v>
      </c>
      <c r="AK393">
        <f>'Kullanılan gübre'!AK393*'Gübre oranlar'!AN$3</f>
        <v>0</v>
      </c>
      <c r="AL393">
        <f>'Kullanılan gübre'!AL393*'Gübre oranlar'!AO$3</f>
        <v>0</v>
      </c>
      <c r="AM393">
        <f>'Kullanılan gübre'!AM393*'Gübre oranlar'!AP$3</f>
        <v>0</v>
      </c>
      <c r="AN393">
        <f>'Kullanılan gübre'!AN393*'Gübre oranlar'!AQ$3</f>
        <v>0</v>
      </c>
      <c r="AO393">
        <f>'Kullanılan gübre'!AO393*'Gübre oranlar'!AR$3</f>
        <v>0</v>
      </c>
      <c r="AP393">
        <f>'Kullanılan gübre'!AP393*'Gübre oranlar'!AS$3</f>
        <v>0</v>
      </c>
      <c r="AQ393">
        <f>'Kullanılan gübre'!AQ393*'Gübre oranlar'!AT$3</f>
        <v>0</v>
      </c>
      <c r="AR393">
        <f>'Kullanılan gübre'!AR393*'Gübre oranlar'!AU$3</f>
        <v>0</v>
      </c>
      <c r="AS393">
        <f>'Kullanılan gübre'!AS393*'Gübre oranlar'!AV$3</f>
        <v>0</v>
      </c>
      <c r="AT393">
        <f>'Kullanılan gübre'!AT393*'Gübre oranlar'!AW$3</f>
        <v>0</v>
      </c>
      <c r="AU393">
        <f>'Kullanılan gübre'!AU393*'Gübre oranlar'!AX$3</f>
        <v>0</v>
      </c>
      <c r="AV393">
        <f>'Kullanılan gübre'!AV393*'Gübre oranlar'!AY$3</f>
        <v>0</v>
      </c>
      <c r="AW393">
        <f t="shared" si="6"/>
        <v>19.914999999999999</v>
      </c>
    </row>
    <row r="394" spans="1:49" x14ac:dyDescent="0.25">
      <c r="A394" t="str">
        <f>'Kullanılan gübre'!A394</f>
        <v>YI</v>
      </c>
      <c r="B394" t="str">
        <f>'Kullanılan gübre'!B394</f>
        <v>TOKAT</v>
      </c>
      <c r="C394" t="str">
        <f>'Kullanılan gübre'!C394</f>
        <v>BASCIFTLIK</v>
      </c>
      <c r="D394">
        <f>'Kullanılan gübre'!D394</f>
        <v>2016</v>
      </c>
      <c r="E394">
        <f>'Kullanılan gübre'!E394*'Gübre oranlar'!H$3</f>
        <v>0</v>
      </c>
      <c r="F394">
        <f>'Kullanılan gübre'!F394*'Gübre oranlar'!I$3</f>
        <v>0</v>
      </c>
      <c r="G394">
        <f>'Kullanılan gübre'!G394*'Gübre oranlar'!J$3</f>
        <v>0</v>
      </c>
      <c r="H394">
        <f>'Kullanılan gübre'!H394*'Gübre oranlar'!K$3</f>
        <v>0</v>
      </c>
      <c r="I394">
        <f>'Kullanılan gübre'!I394*'Gübre oranlar'!L$3</f>
        <v>0</v>
      </c>
      <c r="J394">
        <f>'Kullanılan gübre'!J394*'Gübre oranlar'!M$3</f>
        <v>0</v>
      </c>
      <c r="K394">
        <f>'Kullanılan gübre'!K394*'Gübre oranlar'!N$3</f>
        <v>0</v>
      </c>
      <c r="L394">
        <f>'Kullanılan gübre'!L394*'Gübre oranlar'!O$3</f>
        <v>0</v>
      </c>
      <c r="M394">
        <f>'Kullanılan gübre'!M394*'Gübre oranlar'!P$3</f>
        <v>0</v>
      </c>
      <c r="N394">
        <f>'Kullanılan gübre'!N394*'Gübre oranlar'!Q$3</f>
        <v>0</v>
      </c>
      <c r="O394">
        <f>'Kullanılan gübre'!O394*'Gübre oranlar'!R$3</f>
        <v>0</v>
      </c>
      <c r="P394">
        <f>'Kullanılan gübre'!P394*'Gübre oranlar'!S$3</f>
        <v>0</v>
      </c>
      <c r="Q394">
        <f>'Kullanılan gübre'!Q394*'Gübre oranlar'!T$3</f>
        <v>0</v>
      </c>
      <c r="R394">
        <f>'Kullanılan gübre'!R394*'Gübre oranlar'!U$3</f>
        <v>0</v>
      </c>
      <c r="S394">
        <f>'Kullanılan gübre'!S394*'Gübre oranlar'!V$3</f>
        <v>0</v>
      </c>
      <c r="T394">
        <f>'Kullanılan gübre'!T394*'Gübre oranlar'!W$3</f>
        <v>0</v>
      </c>
      <c r="U394">
        <f>'Kullanılan gübre'!U394*'Gübre oranlar'!X$3</f>
        <v>0</v>
      </c>
      <c r="V394">
        <f>'Kullanılan gübre'!V394*'Gübre oranlar'!Y$3</f>
        <v>0</v>
      </c>
      <c r="W394">
        <f>'Kullanılan gübre'!W394*'Gübre oranlar'!Z$3</f>
        <v>0</v>
      </c>
      <c r="X394">
        <f>'Kullanılan gübre'!X394*'Gübre oranlar'!AA$3</f>
        <v>0</v>
      </c>
      <c r="Y394">
        <f>'Kullanılan gübre'!Y394*'Gübre oranlar'!AB$3</f>
        <v>0</v>
      </c>
      <c r="Z394">
        <f>'Kullanılan gübre'!Z394*'Gübre oranlar'!AC$3</f>
        <v>0</v>
      </c>
      <c r="AA394">
        <f>'Kullanılan gübre'!AA394*'Gübre oranlar'!AD$3</f>
        <v>0</v>
      </c>
      <c r="AB394">
        <f>'Kullanılan gübre'!AB394*'Gübre oranlar'!AE$3</f>
        <v>0</v>
      </c>
      <c r="AC394">
        <f>'Kullanılan gübre'!AC394*'Gübre oranlar'!AF$3</f>
        <v>0</v>
      </c>
      <c r="AD394">
        <f>'Kullanılan gübre'!AD394*'Gübre oranlar'!AG$3</f>
        <v>0</v>
      </c>
      <c r="AE394">
        <f>'Kullanılan gübre'!AE394*'Gübre oranlar'!AH$3</f>
        <v>0</v>
      </c>
      <c r="AF394">
        <f>'Kullanılan gübre'!AF394*'Gübre oranlar'!AI$3</f>
        <v>0</v>
      </c>
      <c r="AG394">
        <f>'Kullanılan gübre'!AG394*'Gübre oranlar'!AJ$3</f>
        <v>0</v>
      </c>
      <c r="AH394">
        <f>'Kullanılan gübre'!AH394*'Gübre oranlar'!AK$3</f>
        <v>0</v>
      </c>
      <c r="AI394">
        <f>'Kullanılan gübre'!AI394*'Gübre oranlar'!AL$3</f>
        <v>0</v>
      </c>
      <c r="AJ394">
        <f>'Kullanılan gübre'!AJ394*'Gübre oranlar'!AM$3</f>
        <v>0</v>
      </c>
      <c r="AK394">
        <f>'Kullanılan gübre'!AK394*'Gübre oranlar'!AN$3</f>
        <v>0</v>
      </c>
      <c r="AL394">
        <f>'Kullanılan gübre'!AL394*'Gübre oranlar'!AO$3</f>
        <v>0</v>
      </c>
      <c r="AM394">
        <f>'Kullanılan gübre'!AM394*'Gübre oranlar'!AP$3</f>
        <v>0</v>
      </c>
      <c r="AN394">
        <f>'Kullanılan gübre'!AN394*'Gübre oranlar'!AQ$3</f>
        <v>0</v>
      </c>
      <c r="AO394">
        <f>'Kullanılan gübre'!AO394*'Gübre oranlar'!AR$3</f>
        <v>0</v>
      </c>
      <c r="AP394">
        <f>'Kullanılan gübre'!AP394*'Gübre oranlar'!AS$3</f>
        <v>0</v>
      </c>
      <c r="AQ394">
        <f>'Kullanılan gübre'!AQ394*'Gübre oranlar'!AT$3</f>
        <v>0</v>
      </c>
      <c r="AR394">
        <f>'Kullanılan gübre'!AR394*'Gübre oranlar'!AU$3</f>
        <v>0</v>
      </c>
      <c r="AS394">
        <f>'Kullanılan gübre'!AS394*'Gübre oranlar'!AV$3</f>
        <v>0</v>
      </c>
      <c r="AT394">
        <f>'Kullanılan gübre'!AT394*'Gübre oranlar'!AW$3</f>
        <v>0</v>
      </c>
      <c r="AU394">
        <f>'Kullanılan gübre'!AU394*'Gübre oranlar'!AX$3</f>
        <v>0</v>
      </c>
      <c r="AV394">
        <f>'Kullanılan gübre'!AV394*'Gübre oranlar'!AY$3</f>
        <v>0</v>
      </c>
      <c r="AW394">
        <f t="shared" si="6"/>
        <v>0</v>
      </c>
    </row>
    <row r="395" spans="1:49" x14ac:dyDescent="0.25">
      <c r="A395" t="str">
        <f>'Kullanılan gübre'!A395</f>
        <v>YI</v>
      </c>
      <c r="B395" t="str">
        <f>'Kullanılan gübre'!B395</f>
        <v>TOKAT</v>
      </c>
      <c r="C395" t="str">
        <f>'Kullanılan gübre'!C395</f>
        <v>ERBAA</v>
      </c>
      <c r="D395">
        <f>'Kullanılan gübre'!D395</f>
        <v>2016</v>
      </c>
      <c r="E395">
        <f>'Kullanılan gübre'!E395*'Gübre oranlar'!H$3</f>
        <v>0</v>
      </c>
      <c r="F395">
        <f>'Kullanılan gübre'!F395*'Gübre oranlar'!I$3</f>
        <v>0</v>
      </c>
      <c r="G395">
        <f>'Kullanılan gübre'!G395*'Gübre oranlar'!J$3</f>
        <v>0</v>
      </c>
      <c r="H395">
        <f>'Kullanılan gübre'!H395*'Gübre oranlar'!K$3</f>
        <v>0</v>
      </c>
      <c r="I395">
        <f>'Kullanılan gübre'!I395*'Gübre oranlar'!L$3</f>
        <v>0</v>
      </c>
      <c r="J395">
        <f>'Kullanılan gübre'!J395*'Gübre oranlar'!M$3</f>
        <v>0</v>
      </c>
      <c r="K395">
        <f>'Kullanılan gübre'!K395*'Gübre oranlar'!N$3</f>
        <v>95.610000000000014</v>
      </c>
      <c r="L395">
        <f>'Kullanılan gübre'!L395*'Gübre oranlar'!O$3</f>
        <v>29.552</v>
      </c>
      <c r="M395">
        <f>'Kullanılan gübre'!M395*'Gübre oranlar'!P$3</f>
        <v>69.375</v>
      </c>
      <c r="N395">
        <f>'Kullanılan gübre'!N395*'Gübre oranlar'!Q$3</f>
        <v>65.545500000000004</v>
      </c>
      <c r="O395">
        <f>'Kullanılan gübre'!O395*'Gübre oranlar'!R$3</f>
        <v>0</v>
      </c>
      <c r="P395">
        <f>'Kullanılan gübre'!P395*'Gübre oranlar'!S$3</f>
        <v>0</v>
      </c>
      <c r="Q395">
        <f>'Kullanılan gübre'!Q395*'Gübre oranlar'!T$3</f>
        <v>0</v>
      </c>
      <c r="R395">
        <f>'Kullanılan gübre'!R395*'Gübre oranlar'!U$3</f>
        <v>0</v>
      </c>
      <c r="S395">
        <f>'Kullanılan gübre'!S395*'Gübre oranlar'!V$3</f>
        <v>0</v>
      </c>
      <c r="T395">
        <f>'Kullanılan gübre'!T395*'Gübre oranlar'!W$3</f>
        <v>0</v>
      </c>
      <c r="U395">
        <f>'Kullanılan gübre'!U395*'Gübre oranlar'!X$3</f>
        <v>0</v>
      </c>
      <c r="V395">
        <f>'Kullanılan gübre'!V395*'Gübre oranlar'!Y$3</f>
        <v>0</v>
      </c>
      <c r="W395">
        <f>'Kullanılan gübre'!W395*'Gübre oranlar'!Z$3</f>
        <v>0</v>
      </c>
      <c r="X395">
        <f>'Kullanılan gübre'!X395*'Gübre oranlar'!AA$3</f>
        <v>0</v>
      </c>
      <c r="Y395">
        <f>'Kullanılan gübre'!Y395*'Gübre oranlar'!AB$3</f>
        <v>0</v>
      </c>
      <c r="Z395">
        <f>'Kullanılan gübre'!Z395*'Gübre oranlar'!AC$3</f>
        <v>0</v>
      </c>
      <c r="AA395">
        <f>'Kullanılan gübre'!AA395*'Gübre oranlar'!AD$3</f>
        <v>0</v>
      </c>
      <c r="AB395">
        <f>'Kullanılan gübre'!AB395*'Gübre oranlar'!AE$3</f>
        <v>0</v>
      </c>
      <c r="AC395">
        <f>'Kullanılan gübre'!AC395*'Gübre oranlar'!AF$3</f>
        <v>0</v>
      </c>
      <c r="AD395">
        <f>'Kullanılan gübre'!AD395*'Gübre oranlar'!AG$3</f>
        <v>0</v>
      </c>
      <c r="AE395">
        <f>'Kullanılan gübre'!AE395*'Gübre oranlar'!AH$3</f>
        <v>0</v>
      </c>
      <c r="AF395">
        <f>'Kullanılan gübre'!AF395*'Gübre oranlar'!AI$3</f>
        <v>0</v>
      </c>
      <c r="AG395">
        <f>'Kullanılan gübre'!AG395*'Gübre oranlar'!AJ$3</f>
        <v>0</v>
      </c>
      <c r="AH395">
        <f>'Kullanılan gübre'!AH395*'Gübre oranlar'!AK$3</f>
        <v>0</v>
      </c>
      <c r="AI395">
        <f>'Kullanılan gübre'!AI395*'Gübre oranlar'!AL$3</f>
        <v>0</v>
      </c>
      <c r="AJ395">
        <f>'Kullanılan gübre'!AJ395*'Gübre oranlar'!AM$3</f>
        <v>0</v>
      </c>
      <c r="AK395">
        <f>'Kullanılan gübre'!AK395*'Gübre oranlar'!AN$3</f>
        <v>0</v>
      </c>
      <c r="AL395">
        <f>'Kullanılan gübre'!AL395*'Gübre oranlar'!AO$3</f>
        <v>0</v>
      </c>
      <c r="AM395">
        <f>'Kullanılan gübre'!AM395*'Gübre oranlar'!AP$3</f>
        <v>0</v>
      </c>
      <c r="AN395">
        <f>'Kullanılan gübre'!AN395*'Gübre oranlar'!AQ$3</f>
        <v>0</v>
      </c>
      <c r="AO395">
        <f>'Kullanılan gübre'!AO395*'Gübre oranlar'!AR$3</f>
        <v>0</v>
      </c>
      <c r="AP395">
        <f>'Kullanılan gübre'!AP395*'Gübre oranlar'!AS$3</f>
        <v>0</v>
      </c>
      <c r="AQ395">
        <f>'Kullanılan gübre'!AQ395*'Gübre oranlar'!AT$3</f>
        <v>0</v>
      </c>
      <c r="AR395">
        <f>'Kullanılan gübre'!AR395*'Gübre oranlar'!AU$3</f>
        <v>0</v>
      </c>
      <c r="AS395">
        <f>'Kullanılan gübre'!AS395*'Gübre oranlar'!AV$3</f>
        <v>0</v>
      </c>
      <c r="AT395">
        <f>'Kullanılan gübre'!AT395*'Gübre oranlar'!AW$3</f>
        <v>0</v>
      </c>
      <c r="AU395">
        <f>'Kullanılan gübre'!AU395*'Gübre oranlar'!AX$3</f>
        <v>0</v>
      </c>
      <c r="AV395">
        <f>'Kullanılan gübre'!AV395*'Gübre oranlar'!AY$3</f>
        <v>0</v>
      </c>
      <c r="AW395">
        <f t="shared" si="6"/>
        <v>260.08249999999998</v>
      </c>
    </row>
    <row r="396" spans="1:49" x14ac:dyDescent="0.25">
      <c r="A396" t="str">
        <f>'Kullanılan gübre'!A396</f>
        <v>YI</v>
      </c>
      <c r="B396" t="str">
        <f>'Kullanılan gübre'!B396</f>
        <v>TOKAT</v>
      </c>
      <c r="C396" t="str">
        <f>'Kullanılan gübre'!C396</f>
        <v>NIKSAR</v>
      </c>
      <c r="D396">
        <f>'Kullanılan gübre'!D396</f>
        <v>2016</v>
      </c>
      <c r="E396">
        <f>'Kullanılan gübre'!E396*'Gübre oranlar'!H$3</f>
        <v>0</v>
      </c>
      <c r="F396">
        <f>'Kullanılan gübre'!F396*'Gübre oranlar'!I$3</f>
        <v>0</v>
      </c>
      <c r="G396">
        <f>'Kullanılan gübre'!G396*'Gübre oranlar'!J$3</f>
        <v>0</v>
      </c>
      <c r="H396">
        <f>'Kullanılan gübre'!H396*'Gübre oranlar'!K$3</f>
        <v>0</v>
      </c>
      <c r="I396">
        <f>'Kullanılan gübre'!I396*'Gübre oranlar'!L$3</f>
        <v>0</v>
      </c>
      <c r="J396">
        <f>'Kullanılan gübre'!J396*'Gübre oranlar'!M$3</f>
        <v>0</v>
      </c>
      <c r="K396">
        <f>'Kullanılan gübre'!K396*'Gübre oranlar'!N$3</f>
        <v>32.230000000000004</v>
      </c>
      <c r="L396">
        <f>'Kullanılan gübre'!L396*'Gübre oranlar'!O$3</f>
        <v>58.98</v>
      </c>
      <c r="M396">
        <f>'Kullanılan gübre'!M396*'Gübre oranlar'!P$3</f>
        <v>23.13</v>
      </c>
      <c r="N396">
        <f>'Kullanılan gübre'!N396*'Gübre oranlar'!Q$3</f>
        <v>85.034999999999997</v>
      </c>
      <c r="O396">
        <f>'Kullanılan gübre'!O396*'Gübre oranlar'!R$3</f>
        <v>0</v>
      </c>
      <c r="P396">
        <f>'Kullanılan gübre'!P396*'Gübre oranlar'!S$3</f>
        <v>0</v>
      </c>
      <c r="Q396">
        <f>'Kullanılan gübre'!Q396*'Gübre oranlar'!T$3</f>
        <v>0</v>
      </c>
      <c r="R396">
        <f>'Kullanılan gübre'!R396*'Gübre oranlar'!U$3</f>
        <v>0</v>
      </c>
      <c r="S396">
        <f>'Kullanılan gübre'!S396*'Gübre oranlar'!V$3</f>
        <v>0</v>
      </c>
      <c r="T396">
        <f>'Kullanılan gübre'!T396*'Gübre oranlar'!W$3</f>
        <v>0</v>
      </c>
      <c r="U396">
        <f>'Kullanılan gübre'!U396*'Gübre oranlar'!X$3</f>
        <v>0</v>
      </c>
      <c r="V396">
        <f>'Kullanılan gübre'!V396*'Gübre oranlar'!Y$3</f>
        <v>0</v>
      </c>
      <c r="W396">
        <f>'Kullanılan gübre'!W396*'Gübre oranlar'!Z$3</f>
        <v>0</v>
      </c>
      <c r="X396">
        <f>'Kullanılan gübre'!X396*'Gübre oranlar'!AA$3</f>
        <v>0</v>
      </c>
      <c r="Y396">
        <f>'Kullanılan gübre'!Y396*'Gübre oranlar'!AB$3</f>
        <v>0</v>
      </c>
      <c r="Z396">
        <f>'Kullanılan gübre'!Z396*'Gübre oranlar'!AC$3</f>
        <v>0</v>
      </c>
      <c r="AA396">
        <f>'Kullanılan gübre'!AA396*'Gübre oranlar'!AD$3</f>
        <v>0</v>
      </c>
      <c r="AB396">
        <f>'Kullanılan gübre'!AB396*'Gübre oranlar'!AE$3</f>
        <v>0</v>
      </c>
      <c r="AC396">
        <f>'Kullanılan gübre'!AC396*'Gübre oranlar'!AF$3</f>
        <v>0</v>
      </c>
      <c r="AD396">
        <f>'Kullanılan gübre'!AD396*'Gübre oranlar'!AG$3</f>
        <v>0</v>
      </c>
      <c r="AE396">
        <f>'Kullanılan gübre'!AE396*'Gübre oranlar'!AH$3</f>
        <v>0</v>
      </c>
      <c r="AF396">
        <f>'Kullanılan gübre'!AF396*'Gübre oranlar'!AI$3</f>
        <v>0</v>
      </c>
      <c r="AG396">
        <f>'Kullanılan gübre'!AG396*'Gübre oranlar'!AJ$3</f>
        <v>0</v>
      </c>
      <c r="AH396">
        <f>'Kullanılan gübre'!AH396*'Gübre oranlar'!AK$3</f>
        <v>0</v>
      </c>
      <c r="AI396">
        <f>'Kullanılan gübre'!AI396*'Gübre oranlar'!AL$3</f>
        <v>0</v>
      </c>
      <c r="AJ396">
        <f>'Kullanılan gübre'!AJ396*'Gübre oranlar'!AM$3</f>
        <v>0</v>
      </c>
      <c r="AK396">
        <f>'Kullanılan gübre'!AK396*'Gübre oranlar'!AN$3</f>
        <v>0</v>
      </c>
      <c r="AL396">
        <f>'Kullanılan gübre'!AL396*'Gübre oranlar'!AO$3</f>
        <v>0</v>
      </c>
      <c r="AM396">
        <f>'Kullanılan gübre'!AM396*'Gübre oranlar'!AP$3</f>
        <v>0</v>
      </c>
      <c r="AN396">
        <f>'Kullanılan gübre'!AN396*'Gübre oranlar'!AQ$3</f>
        <v>0</v>
      </c>
      <c r="AO396">
        <f>'Kullanılan gübre'!AO396*'Gübre oranlar'!AR$3</f>
        <v>0</v>
      </c>
      <c r="AP396">
        <f>'Kullanılan gübre'!AP396*'Gübre oranlar'!AS$3</f>
        <v>0</v>
      </c>
      <c r="AQ396">
        <f>'Kullanılan gübre'!AQ396*'Gübre oranlar'!AT$3</f>
        <v>0</v>
      </c>
      <c r="AR396">
        <f>'Kullanılan gübre'!AR396*'Gübre oranlar'!AU$3</f>
        <v>0</v>
      </c>
      <c r="AS396">
        <f>'Kullanılan gübre'!AS396*'Gübre oranlar'!AV$3</f>
        <v>0</v>
      </c>
      <c r="AT396">
        <f>'Kullanılan gübre'!AT396*'Gübre oranlar'!AW$3</f>
        <v>0</v>
      </c>
      <c r="AU396">
        <f>'Kullanılan gübre'!AU396*'Gübre oranlar'!AX$3</f>
        <v>0</v>
      </c>
      <c r="AV396">
        <f>'Kullanılan gübre'!AV396*'Gübre oranlar'!AY$3</f>
        <v>0</v>
      </c>
      <c r="AW396">
        <f t="shared" si="6"/>
        <v>199.375</v>
      </c>
    </row>
    <row r="397" spans="1:49" x14ac:dyDescent="0.25">
      <c r="A397" t="str">
        <f>'Kullanılan gübre'!A397</f>
        <v>YI</v>
      </c>
      <c r="B397" t="str">
        <f>'Kullanılan gübre'!B397</f>
        <v>TOKAT</v>
      </c>
      <c r="C397" t="str">
        <f>'Kullanılan gübre'!C397</f>
        <v>PAZAR</v>
      </c>
      <c r="D397">
        <f>'Kullanılan gübre'!D397</f>
        <v>2016</v>
      </c>
      <c r="E397">
        <f>'Kullanılan gübre'!E397*'Gübre oranlar'!H$3</f>
        <v>0</v>
      </c>
      <c r="F397">
        <f>'Kullanılan gübre'!F397*'Gübre oranlar'!I$3</f>
        <v>0</v>
      </c>
      <c r="G397">
        <f>'Kullanılan gübre'!G397*'Gübre oranlar'!J$3</f>
        <v>0</v>
      </c>
      <c r="H397">
        <f>'Kullanılan gübre'!H397*'Gübre oranlar'!K$3</f>
        <v>0</v>
      </c>
      <c r="I397">
        <f>'Kullanılan gübre'!I397*'Gübre oranlar'!L$3</f>
        <v>13.4375</v>
      </c>
      <c r="J397">
        <f>'Kullanılan gübre'!J397*'Gübre oranlar'!M$3</f>
        <v>0</v>
      </c>
      <c r="K397">
        <f>'Kullanılan gübre'!K397*'Gübre oranlar'!N$3</f>
        <v>4.4799999999999995</v>
      </c>
      <c r="L397">
        <f>'Kullanılan gübre'!L397*'Gübre oranlar'!O$3</f>
        <v>36.230000000000004</v>
      </c>
      <c r="M397">
        <f>'Kullanılan gübre'!M397*'Gübre oranlar'!P$3</f>
        <v>0</v>
      </c>
      <c r="N397">
        <f>'Kullanılan gübre'!N397*'Gübre oranlar'!Q$3</f>
        <v>55.942499999999995</v>
      </c>
      <c r="O397">
        <f>'Kullanılan gübre'!O397*'Gübre oranlar'!R$3</f>
        <v>0</v>
      </c>
      <c r="P397">
        <f>'Kullanılan gübre'!P397*'Gübre oranlar'!S$3</f>
        <v>0</v>
      </c>
      <c r="Q397">
        <f>'Kullanılan gübre'!Q397*'Gübre oranlar'!T$3</f>
        <v>0</v>
      </c>
      <c r="R397">
        <f>'Kullanılan gübre'!R397*'Gübre oranlar'!U$3</f>
        <v>0.621</v>
      </c>
      <c r="S397">
        <f>'Kullanılan gübre'!S397*'Gübre oranlar'!V$3</f>
        <v>0</v>
      </c>
      <c r="T397">
        <f>'Kullanılan gübre'!T397*'Gübre oranlar'!W$3</f>
        <v>0</v>
      </c>
      <c r="U397">
        <f>'Kullanılan gübre'!U397*'Gübre oranlar'!X$3</f>
        <v>0</v>
      </c>
      <c r="V397">
        <f>'Kullanılan gübre'!V397*'Gübre oranlar'!Y$3</f>
        <v>0</v>
      </c>
      <c r="W397">
        <f>'Kullanılan gübre'!W397*'Gübre oranlar'!Z$3</f>
        <v>0</v>
      </c>
      <c r="X397">
        <f>'Kullanılan gübre'!X397*'Gübre oranlar'!AA$3</f>
        <v>0</v>
      </c>
      <c r="Y397">
        <f>'Kullanılan gübre'!Y397*'Gübre oranlar'!AB$3</f>
        <v>0</v>
      </c>
      <c r="Z397">
        <f>'Kullanılan gübre'!Z397*'Gübre oranlar'!AC$3</f>
        <v>0</v>
      </c>
      <c r="AA397">
        <f>'Kullanılan gübre'!AA397*'Gübre oranlar'!AD$3</f>
        <v>0</v>
      </c>
      <c r="AB397">
        <f>'Kullanılan gübre'!AB397*'Gübre oranlar'!AE$3</f>
        <v>0</v>
      </c>
      <c r="AC397">
        <f>'Kullanılan gübre'!AC397*'Gübre oranlar'!AF$3</f>
        <v>0</v>
      </c>
      <c r="AD397">
        <f>'Kullanılan gübre'!AD397*'Gübre oranlar'!AG$3</f>
        <v>0</v>
      </c>
      <c r="AE397">
        <f>'Kullanılan gübre'!AE397*'Gübre oranlar'!AH$3</f>
        <v>0</v>
      </c>
      <c r="AF397">
        <f>'Kullanılan gübre'!AF397*'Gübre oranlar'!AI$3</f>
        <v>0</v>
      </c>
      <c r="AG397">
        <f>'Kullanılan gübre'!AG397*'Gübre oranlar'!AJ$3</f>
        <v>0</v>
      </c>
      <c r="AH397">
        <f>'Kullanılan gübre'!AH397*'Gübre oranlar'!AK$3</f>
        <v>0</v>
      </c>
      <c r="AI397">
        <f>'Kullanılan gübre'!AI397*'Gübre oranlar'!AL$3</f>
        <v>0</v>
      </c>
      <c r="AJ397">
        <f>'Kullanılan gübre'!AJ397*'Gübre oranlar'!AM$3</f>
        <v>0</v>
      </c>
      <c r="AK397">
        <f>'Kullanılan gübre'!AK397*'Gübre oranlar'!AN$3</f>
        <v>0</v>
      </c>
      <c r="AL397">
        <f>'Kullanılan gübre'!AL397*'Gübre oranlar'!AO$3</f>
        <v>0</v>
      </c>
      <c r="AM397">
        <f>'Kullanılan gübre'!AM397*'Gübre oranlar'!AP$3</f>
        <v>0</v>
      </c>
      <c r="AN397">
        <f>'Kullanılan gübre'!AN397*'Gübre oranlar'!AQ$3</f>
        <v>0</v>
      </c>
      <c r="AO397">
        <f>'Kullanılan gübre'!AO397*'Gübre oranlar'!AR$3</f>
        <v>0</v>
      </c>
      <c r="AP397">
        <f>'Kullanılan gübre'!AP397*'Gübre oranlar'!AS$3</f>
        <v>0</v>
      </c>
      <c r="AQ397">
        <f>'Kullanılan gübre'!AQ397*'Gübre oranlar'!AT$3</f>
        <v>0</v>
      </c>
      <c r="AR397">
        <f>'Kullanılan gübre'!AR397*'Gübre oranlar'!AU$3</f>
        <v>0</v>
      </c>
      <c r="AS397">
        <f>'Kullanılan gübre'!AS397*'Gübre oranlar'!AV$3</f>
        <v>0</v>
      </c>
      <c r="AT397">
        <f>'Kullanılan gübre'!AT397*'Gübre oranlar'!AW$3</f>
        <v>0</v>
      </c>
      <c r="AU397">
        <f>'Kullanılan gübre'!AU397*'Gübre oranlar'!AX$3</f>
        <v>0</v>
      </c>
      <c r="AV397">
        <f>'Kullanılan gübre'!AV397*'Gübre oranlar'!AY$3</f>
        <v>0</v>
      </c>
      <c r="AW397">
        <f t="shared" si="6"/>
        <v>110.711</v>
      </c>
    </row>
    <row r="398" spans="1:49" x14ac:dyDescent="0.25">
      <c r="A398" t="str">
        <f>'Kullanılan gübre'!A398</f>
        <v>YI</v>
      </c>
      <c r="B398" t="str">
        <f>'Kullanılan gübre'!B398</f>
        <v>TOKAT</v>
      </c>
      <c r="C398" t="str">
        <f>'Kullanılan gübre'!C398</f>
        <v>RESADIYE</v>
      </c>
      <c r="D398">
        <f>'Kullanılan gübre'!D398</f>
        <v>2016</v>
      </c>
      <c r="E398">
        <f>'Kullanılan gübre'!E398*'Gübre oranlar'!H$3</f>
        <v>0</v>
      </c>
      <c r="F398">
        <f>'Kullanılan gübre'!F398*'Gübre oranlar'!I$3</f>
        <v>0</v>
      </c>
      <c r="G398">
        <f>'Kullanılan gübre'!G398*'Gübre oranlar'!J$3</f>
        <v>0</v>
      </c>
      <c r="H398">
        <f>'Kullanılan gübre'!H398*'Gübre oranlar'!K$3</f>
        <v>0</v>
      </c>
      <c r="I398">
        <f>'Kullanılan gübre'!I398*'Gübre oranlar'!L$3</f>
        <v>0</v>
      </c>
      <c r="J398">
        <f>'Kullanılan gübre'!J398*'Gübre oranlar'!M$3</f>
        <v>0</v>
      </c>
      <c r="K398">
        <f>'Kullanılan gübre'!K398*'Gübre oranlar'!N$3</f>
        <v>1.2000000000000002</v>
      </c>
      <c r="L398">
        <f>'Kullanılan gübre'!L398*'Gübre oranlar'!O$3</f>
        <v>0</v>
      </c>
      <c r="M398">
        <f>'Kullanılan gübre'!M398*'Gübre oranlar'!P$3</f>
        <v>0.375</v>
      </c>
      <c r="N398">
        <f>'Kullanılan gübre'!N398*'Gübre oranlar'!Q$3</f>
        <v>0</v>
      </c>
      <c r="O398">
        <f>'Kullanılan gübre'!O398*'Gübre oranlar'!R$3</f>
        <v>0</v>
      </c>
      <c r="P398">
        <f>'Kullanılan gübre'!P398*'Gübre oranlar'!S$3</f>
        <v>0</v>
      </c>
      <c r="Q398">
        <f>'Kullanılan gübre'!Q398*'Gübre oranlar'!T$3</f>
        <v>0</v>
      </c>
      <c r="R398">
        <f>'Kullanılan gübre'!R398*'Gübre oranlar'!U$3</f>
        <v>0.26100000000000001</v>
      </c>
      <c r="S398">
        <f>'Kullanılan gübre'!S398*'Gübre oranlar'!V$3</f>
        <v>0</v>
      </c>
      <c r="T398">
        <f>'Kullanılan gübre'!T398*'Gübre oranlar'!W$3</f>
        <v>0</v>
      </c>
      <c r="U398">
        <f>'Kullanılan gübre'!U398*'Gübre oranlar'!X$3</f>
        <v>0</v>
      </c>
      <c r="V398">
        <f>'Kullanılan gübre'!V398*'Gübre oranlar'!Y$3</f>
        <v>0</v>
      </c>
      <c r="W398">
        <f>'Kullanılan gübre'!W398*'Gübre oranlar'!Z$3</f>
        <v>0</v>
      </c>
      <c r="X398">
        <f>'Kullanılan gübre'!X398*'Gübre oranlar'!AA$3</f>
        <v>0</v>
      </c>
      <c r="Y398">
        <f>'Kullanılan gübre'!Y398*'Gübre oranlar'!AB$3</f>
        <v>0</v>
      </c>
      <c r="Z398">
        <f>'Kullanılan gübre'!Z398*'Gübre oranlar'!AC$3</f>
        <v>0</v>
      </c>
      <c r="AA398">
        <f>'Kullanılan gübre'!AA398*'Gübre oranlar'!AD$3</f>
        <v>0</v>
      </c>
      <c r="AB398">
        <f>'Kullanılan gübre'!AB398*'Gübre oranlar'!AE$3</f>
        <v>0</v>
      </c>
      <c r="AC398">
        <f>'Kullanılan gübre'!AC398*'Gübre oranlar'!AF$3</f>
        <v>0</v>
      </c>
      <c r="AD398">
        <f>'Kullanılan gübre'!AD398*'Gübre oranlar'!AG$3</f>
        <v>0</v>
      </c>
      <c r="AE398">
        <f>'Kullanılan gübre'!AE398*'Gübre oranlar'!AH$3</f>
        <v>0</v>
      </c>
      <c r="AF398">
        <f>'Kullanılan gübre'!AF398*'Gübre oranlar'!AI$3</f>
        <v>0</v>
      </c>
      <c r="AG398">
        <f>'Kullanılan gübre'!AG398*'Gübre oranlar'!AJ$3</f>
        <v>0</v>
      </c>
      <c r="AH398">
        <f>'Kullanılan gübre'!AH398*'Gübre oranlar'!AK$3</f>
        <v>0</v>
      </c>
      <c r="AI398">
        <f>'Kullanılan gübre'!AI398*'Gübre oranlar'!AL$3</f>
        <v>0</v>
      </c>
      <c r="AJ398">
        <f>'Kullanılan gübre'!AJ398*'Gübre oranlar'!AM$3</f>
        <v>0</v>
      </c>
      <c r="AK398">
        <f>'Kullanılan gübre'!AK398*'Gübre oranlar'!AN$3</f>
        <v>0</v>
      </c>
      <c r="AL398">
        <f>'Kullanılan gübre'!AL398*'Gübre oranlar'!AO$3</f>
        <v>0</v>
      </c>
      <c r="AM398">
        <f>'Kullanılan gübre'!AM398*'Gübre oranlar'!AP$3</f>
        <v>0</v>
      </c>
      <c r="AN398">
        <f>'Kullanılan gübre'!AN398*'Gübre oranlar'!AQ$3</f>
        <v>0</v>
      </c>
      <c r="AO398">
        <f>'Kullanılan gübre'!AO398*'Gübre oranlar'!AR$3</f>
        <v>0</v>
      </c>
      <c r="AP398">
        <f>'Kullanılan gübre'!AP398*'Gübre oranlar'!AS$3</f>
        <v>0</v>
      </c>
      <c r="AQ398">
        <f>'Kullanılan gübre'!AQ398*'Gübre oranlar'!AT$3</f>
        <v>0</v>
      </c>
      <c r="AR398">
        <f>'Kullanılan gübre'!AR398*'Gübre oranlar'!AU$3</f>
        <v>0</v>
      </c>
      <c r="AS398">
        <f>'Kullanılan gübre'!AS398*'Gübre oranlar'!AV$3</f>
        <v>0</v>
      </c>
      <c r="AT398">
        <f>'Kullanılan gübre'!AT398*'Gübre oranlar'!AW$3</f>
        <v>0</v>
      </c>
      <c r="AU398">
        <f>'Kullanılan gübre'!AU398*'Gübre oranlar'!AX$3</f>
        <v>0</v>
      </c>
      <c r="AV398">
        <f>'Kullanılan gübre'!AV398*'Gübre oranlar'!AY$3</f>
        <v>0</v>
      </c>
      <c r="AW398">
        <f t="shared" si="6"/>
        <v>1.8360000000000003</v>
      </c>
    </row>
    <row r="399" spans="1:49" x14ac:dyDescent="0.25">
      <c r="A399" t="str">
        <f>'Kullanılan gübre'!A399</f>
        <v>YI</v>
      </c>
      <c r="B399" t="str">
        <f>'Kullanılan gübre'!B399</f>
        <v>TOKAT</v>
      </c>
      <c r="C399" t="str">
        <f>'Kullanılan gübre'!C399</f>
        <v>SULUSARAY</v>
      </c>
      <c r="D399">
        <f>'Kullanılan gübre'!D399</f>
        <v>2016</v>
      </c>
      <c r="E399">
        <f>'Kullanılan gübre'!E399*'Gübre oranlar'!H$3</f>
        <v>0</v>
      </c>
      <c r="F399">
        <f>'Kullanılan gübre'!F399*'Gübre oranlar'!I$3</f>
        <v>0</v>
      </c>
      <c r="G399">
        <f>'Kullanılan gübre'!G399*'Gübre oranlar'!J$3</f>
        <v>0</v>
      </c>
      <c r="H399">
        <f>'Kullanılan gübre'!H399*'Gübre oranlar'!K$3</f>
        <v>0</v>
      </c>
      <c r="I399">
        <f>'Kullanılan gübre'!I399*'Gübre oranlar'!L$3</f>
        <v>0</v>
      </c>
      <c r="J399">
        <f>'Kullanılan gübre'!J399*'Gübre oranlar'!M$3</f>
        <v>0</v>
      </c>
      <c r="K399">
        <f>'Kullanılan gübre'!K399*'Gübre oranlar'!N$3</f>
        <v>6.6700000000000008</v>
      </c>
      <c r="L399">
        <f>'Kullanılan gübre'!L399*'Gübre oranlar'!O$3</f>
        <v>16.72</v>
      </c>
      <c r="M399">
        <f>'Kullanılan gübre'!M399*'Gübre oranlar'!P$3</f>
        <v>0</v>
      </c>
      <c r="N399">
        <f>'Kullanılan gübre'!N399*'Gübre oranlar'!Q$3</f>
        <v>0</v>
      </c>
      <c r="O399">
        <f>'Kullanılan gübre'!O399*'Gübre oranlar'!R$3</f>
        <v>0</v>
      </c>
      <c r="P399">
        <f>'Kullanılan gübre'!P399*'Gübre oranlar'!S$3</f>
        <v>0</v>
      </c>
      <c r="Q399">
        <f>'Kullanılan gübre'!Q399*'Gübre oranlar'!T$3</f>
        <v>0</v>
      </c>
      <c r="R399">
        <f>'Kullanılan gübre'!R399*'Gübre oranlar'!U$3</f>
        <v>2.0070000000000001</v>
      </c>
      <c r="S399">
        <f>'Kullanılan gübre'!S399*'Gübre oranlar'!V$3</f>
        <v>0</v>
      </c>
      <c r="T399">
        <f>'Kullanılan gübre'!T399*'Gübre oranlar'!W$3</f>
        <v>0</v>
      </c>
      <c r="U399">
        <f>'Kullanılan gübre'!U399*'Gübre oranlar'!X$3</f>
        <v>0</v>
      </c>
      <c r="V399">
        <f>'Kullanılan gübre'!V399*'Gübre oranlar'!Y$3</f>
        <v>0</v>
      </c>
      <c r="W399">
        <f>'Kullanılan gübre'!W399*'Gübre oranlar'!Z$3</f>
        <v>0</v>
      </c>
      <c r="X399">
        <f>'Kullanılan gübre'!X399*'Gübre oranlar'!AA$3</f>
        <v>0</v>
      </c>
      <c r="Y399">
        <f>'Kullanılan gübre'!Y399*'Gübre oranlar'!AB$3</f>
        <v>0</v>
      </c>
      <c r="Z399">
        <f>'Kullanılan gübre'!Z399*'Gübre oranlar'!AC$3</f>
        <v>0</v>
      </c>
      <c r="AA399">
        <f>'Kullanılan gübre'!AA399*'Gübre oranlar'!AD$3</f>
        <v>0</v>
      </c>
      <c r="AB399">
        <f>'Kullanılan gübre'!AB399*'Gübre oranlar'!AE$3</f>
        <v>0</v>
      </c>
      <c r="AC399">
        <f>'Kullanılan gübre'!AC399*'Gübre oranlar'!AF$3</f>
        <v>0</v>
      </c>
      <c r="AD399">
        <f>'Kullanılan gübre'!AD399*'Gübre oranlar'!AG$3</f>
        <v>0</v>
      </c>
      <c r="AE399">
        <f>'Kullanılan gübre'!AE399*'Gübre oranlar'!AH$3</f>
        <v>0</v>
      </c>
      <c r="AF399">
        <f>'Kullanılan gübre'!AF399*'Gübre oranlar'!AI$3</f>
        <v>0</v>
      </c>
      <c r="AG399">
        <f>'Kullanılan gübre'!AG399*'Gübre oranlar'!AJ$3</f>
        <v>0</v>
      </c>
      <c r="AH399">
        <f>'Kullanılan gübre'!AH399*'Gübre oranlar'!AK$3</f>
        <v>0</v>
      </c>
      <c r="AI399">
        <f>'Kullanılan gübre'!AI399*'Gübre oranlar'!AL$3</f>
        <v>0</v>
      </c>
      <c r="AJ399">
        <f>'Kullanılan gübre'!AJ399*'Gübre oranlar'!AM$3</f>
        <v>0</v>
      </c>
      <c r="AK399">
        <f>'Kullanılan gübre'!AK399*'Gübre oranlar'!AN$3</f>
        <v>0</v>
      </c>
      <c r="AL399">
        <f>'Kullanılan gübre'!AL399*'Gübre oranlar'!AO$3</f>
        <v>0</v>
      </c>
      <c r="AM399">
        <f>'Kullanılan gübre'!AM399*'Gübre oranlar'!AP$3</f>
        <v>0</v>
      </c>
      <c r="AN399">
        <f>'Kullanılan gübre'!AN399*'Gübre oranlar'!AQ$3</f>
        <v>0</v>
      </c>
      <c r="AO399">
        <f>'Kullanılan gübre'!AO399*'Gübre oranlar'!AR$3</f>
        <v>0</v>
      </c>
      <c r="AP399">
        <f>'Kullanılan gübre'!AP399*'Gübre oranlar'!AS$3</f>
        <v>0</v>
      </c>
      <c r="AQ399">
        <f>'Kullanılan gübre'!AQ399*'Gübre oranlar'!AT$3</f>
        <v>0</v>
      </c>
      <c r="AR399">
        <f>'Kullanılan gübre'!AR399*'Gübre oranlar'!AU$3</f>
        <v>0</v>
      </c>
      <c r="AS399">
        <f>'Kullanılan gübre'!AS399*'Gübre oranlar'!AV$3</f>
        <v>0</v>
      </c>
      <c r="AT399">
        <f>'Kullanılan gübre'!AT399*'Gübre oranlar'!AW$3</f>
        <v>0</v>
      </c>
      <c r="AU399">
        <f>'Kullanılan gübre'!AU399*'Gübre oranlar'!AX$3</f>
        <v>0</v>
      </c>
      <c r="AV399">
        <f>'Kullanılan gübre'!AV399*'Gübre oranlar'!AY$3</f>
        <v>0</v>
      </c>
      <c r="AW399">
        <f t="shared" si="6"/>
        <v>25.397000000000002</v>
      </c>
    </row>
    <row r="400" spans="1:49" x14ac:dyDescent="0.25">
      <c r="A400" t="str">
        <f>'Kullanılan gübre'!A400</f>
        <v>YI</v>
      </c>
      <c r="B400" t="str">
        <f>'Kullanılan gübre'!B400</f>
        <v>TOKAT</v>
      </c>
      <c r="C400" t="str">
        <f>'Kullanılan gübre'!C400</f>
        <v>TURHAL</v>
      </c>
      <c r="D400">
        <f>'Kullanılan gübre'!D400</f>
        <v>2016</v>
      </c>
      <c r="E400">
        <f>'Kullanılan gübre'!E400*'Gübre oranlar'!H$3</f>
        <v>0</v>
      </c>
      <c r="F400">
        <f>'Kullanılan gübre'!F400*'Gübre oranlar'!I$3</f>
        <v>0</v>
      </c>
      <c r="G400">
        <f>'Kullanılan gübre'!G400*'Gübre oranlar'!J$3</f>
        <v>0</v>
      </c>
      <c r="H400">
        <f>'Kullanılan gübre'!H400*'Gübre oranlar'!K$3</f>
        <v>0</v>
      </c>
      <c r="I400">
        <f>'Kullanılan gübre'!I400*'Gübre oranlar'!L$3</f>
        <v>0</v>
      </c>
      <c r="J400">
        <f>'Kullanılan gübre'!J400*'Gübre oranlar'!M$3</f>
        <v>0</v>
      </c>
      <c r="K400">
        <f>'Kullanılan gübre'!K400*'Gübre oranlar'!N$3</f>
        <v>34.19</v>
      </c>
      <c r="L400">
        <f>'Kullanılan gübre'!L400*'Gübre oranlar'!O$3</f>
        <v>30.878</v>
      </c>
      <c r="M400">
        <f>'Kullanılan gübre'!M400*'Gübre oranlar'!P$3</f>
        <v>6.3224999999999998</v>
      </c>
      <c r="N400">
        <f>'Kullanılan gübre'!N400*'Gübre oranlar'!Q$3</f>
        <v>28.125</v>
      </c>
      <c r="O400">
        <f>'Kullanılan gübre'!O400*'Gübre oranlar'!R$3</f>
        <v>0</v>
      </c>
      <c r="P400">
        <f>'Kullanılan gübre'!P400*'Gübre oranlar'!S$3</f>
        <v>0</v>
      </c>
      <c r="Q400">
        <f>'Kullanılan gübre'!Q400*'Gübre oranlar'!T$3</f>
        <v>0</v>
      </c>
      <c r="R400">
        <f>'Kullanılan gübre'!R400*'Gübre oranlar'!U$3</f>
        <v>2.4929999999999999</v>
      </c>
      <c r="S400">
        <f>'Kullanılan gübre'!S400*'Gübre oranlar'!V$3</f>
        <v>0</v>
      </c>
      <c r="T400">
        <f>'Kullanılan gübre'!T400*'Gübre oranlar'!W$3</f>
        <v>0</v>
      </c>
      <c r="U400">
        <f>'Kullanılan gübre'!U400*'Gübre oranlar'!X$3</f>
        <v>0</v>
      </c>
      <c r="V400">
        <f>'Kullanılan gübre'!V400*'Gübre oranlar'!Y$3</f>
        <v>0</v>
      </c>
      <c r="W400">
        <f>'Kullanılan gübre'!W400*'Gübre oranlar'!Z$3</f>
        <v>0</v>
      </c>
      <c r="X400">
        <f>'Kullanılan gübre'!X400*'Gübre oranlar'!AA$3</f>
        <v>0</v>
      </c>
      <c r="Y400">
        <f>'Kullanılan gübre'!Y400*'Gübre oranlar'!AB$3</f>
        <v>0</v>
      </c>
      <c r="Z400">
        <f>'Kullanılan gübre'!Z400*'Gübre oranlar'!AC$3</f>
        <v>0</v>
      </c>
      <c r="AA400">
        <f>'Kullanılan gübre'!AA400*'Gübre oranlar'!AD$3</f>
        <v>0</v>
      </c>
      <c r="AB400">
        <f>'Kullanılan gübre'!AB400*'Gübre oranlar'!AE$3</f>
        <v>0</v>
      </c>
      <c r="AC400">
        <f>'Kullanılan gübre'!AC400*'Gübre oranlar'!AF$3</f>
        <v>0</v>
      </c>
      <c r="AD400">
        <f>'Kullanılan gübre'!AD400*'Gübre oranlar'!AG$3</f>
        <v>0</v>
      </c>
      <c r="AE400">
        <f>'Kullanılan gübre'!AE400*'Gübre oranlar'!AH$3</f>
        <v>0</v>
      </c>
      <c r="AF400">
        <f>'Kullanılan gübre'!AF400*'Gübre oranlar'!AI$3</f>
        <v>0</v>
      </c>
      <c r="AG400">
        <f>'Kullanılan gübre'!AG400*'Gübre oranlar'!AJ$3</f>
        <v>0</v>
      </c>
      <c r="AH400">
        <f>'Kullanılan gübre'!AH400*'Gübre oranlar'!AK$3</f>
        <v>0</v>
      </c>
      <c r="AI400">
        <f>'Kullanılan gübre'!AI400*'Gübre oranlar'!AL$3</f>
        <v>0</v>
      </c>
      <c r="AJ400">
        <f>'Kullanılan gübre'!AJ400*'Gübre oranlar'!AM$3</f>
        <v>0</v>
      </c>
      <c r="AK400">
        <f>'Kullanılan gübre'!AK400*'Gübre oranlar'!AN$3</f>
        <v>0</v>
      </c>
      <c r="AL400">
        <f>'Kullanılan gübre'!AL400*'Gübre oranlar'!AO$3</f>
        <v>0</v>
      </c>
      <c r="AM400">
        <f>'Kullanılan gübre'!AM400*'Gübre oranlar'!AP$3</f>
        <v>0</v>
      </c>
      <c r="AN400">
        <f>'Kullanılan gübre'!AN400*'Gübre oranlar'!AQ$3</f>
        <v>0</v>
      </c>
      <c r="AO400">
        <f>'Kullanılan gübre'!AO400*'Gübre oranlar'!AR$3</f>
        <v>0</v>
      </c>
      <c r="AP400">
        <f>'Kullanılan gübre'!AP400*'Gübre oranlar'!AS$3</f>
        <v>0</v>
      </c>
      <c r="AQ400">
        <f>'Kullanılan gübre'!AQ400*'Gübre oranlar'!AT$3</f>
        <v>0</v>
      </c>
      <c r="AR400">
        <f>'Kullanılan gübre'!AR400*'Gübre oranlar'!AU$3</f>
        <v>0</v>
      </c>
      <c r="AS400">
        <f>'Kullanılan gübre'!AS400*'Gübre oranlar'!AV$3</f>
        <v>0</v>
      </c>
      <c r="AT400">
        <f>'Kullanılan gübre'!AT400*'Gübre oranlar'!AW$3</f>
        <v>0</v>
      </c>
      <c r="AU400">
        <f>'Kullanılan gübre'!AU400*'Gübre oranlar'!AX$3</f>
        <v>0</v>
      </c>
      <c r="AV400">
        <f>'Kullanılan gübre'!AV400*'Gübre oranlar'!AY$3</f>
        <v>0</v>
      </c>
      <c r="AW400">
        <f t="shared" si="6"/>
        <v>102.0085</v>
      </c>
    </row>
    <row r="401" spans="1:49" x14ac:dyDescent="0.25">
      <c r="A401" t="str">
        <f>'Kullanılan gübre'!A401</f>
        <v>YI</v>
      </c>
      <c r="B401" t="str">
        <f>'Kullanılan gübre'!B401</f>
        <v>TOKAT</v>
      </c>
      <c r="C401" t="str">
        <f>'Kullanılan gübre'!C401</f>
        <v>YESILYURT</v>
      </c>
      <c r="D401">
        <f>'Kullanılan gübre'!D401</f>
        <v>2016</v>
      </c>
      <c r="E401">
        <f>'Kullanılan gübre'!E401*'Gübre oranlar'!H$3</f>
        <v>0</v>
      </c>
      <c r="F401">
        <f>'Kullanılan gübre'!F401*'Gübre oranlar'!I$3</f>
        <v>0</v>
      </c>
      <c r="G401">
        <f>'Kullanılan gübre'!G401*'Gübre oranlar'!J$3</f>
        <v>0</v>
      </c>
      <c r="H401">
        <f>'Kullanılan gübre'!H401*'Gübre oranlar'!K$3</f>
        <v>0</v>
      </c>
      <c r="I401">
        <f>'Kullanılan gübre'!I401*'Gübre oranlar'!L$3</f>
        <v>0</v>
      </c>
      <c r="J401">
        <f>'Kullanılan gübre'!J401*'Gübre oranlar'!M$3</f>
        <v>0</v>
      </c>
      <c r="K401">
        <f>'Kullanılan gübre'!K401*'Gübre oranlar'!N$3</f>
        <v>11.990000000000002</v>
      </c>
      <c r="L401">
        <f>'Kullanılan gübre'!L401*'Gübre oranlar'!O$3</f>
        <v>12.26</v>
      </c>
      <c r="M401">
        <f>'Kullanılan gübre'!M401*'Gübre oranlar'!P$3</f>
        <v>0.92249999999999999</v>
      </c>
      <c r="N401">
        <f>'Kullanılan gübre'!N401*'Gübre oranlar'!Q$3</f>
        <v>1.5</v>
      </c>
      <c r="O401">
        <f>'Kullanılan gübre'!O401*'Gübre oranlar'!R$3</f>
        <v>0</v>
      </c>
      <c r="P401">
        <f>'Kullanılan gübre'!P401*'Gübre oranlar'!S$3</f>
        <v>0</v>
      </c>
      <c r="Q401">
        <f>'Kullanılan gübre'!Q401*'Gübre oranlar'!T$3</f>
        <v>0</v>
      </c>
      <c r="R401">
        <f>'Kullanılan gübre'!R401*'Gübre oranlar'!U$3</f>
        <v>3.7259999999999995</v>
      </c>
      <c r="S401">
        <f>'Kullanılan gübre'!S401*'Gübre oranlar'!V$3</f>
        <v>0</v>
      </c>
      <c r="T401">
        <f>'Kullanılan gübre'!T401*'Gübre oranlar'!W$3</f>
        <v>0</v>
      </c>
      <c r="U401">
        <f>'Kullanılan gübre'!U401*'Gübre oranlar'!X$3</f>
        <v>0</v>
      </c>
      <c r="V401">
        <f>'Kullanılan gübre'!V401*'Gübre oranlar'!Y$3</f>
        <v>0</v>
      </c>
      <c r="W401">
        <f>'Kullanılan gübre'!W401*'Gübre oranlar'!Z$3</f>
        <v>0</v>
      </c>
      <c r="X401">
        <f>'Kullanılan gübre'!X401*'Gübre oranlar'!AA$3</f>
        <v>0</v>
      </c>
      <c r="Y401">
        <f>'Kullanılan gübre'!Y401*'Gübre oranlar'!AB$3</f>
        <v>0</v>
      </c>
      <c r="Z401">
        <f>'Kullanılan gübre'!Z401*'Gübre oranlar'!AC$3</f>
        <v>0</v>
      </c>
      <c r="AA401">
        <f>'Kullanılan gübre'!AA401*'Gübre oranlar'!AD$3</f>
        <v>0</v>
      </c>
      <c r="AB401">
        <f>'Kullanılan gübre'!AB401*'Gübre oranlar'!AE$3</f>
        <v>0</v>
      </c>
      <c r="AC401">
        <f>'Kullanılan gübre'!AC401*'Gübre oranlar'!AF$3</f>
        <v>0</v>
      </c>
      <c r="AD401">
        <f>'Kullanılan gübre'!AD401*'Gübre oranlar'!AG$3</f>
        <v>0</v>
      </c>
      <c r="AE401">
        <f>'Kullanılan gübre'!AE401*'Gübre oranlar'!AH$3</f>
        <v>0</v>
      </c>
      <c r="AF401">
        <f>'Kullanılan gübre'!AF401*'Gübre oranlar'!AI$3</f>
        <v>0</v>
      </c>
      <c r="AG401">
        <f>'Kullanılan gübre'!AG401*'Gübre oranlar'!AJ$3</f>
        <v>0</v>
      </c>
      <c r="AH401">
        <f>'Kullanılan gübre'!AH401*'Gübre oranlar'!AK$3</f>
        <v>0</v>
      </c>
      <c r="AI401">
        <f>'Kullanılan gübre'!AI401*'Gübre oranlar'!AL$3</f>
        <v>0</v>
      </c>
      <c r="AJ401">
        <f>'Kullanılan gübre'!AJ401*'Gübre oranlar'!AM$3</f>
        <v>0</v>
      </c>
      <c r="AK401">
        <f>'Kullanılan gübre'!AK401*'Gübre oranlar'!AN$3</f>
        <v>0</v>
      </c>
      <c r="AL401">
        <f>'Kullanılan gübre'!AL401*'Gübre oranlar'!AO$3</f>
        <v>0</v>
      </c>
      <c r="AM401">
        <f>'Kullanılan gübre'!AM401*'Gübre oranlar'!AP$3</f>
        <v>0</v>
      </c>
      <c r="AN401">
        <f>'Kullanılan gübre'!AN401*'Gübre oranlar'!AQ$3</f>
        <v>0</v>
      </c>
      <c r="AO401">
        <f>'Kullanılan gübre'!AO401*'Gübre oranlar'!AR$3</f>
        <v>0</v>
      </c>
      <c r="AP401">
        <f>'Kullanılan gübre'!AP401*'Gübre oranlar'!AS$3</f>
        <v>0</v>
      </c>
      <c r="AQ401">
        <f>'Kullanılan gübre'!AQ401*'Gübre oranlar'!AT$3</f>
        <v>0</v>
      </c>
      <c r="AR401">
        <f>'Kullanılan gübre'!AR401*'Gübre oranlar'!AU$3</f>
        <v>0</v>
      </c>
      <c r="AS401">
        <f>'Kullanılan gübre'!AS401*'Gübre oranlar'!AV$3</f>
        <v>0</v>
      </c>
      <c r="AT401">
        <f>'Kullanılan gübre'!AT401*'Gübre oranlar'!AW$3</f>
        <v>0</v>
      </c>
      <c r="AU401">
        <f>'Kullanılan gübre'!AU401*'Gübre oranlar'!AX$3</f>
        <v>0</v>
      </c>
      <c r="AV401">
        <f>'Kullanılan gübre'!AV401*'Gübre oranlar'!AY$3</f>
        <v>0</v>
      </c>
      <c r="AW401">
        <f t="shared" si="6"/>
        <v>30.398499999999999</v>
      </c>
    </row>
    <row r="402" spans="1:49" x14ac:dyDescent="0.25">
      <c r="A402" t="str">
        <f>'Kullanılan gübre'!A402</f>
        <v>YI</v>
      </c>
      <c r="B402" t="str">
        <f>'Kullanılan gübre'!B402</f>
        <v>TOKAT</v>
      </c>
      <c r="C402" t="str">
        <f>'Kullanılan gübre'!C402</f>
        <v>ZILE</v>
      </c>
      <c r="D402">
        <f>'Kullanılan gübre'!D402</f>
        <v>2016</v>
      </c>
      <c r="E402">
        <f>'Kullanılan gübre'!E402*'Gübre oranlar'!H$3</f>
        <v>0</v>
      </c>
      <c r="F402">
        <f>'Kullanılan gübre'!F402*'Gübre oranlar'!I$3</f>
        <v>0</v>
      </c>
      <c r="G402">
        <f>'Kullanılan gübre'!G402*'Gübre oranlar'!J$3</f>
        <v>0</v>
      </c>
      <c r="H402">
        <f>'Kullanılan gübre'!H402*'Gübre oranlar'!K$3</f>
        <v>0</v>
      </c>
      <c r="I402">
        <f>'Kullanılan gübre'!I402*'Gübre oranlar'!L$3</f>
        <v>0</v>
      </c>
      <c r="J402">
        <f>'Kullanılan gübre'!J402*'Gübre oranlar'!M$3</f>
        <v>0</v>
      </c>
      <c r="K402">
        <f>'Kullanılan gübre'!K402*'Gübre oranlar'!N$3</f>
        <v>305.97199999999998</v>
      </c>
      <c r="L402">
        <f>'Kullanılan gübre'!L402*'Gübre oranlar'!O$3</f>
        <v>157.55000000000001</v>
      </c>
      <c r="M402">
        <f>'Kullanılan gübre'!M402*'Gübre oranlar'!P$3</f>
        <v>3.4724999999999997</v>
      </c>
      <c r="N402">
        <f>'Kullanılan gübre'!N402*'Gübre oranlar'!Q$3</f>
        <v>30.667499999999997</v>
      </c>
      <c r="O402">
        <f>'Kullanılan gübre'!O402*'Gübre oranlar'!R$3</f>
        <v>0</v>
      </c>
      <c r="P402">
        <f>'Kullanılan gübre'!P402*'Gübre oranlar'!S$3</f>
        <v>0</v>
      </c>
      <c r="Q402">
        <f>'Kullanılan gübre'!Q402*'Gübre oranlar'!T$3</f>
        <v>0</v>
      </c>
      <c r="R402">
        <f>'Kullanılan gübre'!R402*'Gübre oranlar'!U$3</f>
        <v>0</v>
      </c>
      <c r="S402">
        <f>'Kullanılan gübre'!S402*'Gübre oranlar'!V$3</f>
        <v>0</v>
      </c>
      <c r="T402">
        <f>'Kullanılan gübre'!T402*'Gübre oranlar'!W$3</f>
        <v>0</v>
      </c>
      <c r="U402">
        <f>'Kullanılan gübre'!U402*'Gübre oranlar'!X$3</f>
        <v>0</v>
      </c>
      <c r="V402">
        <f>'Kullanılan gübre'!V402*'Gübre oranlar'!Y$3</f>
        <v>0</v>
      </c>
      <c r="W402">
        <f>'Kullanılan gübre'!W402*'Gübre oranlar'!Z$3</f>
        <v>0</v>
      </c>
      <c r="X402">
        <f>'Kullanılan gübre'!X402*'Gübre oranlar'!AA$3</f>
        <v>0</v>
      </c>
      <c r="Y402">
        <f>'Kullanılan gübre'!Y402*'Gübre oranlar'!AB$3</f>
        <v>0</v>
      </c>
      <c r="Z402">
        <f>'Kullanılan gübre'!Z402*'Gübre oranlar'!AC$3</f>
        <v>0</v>
      </c>
      <c r="AA402">
        <f>'Kullanılan gübre'!AA402*'Gübre oranlar'!AD$3</f>
        <v>0</v>
      </c>
      <c r="AB402">
        <f>'Kullanılan gübre'!AB402*'Gübre oranlar'!AE$3</f>
        <v>0</v>
      </c>
      <c r="AC402">
        <f>'Kullanılan gübre'!AC402*'Gübre oranlar'!AF$3</f>
        <v>0</v>
      </c>
      <c r="AD402">
        <f>'Kullanılan gübre'!AD402*'Gübre oranlar'!AG$3</f>
        <v>0</v>
      </c>
      <c r="AE402">
        <f>'Kullanılan gübre'!AE402*'Gübre oranlar'!AH$3</f>
        <v>0</v>
      </c>
      <c r="AF402">
        <f>'Kullanılan gübre'!AF402*'Gübre oranlar'!AI$3</f>
        <v>0</v>
      </c>
      <c r="AG402">
        <f>'Kullanılan gübre'!AG402*'Gübre oranlar'!AJ$3</f>
        <v>0</v>
      </c>
      <c r="AH402">
        <f>'Kullanılan gübre'!AH402*'Gübre oranlar'!AK$3</f>
        <v>0</v>
      </c>
      <c r="AI402">
        <f>'Kullanılan gübre'!AI402*'Gübre oranlar'!AL$3</f>
        <v>0</v>
      </c>
      <c r="AJ402">
        <f>'Kullanılan gübre'!AJ402*'Gübre oranlar'!AM$3</f>
        <v>0</v>
      </c>
      <c r="AK402">
        <f>'Kullanılan gübre'!AK402*'Gübre oranlar'!AN$3</f>
        <v>0</v>
      </c>
      <c r="AL402">
        <f>'Kullanılan gübre'!AL402*'Gübre oranlar'!AO$3</f>
        <v>0</v>
      </c>
      <c r="AM402">
        <f>'Kullanılan gübre'!AM402*'Gübre oranlar'!AP$3</f>
        <v>0</v>
      </c>
      <c r="AN402">
        <f>'Kullanılan gübre'!AN402*'Gübre oranlar'!AQ$3</f>
        <v>0</v>
      </c>
      <c r="AO402">
        <f>'Kullanılan gübre'!AO402*'Gübre oranlar'!AR$3</f>
        <v>0</v>
      </c>
      <c r="AP402">
        <f>'Kullanılan gübre'!AP402*'Gübre oranlar'!AS$3</f>
        <v>0</v>
      </c>
      <c r="AQ402">
        <f>'Kullanılan gübre'!AQ402*'Gübre oranlar'!AT$3</f>
        <v>0</v>
      </c>
      <c r="AR402">
        <f>'Kullanılan gübre'!AR402*'Gübre oranlar'!AU$3</f>
        <v>0</v>
      </c>
      <c r="AS402">
        <f>'Kullanılan gübre'!AS402*'Gübre oranlar'!AV$3</f>
        <v>0</v>
      </c>
      <c r="AT402">
        <f>'Kullanılan gübre'!AT402*'Gübre oranlar'!AW$3</f>
        <v>0</v>
      </c>
      <c r="AU402">
        <f>'Kullanılan gübre'!AU402*'Gübre oranlar'!AX$3</f>
        <v>0</v>
      </c>
      <c r="AV402">
        <f>'Kullanılan gübre'!AV402*'Gübre oranlar'!AY$3</f>
        <v>0</v>
      </c>
      <c r="AW402">
        <f t="shared" si="6"/>
        <v>497.66200000000003</v>
      </c>
    </row>
    <row r="403" spans="1:49" x14ac:dyDescent="0.25">
      <c r="A403" t="str">
        <f>'Kullanılan gübre'!A403</f>
        <v>YI</v>
      </c>
      <c r="B403" t="str">
        <f>'Kullanılan gübre'!B403</f>
        <v>TOKAT</v>
      </c>
      <c r="C403" t="str">
        <f>'Kullanılan gübre'!C403</f>
        <v>MERKEZ</v>
      </c>
      <c r="D403">
        <f>'Kullanılan gübre'!D403</f>
        <v>2017</v>
      </c>
      <c r="E403">
        <f>'Kullanılan gübre'!E403*'Gübre oranlar'!H$3</f>
        <v>0</v>
      </c>
      <c r="F403">
        <f>'Kullanılan gübre'!F403*'Gübre oranlar'!I$3</f>
        <v>0</v>
      </c>
      <c r="G403">
        <f>'Kullanılan gübre'!G403*'Gübre oranlar'!J$3</f>
        <v>0</v>
      </c>
      <c r="H403">
        <f>'Kullanılan gübre'!H403*'Gübre oranlar'!K$3</f>
        <v>0</v>
      </c>
      <c r="I403">
        <f>'Kullanılan gübre'!I403*'Gübre oranlar'!L$3</f>
        <v>19.8445</v>
      </c>
      <c r="J403">
        <f>'Kullanılan gübre'!J403*'Gübre oranlar'!M$3</f>
        <v>0</v>
      </c>
      <c r="K403">
        <f>'Kullanılan gübre'!K403*'Gübre oranlar'!N$3</f>
        <v>58.35</v>
      </c>
      <c r="L403">
        <f>'Kullanılan gübre'!L403*'Gübre oranlar'!O$3</f>
        <v>40.800000000000004</v>
      </c>
      <c r="M403">
        <f>'Kullanılan gübre'!M403*'Gübre oranlar'!P$3</f>
        <v>26.1525</v>
      </c>
      <c r="N403">
        <f>'Kullanılan gübre'!N403*'Gübre oranlar'!Q$3</f>
        <v>48.765000000000001</v>
      </c>
      <c r="O403">
        <f>'Kullanılan gübre'!O403*'Gübre oranlar'!R$3</f>
        <v>0</v>
      </c>
      <c r="P403">
        <f>'Kullanılan gübre'!P403*'Gübre oranlar'!S$3</f>
        <v>0</v>
      </c>
      <c r="Q403">
        <f>'Kullanılan gübre'!Q403*'Gübre oranlar'!T$3</f>
        <v>1.77</v>
      </c>
      <c r="R403">
        <f>'Kullanılan gübre'!R403*'Gübre oranlar'!U$3</f>
        <v>17.378999999999998</v>
      </c>
      <c r="S403">
        <f>'Kullanılan gübre'!S403*'Gübre oranlar'!V$3</f>
        <v>0</v>
      </c>
      <c r="T403">
        <f>'Kullanılan gübre'!T403*'Gübre oranlar'!W$3</f>
        <v>0</v>
      </c>
      <c r="U403">
        <f>'Kullanılan gübre'!U403*'Gübre oranlar'!X$3</f>
        <v>0</v>
      </c>
      <c r="V403">
        <f>'Kullanılan gübre'!V403*'Gübre oranlar'!Y$3</f>
        <v>0</v>
      </c>
      <c r="W403">
        <f>'Kullanılan gübre'!W403*'Gübre oranlar'!Z$3</f>
        <v>0</v>
      </c>
      <c r="X403">
        <f>'Kullanılan gübre'!X403*'Gübre oranlar'!AA$3</f>
        <v>0</v>
      </c>
      <c r="Y403">
        <f>'Kullanılan gübre'!Y403*'Gübre oranlar'!AB$3</f>
        <v>0</v>
      </c>
      <c r="Z403">
        <f>'Kullanılan gübre'!Z403*'Gübre oranlar'!AC$3</f>
        <v>0</v>
      </c>
      <c r="AA403">
        <f>'Kullanılan gübre'!AA403*'Gübre oranlar'!AD$3</f>
        <v>0</v>
      </c>
      <c r="AB403">
        <f>'Kullanılan gübre'!AB403*'Gübre oranlar'!AE$3</f>
        <v>0</v>
      </c>
      <c r="AC403">
        <f>'Kullanılan gübre'!AC403*'Gübre oranlar'!AF$3</f>
        <v>0</v>
      </c>
      <c r="AD403">
        <f>'Kullanılan gübre'!AD403*'Gübre oranlar'!AG$3</f>
        <v>0</v>
      </c>
      <c r="AE403">
        <f>'Kullanılan gübre'!AE403*'Gübre oranlar'!AH$3</f>
        <v>0</v>
      </c>
      <c r="AF403">
        <f>'Kullanılan gübre'!AF403*'Gübre oranlar'!AI$3</f>
        <v>0</v>
      </c>
      <c r="AG403">
        <f>'Kullanılan gübre'!AG403*'Gübre oranlar'!AJ$3</f>
        <v>0</v>
      </c>
      <c r="AH403">
        <f>'Kullanılan gübre'!AH403*'Gübre oranlar'!AK$3</f>
        <v>0</v>
      </c>
      <c r="AI403">
        <f>'Kullanılan gübre'!AI403*'Gübre oranlar'!AL$3</f>
        <v>0</v>
      </c>
      <c r="AJ403">
        <f>'Kullanılan gübre'!AJ403*'Gübre oranlar'!AM$3</f>
        <v>0</v>
      </c>
      <c r="AK403">
        <f>'Kullanılan gübre'!AK403*'Gübre oranlar'!AN$3</f>
        <v>0</v>
      </c>
      <c r="AL403">
        <f>'Kullanılan gübre'!AL403*'Gübre oranlar'!AO$3</f>
        <v>0</v>
      </c>
      <c r="AM403">
        <f>'Kullanılan gübre'!AM403*'Gübre oranlar'!AP$3</f>
        <v>0</v>
      </c>
      <c r="AN403">
        <f>'Kullanılan gübre'!AN403*'Gübre oranlar'!AQ$3</f>
        <v>0</v>
      </c>
      <c r="AO403">
        <f>'Kullanılan gübre'!AO403*'Gübre oranlar'!AR$3</f>
        <v>0</v>
      </c>
      <c r="AP403">
        <f>'Kullanılan gübre'!AP403*'Gübre oranlar'!AS$3</f>
        <v>0</v>
      </c>
      <c r="AQ403">
        <f>'Kullanılan gübre'!AQ403*'Gübre oranlar'!AT$3</f>
        <v>0</v>
      </c>
      <c r="AR403">
        <f>'Kullanılan gübre'!AR403*'Gübre oranlar'!AU$3</f>
        <v>0</v>
      </c>
      <c r="AS403">
        <f>'Kullanılan gübre'!AS403*'Gübre oranlar'!AV$3</f>
        <v>0</v>
      </c>
      <c r="AT403">
        <f>'Kullanılan gübre'!AT403*'Gübre oranlar'!AW$3</f>
        <v>0</v>
      </c>
      <c r="AU403">
        <f>'Kullanılan gübre'!AU403*'Gübre oranlar'!AX$3</f>
        <v>0</v>
      </c>
      <c r="AV403">
        <f>'Kullanılan gübre'!AV403*'Gübre oranlar'!AY$3</f>
        <v>0</v>
      </c>
      <c r="AW403">
        <f t="shared" si="6"/>
        <v>213.06100000000004</v>
      </c>
    </row>
    <row r="404" spans="1:49" x14ac:dyDescent="0.25">
      <c r="A404" t="str">
        <f>'Kullanılan gübre'!A404</f>
        <v>YI</v>
      </c>
      <c r="B404" t="str">
        <f>'Kullanılan gübre'!B404</f>
        <v>TOKAT</v>
      </c>
      <c r="C404" t="str">
        <f>'Kullanılan gübre'!C404</f>
        <v>ALMUS</v>
      </c>
      <c r="D404">
        <f>'Kullanılan gübre'!D404</f>
        <v>2017</v>
      </c>
      <c r="E404">
        <f>'Kullanılan gübre'!E404*'Gübre oranlar'!H$3</f>
        <v>0</v>
      </c>
      <c r="F404">
        <f>'Kullanılan gübre'!F404*'Gübre oranlar'!I$3</f>
        <v>0</v>
      </c>
      <c r="G404">
        <f>'Kullanılan gübre'!G404*'Gübre oranlar'!J$3</f>
        <v>0</v>
      </c>
      <c r="H404">
        <f>'Kullanılan gübre'!H404*'Gübre oranlar'!K$3</f>
        <v>0</v>
      </c>
      <c r="I404">
        <f>'Kullanılan gübre'!I404*'Gübre oranlar'!L$3</f>
        <v>0</v>
      </c>
      <c r="J404">
        <f>'Kullanılan gübre'!J404*'Gübre oranlar'!M$3</f>
        <v>0</v>
      </c>
      <c r="K404">
        <f>'Kullanılan gübre'!K404*'Gübre oranlar'!N$3</f>
        <v>0</v>
      </c>
      <c r="L404">
        <f>'Kullanılan gübre'!L404*'Gübre oranlar'!O$3</f>
        <v>0</v>
      </c>
      <c r="M404">
        <f>'Kullanılan gübre'!M404*'Gübre oranlar'!P$3</f>
        <v>0</v>
      </c>
      <c r="N404">
        <f>'Kullanılan gübre'!N404*'Gübre oranlar'!Q$3</f>
        <v>0</v>
      </c>
      <c r="O404">
        <f>'Kullanılan gübre'!O404*'Gübre oranlar'!R$3</f>
        <v>0</v>
      </c>
      <c r="P404">
        <f>'Kullanılan gübre'!P404*'Gübre oranlar'!S$3</f>
        <v>0</v>
      </c>
      <c r="Q404">
        <f>'Kullanılan gübre'!Q404*'Gübre oranlar'!T$3</f>
        <v>0</v>
      </c>
      <c r="R404">
        <f>'Kullanılan gübre'!R404*'Gübre oranlar'!U$3</f>
        <v>0.24299999999999999</v>
      </c>
      <c r="S404">
        <f>'Kullanılan gübre'!S404*'Gübre oranlar'!V$3</f>
        <v>0</v>
      </c>
      <c r="T404">
        <f>'Kullanılan gübre'!T404*'Gübre oranlar'!W$3</f>
        <v>0</v>
      </c>
      <c r="U404">
        <f>'Kullanılan gübre'!U404*'Gübre oranlar'!X$3</f>
        <v>0</v>
      </c>
      <c r="V404">
        <f>'Kullanılan gübre'!V404*'Gübre oranlar'!Y$3</f>
        <v>0</v>
      </c>
      <c r="W404">
        <f>'Kullanılan gübre'!W404*'Gübre oranlar'!Z$3</f>
        <v>0</v>
      </c>
      <c r="X404">
        <f>'Kullanılan gübre'!X404*'Gübre oranlar'!AA$3</f>
        <v>0</v>
      </c>
      <c r="Y404">
        <f>'Kullanılan gübre'!Y404*'Gübre oranlar'!AB$3</f>
        <v>0</v>
      </c>
      <c r="Z404">
        <f>'Kullanılan gübre'!Z404*'Gübre oranlar'!AC$3</f>
        <v>0</v>
      </c>
      <c r="AA404">
        <f>'Kullanılan gübre'!AA404*'Gübre oranlar'!AD$3</f>
        <v>0</v>
      </c>
      <c r="AB404">
        <f>'Kullanılan gübre'!AB404*'Gübre oranlar'!AE$3</f>
        <v>0</v>
      </c>
      <c r="AC404">
        <f>'Kullanılan gübre'!AC404*'Gübre oranlar'!AF$3</f>
        <v>0</v>
      </c>
      <c r="AD404">
        <f>'Kullanılan gübre'!AD404*'Gübre oranlar'!AG$3</f>
        <v>0</v>
      </c>
      <c r="AE404">
        <f>'Kullanılan gübre'!AE404*'Gübre oranlar'!AH$3</f>
        <v>0</v>
      </c>
      <c r="AF404">
        <f>'Kullanılan gübre'!AF404*'Gübre oranlar'!AI$3</f>
        <v>0</v>
      </c>
      <c r="AG404">
        <f>'Kullanılan gübre'!AG404*'Gübre oranlar'!AJ$3</f>
        <v>0</v>
      </c>
      <c r="AH404">
        <f>'Kullanılan gübre'!AH404*'Gübre oranlar'!AK$3</f>
        <v>0</v>
      </c>
      <c r="AI404">
        <f>'Kullanılan gübre'!AI404*'Gübre oranlar'!AL$3</f>
        <v>0</v>
      </c>
      <c r="AJ404">
        <f>'Kullanılan gübre'!AJ404*'Gübre oranlar'!AM$3</f>
        <v>0</v>
      </c>
      <c r="AK404">
        <f>'Kullanılan gübre'!AK404*'Gübre oranlar'!AN$3</f>
        <v>0</v>
      </c>
      <c r="AL404">
        <f>'Kullanılan gübre'!AL404*'Gübre oranlar'!AO$3</f>
        <v>0</v>
      </c>
      <c r="AM404">
        <f>'Kullanılan gübre'!AM404*'Gübre oranlar'!AP$3</f>
        <v>0</v>
      </c>
      <c r="AN404">
        <f>'Kullanılan gübre'!AN404*'Gübre oranlar'!AQ$3</f>
        <v>0</v>
      </c>
      <c r="AO404">
        <f>'Kullanılan gübre'!AO404*'Gübre oranlar'!AR$3</f>
        <v>0</v>
      </c>
      <c r="AP404">
        <f>'Kullanılan gübre'!AP404*'Gübre oranlar'!AS$3</f>
        <v>0</v>
      </c>
      <c r="AQ404">
        <f>'Kullanılan gübre'!AQ404*'Gübre oranlar'!AT$3</f>
        <v>0</v>
      </c>
      <c r="AR404">
        <f>'Kullanılan gübre'!AR404*'Gübre oranlar'!AU$3</f>
        <v>0</v>
      </c>
      <c r="AS404">
        <f>'Kullanılan gübre'!AS404*'Gübre oranlar'!AV$3</f>
        <v>0</v>
      </c>
      <c r="AT404">
        <f>'Kullanılan gübre'!AT404*'Gübre oranlar'!AW$3</f>
        <v>0</v>
      </c>
      <c r="AU404">
        <f>'Kullanılan gübre'!AU404*'Gübre oranlar'!AX$3</f>
        <v>0</v>
      </c>
      <c r="AV404">
        <f>'Kullanılan gübre'!AV404*'Gübre oranlar'!AY$3</f>
        <v>0</v>
      </c>
      <c r="AW404">
        <f t="shared" si="6"/>
        <v>0.24299999999999999</v>
      </c>
    </row>
    <row r="405" spans="1:49" x14ac:dyDescent="0.25">
      <c r="A405" t="str">
        <f>'Kullanılan gübre'!A405</f>
        <v>YI</v>
      </c>
      <c r="B405" t="str">
        <f>'Kullanılan gübre'!B405</f>
        <v>TOKAT</v>
      </c>
      <c r="C405" t="str">
        <f>'Kullanılan gübre'!C405</f>
        <v>ARTOVA</v>
      </c>
      <c r="D405">
        <f>'Kullanılan gübre'!D405</f>
        <v>2017</v>
      </c>
      <c r="E405">
        <f>'Kullanılan gübre'!E405*'Gübre oranlar'!H$3</f>
        <v>0</v>
      </c>
      <c r="F405">
        <f>'Kullanılan gübre'!F405*'Gübre oranlar'!I$3</f>
        <v>0</v>
      </c>
      <c r="G405">
        <f>'Kullanılan gübre'!G405*'Gübre oranlar'!J$3</f>
        <v>0</v>
      </c>
      <c r="H405">
        <f>'Kullanılan gübre'!H405*'Gübre oranlar'!K$3</f>
        <v>0</v>
      </c>
      <c r="I405">
        <f>'Kullanılan gübre'!I405*'Gübre oranlar'!L$3</f>
        <v>0</v>
      </c>
      <c r="J405">
        <f>'Kullanılan gübre'!J405*'Gübre oranlar'!M$3</f>
        <v>0</v>
      </c>
      <c r="K405">
        <f>'Kullanılan gübre'!K405*'Gübre oranlar'!N$3</f>
        <v>0</v>
      </c>
      <c r="L405">
        <f>'Kullanılan gübre'!L405*'Gübre oranlar'!O$3</f>
        <v>9.8500000000000014</v>
      </c>
      <c r="M405">
        <f>'Kullanılan gübre'!M405*'Gübre oranlar'!P$3</f>
        <v>0</v>
      </c>
      <c r="N405">
        <f>'Kullanılan gübre'!N405*'Gübre oranlar'!Q$3</f>
        <v>0</v>
      </c>
      <c r="O405">
        <f>'Kullanılan gübre'!O405*'Gübre oranlar'!R$3</f>
        <v>0</v>
      </c>
      <c r="P405">
        <f>'Kullanılan gübre'!P405*'Gübre oranlar'!S$3</f>
        <v>0</v>
      </c>
      <c r="Q405">
        <f>'Kullanılan gübre'!Q405*'Gübre oranlar'!T$3</f>
        <v>0</v>
      </c>
      <c r="R405">
        <f>'Kullanılan gübre'!R405*'Gübre oranlar'!U$3</f>
        <v>0.52200000000000002</v>
      </c>
      <c r="S405">
        <f>'Kullanılan gübre'!S405*'Gübre oranlar'!V$3</f>
        <v>0</v>
      </c>
      <c r="T405">
        <f>'Kullanılan gübre'!T405*'Gübre oranlar'!W$3</f>
        <v>0</v>
      </c>
      <c r="U405">
        <f>'Kullanılan gübre'!U405*'Gübre oranlar'!X$3</f>
        <v>0</v>
      </c>
      <c r="V405">
        <f>'Kullanılan gübre'!V405*'Gübre oranlar'!Y$3</f>
        <v>0</v>
      </c>
      <c r="W405">
        <f>'Kullanılan gübre'!W405*'Gübre oranlar'!Z$3</f>
        <v>0</v>
      </c>
      <c r="X405">
        <f>'Kullanılan gübre'!X405*'Gübre oranlar'!AA$3</f>
        <v>0</v>
      </c>
      <c r="Y405">
        <f>'Kullanılan gübre'!Y405*'Gübre oranlar'!AB$3</f>
        <v>0</v>
      </c>
      <c r="Z405">
        <f>'Kullanılan gübre'!Z405*'Gübre oranlar'!AC$3</f>
        <v>0</v>
      </c>
      <c r="AA405">
        <f>'Kullanılan gübre'!AA405*'Gübre oranlar'!AD$3</f>
        <v>0</v>
      </c>
      <c r="AB405">
        <f>'Kullanılan gübre'!AB405*'Gübre oranlar'!AE$3</f>
        <v>0</v>
      </c>
      <c r="AC405">
        <f>'Kullanılan gübre'!AC405*'Gübre oranlar'!AF$3</f>
        <v>0</v>
      </c>
      <c r="AD405">
        <f>'Kullanılan gübre'!AD405*'Gübre oranlar'!AG$3</f>
        <v>0</v>
      </c>
      <c r="AE405">
        <f>'Kullanılan gübre'!AE405*'Gübre oranlar'!AH$3</f>
        <v>0</v>
      </c>
      <c r="AF405">
        <f>'Kullanılan gübre'!AF405*'Gübre oranlar'!AI$3</f>
        <v>0</v>
      </c>
      <c r="AG405">
        <f>'Kullanılan gübre'!AG405*'Gübre oranlar'!AJ$3</f>
        <v>0</v>
      </c>
      <c r="AH405">
        <f>'Kullanılan gübre'!AH405*'Gübre oranlar'!AK$3</f>
        <v>0</v>
      </c>
      <c r="AI405">
        <f>'Kullanılan gübre'!AI405*'Gübre oranlar'!AL$3</f>
        <v>0</v>
      </c>
      <c r="AJ405">
        <f>'Kullanılan gübre'!AJ405*'Gübre oranlar'!AM$3</f>
        <v>0</v>
      </c>
      <c r="AK405">
        <f>'Kullanılan gübre'!AK405*'Gübre oranlar'!AN$3</f>
        <v>0</v>
      </c>
      <c r="AL405">
        <f>'Kullanılan gübre'!AL405*'Gübre oranlar'!AO$3</f>
        <v>0</v>
      </c>
      <c r="AM405">
        <f>'Kullanılan gübre'!AM405*'Gübre oranlar'!AP$3</f>
        <v>0</v>
      </c>
      <c r="AN405">
        <f>'Kullanılan gübre'!AN405*'Gübre oranlar'!AQ$3</f>
        <v>0</v>
      </c>
      <c r="AO405">
        <f>'Kullanılan gübre'!AO405*'Gübre oranlar'!AR$3</f>
        <v>0</v>
      </c>
      <c r="AP405">
        <f>'Kullanılan gübre'!AP405*'Gübre oranlar'!AS$3</f>
        <v>0</v>
      </c>
      <c r="AQ405">
        <f>'Kullanılan gübre'!AQ405*'Gübre oranlar'!AT$3</f>
        <v>0</v>
      </c>
      <c r="AR405">
        <f>'Kullanılan gübre'!AR405*'Gübre oranlar'!AU$3</f>
        <v>0</v>
      </c>
      <c r="AS405">
        <f>'Kullanılan gübre'!AS405*'Gübre oranlar'!AV$3</f>
        <v>0</v>
      </c>
      <c r="AT405">
        <f>'Kullanılan gübre'!AT405*'Gübre oranlar'!AW$3</f>
        <v>0</v>
      </c>
      <c r="AU405">
        <f>'Kullanılan gübre'!AU405*'Gübre oranlar'!AX$3</f>
        <v>0</v>
      </c>
      <c r="AV405">
        <f>'Kullanılan gübre'!AV405*'Gübre oranlar'!AY$3</f>
        <v>0</v>
      </c>
      <c r="AW405">
        <f t="shared" si="6"/>
        <v>10.372000000000002</v>
      </c>
    </row>
    <row r="406" spans="1:49" x14ac:dyDescent="0.25">
      <c r="A406" t="str">
        <f>'Kullanılan gübre'!A406</f>
        <v>YI</v>
      </c>
      <c r="B406" t="str">
        <f>'Kullanılan gübre'!B406</f>
        <v>TOKAT</v>
      </c>
      <c r="C406" t="str">
        <f>'Kullanılan gübre'!C406</f>
        <v>BASCIFTLIK</v>
      </c>
      <c r="D406">
        <f>'Kullanılan gübre'!D406</f>
        <v>2017</v>
      </c>
      <c r="E406">
        <f>'Kullanılan gübre'!E406*'Gübre oranlar'!H$3</f>
        <v>0</v>
      </c>
      <c r="F406">
        <f>'Kullanılan gübre'!F406*'Gübre oranlar'!I$3</f>
        <v>0</v>
      </c>
      <c r="G406">
        <f>'Kullanılan gübre'!G406*'Gübre oranlar'!J$3</f>
        <v>0</v>
      </c>
      <c r="H406">
        <f>'Kullanılan gübre'!H406*'Gübre oranlar'!K$3</f>
        <v>0</v>
      </c>
      <c r="I406">
        <f>'Kullanılan gübre'!I406*'Gübre oranlar'!L$3</f>
        <v>0</v>
      </c>
      <c r="J406">
        <f>'Kullanılan gübre'!J406*'Gübre oranlar'!M$3</f>
        <v>0</v>
      </c>
      <c r="K406">
        <f>'Kullanılan gübre'!K406*'Gübre oranlar'!N$3</f>
        <v>0</v>
      </c>
      <c r="L406">
        <f>'Kullanılan gübre'!L406*'Gübre oranlar'!O$3</f>
        <v>0</v>
      </c>
      <c r="M406">
        <f>'Kullanılan gübre'!M406*'Gübre oranlar'!P$3</f>
        <v>0</v>
      </c>
      <c r="N406">
        <f>'Kullanılan gübre'!N406*'Gübre oranlar'!Q$3</f>
        <v>0</v>
      </c>
      <c r="O406">
        <f>'Kullanılan gübre'!O406*'Gübre oranlar'!R$3</f>
        <v>0</v>
      </c>
      <c r="P406">
        <f>'Kullanılan gübre'!P406*'Gübre oranlar'!S$3</f>
        <v>0</v>
      </c>
      <c r="Q406">
        <f>'Kullanılan gübre'!Q406*'Gübre oranlar'!T$3</f>
        <v>0</v>
      </c>
      <c r="R406">
        <f>'Kullanılan gübre'!R406*'Gübre oranlar'!U$3</f>
        <v>0</v>
      </c>
      <c r="S406">
        <f>'Kullanılan gübre'!S406*'Gübre oranlar'!V$3</f>
        <v>0</v>
      </c>
      <c r="T406">
        <f>'Kullanılan gübre'!T406*'Gübre oranlar'!W$3</f>
        <v>0</v>
      </c>
      <c r="U406">
        <f>'Kullanılan gübre'!U406*'Gübre oranlar'!X$3</f>
        <v>0</v>
      </c>
      <c r="V406">
        <f>'Kullanılan gübre'!V406*'Gübre oranlar'!Y$3</f>
        <v>0</v>
      </c>
      <c r="W406">
        <f>'Kullanılan gübre'!W406*'Gübre oranlar'!Z$3</f>
        <v>0</v>
      </c>
      <c r="X406">
        <f>'Kullanılan gübre'!X406*'Gübre oranlar'!AA$3</f>
        <v>0</v>
      </c>
      <c r="Y406">
        <f>'Kullanılan gübre'!Y406*'Gübre oranlar'!AB$3</f>
        <v>0</v>
      </c>
      <c r="Z406">
        <f>'Kullanılan gübre'!Z406*'Gübre oranlar'!AC$3</f>
        <v>0</v>
      </c>
      <c r="AA406">
        <f>'Kullanılan gübre'!AA406*'Gübre oranlar'!AD$3</f>
        <v>0</v>
      </c>
      <c r="AB406">
        <f>'Kullanılan gübre'!AB406*'Gübre oranlar'!AE$3</f>
        <v>0</v>
      </c>
      <c r="AC406">
        <f>'Kullanılan gübre'!AC406*'Gübre oranlar'!AF$3</f>
        <v>0</v>
      </c>
      <c r="AD406">
        <f>'Kullanılan gübre'!AD406*'Gübre oranlar'!AG$3</f>
        <v>0</v>
      </c>
      <c r="AE406">
        <f>'Kullanılan gübre'!AE406*'Gübre oranlar'!AH$3</f>
        <v>0</v>
      </c>
      <c r="AF406">
        <f>'Kullanılan gübre'!AF406*'Gübre oranlar'!AI$3</f>
        <v>0</v>
      </c>
      <c r="AG406">
        <f>'Kullanılan gübre'!AG406*'Gübre oranlar'!AJ$3</f>
        <v>0</v>
      </c>
      <c r="AH406">
        <f>'Kullanılan gübre'!AH406*'Gübre oranlar'!AK$3</f>
        <v>0</v>
      </c>
      <c r="AI406">
        <f>'Kullanılan gübre'!AI406*'Gübre oranlar'!AL$3</f>
        <v>0</v>
      </c>
      <c r="AJ406">
        <f>'Kullanılan gübre'!AJ406*'Gübre oranlar'!AM$3</f>
        <v>0</v>
      </c>
      <c r="AK406">
        <f>'Kullanılan gübre'!AK406*'Gübre oranlar'!AN$3</f>
        <v>0</v>
      </c>
      <c r="AL406">
        <f>'Kullanılan gübre'!AL406*'Gübre oranlar'!AO$3</f>
        <v>0</v>
      </c>
      <c r="AM406">
        <f>'Kullanılan gübre'!AM406*'Gübre oranlar'!AP$3</f>
        <v>0</v>
      </c>
      <c r="AN406">
        <f>'Kullanılan gübre'!AN406*'Gübre oranlar'!AQ$3</f>
        <v>0</v>
      </c>
      <c r="AO406">
        <f>'Kullanılan gübre'!AO406*'Gübre oranlar'!AR$3</f>
        <v>0</v>
      </c>
      <c r="AP406">
        <f>'Kullanılan gübre'!AP406*'Gübre oranlar'!AS$3</f>
        <v>0</v>
      </c>
      <c r="AQ406">
        <f>'Kullanılan gübre'!AQ406*'Gübre oranlar'!AT$3</f>
        <v>0</v>
      </c>
      <c r="AR406">
        <f>'Kullanılan gübre'!AR406*'Gübre oranlar'!AU$3</f>
        <v>0</v>
      </c>
      <c r="AS406">
        <f>'Kullanılan gübre'!AS406*'Gübre oranlar'!AV$3</f>
        <v>0</v>
      </c>
      <c r="AT406">
        <f>'Kullanılan gübre'!AT406*'Gübre oranlar'!AW$3</f>
        <v>0</v>
      </c>
      <c r="AU406">
        <f>'Kullanılan gübre'!AU406*'Gübre oranlar'!AX$3</f>
        <v>0</v>
      </c>
      <c r="AV406">
        <f>'Kullanılan gübre'!AV406*'Gübre oranlar'!AY$3</f>
        <v>0</v>
      </c>
      <c r="AW406">
        <f t="shared" si="6"/>
        <v>0</v>
      </c>
    </row>
    <row r="407" spans="1:49" x14ac:dyDescent="0.25">
      <c r="A407" t="str">
        <f>'Kullanılan gübre'!A407</f>
        <v>YI</v>
      </c>
      <c r="B407" t="str">
        <f>'Kullanılan gübre'!B407</f>
        <v>TOKAT</v>
      </c>
      <c r="C407" t="str">
        <f>'Kullanılan gübre'!C407</f>
        <v>ERBAA</v>
      </c>
      <c r="D407">
        <f>'Kullanılan gübre'!D407</f>
        <v>2017</v>
      </c>
      <c r="E407">
        <f>'Kullanılan gübre'!E407*'Gübre oranlar'!H$3</f>
        <v>0</v>
      </c>
      <c r="F407">
        <f>'Kullanılan gübre'!F407*'Gübre oranlar'!I$3</f>
        <v>0</v>
      </c>
      <c r="G407">
        <f>'Kullanılan gübre'!G407*'Gübre oranlar'!J$3</f>
        <v>0</v>
      </c>
      <c r="H407">
        <f>'Kullanılan gübre'!H407*'Gübre oranlar'!K$3</f>
        <v>0</v>
      </c>
      <c r="I407">
        <f>'Kullanılan gübre'!I407*'Gübre oranlar'!L$3</f>
        <v>0</v>
      </c>
      <c r="J407">
        <f>'Kullanılan gübre'!J407*'Gübre oranlar'!M$3</f>
        <v>0</v>
      </c>
      <c r="K407">
        <f>'Kullanılan gübre'!K407*'Gübre oranlar'!N$3</f>
        <v>58.120000000000005</v>
      </c>
      <c r="L407">
        <f>'Kullanılan gübre'!L407*'Gübre oranlar'!O$3</f>
        <v>16.53</v>
      </c>
      <c r="M407">
        <f>'Kullanılan gübre'!M407*'Gübre oranlar'!P$3</f>
        <v>83.733000000000004</v>
      </c>
      <c r="N407">
        <f>'Kullanılan gübre'!N407*'Gübre oranlar'!Q$3</f>
        <v>72.045000000000002</v>
      </c>
      <c r="O407">
        <f>'Kullanılan gübre'!O407*'Gübre oranlar'!R$3</f>
        <v>0</v>
      </c>
      <c r="P407">
        <f>'Kullanılan gübre'!P407*'Gübre oranlar'!S$3</f>
        <v>0</v>
      </c>
      <c r="Q407">
        <f>'Kullanılan gübre'!Q407*'Gübre oranlar'!T$3</f>
        <v>0</v>
      </c>
      <c r="R407">
        <f>'Kullanılan gübre'!R407*'Gübre oranlar'!U$3</f>
        <v>0</v>
      </c>
      <c r="S407">
        <f>'Kullanılan gübre'!S407*'Gübre oranlar'!V$3</f>
        <v>0</v>
      </c>
      <c r="T407">
        <f>'Kullanılan gübre'!T407*'Gübre oranlar'!W$3</f>
        <v>0</v>
      </c>
      <c r="U407">
        <f>'Kullanılan gübre'!U407*'Gübre oranlar'!X$3</f>
        <v>0</v>
      </c>
      <c r="V407">
        <f>'Kullanılan gübre'!V407*'Gübre oranlar'!Y$3</f>
        <v>0</v>
      </c>
      <c r="W407">
        <f>'Kullanılan gübre'!W407*'Gübre oranlar'!Z$3</f>
        <v>0</v>
      </c>
      <c r="X407">
        <f>'Kullanılan gübre'!X407*'Gübre oranlar'!AA$3</f>
        <v>0</v>
      </c>
      <c r="Y407">
        <f>'Kullanılan gübre'!Y407*'Gübre oranlar'!AB$3</f>
        <v>0</v>
      </c>
      <c r="Z407">
        <f>'Kullanılan gübre'!Z407*'Gübre oranlar'!AC$3</f>
        <v>0</v>
      </c>
      <c r="AA407">
        <f>'Kullanılan gübre'!AA407*'Gübre oranlar'!AD$3</f>
        <v>0</v>
      </c>
      <c r="AB407">
        <f>'Kullanılan gübre'!AB407*'Gübre oranlar'!AE$3</f>
        <v>0</v>
      </c>
      <c r="AC407">
        <f>'Kullanılan gübre'!AC407*'Gübre oranlar'!AF$3</f>
        <v>0</v>
      </c>
      <c r="AD407">
        <f>'Kullanılan gübre'!AD407*'Gübre oranlar'!AG$3</f>
        <v>0</v>
      </c>
      <c r="AE407">
        <f>'Kullanılan gübre'!AE407*'Gübre oranlar'!AH$3</f>
        <v>0</v>
      </c>
      <c r="AF407">
        <f>'Kullanılan gübre'!AF407*'Gübre oranlar'!AI$3</f>
        <v>0</v>
      </c>
      <c r="AG407">
        <f>'Kullanılan gübre'!AG407*'Gübre oranlar'!AJ$3</f>
        <v>0</v>
      </c>
      <c r="AH407">
        <f>'Kullanılan gübre'!AH407*'Gübre oranlar'!AK$3</f>
        <v>0</v>
      </c>
      <c r="AI407">
        <f>'Kullanılan gübre'!AI407*'Gübre oranlar'!AL$3</f>
        <v>0</v>
      </c>
      <c r="AJ407">
        <f>'Kullanılan gübre'!AJ407*'Gübre oranlar'!AM$3</f>
        <v>0</v>
      </c>
      <c r="AK407">
        <f>'Kullanılan gübre'!AK407*'Gübre oranlar'!AN$3</f>
        <v>0</v>
      </c>
      <c r="AL407">
        <f>'Kullanılan gübre'!AL407*'Gübre oranlar'!AO$3</f>
        <v>0</v>
      </c>
      <c r="AM407">
        <f>'Kullanılan gübre'!AM407*'Gübre oranlar'!AP$3</f>
        <v>0</v>
      </c>
      <c r="AN407">
        <f>'Kullanılan gübre'!AN407*'Gübre oranlar'!AQ$3</f>
        <v>0</v>
      </c>
      <c r="AO407">
        <f>'Kullanılan gübre'!AO407*'Gübre oranlar'!AR$3</f>
        <v>0</v>
      </c>
      <c r="AP407">
        <f>'Kullanılan gübre'!AP407*'Gübre oranlar'!AS$3</f>
        <v>0</v>
      </c>
      <c r="AQ407">
        <f>'Kullanılan gübre'!AQ407*'Gübre oranlar'!AT$3</f>
        <v>0</v>
      </c>
      <c r="AR407">
        <f>'Kullanılan gübre'!AR407*'Gübre oranlar'!AU$3</f>
        <v>0</v>
      </c>
      <c r="AS407">
        <f>'Kullanılan gübre'!AS407*'Gübre oranlar'!AV$3</f>
        <v>0</v>
      </c>
      <c r="AT407">
        <f>'Kullanılan gübre'!AT407*'Gübre oranlar'!AW$3</f>
        <v>0</v>
      </c>
      <c r="AU407">
        <f>'Kullanılan gübre'!AU407*'Gübre oranlar'!AX$3</f>
        <v>0</v>
      </c>
      <c r="AV407">
        <f>'Kullanılan gübre'!AV407*'Gübre oranlar'!AY$3</f>
        <v>0</v>
      </c>
      <c r="AW407">
        <f t="shared" si="6"/>
        <v>230.428</v>
      </c>
    </row>
    <row r="408" spans="1:49" x14ac:dyDescent="0.25">
      <c r="A408" t="str">
        <f>'Kullanılan gübre'!A408</f>
        <v>YI</v>
      </c>
      <c r="B408" t="str">
        <f>'Kullanılan gübre'!B408</f>
        <v>TOKAT</v>
      </c>
      <c r="C408" t="str">
        <f>'Kullanılan gübre'!C408</f>
        <v>NIKSAR</v>
      </c>
      <c r="D408">
        <f>'Kullanılan gübre'!D408</f>
        <v>2017</v>
      </c>
      <c r="E408">
        <f>'Kullanılan gübre'!E408*'Gübre oranlar'!H$3</f>
        <v>0</v>
      </c>
      <c r="F408">
        <f>'Kullanılan gübre'!F408*'Gübre oranlar'!I$3</f>
        <v>0</v>
      </c>
      <c r="G408">
        <f>'Kullanılan gübre'!G408*'Gübre oranlar'!J$3</f>
        <v>0</v>
      </c>
      <c r="H408">
        <f>'Kullanılan gübre'!H408*'Gübre oranlar'!K$3</f>
        <v>0</v>
      </c>
      <c r="I408">
        <f>'Kullanılan gübre'!I408*'Gübre oranlar'!L$3</f>
        <v>0</v>
      </c>
      <c r="J408">
        <f>'Kullanılan gübre'!J408*'Gübre oranlar'!M$3</f>
        <v>0</v>
      </c>
      <c r="K408">
        <f>'Kullanılan gübre'!K408*'Gübre oranlar'!N$3</f>
        <v>18.71</v>
      </c>
      <c r="L408">
        <f>'Kullanılan gübre'!L408*'Gübre oranlar'!O$3</f>
        <v>39.17</v>
      </c>
      <c r="M408">
        <f>'Kullanılan gübre'!M408*'Gübre oranlar'!P$3</f>
        <v>13.755000000000001</v>
      </c>
      <c r="N408">
        <f>'Kullanılan gübre'!N408*'Gübre oranlar'!Q$3</f>
        <v>70.05</v>
      </c>
      <c r="O408">
        <f>'Kullanılan gübre'!O408*'Gübre oranlar'!R$3</f>
        <v>0</v>
      </c>
      <c r="P408">
        <f>'Kullanılan gübre'!P408*'Gübre oranlar'!S$3</f>
        <v>0</v>
      </c>
      <c r="Q408">
        <f>'Kullanılan gübre'!Q408*'Gübre oranlar'!T$3</f>
        <v>84.3</v>
      </c>
      <c r="R408">
        <f>'Kullanılan gübre'!R408*'Gübre oranlar'!U$3</f>
        <v>0</v>
      </c>
      <c r="S408">
        <f>'Kullanılan gübre'!S408*'Gübre oranlar'!V$3</f>
        <v>0</v>
      </c>
      <c r="T408">
        <f>'Kullanılan gübre'!T408*'Gübre oranlar'!W$3</f>
        <v>0</v>
      </c>
      <c r="U408">
        <f>'Kullanılan gübre'!U408*'Gübre oranlar'!X$3</f>
        <v>0</v>
      </c>
      <c r="V408">
        <f>'Kullanılan gübre'!V408*'Gübre oranlar'!Y$3</f>
        <v>0</v>
      </c>
      <c r="W408">
        <f>'Kullanılan gübre'!W408*'Gübre oranlar'!Z$3</f>
        <v>0</v>
      </c>
      <c r="X408">
        <f>'Kullanılan gübre'!X408*'Gübre oranlar'!AA$3</f>
        <v>0</v>
      </c>
      <c r="Y408">
        <f>'Kullanılan gübre'!Y408*'Gübre oranlar'!AB$3</f>
        <v>0</v>
      </c>
      <c r="Z408">
        <f>'Kullanılan gübre'!Z408*'Gübre oranlar'!AC$3</f>
        <v>0</v>
      </c>
      <c r="AA408">
        <f>'Kullanılan gübre'!AA408*'Gübre oranlar'!AD$3</f>
        <v>0</v>
      </c>
      <c r="AB408">
        <f>'Kullanılan gübre'!AB408*'Gübre oranlar'!AE$3</f>
        <v>0</v>
      </c>
      <c r="AC408">
        <f>'Kullanılan gübre'!AC408*'Gübre oranlar'!AF$3</f>
        <v>0</v>
      </c>
      <c r="AD408">
        <f>'Kullanılan gübre'!AD408*'Gübre oranlar'!AG$3</f>
        <v>0</v>
      </c>
      <c r="AE408">
        <f>'Kullanılan gübre'!AE408*'Gübre oranlar'!AH$3</f>
        <v>0</v>
      </c>
      <c r="AF408">
        <f>'Kullanılan gübre'!AF408*'Gübre oranlar'!AI$3</f>
        <v>0</v>
      </c>
      <c r="AG408">
        <f>'Kullanılan gübre'!AG408*'Gübre oranlar'!AJ$3</f>
        <v>0</v>
      </c>
      <c r="AH408">
        <f>'Kullanılan gübre'!AH408*'Gübre oranlar'!AK$3</f>
        <v>0</v>
      </c>
      <c r="AI408">
        <f>'Kullanılan gübre'!AI408*'Gübre oranlar'!AL$3</f>
        <v>0</v>
      </c>
      <c r="AJ408">
        <f>'Kullanılan gübre'!AJ408*'Gübre oranlar'!AM$3</f>
        <v>0</v>
      </c>
      <c r="AK408">
        <f>'Kullanılan gübre'!AK408*'Gübre oranlar'!AN$3</f>
        <v>0</v>
      </c>
      <c r="AL408">
        <f>'Kullanılan gübre'!AL408*'Gübre oranlar'!AO$3</f>
        <v>0</v>
      </c>
      <c r="AM408">
        <f>'Kullanılan gübre'!AM408*'Gübre oranlar'!AP$3</f>
        <v>0</v>
      </c>
      <c r="AN408">
        <f>'Kullanılan gübre'!AN408*'Gübre oranlar'!AQ$3</f>
        <v>0</v>
      </c>
      <c r="AO408">
        <f>'Kullanılan gübre'!AO408*'Gübre oranlar'!AR$3</f>
        <v>0</v>
      </c>
      <c r="AP408">
        <f>'Kullanılan gübre'!AP408*'Gübre oranlar'!AS$3</f>
        <v>0</v>
      </c>
      <c r="AQ408">
        <f>'Kullanılan gübre'!AQ408*'Gübre oranlar'!AT$3</f>
        <v>0</v>
      </c>
      <c r="AR408">
        <f>'Kullanılan gübre'!AR408*'Gübre oranlar'!AU$3</f>
        <v>0</v>
      </c>
      <c r="AS408">
        <f>'Kullanılan gübre'!AS408*'Gübre oranlar'!AV$3</f>
        <v>0</v>
      </c>
      <c r="AT408">
        <f>'Kullanılan gübre'!AT408*'Gübre oranlar'!AW$3</f>
        <v>0</v>
      </c>
      <c r="AU408">
        <f>'Kullanılan gübre'!AU408*'Gübre oranlar'!AX$3</f>
        <v>0</v>
      </c>
      <c r="AV408">
        <f>'Kullanılan gübre'!AV408*'Gübre oranlar'!AY$3</f>
        <v>0</v>
      </c>
      <c r="AW408">
        <f t="shared" si="6"/>
        <v>225.98500000000001</v>
      </c>
    </row>
    <row r="409" spans="1:49" x14ac:dyDescent="0.25">
      <c r="A409" t="str">
        <f>'Kullanılan gübre'!A409</f>
        <v>YI</v>
      </c>
      <c r="B409" t="str">
        <f>'Kullanılan gübre'!B409</f>
        <v>TOKAT</v>
      </c>
      <c r="C409" t="str">
        <f>'Kullanılan gübre'!C409</f>
        <v>PAZAR</v>
      </c>
      <c r="D409">
        <f>'Kullanılan gübre'!D409</f>
        <v>2017</v>
      </c>
      <c r="E409">
        <f>'Kullanılan gübre'!E409*'Gübre oranlar'!H$3</f>
        <v>0</v>
      </c>
      <c r="F409">
        <f>'Kullanılan gübre'!F409*'Gübre oranlar'!I$3</f>
        <v>0</v>
      </c>
      <c r="G409">
        <f>'Kullanılan gübre'!G409*'Gübre oranlar'!J$3</f>
        <v>0</v>
      </c>
      <c r="H409">
        <f>'Kullanılan gübre'!H409*'Gübre oranlar'!K$3</f>
        <v>0</v>
      </c>
      <c r="I409">
        <f>'Kullanılan gübre'!I409*'Gübre oranlar'!L$3</f>
        <v>12.749499999999999</v>
      </c>
      <c r="J409">
        <f>'Kullanılan gübre'!J409*'Gübre oranlar'!M$3</f>
        <v>0</v>
      </c>
      <c r="K409">
        <f>'Kullanılan gübre'!K409*'Gübre oranlar'!N$3</f>
        <v>10.740000000000002</v>
      </c>
      <c r="L409">
        <f>'Kullanılan gübre'!L409*'Gübre oranlar'!O$3</f>
        <v>18.490000000000002</v>
      </c>
      <c r="M409">
        <f>'Kullanılan gübre'!M409*'Gübre oranlar'!P$3</f>
        <v>0</v>
      </c>
      <c r="N409">
        <f>'Kullanılan gübre'!N409*'Gübre oranlar'!Q$3</f>
        <v>43.709999999999994</v>
      </c>
      <c r="O409">
        <f>'Kullanılan gübre'!O409*'Gübre oranlar'!R$3</f>
        <v>0</v>
      </c>
      <c r="P409">
        <f>'Kullanılan gübre'!P409*'Gübre oranlar'!S$3</f>
        <v>0</v>
      </c>
      <c r="Q409">
        <f>'Kullanılan gübre'!Q409*'Gübre oranlar'!T$3</f>
        <v>142.79999999999998</v>
      </c>
      <c r="R409">
        <f>'Kullanılan gübre'!R409*'Gübre oranlar'!U$3</f>
        <v>4.2749999999999995</v>
      </c>
      <c r="S409">
        <f>'Kullanılan gübre'!S409*'Gübre oranlar'!V$3</f>
        <v>0</v>
      </c>
      <c r="T409">
        <f>'Kullanılan gübre'!T409*'Gübre oranlar'!W$3</f>
        <v>0</v>
      </c>
      <c r="U409">
        <f>'Kullanılan gübre'!U409*'Gübre oranlar'!X$3</f>
        <v>0</v>
      </c>
      <c r="V409">
        <f>'Kullanılan gübre'!V409*'Gübre oranlar'!Y$3</f>
        <v>0</v>
      </c>
      <c r="W409">
        <f>'Kullanılan gübre'!W409*'Gübre oranlar'!Z$3</f>
        <v>0</v>
      </c>
      <c r="X409">
        <f>'Kullanılan gübre'!X409*'Gübre oranlar'!AA$3</f>
        <v>0</v>
      </c>
      <c r="Y409">
        <f>'Kullanılan gübre'!Y409*'Gübre oranlar'!AB$3</f>
        <v>0</v>
      </c>
      <c r="Z409">
        <f>'Kullanılan gübre'!Z409*'Gübre oranlar'!AC$3</f>
        <v>0</v>
      </c>
      <c r="AA409">
        <f>'Kullanılan gübre'!AA409*'Gübre oranlar'!AD$3</f>
        <v>0</v>
      </c>
      <c r="AB409">
        <f>'Kullanılan gübre'!AB409*'Gübre oranlar'!AE$3</f>
        <v>0</v>
      </c>
      <c r="AC409">
        <f>'Kullanılan gübre'!AC409*'Gübre oranlar'!AF$3</f>
        <v>0</v>
      </c>
      <c r="AD409">
        <f>'Kullanılan gübre'!AD409*'Gübre oranlar'!AG$3</f>
        <v>0</v>
      </c>
      <c r="AE409">
        <f>'Kullanılan gübre'!AE409*'Gübre oranlar'!AH$3</f>
        <v>0</v>
      </c>
      <c r="AF409">
        <f>'Kullanılan gübre'!AF409*'Gübre oranlar'!AI$3</f>
        <v>0</v>
      </c>
      <c r="AG409">
        <f>'Kullanılan gübre'!AG409*'Gübre oranlar'!AJ$3</f>
        <v>0</v>
      </c>
      <c r="AH409">
        <f>'Kullanılan gübre'!AH409*'Gübre oranlar'!AK$3</f>
        <v>0</v>
      </c>
      <c r="AI409">
        <f>'Kullanılan gübre'!AI409*'Gübre oranlar'!AL$3</f>
        <v>0</v>
      </c>
      <c r="AJ409">
        <f>'Kullanılan gübre'!AJ409*'Gübre oranlar'!AM$3</f>
        <v>0</v>
      </c>
      <c r="AK409">
        <f>'Kullanılan gübre'!AK409*'Gübre oranlar'!AN$3</f>
        <v>0</v>
      </c>
      <c r="AL409">
        <f>'Kullanılan gübre'!AL409*'Gübre oranlar'!AO$3</f>
        <v>0</v>
      </c>
      <c r="AM409">
        <f>'Kullanılan gübre'!AM409*'Gübre oranlar'!AP$3</f>
        <v>0</v>
      </c>
      <c r="AN409">
        <f>'Kullanılan gübre'!AN409*'Gübre oranlar'!AQ$3</f>
        <v>0</v>
      </c>
      <c r="AO409">
        <f>'Kullanılan gübre'!AO409*'Gübre oranlar'!AR$3</f>
        <v>0</v>
      </c>
      <c r="AP409">
        <f>'Kullanılan gübre'!AP409*'Gübre oranlar'!AS$3</f>
        <v>0</v>
      </c>
      <c r="AQ409">
        <f>'Kullanılan gübre'!AQ409*'Gübre oranlar'!AT$3</f>
        <v>0</v>
      </c>
      <c r="AR409">
        <f>'Kullanılan gübre'!AR409*'Gübre oranlar'!AU$3</f>
        <v>0</v>
      </c>
      <c r="AS409">
        <f>'Kullanılan gübre'!AS409*'Gübre oranlar'!AV$3</f>
        <v>0</v>
      </c>
      <c r="AT409">
        <f>'Kullanılan gübre'!AT409*'Gübre oranlar'!AW$3</f>
        <v>0</v>
      </c>
      <c r="AU409">
        <f>'Kullanılan gübre'!AU409*'Gübre oranlar'!AX$3</f>
        <v>0</v>
      </c>
      <c r="AV409">
        <f>'Kullanılan gübre'!AV409*'Gübre oranlar'!AY$3</f>
        <v>0</v>
      </c>
      <c r="AW409">
        <f t="shared" si="6"/>
        <v>232.76449999999997</v>
      </c>
    </row>
    <row r="410" spans="1:49" x14ac:dyDescent="0.25">
      <c r="A410" t="str">
        <f>'Kullanılan gübre'!A410</f>
        <v>YI</v>
      </c>
      <c r="B410" t="str">
        <f>'Kullanılan gübre'!B410</f>
        <v>TOKAT</v>
      </c>
      <c r="C410" t="str">
        <f>'Kullanılan gübre'!C410</f>
        <v>RESADIYE</v>
      </c>
      <c r="D410">
        <f>'Kullanılan gübre'!D410</f>
        <v>2017</v>
      </c>
      <c r="E410">
        <f>'Kullanılan gübre'!E410*'Gübre oranlar'!H$3</f>
        <v>0</v>
      </c>
      <c r="F410">
        <f>'Kullanılan gübre'!F410*'Gübre oranlar'!I$3</f>
        <v>0</v>
      </c>
      <c r="G410">
        <f>'Kullanılan gübre'!G410*'Gübre oranlar'!J$3</f>
        <v>0</v>
      </c>
      <c r="H410">
        <f>'Kullanılan gübre'!H410*'Gübre oranlar'!K$3</f>
        <v>0</v>
      </c>
      <c r="I410">
        <f>'Kullanılan gübre'!I410*'Gübre oranlar'!L$3</f>
        <v>0</v>
      </c>
      <c r="J410">
        <f>'Kullanılan gübre'!J410*'Gübre oranlar'!M$3</f>
        <v>0</v>
      </c>
      <c r="K410">
        <f>'Kullanılan gübre'!K410*'Gübre oranlar'!N$3</f>
        <v>2.1</v>
      </c>
      <c r="L410">
        <f>'Kullanılan gübre'!L410*'Gübre oranlar'!O$3</f>
        <v>1.2000000000000002</v>
      </c>
      <c r="M410">
        <f>'Kullanılan gübre'!M410*'Gübre oranlar'!P$3</f>
        <v>0</v>
      </c>
      <c r="N410">
        <f>'Kullanılan gübre'!N410*'Gübre oranlar'!Q$3</f>
        <v>7.4324999999999992</v>
      </c>
      <c r="O410">
        <f>'Kullanılan gübre'!O410*'Gübre oranlar'!R$3</f>
        <v>0</v>
      </c>
      <c r="P410">
        <f>'Kullanılan gübre'!P410*'Gübre oranlar'!S$3</f>
        <v>0</v>
      </c>
      <c r="Q410">
        <f>'Kullanılan gübre'!Q410*'Gübre oranlar'!T$3</f>
        <v>0</v>
      </c>
      <c r="R410">
        <f>'Kullanılan gübre'!R410*'Gübre oranlar'!U$3</f>
        <v>0</v>
      </c>
      <c r="S410">
        <f>'Kullanılan gübre'!S410*'Gübre oranlar'!V$3</f>
        <v>0</v>
      </c>
      <c r="T410">
        <f>'Kullanılan gübre'!T410*'Gübre oranlar'!W$3</f>
        <v>0</v>
      </c>
      <c r="U410">
        <f>'Kullanılan gübre'!U410*'Gübre oranlar'!X$3</f>
        <v>0</v>
      </c>
      <c r="V410">
        <f>'Kullanılan gübre'!V410*'Gübre oranlar'!Y$3</f>
        <v>0</v>
      </c>
      <c r="W410">
        <f>'Kullanılan gübre'!W410*'Gübre oranlar'!Z$3</f>
        <v>0</v>
      </c>
      <c r="X410">
        <f>'Kullanılan gübre'!X410*'Gübre oranlar'!AA$3</f>
        <v>0</v>
      </c>
      <c r="Y410">
        <f>'Kullanılan gübre'!Y410*'Gübre oranlar'!AB$3</f>
        <v>0</v>
      </c>
      <c r="Z410">
        <f>'Kullanılan gübre'!Z410*'Gübre oranlar'!AC$3</f>
        <v>0</v>
      </c>
      <c r="AA410">
        <f>'Kullanılan gübre'!AA410*'Gübre oranlar'!AD$3</f>
        <v>0</v>
      </c>
      <c r="AB410">
        <f>'Kullanılan gübre'!AB410*'Gübre oranlar'!AE$3</f>
        <v>0</v>
      </c>
      <c r="AC410">
        <f>'Kullanılan gübre'!AC410*'Gübre oranlar'!AF$3</f>
        <v>0</v>
      </c>
      <c r="AD410">
        <f>'Kullanılan gübre'!AD410*'Gübre oranlar'!AG$3</f>
        <v>0</v>
      </c>
      <c r="AE410">
        <f>'Kullanılan gübre'!AE410*'Gübre oranlar'!AH$3</f>
        <v>0</v>
      </c>
      <c r="AF410">
        <f>'Kullanılan gübre'!AF410*'Gübre oranlar'!AI$3</f>
        <v>0</v>
      </c>
      <c r="AG410">
        <f>'Kullanılan gübre'!AG410*'Gübre oranlar'!AJ$3</f>
        <v>0</v>
      </c>
      <c r="AH410">
        <f>'Kullanılan gübre'!AH410*'Gübre oranlar'!AK$3</f>
        <v>0</v>
      </c>
      <c r="AI410">
        <f>'Kullanılan gübre'!AI410*'Gübre oranlar'!AL$3</f>
        <v>0</v>
      </c>
      <c r="AJ410">
        <f>'Kullanılan gübre'!AJ410*'Gübre oranlar'!AM$3</f>
        <v>0</v>
      </c>
      <c r="AK410">
        <f>'Kullanılan gübre'!AK410*'Gübre oranlar'!AN$3</f>
        <v>0</v>
      </c>
      <c r="AL410">
        <f>'Kullanılan gübre'!AL410*'Gübre oranlar'!AO$3</f>
        <v>0</v>
      </c>
      <c r="AM410">
        <f>'Kullanılan gübre'!AM410*'Gübre oranlar'!AP$3</f>
        <v>0</v>
      </c>
      <c r="AN410">
        <f>'Kullanılan gübre'!AN410*'Gübre oranlar'!AQ$3</f>
        <v>0</v>
      </c>
      <c r="AO410">
        <f>'Kullanılan gübre'!AO410*'Gübre oranlar'!AR$3</f>
        <v>0</v>
      </c>
      <c r="AP410">
        <f>'Kullanılan gübre'!AP410*'Gübre oranlar'!AS$3</f>
        <v>0</v>
      </c>
      <c r="AQ410">
        <f>'Kullanılan gübre'!AQ410*'Gübre oranlar'!AT$3</f>
        <v>0</v>
      </c>
      <c r="AR410">
        <f>'Kullanılan gübre'!AR410*'Gübre oranlar'!AU$3</f>
        <v>0</v>
      </c>
      <c r="AS410">
        <f>'Kullanılan gübre'!AS410*'Gübre oranlar'!AV$3</f>
        <v>0</v>
      </c>
      <c r="AT410">
        <f>'Kullanılan gübre'!AT410*'Gübre oranlar'!AW$3</f>
        <v>0</v>
      </c>
      <c r="AU410">
        <f>'Kullanılan gübre'!AU410*'Gübre oranlar'!AX$3</f>
        <v>0</v>
      </c>
      <c r="AV410">
        <f>'Kullanılan gübre'!AV410*'Gübre oranlar'!AY$3</f>
        <v>0</v>
      </c>
      <c r="AW410">
        <f t="shared" si="6"/>
        <v>10.7325</v>
      </c>
    </row>
    <row r="411" spans="1:49" x14ac:dyDescent="0.25">
      <c r="A411" t="str">
        <f>'Kullanılan gübre'!A411</f>
        <v>YI</v>
      </c>
      <c r="B411" t="str">
        <f>'Kullanılan gübre'!B411</f>
        <v>TOKAT</v>
      </c>
      <c r="C411" t="str">
        <f>'Kullanılan gübre'!C411</f>
        <v>SULUSARAY</v>
      </c>
      <c r="D411">
        <f>'Kullanılan gübre'!D411</f>
        <v>2017</v>
      </c>
      <c r="E411">
        <f>'Kullanılan gübre'!E411*'Gübre oranlar'!H$3</f>
        <v>0</v>
      </c>
      <c r="F411">
        <f>'Kullanılan gübre'!F411*'Gübre oranlar'!I$3</f>
        <v>0</v>
      </c>
      <c r="G411">
        <f>'Kullanılan gübre'!G411*'Gübre oranlar'!J$3</f>
        <v>0</v>
      </c>
      <c r="H411">
        <f>'Kullanılan gübre'!H411*'Gübre oranlar'!K$3</f>
        <v>0</v>
      </c>
      <c r="I411">
        <f>'Kullanılan gübre'!I411*'Gübre oranlar'!L$3</f>
        <v>0</v>
      </c>
      <c r="J411">
        <f>'Kullanılan gübre'!J411*'Gübre oranlar'!M$3</f>
        <v>0</v>
      </c>
      <c r="K411">
        <f>'Kullanılan gübre'!K411*'Gübre oranlar'!N$3</f>
        <v>13.690000000000001</v>
      </c>
      <c r="L411">
        <f>'Kullanılan gübre'!L411*'Gübre oranlar'!O$3</f>
        <v>23.47</v>
      </c>
      <c r="M411">
        <f>'Kullanılan gübre'!M411*'Gübre oranlar'!P$3</f>
        <v>0</v>
      </c>
      <c r="N411">
        <f>'Kullanılan gübre'!N411*'Gübre oranlar'!Q$3</f>
        <v>0</v>
      </c>
      <c r="O411">
        <f>'Kullanılan gübre'!O411*'Gübre oranlar'!R$3</f>
        <v>0</v>
      </c>
      <c r="P411">
        <f>'Kullanılan gübre'!P411*'Gübre oranlar'!S$3</f>
        <v>0</v>
      </c>
      <c r="Q411">
        <f>'Kullanılan gübre'!Q411*'Gübre oranlar'!T$3</f>
        <v>0</v>
      </c>
      <c r="R411">
        <f>'Kullanılan gübre'!R411*'Gübre oranlar'!U$3</f>
        <v>0</v>
      </c>
      <c r="S411">
        <f>'Kullanılan gübre'!S411*'Gübre oranlar'!V$3</f>
        <v>0</v>
      </c>
      <c r="T411">
        <f>'Kullanılan gübre'!T411*'Gübre oranlar'!W$3</f>
        <v>0</v>
      </c>
      <c r="U411">
        <f>'Kullanılan gübre'!U411*'Gübre oranlar'!X$3</f>
        <v>0</v>
      </c>
      <c r="V411">
        <f>'Kullanılan gübre'!V411*'Gübre oranlar'!Y$3</f>
        <v>0</v>
      </c>
      <c r="W411">
        <f>'Kullanılan gübre'!W411*'Gübre oranlar'!Z$3</f>
        <v>0</v>
      </c>
      <c r="X411">
        <f>'Kullanılan gübre'!X411*'Gübre oranlar'!AA$3</f>
        <v>0</v>
      </c>
      <c r="Y411">
        <f>'Kullanılan gübre'!Y411*'Gübre oranlar'!AB$3</f>
        <v>0</v>
      </c>
      <c r="Z411">
        <f>'Kullanılan gübre'!Z411*'Gübre oranlar'!AC$3</f>
        <v>0</v>
      </c>
      <c r="AA411">
        <f>'Kullanılan gübre'!AA411*'Gübre oranlar'!AD$3</f>
        <v>0</v>
      </c>
      <c r="AB411">
        <f>'Kullanılan gübre'!AB411*'Gübre oranlar'!AE$3</f>
        <v>0</v>
      </c>
      <c r="AC411">
        <f>'Kullanılan gübre'!AC411*'Gübre oranlar'!AF$3</f>
        <v>0</v>
      </c>
      <c r="AD411">
        <f>'Kullanılan gübre'!AD411*'Gübre oranlar'!AG$3</f>
        <v>0</v>
      </c>
      <c r="AE411">
        <f>'Kullanılan gübre'!AE411*'Gübre oranlar'!AH$3</f>
        <v>0</v>
      </c>
      <c r="AF411">
        <f>'Kullanılan gübre'!AF411*'Gübre oranlar'!AI$3</f>
        <v>0</v>
      </c>
      <c r="AG411">
        <f>'Kullanılan gübre'!AG411*'Gübre oranlar'!AJ$3</f>
        <v>0</v>
      </c>
      <c r="AH411">
        <f>'Kullanılan gübre'!AH411*'Gübre oranlar'!AK$3</f>
        <v>0</v>
      </c>
      <c r="AI411">
        <f>'Kullanılan gübre'!AI411*'Gübre oranlar'!AL$3</f>
        <v>0</v>
      </c>
      <c r="AJ411">
        <f>'Kullanılan gübre'!AJ411*'Gübre oranlar'!AM$3</f>
        <v>0</v>
      </c>
      <c r="AK411">
        <f>'Kullanılan gübre'!AK411*'Gübre oranlar'!AN$3</f>
        <v>0</v>
      </c>
      <c r="AL411">
        <f>'Kullanılan gübre'!AL411*'Gübre oranlar'!AO$3</f>
        <v>0</v>
      </c>
      <c r="AM411">
        <f>'Kullanılan gübre'!AM411*'Gübre oranlar'!AP$3</f>
        <v>0</v>
      </c>
      <c r="AN411">
        <f>'Kullanılan gübre'!AN411*'Gübre oranlar'!AQ$3</f>
        <v>0</v>
      </c>
      <c r="AO411">
        <f>'Kullanılan gübre'!AO411*'Gübre oranlar'!AR$3</f>
        <v>0</v>
      </c>
      <c r="AP411">
        <f>'Kullanılan gübre'!AP411*'Gübre oranlar'!AS$3</f>
        <v>0</v>
      </c>
      <c r="AQ411">
        <f>'Kullanılan gübre'!AQ411*'Gübre oranlar'!AT$3</f>
        <v>0</v>
      </c>
      <c r="AR411">
        <f>'Kullanılan gübre'!AR411*'Gübre oranlar'!AU$3</f>
        <v>0</v>
      </c>
      <c r="AS411">
        <f>'Kullanılan gübre'!AS411*'Gübre oranlar'!AV$3</f>
        <v>0</v>
      </c>
      <c r="AT411">
        <f>'Kullanılan gübre'!AT411*'Gübre oranlar'!AW$3</f>
        <v>0</v>
      </c>
      <c r="AU411">
        <f>'Kullanılan gübre'!AU411*'Gübre oranlar'!AX$3</f>
        <v>0</v>
      </c>
      <c r="AV411">
        <f>'Kullanılan gübre'!AV411*'Gübre oranlar'!AY$3</f>
        <v>0</v>
      </c>
      <c r="AW411">
        <f t="shared" si="6"/>
        <v>37.159999999999997</v>
      </c>
    </row>
    <row r="412" spans="1:49" x14ac:dyDescent="0.25">
      <c r="A412" t="str">
        <f>'Kullanılan gübre'!A412</f>
        <v>YI</v>
      </c>
      <c r="B412" t="str">
        <f>'Kullanılan gübre'!B412</f>
        <v>TOKAT</v>
      </c>
      <c r="C412" t="str">
        <f>'Kullanılan gübre'!C412</f>
        <v>TURHAL</v>
      </c>
      <c r="D412">
        <f>'Kullanılan gübre'!D412</f>
        <v>2017</v>
      </c>
      <c r="E412">
        <f>'Kullanılan gübre'!E412*'Gübre oranlar'!H$3</f>
        <v>0</v>
      </c>
      <c r="F412">
        <f>'Kullanılan gübre'!F412*'Gübre oranlar'!I$3</f>
        <v>0</v>
      </c>
      <c r="G412">
        <f>'Kullanılan gübre'!G412*'Gübre oranlar'!J$3</f>
        <v>0</v>
      </c>
      <c r="H412">
        <f>'Kullanılan gübre'!H412*'Gübre oranlar'!K$3</f>
        <v>0</v>
      </c>
      <c r="I412">
        <f>'Kullanılan gübre'!I412*'Gübre oranlar'!L$3</f>
        <v>0</v>
      </c>
      <c r="J412">
        <f>'Kullanılan gübre'!J412*'Gübre oranlar'!M$3</f>
        <v>0</v>
      </c>
      <c r="K412">
        <f>'Kullanılan gübre'!K412*'Gübre oranlar'!N$3</f>
        <v>19.580000000000002</v>
      </c>
      <c r="L412">
        <f>'Kullanılan gübre'!L412*'Gübre oranlar'!O$3</f>
        <v>13.27</v>
      </c>
      <c r="M412">
        <f>'Kullanılan gübre'!M412*'Gübre oranlar'!P$3</f>
        <v>5.7224999999999993</v>
      </c>
      <c r="N412">
        <f>'Kullanılan gübre'!N412*'Gübre oranlar'!Q$3</f>
        <v>5.0474999999999994</v>
      </c>
      <c r="O412">
        <f>'Kullanılan gübre'!O412*'Gübre oranlar'!R$3</f>
        <v>0</v>
      </c>
      <c r="P412">
        <f>'Kullanılan gübre'!P412*'Gübre oranlar'!S$3</f>
        <v>0</v>
      </c>
      <c r="Q412">
        <f>'Kullanılan gübre'!Q412*'Gübre oranlar'!T$3</f>
        <v>22.5</v>
      </c>
      <c r="R412">
        <f>'Kullanılan gübre'!R412*'Gübre oranlar'!U$3</f>
        <v>3.9959999999999996</v>
      </c>
      <c r="S412">
        <f>'Kullanılan gübre'!S412*'Gübre oranlar'!V$3</f>
        <v>0</v>
      </c>
      <c r="T412">
        <f>'Kullanılan gübre'!T412*'Gübre oranlar'!W$3</f>
        <v>0</v>
      </c>
      <c r="U412">
        <f>'Kullanılan gübre'!U412*'Gübre oranlar'!X$3</f>
        <v>0</v>
      </c>
      <c r="V412">
        <f>'Kullanılan gübre'!V412*'Gübre oranlar'!Y$3</f>
        <v>0</v>
      </c>
      <c r="W412">
        <f>'Kullanılan gübre'!W412*'Gübre oranlar'!Z$3</f>
        <v>0</v>
      </c>
      <c r="X412">
        <f>'Kullanılan gübre'!X412*'Gübre oranlar'!AA$3</f>
        <v>0</v>
      </c>
      <c r="Y412">
        <f>'Kullanılan gübre'!Y412*'Gübre oranlar'!AB$3</f>
        <v>0</v>
      </c>
      <c r="Z412">
        <f>'Kullanılan gübre'!Z412*'Gübre oranlar'!AC$3</f>
        <v>0</v>
      </c>
      <c r="AA412">
        <f>'Kullanılan gübre'!AA412*'Gübre oranlar'!AD$3</f>
        <v>0</v>
      </c>
      <c r="AB412">
        <f>'Kullanılan gübre'!AB412*'Gübre oranlar'!AE$3</f>
        <v>0</v>
      </c>
      <c r="AC412">
        <f>'Kullanılan gübre'!AC412*'Gübre oranlar'!AF$3</f>
        <v>0</v>
      </c>
      <c r="AD412">
        <f>'Kullanılan gübre'!AD412*'Gübre oranlar'!AG$3</f>
        <v>0</v>
      </c>
      <c r="AE412">
        <f>'Kullanılan gübre'!AE412*'Gübre oranlar'!AH$3</f>
        <v>0</v>
      </c>
      <c r="AF412">
        <f>'Kullanılan gübre'!AF412*'Gübre oranlar'!AI$3</f>
        <v>0</v>
      </c>
      <c r="AG412">
        <f>'Kullanılan gübre'!AG412*'Gübre oranlar'!AJ$3</f>
        <v>0</v>
      </c>
      <c r="AH412">
        <f>'Kullanılan gübre'!AH412*'Gübre oranlar'!AK$3</f>
        <v>0</v>
      </c>
      <c r="AI412">
        <f>'Kullanılan gübre'!AI412*'Gübre oranlar'!AL$3</f>
        <v>0</v>
      </c>
      <c r="AJ412">
        <f>'Kullanılan gübre'!AJ412*'Gübre oranlar'!AM$3</f>
        <v>0</v>
      </c>
      <c r="AK412">
        <f>'Kullanılan gübre'!AK412*'Gübre oranlar'!AN$3</f>
        <v>0</v>
      </c>
      <c r="AL412">
        <f>'Kullanılan gübre'!AL412*'Gübre oranlar'!AO$3</f>
        <v>0</v>
      </c>
      <c r="AM412">
        <f>'Kullanılan gübre'!AM412*'Gübre oranlar'!AP$3</f>
        <v>0</v>
      </c>
      <c r="AN412">
        <f>'Kullanılan gübre'!AN412*'Gübre oranlar'!AQ$3</f>
        <v>0</v>
      </c>
      <c r="AO412">
        <f>'Kullanılan gübre'!AO412*'Gübre oranlar'!AR$3</f>
        <v>0</v>
      </c>
      <c r="AP412">
        <f>'Kullanılan gübre'!AP412*'Gübre oranlar'!AS$3</f>
        <v>0</v>
      </c>
      <c r="AQ412">
        <f>'Kullanılan gübre'!AQ412*'Gübre oranlar'!AT$3</f>
        <v>0</v>
      </c>
      <c r="AR412">
        <f>'Kullanılan gübre'!AR412*'Gübre oranlar'!AU$3</f>
        <v>0</v>
      </c>
      <c r="AS412">
        <f>'Kullanılan gübre'!AS412*'Gübre oranlar'!AV$3</f>
        <v>0</v>
      </c>
      <c r="AT412">
        <f>'Kullanılan gübre'!AT412*'Gübre oranlar'!AW$3</f>
        <v>0</v>
      </c>
      <c r="AU412">
        <f>'Kullanılan gübre'!AU412*'Gübre oranlar'!AX$3</f>
        <v>0</v>
      </c>
      <c r="AV412">
        <f>'Kullanılan gübre'!AV412*'Gübre oranlar'!AY$3</f>
        <v>0</v>
      </c>
      <c r="AW412">
        <f t="shared" si="6"/>
        <v>70.116</v>
      </c>
    </row>
    <row r="413" spans="1:49" x14ac:dyDescent="0.25">
      <c r="A413" t="str">
        <f>'Kullanılan gübre'!A413</f>
        <v>YI</v>
      </c>
      <c r="B413" t="str">
        <f>'Kullanılan gübre'!B413</f>
        <v>TOKAT</v>
      </c>
      <c r="C413" t="str">
        <f>'Kullanılan gübre'!C413</f>
        <v>YESILYURT</v>
      </c>
      <c r="D413">
        <f>'Kullanılan gübre'!D413</f>
        <v>2017</v>
      </c>
      <c r="E413">
        <f>'Kullanılan gübre'!E413*'Gübre oranlar'!H$3</f>
        <v>0</v>
      </c>
      <c r="F413">
        <f>'Kullanılan gübre'!F413*'Gübre oranlar'!I$3</f>
        <v>0</v>
      </c>
      <c r="G413">
        <f>'Kullanılan gübre'!G413*'Gübre oranlar'!J$3</f>
        <v>0</v>
      </c>
      <c r="H413">
        <f>'Kullanılan gübre'!H413*'Gübre oranlar'!K$3</f>
        <v>0</v>
      </c>
      <c r="I413">
        <f>'Kullanılan gübre'!I413*'Gübre oranlar'!L$3</f>
        <v>0</v>
      </c>
      <c r="J413">
        <f>'Kullanılan gübre'!J413*'Gübre oranlar'!M$3</f>
        <v>0</v>
      </c>
      <c r="K413">
        <f>'Kullanılan gübre'!K413*'Gübre oranlar'!N$3</f>
        <v>4.7600000000000007</v>
      </c>
      <c r="L413">
        <f>'Kullanılan gübre'!L413*'Gübre oranlar'!O$3</f>
        <v>4</v>
      </c>
      <c r="M413">
        <f>'Kullanılan gübre'!M413*'Gübre oranlar'!P$3</f>
        <v>0</v>
      </c>
      <c r="N413">
        <f>'Kullanılan gübre'!N413*'Gübre oranlar'!Q$3</f>
        <v>0</v>
      </c>
      <c r="O413">
        <f>'Kullanılan gübre'!O413*'Gübre oranlar'!R$3</f>
        <v>0</v>
      </c>
      <c r="P413">
        <f>'Kullanılan gübre'!P413*'Gübre oranlar'!S$3</f>
        <v>0</v>
      </c>
      <c r="Q413">
        <f>'Kullanılan gübre'!Q413*'Gübre oranlar'!T$3</f>
        <v>1.6649999999999998</v>
      </c>
      <c r="R413">
        <f>'Kullanılan gübre'!R413*'Gübre oranlar'!U$3</f>
        <v>5.8589999999999991</v>
      </c>
      <c r="S413">
        <f>'Kullanılan gübre'!S413*'Gübre oranlar'!V$3</f>
        <v>0</v>
      </c>
      <c r="T413">
        <f>'Kullanılan gübre'!T413*'Gübre oranlar'!W$3</f>
        <v>0</v>
      </c>
      <c r="U413">
        <f>'Kullanılan gübre'!U413*'Gübre oranlar'!X$3</f>
        <v>0</v>
      </c>
      <c r="V413">
        <f>'Kullanılan gübre'!V413*'Gübre oranlar'!Y$3</f>
        <v>0</v>
      </c>
      <c r="W413">
        <f>'Kullanılan gübre'!W413*'Gübre oranlar'!Z$3</f>
        <v>0</v>
      </c>
      <c r="X413">
        <f>'Kullanılan gübre'!X413*'Gübre oranlar'!AA$3</f>
        <v>0</v>
      </c>
      <c r="Y413">
        <f>'Kullanılan gübre'!Y413*'Gübre oranlar'!AB$3</f>
        <v>0</v>
      </c>
      <c r="Z413">
        <f>'Kullanılan gübre'!Z413*'Gübre oranlar'!AC$3</f>
        <v>0</v>
      </c>
      <c r="AA413">
        <f>'Kullanılan gübre'!AA413*'Gübre oranlar'!AD$3</f>
        <v>0</v>
      </c>
      <c r="AB413">
        <f>'Kullanılan gübre'!AB413*'Gübre oranlar'!AE$3</f>
        <v>0</v>
      </c>
      <c r="AC413">
        <f>'Kullanılan gübre'!AC413*'Gübre oranlar'!AF$3</f>
        <v>0</v>
      </c>
      <c r="AD413">
        <f>'Kullanılan gübre'!AD413*'Gübre oranlar'!AG$3</f>
        <v>0</v>
      </c>
      <c r="AE413">
        <f>'Kullanılan gübre'!AE413*'Gübre oranlar'!AH$3</f>
        <v>0</v>
      </c>
      <c r="AF413">
        <f>'Kullanılan gübre'!AF413*'Gübre oranlar'!AI$3</f>
        <v>0</v>
      </c>
      <c r="AG413">
        <f>'Kullanılan gübre'!AG413*'Gübre oranlar'!AJ$3</f>
        <v>0</v>
      </c>
      <c r="AH413">
        <f>'Kullanılan gübre'!AH413*'Gübre oranlar'!AK$3</f>
        <v>0</v>
      </c>
      <c r="AI413">
        <f>'Kullanılan gübre'!AI413*'Gübre oranlar'!AL$3</f>
        <v>0</v>
      </c>
      <c r="AJ413">
        <f>'Kullanılan gübre'!AJ413*'Gübre oranlar'!AM$3</f>
        <v>0</v>
      </c>
      <c r="AK413">
        <f>'Kullanılan gübre'!AK413*'Gübre oranlar'!AN$3</f>
        <v>0</v>
      </c>
      <c r="AL413">
        <f>'Kullanılan gübre'!AL413*'Gübre oranlar'!AO$3</f>
        <v>0</v>
      </c>
      <c r="AM413">
        <f>'Kullanılan gübre'!AM413*'Gübre oranlar'!AP$3</f>
        <v>0</v>
      </c>
      <c r="AN413">
        <f>'Kullanılan gübre'!AN413*'Gübre oranlar'!AQ$3</f>
        <v>0</v>
      </c>
      <c r="AO413">
        <f>'Kullanılan gübre'!AO413*'Gübre oranlar'!AR$3</f>
        <v>0</v>
      </c>
      <c r="AP413">
        <f>'Kullanılan gübre'!AP413*'Gübre oranlar'!AS$3</f>
        <v>0</v>
      </c>
      <c r="AQ413">
        <f>'Kullanılan gübre'!AQ413*'Gübre oranlar'!AT$3</f>
        <v>0</v>
      </c>
      <c r="AR413">
        <f>'Kullanılan gübre'!AR413*'Gübre oranlar'!AU$3</f>
        <v>0</v>
      </c>
      <c r="AS413">
        <f>'Kullanılan gübre'!AS413*'Gübre oranlar'!AV$3</f>
        <v>0</v>
      </c>
      <c r="AT413">
        <f>'Kullanılan gübre'!AT413*'Gübre oranlar'!AW$3</f>
        <v>0</v>
      </c>
      <c r="AU413">
        <f>'Kullanılan gübre'!AU413*'Gübre oranlar'!AX$3</f>
        <v>0</v>
      </c>
      <c r="AV413">
        <f>'Kullanılan gübre'!AV413*'Gübre oranlar'!AY$3</f>
        <v>0</v>
      </c>
      <c r="AW413">
        <f t="shared" si="6"/>
        <v>16.283999999999999</v>
      </c>
    </row>
    <row r="414" spans="1:49" x14ac:dyDescent="0.25">
      <c r="A414" t="str">
        <f>'Kullanılan gübre'!A414</f>
        <v>YI</v>
      </c>
      <c r="B414" t="str">
        <f>'Kullanılan gübre'!B414</f>
        <v>TOKAT</v>
      </c>
      <c r="C414" t="str">
        <f>'Kullanılan gübre'!C414</f>
        <v>ZILE</v>
      </c>
      <c r="D414">
        <f>'Kullanılan gübre'!D414</f>
        <v>2017</v>
      </c>
      <c r="E414">
        <f>'Kullanılan gübre'!E414*'Gübre oranlar'!H$3</f>
        <v>0</v>
      </c>
      <c r="F414">
        <f>'Kullanılan gübre'!F414*'Gübre oranlar'!I$3</f>
        <v>0</v>
      </c>
      <c r="G414">
        <f>'Kullanılan gübre'!G414*'Gübre oranlar'!J$3</f>
        <v>0</v>
      </c>
      <c r="H414">
        <f>'Kullanılan gübre'!H414*'Gübre oranlar'!K$3</f>
        <v>0</v>
      </c>
      <c r="I414">
        <f>'Kullanılan gübre'!I414*'Gübre oranlar'!L$3</f>
        <v>22.36</v>
      </c>
      <c r="J414">
        <f>'Kullanılan gübre'!J414*'Gübre oranlar'!M$3</f>
        <v>0</v>
      </c>
      <c r="K414">
        <f>'Kullanılan gübre'!K414*'Gübre oranlar'!N$3</f>
        <v>233.58000000000004</v>
      </c>
      <c r="L414">
        <f>'Kullanılan gübre'!L414*'Gübre oranlar'!O$3</f>
        <v>53.670000000000009</v>
      </c>
      <c r="M414">
        <f>'Kullanılan gübre'!M414*'Gübre oranlar'!P$3</f>
        <v>57.929999999999993</v>
      </c>
      <c r="N414">
        <f>'Kullanılan gübre'!N414*'Gübre oranlar'!Q$3</f>
        <v>28.035</v>
      </c>
      <c r="O414">
        <f>'Kullanılan gübre'!O414*'Gübre oranlar'!R$3</f>
        <v>0</v>
      </c>
      <c r="P414">
        <f>'Kullanılan gübre'!P414*'Gübre oranlar'!S$3</f>
        <v>0</v>
      </c>
      <c r="Q414">
        <f>'Kullanılan gübre'!Q414*'Gübre oranlar'!T$3</f>
        <v>288</v>
      </c>
      <c r="R414">
        <f>'Kullanılan gübre'!R414*'Gübre oranlar'!U$3</f>
        <v>0.59399999999999997</v>
      </c>
      <c r="S414">
        <f>'Kullanılan gübre'!S414*'Gübre oranlar'!V$3</f>
        <v>0</v>
      </c>
      <c r="T414">
        <f>'Kullanılan gübre'!T414*'Gübre oranlar'!W$3</f>
        <v>0</v>
      </c>
      <c r="U414">
        <f>'Kullanılan gübre'!U414*'Gübre oranlar'!X$3</f>
        <v>0</v>
      </c>
      <c r="V414">
        <f>'Kullanılan gübre'!V414*'Gübre oranlar'!Y$3</f>
        <v>0</v>
      </c>
      <c r="W414">
        <f>'Kullanılan gübre'!W414*'Gübre oranlar'!Z$3</f>
        <v>0</v>
      </c>
      <c r="X414">
        <f>'Kullanılan gübre'!X414*'Gübre oranlar'!AA$3</f>
        <v>0</v>
      </c>
      <c r="Y414">
        <f>'Kullanılan gübre'!Y414*'Gübre oranlar'!AB$3</f>
        <v>0</v>
      </c>
      <c r="Z414">
        <f>'Kullanılan gübre'!Z414*'Gübre oranlar'!AC$3</f>
        <v>0</v>
      </c>
      <c r="AA414">
        <f>'Kullanılan gübre'!AA414*'Gübre oranlar'!AD$3</f>
        <v>0</v>
      </c>
      <c r="AB414">
        <f>'Kullanılan gübre'!AB414*'Gübre oranlar'!AE$3</f>
        <v>0</v>
      </c>
      <c r="AC414">
        <f>'Kullanılan gübre'!AC414*'Gübre oranlar'!AF$3</f>
        <v>0</v>
      </c>
      <c r="AD414">
        <f>'Kullanılan gübre'!AD414*'Gübre oranlar'!AG$3</f>
        <v>0</v>
      </c>
      <c r="AE414">
        <f>'Kullanılan gübre'!AE414*'Gübre oranlar'!AH$3</f>
        <v>0</v>
      </c>
      <c r="AF414">
        <f>'Kullanılan gübre'!AF414*'Gübre oranlar'!AI$3</f>
        <v>0</v>
      </c>
      <c r="AG414">
        <f>'Kullanılan gübre'!AG414*'Gübre oranlar'!AJ$3</f>
        <v>0</v>
      </c>
      <c r="AH414">
        <f>'Kullanılan gübre'!AH414*'Gübre oranlar'!AK$3</f>
        <v>0</v>
      </c>
      <c r="AI414">
        <f>'Kullanılan gübre'!AI414*'Gübre oranlar'!AL$3</f>
        <v>0</v>
      </c>
      <c r="AJ414">
        <f>'Kullanılan gübre'!AJ414*'Gübre oranlar'!AM$3</f>
        <v>0</v>
      </c>
      <c r="AK414">
        <f>'Kullanılan gübre'!AK414*'Gübre oranlar'!AN$3</f>
        <v>0</v>
      </c>
      <c r="AL414">
        <f>'Kullanılan gübre'!AL414*'Gübre oranlar'!AO$3</f>
        <v>0</v>
      </c>
      <c r="AM414">
        <f>'Kullanılan gübre'!AM414*'Gübre oranlar'!AP$3</f>
        <v>0</v>
      </c>
      <c r="AN414">
        <f>'Kullanılan gübre'!AN414*'Gübre oranlar'!AQ$3</f>
        <v>0</v>
      </c>
      <c r="AO414">
        <f>'Kullanılan gübre'!AO414*'Gübre oranlar'!AR$3</f>
        <v>0</v>
      </c>
      <c r="AP414">
        <f>'Kullanılan gübre'!AP414*'Gübre oranlar'!AS$3</f>
        <v>0</v>
      </c>
      <c r="AQ414">
        <f>'Kullanılan gübre'!AQ414*'Gübre oranlar'!AT$3</f>
        <v>0</v>
      </c>
      <c r="AR414">
        <f>'Kullanılan gübre'!AR414*'Gübre oranlar'!AU$3</f>
        <v>0</v>
      </c>
      <c r="AS414">
        <f>'Kullanılan gübre'!AS414*'Gübre oranlar'!AV$3</f>
        <v>0</v>
      </c>
      <c r="AT414">
        <f>'Kullanılan gübre'!AT414*'Gübre oranlar'!AW$3</f>
        <v>0</v>
      </c>
      <c r="AU414">
        <f>'Kullanılan gübre'!AU414*'Gübre oranlar'!AX$3</f>
        <v>0</v>
      </c>
      <c r="AV414">
        <f>'Kullanılan gübre'!AV414*'Gübre oranlar'!AY$3</f>
        <v>0</v>
      </c>
      <c r="AW414">
        <f t="shared" si="6"/>
        <v>684.1690000000001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tabSelected="1" zoomScaleNormal="100" workbookViewId="0">
      <selection activeCell="D19" sqref="D19"/>
    </sheetView>
  </sheetViews>
  <sheetFormatPr defaultRowHeight="15" x14ac:dyDescent="0.25"/>
  <cols>
    <col min="3" max="3" width="12.42578125" bestFit="1" customWidth="1"/>
    <col min="4" max="4" width="31.140625" customWidth="1"/>
    <col min="5" max="5" width="24.7109375" bestFit="1" customWidth="1"/>
  </cols>
  <sheetData>
    <row r="1" spans="1:5" x14ac:dyDescent="0.25">
      <c r="A1" t="s">
        <v>2</v>
      </c>
      <c r="B1" t="s">
        <v>1</v>
      </c>
      <c r="C1" t="s">
        <v>130</v>
      </c>
      <c r="D1" t="s">
        <v>131</v>
      </c>
      <c r="E1" t="s">
        <v>132</v>
      </c>
    </row>
    <row r="2" spans="1:5" x14ac:dyDescent="0.25">
      <c r="A2" t="s">
        <v>3</v>
      </c>
      <c r="B2" t="s">
        <v>56</v>
      </c>
      <c r="C2" t="s">
        <v>4</v>
      </c>
      <c r="D2" s="2">
        <f>AVERAGEIF('Oluşan N'!$C$2:$C$414,C2,'Oluşan N'!$AW$2:$AW$414)</f>
        <v>2267.1335780000004</v>
      </c>
      <c r="E2" s="2">
        <f>AVERAGEIF('Oluşan P'!$C$2:$C$414,C2,'Oluşan P'!$AW$2:$AW$414)</f>
        <v>489.53661600000015</v>
      </c>
    </row>
    <row r="3" spans="1:5" x14ac:dyDescent="0.25">
      <c r="A3" t="s">
        <v>3</v>
      </c>
      <c r="B3" t="s">
        <v>56</v>
      </c>
      <c r="C3" t="s">
        <v>28</v>
      </c>
      <c r="D3" s="2">
        <f>AVERAGEIF('Oluşan N'!$C$2:$C$414,C3,'Oluşan N'!$AW$2:$AW$414)</f>
        <v>72.655325000000019</v>
      </c>
      <c r="E3" s="2">
        <f>AVERAGEIF('Oluşan P'!$C$2:$C$414,C3,'Oluşan P'!$AW$2:$AW$414)</f>
        <v>20.268916666666669</v>
      </c>
    </row>
    <row r="4" spans="1:5" x14ac:dyDescent="0.25">
      <c r="A4" t="s">
        <v>3</v>
      </c>
      <c r="B4" t="s">
        <v>56</v>
      </c>
      <c r="C4" t="s">
        <v>29</v>
      </c>
      <c r="D4" s="2">
        <f>AVERAGEIF('Oluşan N'!$C$2:$C$414,C4,'Oluşan N'!$AW$2:$AW$414)</f>
        <v>770.40947916666664</v>
      </c>
      <c r="E4" s="2">
        <f>AVERAGEIF('Oluşan P'!$C$2:$C$414,C4,'Oluşan P'!$AW$2:$AW$414)</f>
        <v>125.06587500000001</v>
      </c>
    </row>
    <row r="5" spans="1:5" x14ac:dyDescent="0.25">
      <c r="A5" t="s">
        <v>3</v>
      </c>
      <c r="B5" t="s">
        <v>56</v>
      </c>
      <c r="C5" t="s">
        <v>30</v>
      </c>
      <c r="D5" s="2">
        <f>AVERAGEIF('Oluşan N'!$C$2:$C$414,C5,'Oluşan N'!$AW$2:$AW$414)</f>
        <v>1099.5714479166666</v>
      </c>
      <c r="E5" s="2">
        <f>AVERAGEIF('Oluşan P'!$C$2:$C$414,C5,'Oluşan P'!$AW$2:$AW$414)</f>
        <v>344.61019166666671</v>
      </c>
    </row>
    <row r="6" spans="1:5" x14ac:dyDescent="0.25">
      <c r="A6" t="s">
        <v>3</v>
      </c>
      <c r="B6" t="s">
        <v>56</v>
      </c>
      <c r="C6" t="s">
        <v>31</v>
      </c>
      <c r="D6" s="2">
        <f>AVERAGEIF('Oluşan N'!$C$2:$C$414,C6,'Oluşan N'!$AW$2:$AW$414)</f>
        <v>396.76798749999995</v>
      </c>
      <c r="E6" s="2">
        <f>AVERAGEIF('Oluşan P'!$C$2:$C$414,C6,'Oluşan P'!$AW$2:$AW$414)</f>
        <v>102.27741666666668</v>
      </c>
    </row>
    <row r="7" spans="1:5" x14ac:dyDescent="0.25">
      <c r="A7" t="s">
        <v>3</v>
      </c>
      <c r="B7" t="s">
        <v>56</v>
      </c>
      <c r="C7" t="s">
        <v>32</v>
      </c>
      <c r="D7" s="2">
        <f>AVERAGEIF('Oluşan N'!$C$2:$C$414,C7,'Oluşan N'!$AW$2:$AW$414)</f>
        <v>682.09225000000004</v>
      </c>
      <c r="E7" s="2">
        <f>AVERAGEIF('Oluşan P'!$C$2:$C$414,C7,'Oluşan P'!$AW$2:$AW$414)</f>
        <v>246.85912500000003</v>
      </c>
    </row>
    <row r="8" spans="1:5" x14ac:dyDescent="0.25">
      <c r="A8" t="s">
        <v>3</v>
      </c>
      <c r="B8" t="s">
        <v>56</v>
      </c>
      <c r="C8" t="s">
        <v>33</v>
      </c>
      <c r="D8" s="2">
        <f>AVERAGEIF('Oluşan N'!$C$2:$C$414,C8,'Oluşan N'!$AW$2:$AW$414)</f>
        <v>107.96905</v>
      </c>
      <c r="E8" s="2">
        <f>AVERAGEIF('Oluşan P'!$C$2:$C$414,C8,'Oluşan P'!$AW$2:$AW$414)</f>
        <v>36.854791666666664</v>
      </c>
    </row>
    <row r="9" spans="1:5" x14ac:dyDescent="0.25">
      <c r="A9" t="s">
        <v>3</v>
      </c>
      <c r="B9" t="s">
        <v>56</v>
      </c>
      <c r="C9" t="s">
        <v>34</v>
      </c>
      <c r="D9" s="2">
        <f>AVERAGEIF('Oluşan N'!$C$2:$C$414,C9,'Oluşan N'!$AW$2:$AW$414)</f>
        <v>1138.7086583333332</v>
      </c>
      <c r="E9" s="2">
        <f>AVERAGEIF('Oluşan P'!$C$2:$C$414,C9,'Oluşan P'!$AW$2:$AW$414)</f>
        <v>312.15317499999998</v>
      </c>
    </row>
    <row r="10" spans="1:5" x14ac:dyDescent="0.25">
      <c r="A10" t="s">
        <v>3</v>
      </c>
      <c r="B10" t="s">
        <v>56</v>
      </c>
      <c r="C10" t="s">
        <v>35</v>
      </c>
      <c r="D10" s="2">
        <f>AVERAGEIF('Oluşan N'!$C$2:$C$414,C10,'Oluşan N'!$AW$2:$AW$414)</f>
        <v>282.97902916666663</v>
      </c>
      <c r="E10" s="2">
        <f>AVERAGEIF('Oluşan P'!$C$2:$C$414,C10,'Oluşan P'!$AW$2:$AW$414)</f>
        <v>91.188291666666657</v>
      </c>
    </row>
    <row r="11" spans="1:5" x14ac:dyDescent="0.25">
      <c r="A11" t="s">
        <v>3</v>
      </c>
      <c r="B11" t="s">
        <v>56</v>
      </c>
      <c r="C11" t="s">
        <v>36</v>
      </c>
      <c r="D11" s="2">
        <f>AVERAGEIF('Oluşan N'!$C$2:$C$414,C11,'Oluşan N'!$AW$2:$AW$414)</f>
        <v>2098.8344270833336</v>
      </c>
      <c r="E11" s="2">
        <f>AVERAGEIF('Oluşan P'!$C$2:$C$414,C11,'Oluşan P'!$AW$2:$AW$414)</f>
        <v>530.10451250000006</v>
      </c>
    </row>
    <row r="12" spans="1:5" x14ac:dyDescent="0.25">
      <c r="A12" t="s">
        <v>3</v>
      </c>
      <c r="B12" t="s">
        <v>65</v>
      </c>
      <c r="C12" t="s">
        <v>66</v>
      </c>
      <c r="D12" s="2">
        <f>AVERAGEIF('Oluşan N'!$C$2:$C$414,C12,'Oluşan N'!$AW$2:$AW$414)</f>
        <v>663.66440909090909</v>
      </c>
      <c r="E12" s="2">
        <f>AVERAGEIF('Oluşan P'!$C$2:$C$414,C12,'Oluşan P'!$AW$2:$AW$414)</f>
        <v>151.40390909090911</v>
      </c>
    </row>
    <row r="13" spans="1:5" x14ac:dyDescent="0.25">
      <c r="A13" t="s">
        <v>3</v>
      </c>
      <c r="B13" t="s">
        <v>65</v>
      </c>
      <c r="C13" t="s">
        <v>67</v>
      </c>
      <c r="D13" s="2">
        <f>AVERAGEIF('Oluşan N'!$C$2:$C$414,C13,'Oluşan N'!$AW$2:$AW$414)</f>
        <v>2634.3738409090906</v>
      </c>
      <c r="E13" s="2">
        <f>AVERAGEIF('Oluşan P'!$C$2:$C$414,C13,'Oluşan P'!$AW$2:$AW$414)</f>
        <v>598.23879545454554</v>
      </c>
    </row>
    <row r="14" spans="1:5" x14ac:dyDescent="0.25">
      <c r="A14" t="s">
        <v>74</v>
      </c>
      <c r="B14" t="s">
        <v>75</v>
      </c>
      <c r="C14" t="s">
        <v>76</v>
      </c>
      <c r="D14" s="2">
        <f>AVERAGEIF('Oluşan N'!$C$2:$C$414,C14,'Oluşan N'!$AW$2:$AW$414)</f>
        <v>42.118181818181824</v>
      </c>
      <c r="E14" s="2">
        <f>AVERAGEIF('Oluşan P'!$C$2:$C$414,C14,'Oluşan P'!$AW$2:$AW$414)</f>
        <v>15.908181818181816</v>
      </c>
    </row>
    <row r="15" spans="1:5" x14ac:dyDescent="0.25">
      <c r="A15" t="s">
        <v>74</v>
      </c>
      <c r="B15" t="s">
        <v>75</v>
      </c>
      <c r="C15" t="s">
        <v>79</v>
      </c>
      <c r="D15" s="2">
        <f>AVERAGEIF('Oluşan N'!$C$2:$C$414,C15,'Oluşan N'!$AW$2:$AW$414)</f>
        <v>371.83</v>
      </c>
      <c r="E15" s="2">
        <f>AVERAGEIF('Oluşan P'!$C$2:$C$414,C15,'Oluşan P'!$AW$2:$AW$414)</f>
        <v>106.0290909090909</v>
      </c>
    </row>
    <row r="16" spans="1:5" x14ac:dyDescent="0.25">
      <c r="A16" t="s">
        <v>74</v>
      </c>
      <c r="B16" t="s">
        <v>75</v>
      </c>
      <c r="C16" t="s">
        <v>81</v>
      </c>
      <c r="D16" s="2">
        <f>AVERAGEIF('Oluşan N'!$C$2:$C$414,C16,'Oluşan N'!$AW$2:$AW$414)</f>
        <v>261.59818181818179</v>
      </c>
      <c r="E16" s="2">
        <f>AVERAGEIF('Oluşan P'!$C$2:$C$414,C16,'Oluşan P'!$AW$2:$AW$414)</f>
        <v>79.229090909090914</v>
      </c>
    </row>
    <row r="17" spans="1:5" x14ac:dyDescent="0.25">
      <c r="A17" t="s">
        <v>74</v>
      </c>
      <c r="B17" t="s">
        <v>75</v>
      </c>
      <c r="C17" t="s">
        <v>78</v>
      </c>
      <c r="D17" s="2">
        <f>AVERAGEIF('Oluşan N'!$C$2:$C$414,C17,'Oluşan N'!$AW$2:$AW$414)</f>
        <v>1430.2218181818182</v>
      </c>
      <c r="E17" s="2">
        <f>AVERAGEIF('Oluşan P'!$C$2:$C$414,C17,'Oluşan P'!$AW$2:$AW$414)</f>
        <v>581.54272727272723</v>
      </c>
    </row>
    <row r="18" spans="1:5" x14ac:dyDescent="0.25">
      <c r="A18" t="s">
        <v>74</v>
      </c>
      <c r="B18" t="s">
        <v>75</v>
      </c>
      <c r="C18" t="s">
        <v>80</v>
      </c>
      <c r="D18" s="2">
        <f>AVERAGEIF('Oluşan N'!$C$2:$C$414,C18,'Oluşan N'!$AW$2:$AW$414)</f>
        <v>849.06772727272732</v>
      </c>
      <c r="E18" s="2">
        <f>AVERAGEIF('Oluşan P'!$C$2:$C$414,C18,'Oluşan P'!$AW$2:$AW$414)</f>
        <v>385.05909090909097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Kullanılan gübre</vt:lpstr>
      <vt:lpstr>Gübre oranlar</vt:lpstr>
      <vt:lpstr>Oluşan N</vt:lpstr>
      <vt:lpstr>Oluşan P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Cem Senduran</dc:creator>
  <cp:lastModifiedBy>Cem Senduran</cp:lastModifiedBy>
  <dcterms:created xsi:type="dcterms:W3CDTF">2018-07-11T14:13:52Z</dcterms:created>
  <dcterms:modified xsi:type="dcterms:W3CDTF">2018-07-25T14:34:16Z</dcterms:modified>
</cp:coreProperties>
</file>